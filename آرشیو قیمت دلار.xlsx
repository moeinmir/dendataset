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zizi-h\Desktop\آرشیو\"/>
    </mc:Choice>
  </mc:AlternateContent>
  <bookViews>
    <workbookView xWindow="0" yWindow="0" windowWidth="20490" windowHeight="7650"/>
  </bookViews>
  <sheets>
    <sheet name="حباب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312" i="1" l="1"/>
  <c r="J2312" i="1"/>
  <c r="G2312" i="1"/>
  <c r="I2312" i="1" s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220" i="1" l="1"/>
  <c r="I2220" i="1" s="1"/>
  <c r="J2220" i="1" s="1"/>
  <c r="H2220" i="1"/>
  <c r="G2219" i="1"/>
  <c r="I2219" i="1" s="1"/>
  <c r="J2219" i="1" s="1"/>
  <c r="H2219" i="1"/>
  <c r="G2218" i="1"/>
  <c r="H2218" i="1" s="1"/>
  <c r="I2218" i="1" l="1"/>
  <c r="J2218" i="1" s="1"/>
  <c r="G2217" i="1"/>
  <c r="I2217" i="1" s="1"/>
  <c r="J2217" i="1" s="1"/>
  <c r="G2216" i="1"/>
  <c r="H2216" i="1"/>
  <c r="I2216" i="1"/>
  <c r="J2216" i="1"/>
  <c r="I2214" i="1"/>
  <c r="J2214" i="1" s="1"/>
  <c r="G2215" i="1"/>
  <c r="H2215" i="1" s="1"/>
  <c r="G2214" i="1"/>
  <c r="H2214" i="1" s="1"/>
  <c r="G2213" i="1"/>
  <c r="H2213" i="1"/>
  <c r="I2213" i="1"/>
  <c r="J2213" i="1"/>
  <c r="G2212" i="1"/>
  <c r="H2212" i="1" s="1"/>
  <c r="G2211" i="1"/>
  <c r="I2211" i="1" s="1"/>
  <c r="J2211" i="1" s="1"/>
  <c r="H2211" i="1"/>
  <c r="G2210" i="1"/>
  <c r="H2210" i="1" s="1"/>
  <c r="G2209" i="1"/>
  <c r="H2209" i="1" s="1"/>
  <c r="G2208" i="1"/>
  <c r="I2208" i="1" s="1"/>
  <c r="J2208" i="1" s="1"/>
  <c r="G2207" i="1"/>
  <c r="H2207" i="1"/>
  <c r="I2207" i="1"/>
  <c r="J2207" i="1" s="1"/>
  <c r="G2206" i="1"/>
  <c r="H2206" i="1"/>
  <c r="I2206" i="1"/>
  <c r="J2206" i="1" s="1"/>
  <c r="G2205" i="1"/>
  <c r="I2205" i="1" s="1"/>
  <c r="J2205" i="1" s="1"/>
  <c r="G2204" i="1"/>
  <c r="H2204" i="1"/>
  <c r="I2204" i="1"/>
  <c r="J2204" i="1" s="1"/>
  <c r="G2203" i="1"/>
  <c r="H2203" i="1"/>
  <c r="I2203" i="1"/>
  <c r="J2203" i="1" s="1"/>
  <c r="G2202" i="1"/>
  <c r="I2202" i="1" s="1"/>
  <c r="J2202" i="1" s="1"/>
  <c r="G2201" i="1"/>
  <c r="I2201" i="1" s="1"/>
  <c r="J2201" i="1" s="1"/>
  <c r="G2200" i="1"/>
  <c r="H2200" i="1" s="1"/>
  <c r="G2199" i="1"/>
  <c r="H2199" i="1" s="1"/>
  <c r="H2198" i="1"/>
  <c r="G2198" i="1"/>
  <c r="I2198" i="1" s="1"/>
  <c r="J2198" i="1" s="1"/>
  <c r="G2197" i="1"/>
  <c r="I2197" i="1" s="1"/>
  <c r="J2197" i="1" s="1"/>
  <c r="H2197" i="1"/>
  <c r="G2196" i="1"/>
  <c r="H2196" i="1" s="1"/>
  <c r="I2196" i="1"/>
  <c r="J2196" i="1" s="1"/>
  <c r="G2195" i="1"/>
  <c r="I2195" i="1" s="1"/>
  <c r="J2195" i="1" s="1"/>
  <c r="H2195" i="1"/>
  <c r="G2194" i="1"/>
  <c r="I2194" i="1" s="1"/>
  <c r="J2194" i="1" s="1"/>
  <c r="H2194" i="1"/>
  <c r="G2193" i="1"/>
  <c r="H2193" i="1" s="1"/>
  <c r="I2193" i="1"/>
  <c r="J2193" i="1" s="1"/>
  <c r="G2192" i="1"/>
  <c r="I2192" i="1" s="1"/>
  <c r="J2192" i="1" s="1"/>
  <c r="G2191" i="1"/>
  <c r="I2191" i="1" s="1"/>
  <c r="J2191" i="1" s="1"/>
  <c r="H2191" i="1"/>
  <c r="G2190" i="1"/>
  <c r="H2190" i="1" s="1"/>
  <c r="I2190" i="1"/>
  <c r="J2190" i="1"/>
  <c r="G2189" i="1"/>
  <c r="I2189" i="1" s="1"/>
  <c r="J2189" i="1" s="1"/>
  <c r="G2188" i="1"/>
  <c r="I2188" i="1" s="1"/>
  <c r="J2188" i="1" s="1"/>
  <c r="H2188" i="1"/>
  <c r="G2187" i="1"/>
  <c r="H2187" i="1" s="1"/>
  <c r="I2187" i="1"/>
  <c r="J2187" i="1" s="1"/>
  <c r="G2186" i="1"/>
  <c r="H2186" i="1" s="1"/>
  <c r="I2186" i="1"/>
  <c r="J2186" i="1" s="1"/>
  <c r="G2185" i="1"/>
  <c r="H2185" i="1" s="1"/>
  <c r="I2185" i="1"/>
  <c r="J2185" i="1"/>
  <c r="G2184" i="1"/>
  <c r="I2184" i="1" s="1"/>
  <c r="J2184" i="1" s="1"/>
  <c r="G2183" i="1"/>
  <c r="I2183" i="1" s="1"/>
  <c r="J2183" i="1" s="1"/>
  <c r="H2183" i="1"/>
  <c r="G2182" i="1"/>
  <c r="H2182" i="1" s="1"/>
  <c r="I2182" i="1"/>
  <c r="J2182" i="1" s="1"/>
  <c r="G2181" i="1"/>
  <c r="H2181" i="1" s="1"/>
  <c r="I2181" i="1"/>
  <c r="J2181" i="1"/>
  <c r="G2180" i="1"/>
  <c r="I2180" i="1" s="1"/>
  <c r="J2180" i="1" s="1"/>
  <c r="G2179" i="1"/>
  <c r="H2179" i="1" s="1"/>
  <c r="H2201" i="1" l="1"/>
  <c r="I2215" i="1"/>
  <c r="J2215" i="1" s="1"/>
  <c r="I2179" i="1"/>
  <c r="J2179" i="1" s="1"/>
  <c r="H2184" i="1"/>
  <c r="H2189" i="1"/>
  <c r="H2192" i="1"/>
  <c r="I2199" i="1"/>
  <c r="J2199" i="1" s="1"/>
  <c r="I2200" i="1"/>
  <c r="J2200" i="1" s="1"/>
  <c r="H2202" i="1"/>
  <c r="H2205" i="1"/>
  <c r="I2209" i="1"/>
  <c r="J2209" i="1" s="1"/>
  <c r="I2210" i="1"/>
  <c r="J2210" i="1" s="1"/>
  <c r="H2217" i="1"/>
  <c r="H2180" i="1"/>
  <c r="H2208" i="1"/>
  <c r="I2212" i="1"/>
  <c r="J2212" i="1" s="1"/>
  <c r="G2178" i="1"/>
  <c r="H2178" i="1" s="1"/>
  <c r="H2176" i="1"/>
  <c r="H2177" i="1"/>
  <c r="G2176" i="1"/>
  <c r="I2176" i="1" s="1"/>
  <c r="J2176" i="1" s="1"/>
  <c r="G2177" i="1"/>
  <c r="I2177" i="1" s="1"/>
  <c r="J2177" i="1" s="1"/>
  <c r="H2175" i="1"/>
  <c r="G2175" i="1"/>
  <c r="I2175" i="1" s="1"/>
  <c r="J2175" i="1" s="1"/>
  <c r="I2178" i="1" l="1"/>
  <c r="J2178" i="1" s="1"/>
  <c r="G2174" i="1"/>
  <c r="I2174" i="1" s="1"/>
  <c r="J2174" i="1" s="1"/>
  <c r="H2149" i="1"/>
  <c r="H2165" i="1"/>
  <c r="G2149" i="1"/>
  <c r="I2149" i="1" s="1"/>
  <c r="J2149" i="1" s="1"/>
  <c r="G2150" i="1"/>
  <c r="H2150" i="1" s="1"/>
  <c r="G2151" i="1"/>
  <c r="I2151" i="1" s="1"/>
  <c r="J2151" i="1" s="1"/>
  <c r="G2152" i="1"/>
  <c r="H2152" i="1" s="1"/>
  <c r="G2153" i="1"/>
  <c r="I2153" i="1" s="1"/>
  <c r="J2153" i="1" s="1"/>
  <c r="G2154" i="1"/>
  <c r="H2154" i="1" s="1"/>
  <c r="G2155" i="1"/>
  <c r="I2155" i="1" s="1"/>
  <c r="J2155" i="1" s="1"/>
  <c r="G2156" i="1"/>
  <c r="I2156" i="1" s="1"/>
  <c r="J2156" i="1" s="1"/>
  <c r="G2157" i="1"/>
  <c r="H2157" i="1" s="1"/>
  <c r="G2158" i="1"/>
  <c r="H2158" i="1" s="1"/>
  <c r="G2159" i="1"/>
  <c r="I2159" i="1" s="1"/>
  <c r="J2159" i="1" s="1"/>
  <c r="G2160" i="1"/>
  <c r="I2160" i="1" s="1"/>
  <c r="J2160" i="1" s="1"/>
  <c r="G2161" i="1"/>
  <c r="I2161" i="1" s="1"/>
  <c r="J2161" i="1" s="1"/>
  <c r="G2162" i="1"/>
  <c r="H2162" i="1" s="1"/>
  <c r="G2163" i="1"/>
  <c r="I2163" i="1" s="1"/>
  <c r="J2163" i="1" s="1"/>
  <c r="G2164" i="1"/>
  <c r="H2164" i="1" s="1"/>
  <c r="G2165" i="1"/>
  <c r="I2165" i="1" s="1"/>
  <c r="J2165" i="1" s="1"/>
  <c r="G2166" i="1"/>
  <c r="H2166" i="1" s="1"/>
  <c r="G2167" i="1"/>
  <c r="I2167" i="1" s="1"/>
  <c r="J2167" i="1" s="1"/>
  <c r="G2168" i="1"/>
  <c r="I2168" i="1" s="1"/>
  <c r="J2168" i="1" s="1"/>
  <c r="G2169" i="1"/>
  <c r="I2169" i="1" s="1"/>
  <c r="J2169" i="1" s="1"/>
  <c r="G2170" i="1"/>
  <c r="H2170" i="1" s="1"/>
  <c r="G2171" i="1"/>
  <c r="I2171" i="1" s="1"/>
  <c r="J2171" i="1" s="1"/>
  <c r="G2172" i="1"/>
  <c r="H2172" i="1" s="1"/>
  <c r="G2173" i="1"/>
  <c r="H2173" i="1" s="1"/>
  <c r="I2166" i="1" l="1"/>
  <c r="J2166" i="1" s="1"/>
  <c r="I2158" i="1"/>
  <c r="J2158" i="1" s="1"/>
  <c r="I2150" i="1"/>
  <c r="J2150" i="1" s="1"/>
  <c r="H2161" i="1"/>
  <c r="I2173" i="1"/>
  <c r="J2173" i="1" s="1"/>
  <c r="I2157" i="1"/>
  <c r="J2157" i="1" s="1"/>
  <c r="I2170" i="1"/>
  <c r="J2170" i="1" s="1"/>
  <c r="I2162" i="1"/>
  <c r="J2162" i="1" s="1"/>
  <c r="I2154" i="1"/>
  <c r="J2154" i="1" s="1"/>
  <c r="H2169" i="1"/>
  <c r="H2153" i="1"/>
  <c r="H2168" i="1"/>
  <c r="H2160" i="1"/>
  <c r="H2156" i="1"/>
  <c r="H2171" i="1"/>
  <c r="H2167" i="1"/>
  <c r="H2163" i="1"/>
  <c r="H2159" i="1"/>
  <c r="H2155" i="1"/>
  <c r="H2151" i="1"/>
  <c r="I2172" i="1"/>
  <c r="J2172" i="1" s="1"/>
  <c r="I2164" i="1"/>
  <c r="J2164" i="1" s="1"/>
  <c r="I2152" i="1"/>
  <c r="J2152" i="1" s="1"/>
  <c r="H2174" i="1"/>
  <c r="G2148" i="1"/>
  <c r="I2148" i="1" s="1"/>
  <c r="J2148" i="1" s="1"/>
  <c r="H2148" i="1"/>
  <c r="G2147" i="1" l="1"/>
  <c r="I2147" i="1" s="1"/>
  <c r="J2147" i="1" s="1"/>
  <c r="G2146" i="1"/>
  <c r="H2146" i="1" s="1"/>
  <c r="G2145" i="1"/>
  <c r="I2145" i="1" s="1"/>
  <c r="J2145" i="1" s="1"/>
  <c r="G2144" i="1"/>
  <c r="I2144" i="1" s="1"/>
  <c r="J2144" i="1" s="1"/>
  <c r="G2143" i="1"/>
  <c r="I2143" i="1" s="1"/>
  <c r="J2143" i="1" s="1"/>
  <c r="G2142" i="1"/>
  <c r="H2142" i="1" s="1"/>
  <c r="G2141" i="1"/>
  <c r="I2141" i="1" s="1"/>
  <c r="J2141" i="1" s="1"/>
  <c r="G2140" i="1"/>
  <c r="I2140" i="1" s="1"/>
  <c r="J2140" i="1" s="1"/>
  <c r="G2139" i="1"/>
  <c r="I2139" i="1" s="1"/>
  <c r="J2139" i="1" s="1"/>
  <c r="G2138" i="1"/>
  <c r="H2138" i="1" s="1"/>
  <c r="G2137" i="1"/>
  <c r="I2137" i="1" s="1"/>
  <c r="J2137" i="1" s="1"/>
  <c r="G2136" i="1"/>
  <c r="I2136" i="1" s="1"/>
  <c r="J2136" i="1" s="1"/>
  <c r="G2135" i="1"/>
  <c r="I2135" i="1" s="1"/>
  <c r="J2135" i="1" s="1"/>
  <c r="G2134" i="1"/>
  <c r="H2134" i="1" s="1"/>
  <c r="I2133" i="1"/>
  <c r="J2133" i="1" s="1"/>
  <c r="G2133" i="1"/>
  <c r="H2133" i="1" s="1"/>
  <c r="G2132" i="1"/>
  <c r="I2132" i="1" s="1"/>
  <c r="J2132" i="1" s="1"/>
  <c r="G2131" i="1"/>
  <c r="I2131" i="1" s="1"/>
  <c r="J2131" i="1" s="1"/>
  <c r="G2130" i="1"/>
  <c r="H2130" i="1" s="1"/>
  <c r="H2129" i="1"/>
  <c r="G2129" i="1"/>
  <c r="I2129" i="1" s="1"/>
  <c r="J2129" i="1" s="1"/>
  <c r="G2128" i="1"/>
  <c r="I2128" i="1" s="1"/>
  <c r="J2128" i="1" s="1"/>
  <c r="G2127" i="1"/>
  <c r="I2127" i="1" s="1"/>
  <c r="J2127" i="1" s="1"/>
  <c r="I2126" i="1"/>
  <c r="J2126" i="1" s="1"/>
  <c r="G2126" i="1"/>
  <c r="H2126" i="1" s="1"/>
  <c r="G2125" i="1"/>
  <c r="I2125" i="1" s="1"/>
  <c r="J2125" i="1" s="1"/>
  <c r="G2124" i="1"/>
  <c r="I2124" i="1" s="1"/>
  <c r="J2124" i="1" s="1"/>
  <c r="G2123" i="1"/>
  <c r="I2123" i="1" s="1"/>
  <c r="J2123" i="1" s="1"/>
  <c r="G2122" i="1"/>
  <c r="H2122" i="1" s="1"/>
  <c r="I2121" i="1"/>
  <c r="J2121" i="1" s="1"/>
  <c r="H2121" i="1"/>
  <c r="G2121" i="1"/>
  <c r="G2120" i="1"/>
  <c r="I2120" i="1" s="1"/>
  <c r="J2120" i="1" s="1"/>
  <c r="G2119" i="1"/>
  <c r="I2119" i="1" s="1"/>
  <c r="J2119" i="1" s="1"/>
  <c r="I2118" i="1"/>
  <c r="J2118" i="1" s="1"/>
  <c r="G2118" i="1"/>
  <c r="H2118" i="1" s="1"/>
  <c r="G2117" i="1"/>
  <c r="H2117" i="1" s="1"/>
  <c r="G2116" i="1"/>
  <c r="I2116" i="1" s="1"/>
  <c r="J2116" i="1" s="1"/>
  <c r="G2115" i="1"/>
  <c r="I2115" i="1" s="1"/>
  <c r="J2115" i="1" s="1"/>
  <c r="G2114" i="1"/>
  <c r="H2114" i="1" s="1"/>
  <c r="G2113" i="1"/>
  <c r="I2113" i="1" s="1"/>
  <c r="J2113" i="1" s="1"/>
  <c r="G2112" i="1"/>
  <c r="I2112" i="1" s="1"/>
  <c r="J2112" i="1" s="1"/>
  <c r="G2111" i="1"/>
  <c r="I2111" i="1" s="1"/>
  <c r="J2111" i="1" s="1"/>
  <c r="G2110" i="1"/>
  <c r="H2110" i="1" s="1"/>
  <c r="G2109" i="1"/>
  <c r="I2109" i="1" s="1"/>
  <c r="J2109" i="1" s="1"/>
  <c r="G2108" i="1"/>
  <c r="I2108" i="1" s="1"/>
  <c r="J2108" i="1" s="1"/>
  <c r="G2107" i="1"/>
  <c r="I2107" i="1" s="1"/>
  <c r="J2107" i="1" s="1"/>
  <c r="G2106" i="1"/>
  <c r="H2106" i="1" s="1"/>
  <c r="G2105" i="1"/>
  <c r="I2105" i="1" s="1"/>
  <c r="J2105" i="1" s="1"/>
  <c r="G2104" i="1"/>
  <c r="I2104" i="1" s="1"/>
  <c r="J2104" i="1" s="1"/>
  <c r="G2103" i="1"/>
  <c r="I2103" i="1" s="1"/>
  <c r="J2103" i="1" s="1"/>
  <c r="G2102" i="1"/>
  <c r="H2102" i="1" s="1"/>
  <c r="I2101" i="1"/>
  <c r="J2101" i="1" s="1"/>
  <c r="G2101" i="1"/>
  <c r="H2101" i="1" s="1"/>
  <c r="G2100" i="1"/>
  <c r="I2100" i="1" s="1"/>
  <c r="J2100" i="1" s="1"/>
  <c r="G2099" i="1"/>
  <c r="I2099" i="1" s="1"/>
  <c r="J2099" i="1" s="1"/>
  <c r="G2098" i="1"/>
  <c r="H2098" i="1" s="1"/>
  <c r="H2097" i="1"/>
  <c r="G2097" i="1"/>
  <c r="I2097" i="1" s="1"/>
  <c r="J2097" i="1" s="1"/>
  <c r="G2096" i="1"/>
  <c r="I2096" i="1" s="1"/>
  <c r="J2096" i="1" s="1"/>
  <c r="G2095" i="1"/>
  <c r="I2095" i="1" s="1"/>
  <c r="J2095" i="1" s="1"/>
  <c r="I2094" i="1"/>
  <c r="J2094" i="1" s="1"/>
  <c r="G2094" i="1"/>
  <c r="H2094" i="1" s="1"/>
  <c r="G2093" i="1"/>
  <c r="I2093" i="1" s="1"/>
  <c r="J2093" i="1" s="1"/>
  <c r="G2092" i="1"/>
  <c r="I2092" i="1" s="1"/>
  <c r="J2092" i="1" s="1"/>
  <c r="G2091" i="1"/>
  <c r="I2091" i="1" s="1"/>
  <c r="J2091" i="1" s="1"/>
  <c r="G2090" i="1"/>
  <c r="H2090" i="1" s="1"/>
  <c r="G2089" i="1"/>
  <c r="I2089" i="1" s="1"/>
  <c r="J2089" i="1" s="1"/>
  <c r="G2088" i="1"/>
  <c r="I2088" i="1" s="1"/>
  <c r="J2088" i="1" s="1"/>
  <c r="G2087" i="1"/>
  <c r="G2086" i="1"/>
  <c r="H2086" i="1" s="1"/>
  <c r="G2085" i="1"/>
  <c r="H2085" i="1" s="1"/>
  <c r="G2084" i="1"/>
  <c r="I2084" i="1" s="1"/>
  <c r="J2084" i="1" s="1"/>
  <c r="G2083" i="1"/>
  <c r="G2082" i="1"/>
  <c r="H2082" i="1" s="1"/>
  <c r="G2081" i="1"/>
  <c r="I2081" i="1" s="1"/>
  <c r="J2081" i="1" s="1"/>
  <c r="G2080" i="1"/>
  <c r="I2080" i="1" s="1"/>
  <c r="J2080" i="1" s="1"/>
  <c r="G2079" i="1"/>
  <c r="G2078" i="1"/>
  <c r="H2078" i="1" s="1"/>
  <c r="G2077" i="1"/>
  <c r="I2077" i="1" s="1"/>
  <c r="J2077" i="1" s="1"/>
  <c r="G2076" i="1"/>
  <c r="I2076" i="1" s="1"/>
  <c r="J2076" i="1" s="1"/>
  <c r="G2075" i="1"/>
  <c r="G2074" i="1"/>
  <c r="H2074" i="1" s="1"/>
  <c r="G2073" i="1"/>
  <c r="I2073" i="1" s="1"/>
  <c r="J2073" i="1" s="1"/>
  <c r="G2072" i="1"/>
  <c r="I2072" i="1" s="1"/>
  <c r="J2072" i="1" s="1"/>
  <c r="G2071" i="1"/>
  <c r="G2070" i="1"/>
  <c r="H2070" i="1" s="1"/>
  <c r="I2069" i="1"/>
  <c r="J2069" i="1" s="1"/>
  <c r="H2069" i="1"/>
  <c r="G2069" i="1"/>
  <c r="G2068" i="1"/>
  <c r="I2068" i="1" s="1"/>
  <c r="J2068" i="1" s="1"/>
  <c r="G2067" i="1"/>
  <c r="G2066" i="1"/>
  <c r="H2066" i="1" s="1"/>
  <c r="G2065" i="1"/>
  <c r="I2065" i="1" s="1"/>
  <c r="J2065" i="1" s="1"/>
  <c r="G2064" i="1"/>
  <c r="I2064" i="1" s="1"/>
  <c r="J2064" i="1" s="1"/>
  <c r="G2063" i="1"/>
  <c r="G2062" i="1"/>
  <c r="G2061" i="1"/>
  <c r="G2060" i="1"/>
  <c r="G2059" i="1"/>
  <c r="G2058" i="1"/>
  <c r="G2057" i="1"/>
  <c r="G2056" i="1"/>
  <c r="G2055" i="1"/>
  <c r="G2054" i="1"/>
  <c r="G2053" i="1"/>
  <c r="G2052" i="1"/>
  <c r="G2051" i="1"/>
  <c r="G2050" i="1"/>
  <c r="G2049" i="1"/>
  <c r="G2048" i="1"/>
  <c r="G2047" i="1"/>
  <c r="G2046" i="1"/>
  <c r="G2045" i="1"/>
  <c r="G2044" i="1"/>
  <c r="G2043" i="1"/>
  <c r="G2042" i="1"/>
  <c r="G2041" i="1"/>
  <c r="G2040" i="1"/>
  <c r="G2039" i="1"/>
  <c r="G2038" i="1"/>
  <c r="G2037" i="1"/>
  <c r="G2036" i="1"/>
  <c r="G2035" i="1"/>
  <c r="G2034" i="1"/>
  <c r="G2033" i="1"/>
  <c r="G2032" i="1"/>
  <c r="G2031" i="1"/>
  <c r="G2030" i="1"/>
  <c r="G2029" i="1"/>
  <c r="G2028" i="1"/>
  <c r="G2027" i="1"/>
  <c r="G2026" i="1"/>
  <c r="G2025" i="1"/>
  <c r="G2024" i="1"/>
  <c r="G2023" i="1"/>
  <c r="G2022" i="1"/>
  <c r="G2021" i="1"/>
  <c r="G2020" i="1"/>
  <c r="G2019" i="1"/>
  <c r="G2018" i="1"/>
  <c r="G2017" i="1"/>
  <c r="G2016" i="1"/>
  <c r="G2015" i="1"/>
  <c r="G2014" i="1"/>
  <c r="G2013" i="1"/>
  <c r="G2012" i="1"/>
  <c r="G2011" i="1"/>
  <c r="G2010" i="1"/>
  <c r="G2009" i="1"/>
  <c r="G2008" i="1"/>
  <c r="G2007" i="1"/>
  <c r="G2006" i="1"/>
  <c r="G2005" i="1"/>
  <c r="G2004" i="1"/>
  <c r="G2003" i="1"/>
  <c r="G2002" i="1"/>
  <c r="G2001" i="1"/>
  <c r="G2000" i="1"/>
  <c r="G1999" i="1"/>
  <c r="G1998" i="1"/>
  <c r="G1997" i="1"/>
  <c r="G1996" i="1"/>
  <c r="G1995" i="1"/>
  <c r="G1994" i="1"/>
  <c r="G1993" i="1"/>
  <c r="G1992" i="1"/>
  <c r="G1991" i="1"/>
  <c r="I1991" i="1" s="1"/>
  <c r="J1991" i="1" s="1"/>
  <c r="G1990" i="1"/>
  <c r="G1989" i="1"/>
  <c r="I1989" i="1" s="1"/>
  <c r="J1989" i="1" s="1"/>
  <c r="G1988" i="1"/>
  <c r="I1988" i="1" s="1"/>
  <c r="J1988" i="1" s="1"/>
  <c r="G1987" i="1"/>
  <c r="I1987" i="1" s="1"/>
  <c r="J1987" i="1" s="1"/>
  <c r="G1986" i="1"/>
  <c r="G1985" i="1"/>
  <c r="I1985" i="1" s="1"/>
  <c r="J1985" i="1" s="1"/>
  <c r="G1984" i="1"/>
  <c r="I1984" i="1" s="1"/>
  <c r="J1984" i="1" s="1"/>
  <c r="G1983" i="1"/>
  <c r="I1983" i="1" s="1"/>
  <c r="J1983" i="1" s="1"/>
  <c r="G1982" i="1"/>
  <c r="G1981" i="1"/>
  <c r="I1981" i="1" s="1"/>
  <c r="J1981" i="1" s="1"/>
  <c r="J1980" i="1"/>
  <c r="G1980" i="1"/>
  <c r="I1980" i="1" s="1"/>
  <c r="G1979" i="1"/>
  <c r="I1979" i="1" s="1"/>
  <c r="J1979" i="1" s="1"/>
  <c r="G1978" i="1"/>
  <c r="G1977" i="1"/>
  <c r="I1977" i="1" s="1"/>
  <c r="J1977" i="1" s="1"/>
  <c r="G1976" i="1"/>
  <c r="I1976" i="1" s="1"/>
  <c r="J1976" i="1" s="1"/>
  <c r="G1975" i="1"/>
  <c r="I1975" i="1" s="1"/>
  <c r="J1975" i="1" s="1"/>
  <c r="G1974" i="1"/>
  <c r="J1973" i="1"/>
  <c r="G1973" i="1"/>
  <c r="I1973" i="1" s="1"/>
  <c r="G1972" i="1"/>
  <c r="I1972" i="1" s="1"/>
  <c r="J1972" i="1" s="1"/>
  <c r="G1971" i="1"/>
  <c r="I1971" i="1" s="1"/>
  <c r="J1971" i="1" s="1"/>
  <c r="G1970" i="1"/>
  <c r="G1969" i="1"/>
  <c r="I1969" i="1" s="1"/>
  <c r="J1969" i="1" s="1"/>
  <c r="G1968" i="1"/>
  <c r="I1968" i="1" s="1"/>
  <c r="J1968" i="1" s="1"/>
  <c r="G1967" i="1"/>
  <c r="I1967" i="1" s="1"/>
  <c r="J1967" i="1" s="1"/>
  <c r="G1966" i="1"/>
  <c r="G1965" i="1"/>
  <c r="I1965" i="1" s="1"/>
  <c r="J1965" i="1" s="1"/>
  <c r="G1964" i="1"/>
  <c r="I1964" i="1" s="1"/>
  <c r="J1964" i="1" s="1"/>
  <c r="G1963" i="1"/>
  <c r="I1963" i="1" s="1"/>
  <c r="J1963" i="1" s="1"/>
  <c r="G1962" i="1"/>
  <c r="G1961" i="1"/>
  <c r="I1961" i="1" s="1"/>
  <c r="J1961" i="1" s="1"/>
  <c r="G1960" i="1"/>
  <c r="I1960" i="1" s="1"/>
  <c r="J1960" i="1" s="1"/>
  <c r="G1959" i="1"/>
  <c r="I1959" i="1" s="1"/>
  <c r="J1959" i="1" s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J1843" i="1"/>
  <c r="G1843" i="1"/>
  <c r="I1843" i="1" s="1"/>
  <c r="G1842" i="1"/>
  <c r="I1842" i="1" s="1"/>
  <c r="J1842" i="1" s="1"/>
  <c r="G1841" i="1"/>
  <c r="I1841" i="1" s="1"/>
  <c r="J1841" i="1" s="1"/>
  <c r="G1840" i="1"/>
  <c r="G1839" i="1"/>
  <c r="I1839" i="1" s="1"/>
  <c r="J1839" i="1" s="1"/>
  <c r="H1838" i="1"/>
  <c r="G1838" i="1"/>
  <c r="I1838" i="1" s="1"/>
  <c r="J1838" i="1" s="1"/>
  <c r="G1837" i="1"/>
  <c r="I1837" i="1" s="1"/>
  <c r="J1837" i="1" s="1"/>
  <c r="G1836" i="1"/>
  <c r="J1835" i="1"/>
  <c r="G1835" i="1"/>
  <c r="I1835" i="1" s="1"/>
  <c r="G1834" i="1"/>
  <c r="I1834" i="1" s="1"/>
  <c r="J1834" i="1" s="1"/>
  <c r="G1833" i="1"/>
  <c r="I1833" i="1" s="1"/>
  <c r="J1833" i="1" s="1"/>
  <c r="G1832" i="1"/>
  <c r="G1831" i="1"/>
  <c r="I1831" i="1" s="1"/>
  <c r="J1831" i="1" s="1"/>
  <c r="G1830" i="1"/>
  <c r="I1830" i="1" s="1"/>
  <c r="J1830" i="1" s="1"/>
  <c r="G1829" i="1"/>
  <c r="I1829" i="1" s="1"/>
  <c r="J1829" i="1" s="1"/>
  <c r="G1828" i="1"/>
  <c r="G1827" i="1"/>
  <c r="I1827" i="1" s="1"/>
  <c r="J1827" i="1" s="1"/>
  <c r="G1826" i="1"/>
  <c r="I1826" i="1" s="1"/>
  <c r="J1826" i="1" s="1"/>
  <c r="G1825" i="1"/>
  <c r="I1825" i="1" s="1"/>
  <c r="J1825" i="1" s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I1698" i="1" s="1"/>
  <c r="J1698" i="1" s="1"/>
  <c r="G1697" i="1"/>
  <c r="G1696" i="1"/>
  <c r="I1696" i="1" s="1"/>
  <c r="J1696" i="1" s="1"/>
  <c r="G1695" i="1"/>
  <c r="I1695" i="1" s="1"/>
  <c r="J1695" i="1" s="1"/>
  <c r="G1694" i="1"/>
  <c r="G1693" i="1"/>
  <c r="G1692" i="1"/>
  <c r="G1691" i="1"/>
  <c r="I1691" i="1" s="1"/>
  <c r="J1691" i="1" s="1"/>
  <c r="G1690" i="1"/>
  <c r="G1689" i="1"/>
  <c r="I1689" i="1" s="1"/>
  <c r="J1689" i="1" s="1"/>
  <c r="G1688" i="1"/>
  <c r="G1687" i="1"/>
  <c r="I1687" i="1" s="1"/>
  <c r="J1687" i="1" s="1"/>
  <c r="G1686" i="1"/>
  <c r="G1685" i="1"/>
  <c r="G1684" i="1"/>
  <c r="G1683" i="1"/>
  <c r="I1683" i="1" s="1"/>
  <c r="J1683" i="1" s="1"/>
  <c r="G1682" i="1"/>
  <c r="G1681" i="1"/>
  <c r="I1681" i="1" s="1"/>
  <c r="J1681" i="1" s="1"/>
  <c r="G1680" i="1"/>
  <c r="H1679" i="1"/>
  <c r="G1679" i="1"/>
  <c r="I1679" i="1" s="1"/>
  <c r="J1679" i="1" s="1"/>
  <c r="G1678" i="1"/>
  <c r="G1677" i="1"/>
  <c r="G1676" i="1"/>
  <c r="G1675" i="1"/>
  <c r="I1675" i="1" s="1"/>
  <c r="J1675" i="1" s="1"/>
  <c r="G1674" i="1"/>
  <c r="G1673" i="1"/>
  <c r="I1673" i="1" s="1"/>
  <c r="J1673" i="1" s="1"/>
  <c r="G1672" i="1"/>
  <c r="G1671" i="1"/>
  <c r="I1671" i="1" s="1"/>
  <c r="J1671" i="1" s="1"/>
  <c r="G1670" i="1"/>
  <c r="G1669" i="1"/>
  <c r="G1668" i="1"/>
  <c r="G1667" i="1"/>
  <c r="I1667" i="1" s="1"/>
  <c r="J1667" i="1" s="1"/>
  <c r="G1666" i="1"/>
  <c r="G1665" i="1"/>
  <c r="I1665" i="1" s="1"/>
  <c r="J1665" i="1" s="1"/>
  <c r="G1664" i="1"/>
  <c r="H1663" i="1"/>
  <c r="G1663" i="1"/>
  <c r="I1663" i="1" s="1"/>
  <c r="J1663" i="1" s="1"/>
  <c r="G1662" i="1"/>
  <c r="G1661" i="1"/>
  <c r="G1660" i="1"/>
  <c r="G1659" i="1"/>
  <c r="I1659" i="1" s="1"/>
  <c r="J1659" i="1" s="1"/>
  <c r="G1658" i="1"/>
  <c r="G1657" i="1"/>
  <c r="I1657" i="1" s="1"/>
  <c r="J1657" i="1" s="1"/>
  <c r="G1656" i="1"/>
  <c r="G1655" i="1"/>
  <c r="I1655" i="1" s="1"/>
  <c r="J1655" i="1" s="1"/>
  <c r="G1654" i="1"/>
  <c r="G1653" i="1"/>
  <c r="I1653" i="1" s="1"/>
  <c r="J1653" i="1" s="1"/>
  <c r="G1652" i="1"/>
  <c r="G1651" i="1"/>
  <c r="G1650" i="1"/>
  <c r="G1649" i="1"/>
  <c r="I1649" i="1" s="1"/>
  <c r="J1649" i="1" s="1"/>
  <c r="G1648" i="1"/>
  <c r="G1647" i="1"/>
  <c r="I1647" i="1" s="1"/>
  <c r="J1647" i="1" s="1"/>
  <c r="G1646" i="1"/>
  <c r="G1645" i="1"/>
  <c r="I1645" i="1" s="1"/>
  <c r="J1645" i="1" s="1"/>
  <c r="G1644" i="1"/>
  <c r="G1643" i="1"/>
  <c r="G1642" i="1"/>
  <c r="G1641" i="1"/>
  <c r="I1641" i="1" s="1"/>
  <c r="J1641" i="1" s="1"/>
  <c r="G1640" i="1"/>
  <c r="G1639" i="1"/>
  <c r="I1639" i="1" s="1"/>
  <c r="J1639" i="1" s="1"/>
  <c r="G1638" i="1"/>
  <c r="G1637" i="1"/>
  <c r="I1637" i="1" s="1"/>
  <c r="J1637" i="1" s="1"/>
  <c r="G1636" i="1"/>
  <c r="G1635" i="1"/>
  <c r="G1634" i="1"/>
  <c r="G1633" i="1"/>
  <c r="I1633" i="1" s="1"/>
  <c r="J1633" i="1" s="1"/>
  <c r="G1632" i="1"/>
  <c r="G1631" i="1"/>
  <c r="I1631" i="1" s="1"/>
  <c r="J1631" i="1" s="1"/>
  <c r="G1630" i="1"/>
  <c r="G1629" i="1"/>
  <c r="I1629" i="1" s="1"/>
  <c r="J1629" i="1" s="1"/>
  <c r="G1628" i="1"/>
  <c r="G1627" i="1"/>
  <c r="G1626" i="1"/>
  <c r="G1625" i="1"/>
  <c r="I1625" i="1" s="1"/>
  <c r="J1625" i="1" s="1"/>
  <c r="G1624" i="1"/>
  <c r="G1623" i="1"/>
  <c r="I1623" i="1" s="1"/>
  <c r="J1623" i="1" s="1"/>
  <c r="G1622" i="1"/>
  <c r="G1621" i="1"/>
  <c r="I1621" i="1" s="1"/>
  <c r="J1621" i="1" s="1"/>
  <c r="G1620" i="1"/>
  <c r="G1619" i="1"/>
  <c r="G1618" i="1"/>
  <c r="G1617" i="1"/>
  <c r="I1617" i="1" s="1"/>
  <c r="J1617" i="1" s="1"/>
  <c r="G1616" i="1"/>
  <c r="H1615" i="1"/>
  <c r="G1615" i="1"/>
  <c r="I1615" i="1" s="1"/>
  <c r="J1615" i="1" s="1"/>
  <c r="G1614" i="1"/>
  <c r="G1613" i="1"/>
  <c r="I1613" i="1" s="1"/>
  <c r="J1613" i="1" s="1"/>
  <c r="G1612" i="1"/>
  <c r="G1611" i="1"/>
  <c r="G1610" i="1"/>
  <c r="G1609" i="1"/>
  <c r="I1609" i="1" s="1"/>
  <c r="J1609" i="1" s="1"/>
  <c r="G1608" i="1"/>
  <c r="G1607" i="1"/>
  <c r="I1607" i="1" s="1"/>
  <c r="J1607" i="1" s="1"/>
  <c r="G1606" i="1"/>
  <c r="G1605" i="1"/>
  <c r="I1605" i="1" s="1"/>
  <c r="J1605" i="1" s="1"/>
  <c r="G1604" i="1"/>
  <c r="G1603" i="1"/>
  <c r="G1602" i="1"/>
  <c r="G1601" i="1"/>
  <c r="I1601" i="1" s="1"/>
  <c r="J1601" i="1" s="1"/>
  <c r="G1600" i="1"/>
  <c r="H1599" i="1"/>
  <c r="G1599" i="1"/>
  <c r="I1599" i="1" s="1"/>
  <c r="J1599" i="1" s="1"/>
  <c r="G1598" i="1"/>
  <c r="G1597" i="1"/>
  <c r="I1597" i="1" s="1"/>
  <c r="J1597" i="1" s="1"/>
  <c r="G1596" i="1"/>
  <c r="G1595" i="1"/>
  <c r="G1594" i="1"/>
  <c r="G1593" i="1"/>
  <c r="I1593" i="1" s="1"/>
  <c r="J1593" i="1" s="1"/>
  <c r="G1592" i="1"/>
  <c r="G1591" i="1"/>
  <c r="I1591" i="1" s="1"/>
  <c r="J1591" i="1" s="1"/>
  <c r="G1590" i="1"/>
  <c r="G1589" i="1"/>
  <c r="I1589" i="1" s="1"/>
  <c r="J1589" i="1" s="1"/>
  <c r="G1588" i="1"/>
  <c r="G1587" i="1"/>
  <c r="G1586" i="1"/>
  <c r="G1585" i="1"/>
  <c r="I1585" i="1" s="1"/>
  <c r="J1585" i="1" s="1"/>
  <c r="G1584" i="1"/>
  <c r="G1583" i="1"/>
  <c r="I1583" i="1" s="1"/>
  <c r="J1583" i="1" s="1"/>
  <c r="G1582" i="1"/>
  <c r="G1581" i="1"/>
  <c r="I1581" i="1" s="1"/>
  <c r="J1581" i="1" s="1"/>
  <c r="G1580" i="1"/>
  <c r="G1579" i="1"/>
  <c r="G1578" i="1"/>
  <c r="G1577" i="1"/>
  <c r="I1577" i="1" s="1"/>
  <c r="J1577" i="1" s="1"/>
  <c r="G1576" i="1"/>
  <c r="G1575" i="1"/>
  <c r="I1575" i="1" s="1"/>
  <c r="J1575" i="1" s="1"/>
  <c r="G1574" i="1"/>
  <c r="G1573" i="1"/>
  <c r="I1573" i="1" s="1"/>
  <c r="J1573" i="1" s="1"/>
  <c r="G1572" i="1"/>
  <c r="G1571" i="1"/>
  <c r="G1570" i="1"/>
  <c r="G1569" i="1"/>
  <c r="I1569" i="1" s="1"/>
  <c r="J1569" i="1" s="1"/>
  <c r="G1568" i="1"/>
  <c r="G1567" i="1"/>
  <c r="I1567" i="1" s="1"/>
  <c r="J1567" i="1" s="1"/>
  <c r="G1566" i="1"/>
  <c r="G1565" i="1"/>
  <c r="I1565" i="1" s="1"/>
  <c r="J1565" i="1" s="1"/>
  <c r="G1564" i="1"/>
  <c r="G1563" i="1"/>
  <c r="G1562" i="1"/>
  <c r="G1561" i="1"/>
  <c r="I1561" i="1" s="1"/>
  <c r="J1561" i="1" s="1"/>
  <c r="G1560" i="1"/>
  <c r="G1559" i="1"/>
  <c r="I1559" i="1" s="1"/>
  <c r="J1559" i="1" s="1"/>
  <c r="G1558" i="1"/>
  <c r="G1557" i="1"/>
  <c r="I1557" i="1" s="1"/>
  <c r="J1557" i="1" s="1"/>
  <c r="G1556" i="1"/>
  <c r="G1555" i="1"/>
  <c r="G1554" i="1"/>
  <c r="G1553" i="1"/>
  <c r="I1553" i="1" s="1"/>
  <c r="J1553" i="1" s="1"/>
  <c r="G1552" i="1"/>
  <c r="H1551" i="1"/>
  <c r="G1551" i="1"/>
  <c r="I1551" i="1" s="1"/>
  <c r="J1551" i="1" s="1"/>
  <c r="G1550" i="1"/>
  <c r="G1549" i="1"/>
  <c r="I1549" i="1" s="1"/>
  <c r="J1549" i="1" s="1"/>
  <c r="G1548" i="1"/>
  <c r="G1547" i="1"/>
  <c r="G1546" i="1"/>
  <c r="G1545" i="1"/>
  <c r="I1545" i="1" s="1"/>
  <c r="J1545" i="1" s="1"/>
  <c r="G1544" i="1"/>
  <c r="G1543" i="1"/>
  <c r="I1543" i="1" s="1"/>
  <c r="J1543" i="1" s="1"/>
  <c r="G1542" i="1"/>
  <c r="G1541" i="1"/>
  <c r="I1541" i="1" s="1"/>
  <c r="J1541" i="1" s="1"/>
  <c r="G1540" i="1"/>
  <c r="G1539" i="1"/>
  <c r="G1538" i="1"/>
  <c r="G1537" i="1"/>
  <c r="I1537" i="1" s="1"/>
  <c r="J1537" i="1" s="1"/>
  <c r="G1536" i="1"/>
  <c r="H1535" i="1"/>
  <c r="G1535" i="1"/>
  <c r="I1535" i="1" s="1"/>
  <c r="J1535" i="1" s="1"/>
  <c r="G1534" i="1"/>
  <c r="G1533" i="1"/>
  <c r="I1533" i="1" s="1"/>
  <c r="J1533" i="1" s="1"/>
  <c r="G1532" i="1"/>
  <c r="G1531" i="1"/>
  <c r="G1530" i="1"/>
  <c r="G1529" i="1"/>
  <c r="I1529" i="1" s="1"/>
  <c r="J1529" i="1" s="1"/>
  <c r="G1528" i="1"/>
  <c r="G1527" i="1"/>
  <c r="I1527" i="1" s="1"/>
  <c r="J1527" i="1" s="1"/>
  <c r="G1526" i="1"/>
  <c r="G1525" i="1"/>
  <c r="I1525" i="1" s="1"/>
  <c r="J1525" i="1" s="1"/>
  <c r="G1524" i="1"/>
  <c r="G1523" i="1"/>
  <c r="G1522" i="1"/>
  <c r="G1521" i="1"/>
  <c r="I1521" i="1" s="1"/>
  <c r="J1521" i="1" s="1"/>
  <c r="G1520" i="1"/>
  <c r="G1519" i="1"/>
  <c r="I1519" i="1" s="1"/>
  <c r="J1519" i="1" s="1"/>
  <c r="G1518" i="1"/>
  <c r="G1517" i="1"/>
  <c r="I1517" i="1" s="1"/>
  <c r="J1517" i="1" s="1"/>
  <c r="G1516" i="1"/>
  <c r="G1515" i="1"/>
  <c r="G1514" i="1"/>
  <c r="G1513" i="1"/>
  <c r="I1513" i="1" s="1"/>
  <c r="J1513" i="1" s="1"/>
  <c r="G1512" i="1"/>
  <c r="G1511" i="1"/>
  <c r="I1511" i="1" s="1"/>
  <c r="J1511" i="1" s="1"/>
  <c r="G1510" i="1"/>
  <c r="G1509" i="1"/>
  <c r="I1509" i="1" s="1"/>
  <c r="J1509" i="1" s="1"/>
  <c r="G1508" i="1"/>
  <c r="G1507" i="1"/>
  <c r="G1506" i="1"/>
  <c r="G1505" i="1"/>
  <c r="I1505" i="1" s="1"/>
  <c r="J1505" i="1" s="1"/>
  <c r="G1504" i="1"/>
  <c r="G1503" i="1"/>
  <c r="I1503" i="1" s="1"/>
  <c r="J1503" i="1" s="1"/>
  <c r="G1502" i="1"/>
  <c r="G1501" i="1"/>
  <c r="I1501" i="1" s="1"/>
  <c r="J1501" i="1" s="1"/>
  <c r="G1500" i="1"/>
  <c r="G1499" i="1"/>
  <c r="G1498" i="1"/>
  <c r="G1497" i="1"/>
  <c r="G1496" i="1"/>
  <c r="I1496" i="1" s="1"/>
  <c r="J1496" i="1" s="1"/>
  <c r="G1495" i="1"/>
  <c r="H1494" i="1"/>
  <c r="G1494" i="1"/>
  <c r="I1494" i="1" s="1"/>
  <c r="J1494" i="1" s="1"/>
  <c r="G1493" i="1"/>
  <c r="J1492" i="1"/>
  <c r="H1492" i="1"/>
  <c r="G1492" i="1"/>
  <c r="I1492" i="1" s="1"/>
  <c r="G1491" i="1"/>
  <c r="I1491" i="1" s="1"/>
  <c r="J1491" i="1" s="1"/>
  <c r="G1490" i="1"/>
  <c r="I1490" i="1" s="1"/>
  <c r="J1490" i="1" s="1"/>
  <c r="G1489" i="1"/>
  <c r="G1488" i="1"/>
  <c r="I1488" i="1" s="1"/>
  <c r="J1488" i="1" s="1"/>
  <c r="H1487" i="1"/>
  <c r="G1487" i="1"/>
  <c r="I1487" i="1" s="1"/>
  <c r="J1487" i="1" s="1"/>
  <c r="G1486" i="1"/>
  <c r="I1486" i="1" s="1"/>
  <c r="J1486" i="1" s="1"/>
  <c r="G1485" i="1"/>
  <c r="J1484" i="1"/>
  <c r="G1484" i="1"/>
  <c r="I1484" i="1" s="1"/>
  <c r="G1483" i="1"/>
  <c r="I1483" i="1" s="1"/>
  <c r="J1483" i="1" s="1"/>
  <c r="G1482" i="1"/>
  <c r="G1481" i="1"/>
  <c r="G1480" i="1"/>
  <c r="I1480" i="1" s="1"/>
  <c r="J1480" i="1" s="1"/>
  <c r="H1479" i="1"/>
  <c r="G1479" i="1"/>
  <c r="I1479" i="1" s="1"/>
  <c r="J1479" i="1" s="1"/>
  <c r="G1478" i="1"/>
  <c r="I1478" i="1" s="1"/>
  <c r="J1478" i="1" s="1"/>
  <c r="G1477" i="1"/>
  <c r="J1476" i="1"/>
  <c r="G1476" i="1"/>
  <c r="I1476" i="1" s="1"/>
  <c r="J1475" i="1"/>
  <c r="G1475" i="1"/>
  <c r="I1475" i="1" s="1"/>
  <c r="G1474" i="1"/>
  <c r="G1473" i="1"/>
  <c r="G1472" i="1"/>
  <c r="J1471" i="1"/>
  <c r="G1471" i="1"/>
  <c r="I1471" i="1" s="1"/>
  <c r="G1470" i="1"/>
  <c r="I1470" i="1" s="1"/>
  <c r="J1470" i="1" s="1"/>
  <c r="G1469" i="1"/>
  <c r="G1468" i="1"/>
  <c r="G1467" i="1"/>
  <c r="I1467" i="1" s="1"/>
  <c r="J1467" i="1" s="1"/>
  <c r="G1466" i="1"/>
  <c r="G1465" i="1"/>
  <c r="G1464" i="1"/>
  <c r="G1463" i="1"/>
  <c r="I1463" i="1" s="1"/>
  <c r="J1463" i="1" s="1"/>
  <c r="G1462" i="1"/>
  <c r="I1462" i="1" s="1"/>
  <c r="J1462" i="1" s="1"/>
  <c r="G1461" i="1"/>
  <c r="G1460" i="1"/>
  <c r="I1460" i="1" s="1"/>
  <c r="J1460" i="1" s="1"/>
  <c r="G1459" i="1"/>
  <c r="H1458" i="1"/>
  <c r="G1458" i="1"/>
  <c r="I1458" i="1" s="1"/>
  <c r="J1458" i="1" s="1"/>
  <c r="G1457" i="1"/>
  <c r="G1456" i="1"/>
  <c r="I1456" i="1" s="1"/>
  <c r="J1456" i="1" s="1"/>
  <c r="G1455" i="1"/>
  <c r="I1455" i="1" s="1"/>
  <c r="J1455" i="1" s="1"/>
  <c r="G1454" i="1"/>
  <c r="I1454" i="1" s="1"/>
  <c r="J1454" i="1" s="1"/>
  <c r="G1453" i="1"/>
  <c r="J1452" i="1"/>
  <c r="H1452" i="1"/>
  <c r="G1452" i="1"/>
  <c r="I1452" i="1" s="1"/>
  <c r="G1451" i="1"/>
  <c r="I1451" i="1" s="1"/>
  <c r="J1451" i="1" s="1"/>
  <c r="G1450" i="1"/>
  <c r="G1449" i="1"/>
  <c r="G1448" i="1"/>
  <c r="I1448" i="1" s="1"/>
  <c r="J1448" i="1" s="1"/>
  <c r="G1447" i="1"/>
  <c r="I1447" i="1" s="1"/>
  <c r="J1447" i="1" s="1"/>
  <c r="G1446" i="1"/>
  <c r="I1446" i="1" s="1"/>
  <c r="J1446" i="1" s="1"/>
  <c r="G1445" i="1"/>
  <c r="G1444" i="1"/>
  <c r="G1443" i="1"/>
  <c r="G1442" i="1"/>
  <c r="G1441" i="1"/>
  <c r="G1440" i="1"/>
  <c r="G1439" i="1"/>
  <c r="G1438" i="1"/>
  <c r="K1437" i="1"/>
  <c r="G1437" i="1"/>
  <c r="I1437" i="1" s="1"/>
  <c r="J1437" i="1" s="1"/>
  <c r="G1436" i="1"/>
  <c r="I1436" i="1" s="1"/>
  <c r="J1436" i="1" s="1"/>
  <c r="G1435" i="1"/>
  <c r="I1435" i="1" s="1"/>
  <c r="J1435" i="1" s="1"/>
  <c r="G1434" i="1"/>
  <c r="G1433" i="1"/>
  <c r="I1433" i="1" s="1"/>
  <c r="J1433" i="1" s="1"/>
  <c r="G1432" i="1"/>
  <c r="I1432" i="1" s="1"/>
  <c r="J1432" i="1" s="1"/>
  <c r="G1431" i="1"/>
  <c r="I1431" i="1" s="1"/>
  <c r="J1431" i="1" s="1"/>
  <c r="G1430" i="1"/>
  <c r="I1430" i="1" s="1"/>
  <c r="J1430" i="1" s="1"/>
  <c r="G1429" i="1"/>
  <c r="I1429" i="1" s="1"/>
  <c r="J1429" i="1" s="1"/>
  <c r="G1428" i="1"/>
  <c r="I1428" i="1" s="1"/>
  <c r="J1428" i="1" s="1"/>
  <c r="G1427" i="1"/>
  <c r="I1427" i="1" s="1"/>
  <c r="J1427" i="1" s="1"/>
  <c r="G1426" i="1"/>
  <c r="I1426" i="1" s="1"/>
  <c r="J1426" i="1" s="1"/>
  <c r="G1425" i="1"/>
  <c r="I1425" i="1" s="1"/>
  <c r="J1425" i="1" s="1"/>
  <c r="G1424" i="1"/>
  <c r="I1424" i="1" s="1"/>
  <c r="J1424" i="1" s="1"/>
  <c r="G1423" i="1"/>
  <c r="I1423" i="1" s="1"/>
  <c r="J1423" i="1" s="1"/>
  <c r="G1422" i="1"/>
  <c r="I1422" i="1" s="1"/>
  <c r="J1422" i="1" s="1"/>
  <c r="G1421" i="1"/>
  <c r="I1421" i="1" s="1"/>
  <c r="J1421" i="1" s="1"/>
  <c r="G1420" i="1"/>
  <c r="I1420" i="1" s="1"/>
  <c r="J1420" i="1" s="1"/>
  <c r="G1419" i="1"/>
  <c r="I1419" i="1" s="1"/>
  <c r="J1419" i="1" s="1"/>
  <c r="G1418" i="1"/>
  <c r="I1418" i="1" s="1"/>
  <c r="J1418" i="1" s="1"/>
  <c r="G1417" i="1"/>
  <c r="I1417" i="1" s="1"/>
  <c r="J1417" i="1" s="1"/>
  <c r="G1416" i="1"/>
  <c r="I1416" i="1" s="1"/>
  <c r="J1416" i="1" s="1"/>
  <c r="G1415" i="1"/>
  <c r="I1415" i="1" s="1"/>
  <c r="J1415" i="1" s="1"/>
  <c r="G1414" i="1"/>
  <c r="I1414" i="1" s="1"/>
  <c r="J1414" i="1" s="1"/>
  <c r="G1413" i="1"/>
  <c r="I1413" i="1" s="1"/>
  <c r="J1413" i="1" s="1"/>
  <c r="G1412" i="1"/>
  <c r="I1412" i="1" s="1"/>
  <c r="J1412" i="1" s="1"/>
  <c r="G1411" i="1"/>
  <c r="I1411" i="1" s="1"/>
  <c r="J1411" i="1" s="1"/>
  <c r="G1410" i="1"/>
  <c r="I1410" i="1" s="1"/>
  <c r="J1410" i="1" s="1"/>
  <c r="G1409" i="1"/>
  <c r="I1409" i="1" s="1"/>
  <c r="J1409" i="1" s="1"/>
  <c r="G1408" i="1"/>
  <c r="I1408" i="1" s="1"/>
  <c r="J1408" i="1" s="1"/>
  <c r="G1407" i="1"/>
  <c r="I1407" i="1" s="1"/>
  <c r="J1407" i="1" s="1"/>
  <c r="G1406" i="1"/>
  <c r="I1406" i="1" s="1"/>
  <c r="J1406" i="1" s="1"/>
  <c r="G1405" i="1"/>
  <c r="I1405" i="1" s="1"/>
  <c r="J1405" i="1" s="1"/>
  <c r="G1404" i="1"/>
  <c r="I1404" i="1" s="1"/>
  <c r="J1404" i="1" s="1"/>
  <c r="G1403" i="1"/>
  <c r="I1403" i="1" s="1"/>
  <c r="J1403" i="1" s="1"/>
  <c r="G1402" i="1"/>
  <c r="G1401" i="1"/>
  <c r="I1401" i="1" s="1"/>
  <c r="J1401" i="1" s="1"/>
  <c r="G1400" i="1"/>
  <c r="I1400" i="1" s="1"/>
  <c r="J1400" i="1" s="1"/>
  <c r="G1399" i="1"/>
  <c r="I1399" i="1" s="1"/>
  <c r="J1399" i="1" s="1"/>
  <c r="G1398" i="1"/>
  <c r="I1398" i="1" s="1"/>
  <c r="J1398" i="1" s="1"/>
  <c r="G1397" i="1"/>
  <c r="I1397" i="1" s="1"/>
  <c r="J1397" i="1" s="1"/>
  <c r="G1396" i="1"/>
  <c r="I1396" i="1" s="1"/>
  <c r="J1396" i="1" s="1"/>
  <c r="G1395" i="1"/>
  <c r="I1395" i="1" s="1"/>
  <c r="J1395" i="1" s="1"/>
  <c r="G1394" i="1"/>
  <c r="I1394" i="1" s="1"/>
  <c r="J1394" i="1" s="1"/>
  <c r="G1393" i="1"/>
  <c r="I1393" i="1" s="1"/>
  <c r="J1393" i="1" s="1"/>
  <c r="G1392" i="1"/>
  <c r="I1392" i="1" s="1"/>
  <c r="J1392" i="1" s="1"/>
  <c r="G1391" i="1"/>
  <c r="I1391" i="1" s="1"/>
  <c r="J1391" i="1" s="1"/>
  <c r="G1390" i="1"/>
  <c r="I1390" i="1" s="1"/>
  <c r="J1390" i="1" s="1"/>
  <c r="G1389" i="1"/>
  <c r="I1389" i="1" s="1"/>
  <c r="J1389" i="1" s="1"/>
  <c r="G1388" i="1"/>
  <c r="I1388" i="1" s="1"/>
  <c r="J1388" i="1" s="1"/>
  <c r="G1387" i="1"/>
  <c r="I1387" i="1" s="1"/>
  <c r="J1387" i="1" s="1"/>
  <c r="G1386" i="1"/>
  <c r="I1386" i="1" s="1"/>
  <c r="J1386" i="1" s="1"/>
  <c r="G1385" i="1"/>
  <c r="I1385" i="1" s="1"/>
  <c r="J1385" i="1" s="1"/>
  <c r="G1384" i="1"/>
  <c r="I1384" i="1" s="1"/>
  <c r="J1384" i="1" s="1"/>
  <c r="G1383" i="1"/>
  <c r="I1383" i="1" s="1"/>
  <c r="J1383" i="1" s="1"/>
  <c r="G1382" i="1"/>
  <c r="I1382" i="1" s="1"/>
  <c r="J1382" i="1" s="1"/>
  <c r="G1381" i="1"/>
  <c r="I1381" i="1" s="1"/>
  <c r="J1381" i="1" s="1"/>
  <c r="G1380" i="1"/>
  <c r="I1380" i="1" s="1"/>
  <c r="J1380" i="1" s="1"/>
  <c r="G1379" i="1"/>
  <c r="I1379" i="1" s="1"/>
  <c r="J1379" i="1" s="1"/>
  <c r="G1378" i="1"/>
  <c r="I1378" i="1" s="1"/>
  <c r="J1378" i="1" s="1"/>
  <c r="G1377" i="1"/>
  <c r="I1377" i="1" s="1"/>
  <c r="J1377" i="1" s="1"/>
  <c r="G1376" i="1"/>
  <c r="I1376" i="1" s="1"/>
  <c r="J1376" i="1" s="1"/>
  <c r="G1375" i="1"/>
  <c r="I1375" i="1" s="1"/>
  <c r="J1375" i="1" s="1"/>
  <c r="G1374" i="1"/>
  <c r="I1374" i="1" s="1"/>
  <c r="J1374" i="1" s="1"/>
  <c r="G1373" i="1"/>
  <c r="I1373" i="1" s="1"/>
  <c r="J1373" i="1" s="1"/>
  <c r="G1372" i="1"/>
  <c r="I1372" i="1" s="1"/>
  <c r="J1372" i="1" s="1"/>
  <c r="G1371" i="1"/>
  <c r="I1371" i="1" s="1"/>
  <c r="J1371" i="1" s="1"/>
  <c r="G1370" i="1"/>
  <c r="G1369" i="1"/>
  <c r="I1369" i="1" s="1"/>
  <c r="J1369" i="1" s="1"/>
  <c r="G1368" i="1"/>
  <c r="I1368" i="1" s="1"/>
  <c r="J1368" i="1" s="1"/>
  <c r="G1367" i="1"/>
  <c r="I1367" i="1" s="1"/>
  <c r="J1367" i="1" s="1"/>
  <c r="G1366" i="1"/>
  <c r="I1366" i="1" s="1"/>
  <c r="J1366" i="1" s="1"/>
  <c r="G1365" i="1"/>
  <c r="I1365" i="1" s="1"/>
  <c r="J1365" i="1" s="1"/>
  <c r="G1364" i="1"/>
  <c r="I1364" i="1" s="1"/>
  <c r="J1364" i="1" s="1"/>
  <c r="G1363" i="1"/>
  <c r="I1363" i="1" s="1"/>
  <c r="J1363" i="1" s="1"/>
  <c r="G1362" i="1"/>
  <c r="I1362" i="1" s="1"/>
  <c r="J1362" i="1" s="1"/>
  <c r="G1361" i="1"/>
  <c r="I1361" i="1" s="1"/>
  <c r="J1361" i="1" s="1"/>
  <c r="G1360" i="1"/>
  <c r="I1360" i="1" s="1"/>
  <c r="J1360" i="1" s="1"/>
  <c r="G1359" i="1"/>
  <c r="I1359" i="1" s="1"/>
  <c r="J1359" i="1" s="1"/>
  <c r="G1358" i="1"/>
  <c r="I1358" i="1" s="1"/>
  <c r="J1358" i="1" s="1"/>
  <c r="G1357" i="1"/>
  <c r="I1357" i="1" s="1"/>
  <c r="J1357" i="1" s="1"/>
  <c r="G1356" i="1"/>
  <c r="I1356" i="1" s="1"/>
  <c r="J1356" i="1" s="1"/>
  <c r="G1355" i="1"/>
  <c r="I1355" i="1" s="1"/>
  <c r="J1355" i="1" s="1"/>
  <c r="H1354" i="1"/>
  <c r="G1354" i="1"/>
  <c r="I1354" i="1" s="1"/>
  <c r="J1354" i="1" s="1"/>
  <c r="G1353" i="1"/>
  <c r="I1353" i="1" s="1"/>
  <c r="J1353" i="1" s="1"/>
  <c r="G1352" i="1"/>
  <c r="I1352" i="1" s="1"/>
  <c r="J1352" i="1" s="1"/>
  <c r="G1351" i="1"/>
  <c r="I1351" i="1" s="1"/>
  <c r="J1351" i="1" s="1"/>
  <c r="G1350" i="1"/>
  <c r="I1350" i="1" s="1"/>
  <c r="J1350" i="1" s="1"/>
  <c r="G1349" i="1"/>
  <c r="I1349" i="1" s="1"/>
  <c r="J1349" i="1" s="1"/>
  <c r="G1348" i="1"/>
  <c r="I1348" i="1" s="1"/>
  <c r="J1348" i="1" s="1"/>
  <c r="G1347" i="1"/>
  <c r="I1347" i="1" s="1"/>
  <c r="J1347" i="1" s="1"/>
  <c r="G1346" i="1"/>
  <c r="I1346" i="1" s="1"/>
  <c r="J1346" i="1" s="1"/>
  <c r="G1345" i="1"/>
  <c r="I1345" i="1" s="1"/>
  <c r="J1345" i="1" s="1"/>
  <c r="G1344" i="1"/>
  <c r="I1344" i="1" s="1"/>
  <c r="J1344" i="1" s="1"/>
  <c r="G1343" i="1"/>
  <c r="I1343" i="1" s="1"/>
  <c r="J1343" i="1" s="1"/>
  <c r="G1342" i="1"/>
  <c r="I1342" i="1" s="1"/>
  <c r="J1342" i="1" s="1"/>
  <c r="G1341" i="1"/>
  <c r="I1341" i="1" s="1"/>
  <c r="J1341" i="1" s="1"/>
  <c r="G1340" i="1"/>
  <c r="I1340" i="1" s="1"/>
  <c r="J1340" i="1" s="1"/>
  <c r="G1339" i="1"/>
  <c r="I1339" i="1" s="1"/>
  <c r="J1339" i="1" s="1"/>
  <c r="G1338" i="1"/>
  <c r="G1337" i="1"/>
  <c r="I1337" i="1" s="1"/>
  <c r="J1337" i="1" s="1"/>
  <c r="G1336" i="1"/>
  <c r="I1336" i="1" s="1"/>
  <c r="J1336" i="1" s="1"/>
  <c r="G1335" i="1"/>
  <c r="I1335" i="1" s="1"/>
  <c r="J1335" i="1" s="1"/>
  <c r="G1334" i="1"/>
  <c r="I1334" i="1" s="1"/>
  <c r="J1334" i="1" s="1"/>
  <c r="G1333" i="1"/>
  <c r="I1333" i="1" s="1"/>
  <c r="J1333" i="1" s="1"/>
  <c r="G1332" i="1"/>
  <c r="I1332" i="1" s="1"/>
  <c r="J1332" i="1" s="1"/>
  <c r="G1331" i="1"/>
  <c r="I1331" i="1" s="1"/>
  <c r="J1331" i="1" s="1"/>
  <c r="G1330" i="1"/>
  <c r="I1330" i="1" s="1"/>
  <c r="J1330" i="1" s="1"/>
  <c r="G1329" i="1"/>
  <c r="I1329" i="1" s="1"/>
  <c r="J1329" i="1" s="1"/>
  <c r="G1328" i="1"/>
  <c r="I1328" i="1" s="1"/>
  <c r="J1328" i="1" s="1"/>
  <c r="G1327" i="1"/>
  <c r="I1327" i="1" s="1"/>
  <c r="J1327" i="1" s="1"/>
  <c r="G1326" i="1"/>
  <c r="I1326" i="1" s="1"/>
  <c r="J1326" i="1" s="1"/>
  <c r="G1325" i="1"/>
  <c r="I1325" i="1" s="1"/>
  <c r="J1325" i="1" s="1"/>
  <c r="G1324" i="1"/>
  <c r="I1324" i="1" s="1"/>
  <c r="J1324" i="1" s="1"/>
  <c r="G1323" i="1"/>
  <c r="I1323" i="1" s="1"/>
  <c r="J1323" i="1" s="1"/>
  <c r="G1322" i="1"/>
  <c r="I1322" i="1" s="1"/>
  <c r="J1322" i="1" s="1"/>
  <c r="G1321" i="1"/>
  <c r="I1321" i="1" s="1"/>
  <c r="J1321" i="1" s="1"/>
  <c r="G1320" i="1"/>
  <c r="I1320" i="1" s="1"/>
  <c r="J1320" i="1" s="1"/>
  <c r="G1319" i="1"/>
  <c r="I1319" i="1" s="1"/>
  <c r="J1319" i="1" s="1"/>
  <c r="G1318" i="1"/>
  <c r="I1318" i="1" s="1"/>
  <c r="J1318" i="1" s="1"/>
  <c r="G1317" i="1"/>
  <c r="I1317" i="1" s="1"/>
  <c r="J1317" i="1" s="1"/>
  <c r="G1316" i="1"/>
  <c r="I1316" i="1" s="1"/>
  <c r="J1316" i="1" s="1"/>
  <c r="G1315" i="1"/>
  <c r="I1315" i="1" s="1"/>
  <c r="J1315" i="1" s="1"/>
  <c r="G1314" i="1"/>
  <c r="I1314" i="1" s="1"/>
  <c r="J1314" i="1" s="1"/>
  <c r="G1313" i="1"/>
  <c r="I1313" i="1" s="1"/>
  <c r="J1313" i="1" s="1"/>
  <c r="G1312" i="1"/>
  <c r="I1312" i="1" s="1"/>
  <c r="J1312" i="1" s="1"/>
  <c r="G1311" i="1"/>
  <c r="I1311" i="1" s="1"/>
  <c r="J1311" i="1" s="1"/>
  <c r="G1310" i="1"/>
  <c r="I1310" i="1" s="1"/>
  <c r="J1310" i="1" s="1"/>
  <c r="G1309" i="1"/>
  <c r="I1309" i="1" s="1"/>
  <c r="J1309" i="1" s="1"/>
  <c r="G1308" i="1"/>
  <c r="I1308" i="1" s="1"/>
  <c r="J1308" i="1" s="1"/>
  <c r="G1307" i="1"/>
  <c r="I1307" i="1" s="1"/>
  <c r="J1307" i="1" s="1"/>
  <c r="G1306" i="1"/>
  <c r="G1305" i="1"/>
  <c r="I1305" i="1" s="1"/>
  <c r="J1305" i="1" s="1"/>
  <c r="G1304" i="1"/>
  <c r="I1304" i="1" s="1"/>
  <c r="J1304" i="1" s="1"/>
  <c r="G1303" i="1"/>
  <c r="I1303" i="1" s="1"/>
  <c r="J1303" i="1" s="1"/>
  <c r="G1302" i="1"/>
  <c r="I1302" i="1" s="1"/>
  <c r="J1302" i="1" s="1"/>
  <c r="G1301" i="1"/>
  <c r="I1301" i="1" s="1"/>
  <c r="J1301" i="1" s="1"/>
  <c r="G1300" i="1"/>
  <c r="I1300" i="1" s="1"/>
  <c r="J1300" i="1" s="1"/>
  <c r="G1299" i="1"/>
  <c r="I1299" i="1" s="1"/>
  <c r="J1299" i="1" s="1"/>
  <c r="H1298" i="1"/>
  <c r="G1298" i="1"/>
  <c r="I1298" i="1" s="1"/>
  <c r="J1298" i="1" s="1"/>
  <c r="G1297" i="1"/>
  <c r="I1297" i="1" s="1"/>
  <c r="J1297" i="1" s="1"/>
  <c r="G1296" i="1"/>
  <c r="I1296" i="1" s="1"/>
  <c r="J1296" i="1" s="1"/>
  <c r="G1295" i="1"/>
  <c r="I1295" i="1" s="1"/>
  <c r="J1295" i="1" s="1"/>
  <c r="G1294" i="1"/>
  <c r="I1294" i="1" s="1"/>
  <c r="J1294" i="1" s="1"/>
  <c r="G1293" i="1"/>
  <c r="I1293" i="1" s="1"/>
  <c r="J1293" i="1" s="1"/>
  <c r="G1292" i="1"/>
  <c r="I1292" i="1" s="1"/>
  <c r="J1292" i="1" s="1"/>
  <c r="G1291" i="1"/>
  <c r="I1291" i="1" s="1"/>
  <c r="J1291" i="1" s="1"/>
  <c r="G1290" i="1"/>
  <c r="I1290" i="1" s="1"/>
  <c r="J1290" i="1" s="1"/>
  <c r="G1289" i="1"/>
  <c r="I1289" i="1" s="1"/>
  <c r="J1289" i="1" s="1"/>
  <c r="G1288" i="1"/>
  <c r="I1288" i="1" s="1"/>
  <c r="J1288" i="1" s="1"/>
  <c r="G1287" i="1"/>
  <c r="I1287" i="1" s="1"/>
  <c r="J1287" i="1" s="1"/>
  <c r="G1286" i="1"/>
  <c r="I1286" i="1" s="1"/>
  <c r="J1286" i="1" s="1"/>
  <c r="G1285" i="1"/>
  <c r="I1285" i="1" s="1"/>
  <c r="J1285" i="1" s="1"/>
  <c r="G1284" i="1"/>
  <c r="I1284" i="1" s="1"/>
  <c r="J1284" i="1" s="1"/>
  <c r="G1283" i="1"/>
  <c r="I1283" i="1" s="1"/>
  <c r="J1283" i="1" s="1"/>
  <c r="G1282" i="1"/>
  <c r="I1282" i="1" s="1"/>
  <c r="J1282" i="1" s="1"/>
  <c r="G1281" i="1"/>
  <c r="I1281" i="1" s="1"/>
  <c r="J1281" i="1" s="1"/>
  <c r="G1280" i="1"/>
  <c r="I1280" i="1" s="1"/>
  <c r="J1280" i="1" s="1"/>
  <c r="G1279" i="1"/>
  <c r="I1279" i="1" s="1"/>
  <c r="J1279" i="1" s="1"/>
  <c r="G1278" i="1"/>
  <c r="I1278" i="1" s="1"/>
  <c r="J1278" i="1" s="1"/>
  <c r="G1277" i="1"/>
  <c r="I1277" i="1" s="1"/>
  <c r="J1277" i="1" s="1"/>
  <c r="G1276" i="1"/>
  <c r="I1276" i="1" s="1"/>
  <c r="J1276" i="1" s="1"/>
  <c r="G1275" i="1"/>
  <c r="I1275" i="1" s="1"/>
  <c r="J1275" i="1" s="1"/>
  <c r="G1274" i="1"/>
  <c r="G1273" i="1"/>
  <c r="I1273" i="1" s="1"/>
  <c r="J1273" i="1" s="1"/>
  <c r="G1272" i="1"/>
  <c r="I1272" i="1" s="1"/>
  <c r="J1272" i="1" s="1"/>
  <c r="G1271" i="1"/>
  <c r="I1271" i="1" s="1"/>
  <c r="J1271" i="1" s="1"/>
  <c r="G1270" i="1"/>
  <c r="I1270" i="1" s="1"/>
  <c r="J1270" i="1" s="1"/>
  <c r="G1269" i="1"/>
  <c r="I1269" i="1" s="1"/>
  <c r="J1269" i="1" s="1"/>
  <c r="G1268" i="1"/>
  <c r="I1268" i="1" s="1"/>
  <c r="J1268" i="1" s="1"/>
  <c r="G1267" i="1"/>
  <c r="I1267" i="1" s="1"/>
  <c r="J1267" i="1" s="1"/>
  <c r="G1266" i="1"/>
  <c r="I1266" i="1" s="1"/>
  <c r="J1266" i="1" s="1"/>
  <c r="G1265" i="1"/>
  <c r="I1265" i="1" s="1"/>
  <c r="J1265" i="1" s="1"/>
  <c r="G1264" i="1"/>
  <c r="I1264" i="1" s="1"/>
  <c r="J1264" i="1" s="1"/>
  <c r="G1263" i="1"/>
  <c r="I1263" i="1" s="1"/>
  <c r="J1263" i="1" s="1"/>
  <c r="G1262" i="1"/>
  <c r="I1262" i="1" s="1"/>
  <c r="J1262" i="1" s="1"/>
  <c r="G1261" i="1"/>
  <c r="I1261" i="1" s="1"/>
  <c r="J1261" i="1" s="1"/>
  <c r="G1260" i="1"/>
  <c r="I1260" i="1" s="1"/>
  <c r="J1260" i="1" s="1"/>
  <c r="G1259" i="1"/>
  <c r="I1259" i="1" s="1"/>
  <c r="J1259" i="1" s="1"/>
  <c r="G1258" i="1"/>
  <c r="I1258" i="1" s="1"/>
  <c r="J1258" i="1" s="1"/>
  <c r="G1257" i="1"/>
  <c r="I1257" i="1" s="1"/>
  <c r="J1257" i="1" s="1"/>
  <c r="G1256" i="1"/>
  <c r="I1256" i="1" s="1"/>
  <c r="J1256" i="1" s="1"/>
  <c r="G1255" i="1"/>
  <c r="I1255" i="1" s="1"/>
  <c r="J1255" i="1" s="1"/>
  <c r="G1254" i="1"/>
  <c r="I1254" i="1" s="1"/>
  <c r="J1254" i="1" s="1"/>
  <c r="G1253" i="1"/>
  <c r="I1253" i="1" s="1"/>
  <c r="J1253" i="1" s="1"/>
  <c r="G1252" i="1"/>
  <c r="I1252" i="1" s="1"/>
  <c r="J1252" i="1" s="1"/>
  <c r="G1251" i="1"/>
  <c r="I1251" i="1" s="1"/>
  <c r="J1251" i="1" s="1"/>
  <c r="G1250" i="1"/>
  <c r="I1250" i="1" s="1"/>
  <c r="J1250" i="1" s="1"/>
  <c r="G1249" i="1"/>
  <c r="I1249" i="1" s="1"/>
  <c r="J1249" i="1" s="1"/>
  <c r="G1248" i="1"/>
  <c r="I1248" i="1" s="1"/>
  <c r="J1248" i="1" s="1"/>
  <c r="G1247" i="1"/>
  <c r="I1247" i="1" s="1"/>
  <c r="J1247" i="1" s="1"/>
  <c r="G1246" i="1"/>
  <c r="I1246" i="1" s="1"/>
  <c r="J1246" i="1" s="1"/>
  <c r="G1245" i="1"/>
  <c r="I1245" i="1" s="1"/>
  <c r="J1245" i="1" s="1"/>
  <c r="G1244" i="1"/>
  <c r="I1244" i="1" s="1"/>
  <c r="J1244" i="1" s="1"/>
  <c r="G1243" i="1"/>
  <c r="I1243" i="1" s="1"/>
  <c r="J1243" i="1" s="1"/>
  <c r="G1242" i="1"/>
  <c r="G1241" i="1"/>
  <c r="I1241" i="1" s="1"/>
  <c r="J1241" i="1" s="1"/>
  <c r="G1240" i="1"/>
  <c r="I1240" i="1" s="1"/>
  <c r="J1240" i="1" s="1"/>
  <c r="G1239" i="1"/>
  <c r="I1239" i="1" s="1"/>
  <c r="J1239" i="1" s="1"/>
  <c r="G1238" i="1"/>
  <c r="I1238" i="1" s="1"/>
  <c r="J1238" i="1" s="1"/>
  <c r="G1237" i="1"/>
  <c r="I1237" i="1" s="1"/>
  <c r="J1237" i="1" s="1"/>
  <c r="G1236" i="1"/>
  <c r="I1236" i="1" s="1"/>
  <c r="J1236" i="1" s="1"/>
  <c r="G1235" i="1"/>
  <c r="I1235" i="1" s="1"/>
  <c r="J1235" i="1" s="1"/>
  <c r="G1234" i="1"/>
  <c r="I1234" i="1" s="1"/>
  <c r="J1234" i="1" s="1"/>
  <c r="G1233" i="1"/>
  <c r="I1233" i="1" s="1"/>
  <c r="J1233" i="1" s="1"/>
  <c r="G1232" i="1"/>
  <c r="I1232" i="1" s="1"/>
  <c r="J1232" i="1" s="1"/>
  <c r="G1231" i="1"/>
  <c r="I1231" i="1" s="1"/>
  <c r="J1231" i="1" s="1"/>
  <c r="G1230" i="1"/>
  <c r="I1230" i="1" s="1"/>
  <c r="J1230" i="1" s="1"/>
  <c r="G1229" i="1"/>
  <c r="I1229" i="1" s="1"/>
  <c r="J1229" i="1" s="1"/>
  <c r="G1228" i="1"/>
  <c r="I1228" i="1" s="1"/>
  <c r="J1228" i="1" s="1"/>
  <c r="G1227" i="1"/>
  <c r="I1227" i="1" s="1"/>
  <c r="J1227" i="1" s="1"/>
  <c r="G1226" i="1"/>
  <c r="I1226" i="1" s="1"/>
  <c r="J1226" i="1" s="1"/>
  <c r="G1225" i="1"/>
  <c r="I1225" i="1" s="1"/>
  <c r="J1225" i="1" s="1"/>
  <c r="G1224" i="1"/>
  <c r="I1224" i="1" s="1"/>
  <c r="J1224" i="1" s="1"/>
  <c r="G1223" i="1"/>
  <c r="I1223" i="1" s="1"/>
  <c r="J1223" i="1" s="1"/>
  <c r="G1222" i="1"/>
  <c r="I1222" i="1" s="1"/>
  <c r="J1222" i="1" s="1"/>
  <c r="G1221" i="1"/>
  <c r="I1221" i="1" s="1"/>
  <c r="J1221" i="1" s="1"/>
  <c r="G1220" i="1"/>
  <c r="I1220" i="1" s="1"/>
  <c r="J1220" i="1" s="1"/>
  <c r="G1219" i="1"/>
  <c r="I1219" i="1" s="1"/>
  <c r="J1219" i="1" s="1"/>
  <c r="G1218" i="1"/>
  <c r="I1218" i="1" s="1"/>
  <c r="J1218" i="1" s="1"/>
  <c r="G1217" i="1"/>
  <c r="I1217" i="1" s="1"/>
  <c r="J1217" i="1" s="1"/>
  <c r="G1216" i="1"/>
  <c r="I1216" i="1" s="1"/>
  <c r="J1216" i="1" s="1"/>
  <c r="G1215" i="1"/>
  <c r="I1215" i="1" s="1"/>
  <c r="J1215" i="1" s="1"/>
  <c r="G1214" i="1"/>
  <c r="I1214" i="1" s="1"/>
  <c r="J1214" i="1" s="1"/>
  <c r="G1213" i="1"/>
  <c r="I1213" i="1" s="1"/>
  <c r="J1213" i="1" s="1"/>
  <c r="G1212" i="1"/>
  <c r="I1212" i="1" s="1"/>
  <c r="J1212" i="1" s="1"/>
  <c r="G1211" i="1"/>
  <c r="I1211" i="1" s="1"/>
  <c r="J1211" i="1" s="1"/>
  <c r="G1210" i="1"/>
  <c r="G1209" i="1"/>
  <c r="I1209" i="1" s="1"/>
  <c r="J1209" i="1" s="1"/>
  <c r="G1208" i="1"/>
  <c r="I1208" i="1" s="1"/>
  <c r="J1208" i="1" s="1"/>
  <c r="G1207" i="1"/>
  <c r="I1207" i="1" s="1"/>
  <c r="J1207" i="1" s="1"/>
  <c r="G1206" i="1"/>
  <c r="I1206" i="1" s="1"/>
  <c r="J1206" i="1" s="1"/>
  <c r="G1205" i="1"/>
  <c r="I1205" i="1" s="1"/>
  <c r="J1205" i="1" s="1"/>
  <c r="G1204" i="1"/>
  <c r="I1204" i="1" s="1"/>
  <c r="J1204" i="1" s="1"/>
  <c r="G1203" i="1"/>
  <c r="I1203" i="1" s="1"/>
  <c r="J1203" i="1" s="1"/>
  <c r="G1202" i="1"/>
  <c r="I1202" i="1" s="1"/>
  <c r="J1202" i="1" s="1"/>
  <c r="G1201" i="1"/>
  <c r="I1201" i="1" s="1"/>
  <c r="J1201" i="1" s="1"/>
  <c r="G1200" i="1"/>
  <c r="I1200" i="1" s="1"/>
  <c r="J1200" i="1" s="1"/>
  <c r="G1199" i="1"/>
  <c r="I1199" i="1" s="1"/>
  <c r="J1199" i="1" s="1"/>
  <c r="G1198" i="1"/>
  <c r="I1198" i="1" s="1"/>
  <c r="J1198" i="1" s="1"/>
  <c r="G1197" i="1"/>
  <c r="I1197" i="1" s="1"/>
  <c r="J1197" i="1" s="1"/>
  <c r="G1196" i="1"/>
  <c r="I1196" i="1" s="1"/>
  <c r="J1196" i="1" s="1"/>
  <c r="G1195" i="1"/>
  <c r="I1195" i="1" s="1"/>
  <c r="J1195" i="1" s="1"/>
  <c r="G1194" i="1"/>
  <c r="I1194" i="1" s="1"/>
  <c r="J1194" i="1" s="1"/>
  <c r="G1193" i="1"/>
  <c r="I1193" i="1" s="1"/>
  <c r="J1193" i="1" s="1"/>
  <c r="G1192" i="1"/>
  <c r="I1192" i="1" s="1"/>
  <c r="J1192" i="1" s="1"/>
  <c r="G1191" i="1"/>
  <c r="I1191" i="1" s="1"/>
  <c r="J1191" i="1" s="1"/>
  <c r="G1190" i="1"/>
  <c r="I1190" i="1" s="1"/>
  <c r="J1190" i="1" s="1"/>
  <c r="G1189" i="1"/>
  <c r="I1189" i="1" s="1"/>
  <c r="J1189" i="1" s="1"/>
  <c r="G1188" i="1"/>
  <c r="I1188" i="1" s="1"/>
  <c r="J1188" i="1" s="1"/>
  <c r="G1187" i="1"/>
  <c r="I1187" i="1" s="1"/>
  <c r="J1187" i="1" s="1"/>
  <c r="G1186" i="1"/>
  <c r="I1186" i="1" s="1"/>
  <c r="J1186" i="1" s="1"/>
  <c r="G1185" i="1"/>
  <c r="I1185" i="1" s="1"/>
  <c r="J1185" i="1" s="1"/>
  <c r="G1184" i="1"/>
  <c r="I1184" i="1" s="1"/>
  <c r="J1184" i="1" s="1"/>
  <c r="G1183" i="1"/>
  <c r="I1183" i="1" s="1"/>
  <c r="J1183" i="1" s="1"/>
  <c r="G1182" i="1"/>
  <c r="I1182" i="1" s="1"/>
  <c r="J1182" i="1" s="1"/>
  <c r="G1181" i="1"/>
  <c r="I1181" i="1" s="1"/>
  <c r="J1181" i="1" s="1"/>
  <c r="G1180" i="1"/>
  <c r="I1180" i="1" s="1"/>
  <c r="J1180" i="1" s="1"/>
  <c r="G1179" i="1"/>
  <c r="I1179" i="1" s="1"/>
  <c r="J1179" i="1" s="1"/>
  <c r="G1178" i="1"/>
  <c r="G1177" i="1"/>
  <c r="I1177" i="1" s="1"/>
  <c r="J1177" i="1" s="1"/>
  <c r="G1176" i="1"/>
  <c r="I1176" i="1" s="1"/>
  <c r="J1176" i="1" s="1"/>
  <c r="G1175" i="1"/>
  <c r="I1175" i="1" s="1"/>
  <c r="J1175" i="1" s="1"/>
  <c r="G1174" i="1"/>
  <c r="I1174" i="1" s="1"/>
  <c r="J1174" i="1" s="1"/>
  <c r="G1173" i="1"/>
  <c r="I1173" i="1" s="1"/>
  <c r="J1173" i="1" s="1"/>
  <c r="G1172" i="1"/>
  <c r="I1172" i="1" s="1"/>
  <c r="J1172" i="1" s="1"/>
  <c r="G1171" i="1"/>
  <c r="I1171" i="1" s="1"/>
  <c r="J1171" i="1" s="1"/>
  <c r="H1170" i="1"/>
  <c r="G1170" i="1"/>
  <c r="I1170" i="1" s="1"/>
  <c r="J1170" i="1" s="1"/>
  <c r="G1169" i="1"/>
  <c r="I1169" i="1" s="1"/>
  <c r="J1169" i="1" s="1"/>
  <c r="G1168" i="1"/>
  <c r="I1168" i="1" s="1"/>
  <c r="J1168" i="1" s="1"/>
  <c r="G1167" i="1"/>
  <c r="I1167" i="1" s="1"/>
  <c r="J1167" i="1" s="1"/>
  <c r="G1166" i="1"/>
  <c r="I1166" i="1" s="1"/>
  <c r="J1166" i="1" s="1"/>
  <c r="G1165" i="1"/>
  <c r="I1165" i="1" s="1"/>
  <c r="J1165" i="1" s="1"/>
  <c r="G1164" i="1"/>
  <c r="H1164" i="1" s="1"/>
  <c r="G1163" i="1"/>
  <c r="H1163" i="1" s="1"/>
  <c r="G1162" i="1"/>
  <c r="H1162" i="1" s="1"/>
  <c r="G1161" i="1"/>
  <c r="H1161" i="1" s="1"/>
  <c r="G1160" i="1"/>
  <c r="H1160" i="1" s="1"/>
  <c r="G1159" i="1"/>
  <c r="H1159" i="1" s="1"/>
  <c r="G1158" i="1"/>
  <c r="H1158" i="1" s="1"/>
  <c r="G1157" i="1"/>
  <c r="H1157" i="1" s="1"/>
  <c r="G1156" i="1"/>
  <c r="H1156" i="1" s="1"/>
  <c r="G1155" i="1"/>
  <c r="H1155" i="1" s="1"/>
  <c r="G1154" i="1"/>
  <c r="H1154" i="1" s="1"/>
  <c r="G1153" i="1"/>
  <c r="H1153" i="1" s="1"/>
  <c r="G1152" i="1"/>
  <c r="H1152" i="1" s="1"/>
  <c r="G1151" i="1"/>
  <c r="H1151" i="1" s="1"/>
  <c r="G1150" i="1"/>
  <c r="H1150" i="1" s="1"/>
  <c r="G1149" i="1"/>
  <c r="H1149" i="1" s="1"/>
  <c r="G1148" i="1"/>
  <c r="H1148" i="1" s="1"/>
  <c r="G1147" i="1"/>
  <c r="H1147" i="1" s="1"/>
  <c r="G1146" i="1"/>
  <c r="H1146" i="1" s="1"/>
  <c r="G1145" i="1"/>
  <c r="H1145" i="1" s="1"/>
  <c r="H1144" i="1"/>
  <c r="G1144" i="1"/>
  <c r="G1143" i="1"/>
  <c r="H1143" i="1" s="1"/>
  <c r="G1142" i="1"/>
  <c r="H1142" i="1" s="1"/>
  <c r="G1141" i="1"/>
  <c r="H1141" i="1" s="1"/>
  <c r="G1140" i="1"/>
  <c r="H1140" i="1" s="1"/>
  <c r="G1139" i="1"/>
  <c r="H1139" i="1" s="1"/>
  <c r="G1138" i="1"/>
  <c r="H1138" i="1" s="1"/>
  <c r="G1137" i="1"/>
  <c r="H1137" i="1" s="1"/>
  <c r="G1136" i="1"/>
  <c r="H1136" i="1" s="1"/>
  <c r="G1135" i="1"/>
  <c r="H1135" i="1" s="1"/>
  <c r="G1134" i="1"/>
  <c r="H1134" i="1" s="1"/>
  <c r="G1133" i="1"/>
  <c r="H1133" i="1" s="1"/>
  <c r="H1132" i="1"/>
  <c r="G1132" i="1"/>
  <c r="G1131" i="1"/>
  <c r="H1131" i="1" s="1"/>
  <c r="G1130" i="1"/>
  <c r="H1130" i="1" s="1"/>
  <c r="G1129" i="1"/>
  <c r="H1129" i="1" s="1"/>
  <c r="G1128" i="1"/>
  <c r="H1128" i="1" s="1"/>
  <c r="G1127" i="1"/>
  <c r="H1127" i="1" s="1"/>
  <c r="H1126" i="1"/>
  <c r="G1126" i="1"/>
  <c r="G1125" i="1"/>
  <c r="H1125" i="1" s="1"/>
  <c r="G1124" i="1"/>
  <c r="H1124" i="1" s="1"/>
  <c r="G1123" i="1"/>
  <c r="H1123" i="1" s="1"/>
  <c r="G1122" i="1"/>
  <c r="H1122" i="1" s="1"/>
  <c r="G1121" i="1"/>
  <c r="H1121" i="1" s="1"/>
  <c r="G1120" i="1"/>
  <c r="H1120" i="1" s="1"/>
  <c r="G1119" i="1"/>
  <c r="H1119" i="1" s="1"/>
  <c r="G1118" i="1"/>
  <c r="H1118" i="1" s="1"/>
  <c r="G1117" i="1"/>
  <c r="H1117" i="1" s="1"/>
  <c r="G1116" i="1"/>
  <c r="H1116" i="1" s="1"/>
  <c r="G1115" i="1"/>
  <c r="H1115" i="1" s="1"/>
  <c r="G1114" i="1"/>
  <c r="H1114" i="1" s="1"/>
  <c r="G1113" i="1"/>
  <c r="H1113" i="1" s="1"/>
  <c r="H1112" i="1"/>
  <c r="G1112" i="1"/>
  <c r="G1111" i="1"/>
  <c r="H1111" i="1" s="1"/>
  <c r="G1110" i="1"/>
  <c r="H1110" i="1" s="1"/>
  <c r="G1109" i="1"/>
  <c r="H1109" i="1" s="1"/>
  <c r="G1108" i="1"/>
  <c r="H1108" i="1" s="1"/>
  <c r="G1107" i="1"/>
  <c r="H1107" i="1" s="1"/>
  <c r="G1106" i="1"/>
  <c r="H1106" i="1" s="1"/>
  <c r="G1105" i="1"/>
  <c r="H1105" i="1" s="1"/>
  <c r="G1104" i="1"/>
  <c r="H1104" i="1" s="1"/>
  <c r="G1103" i="1"/>
  <c r="H1103" i="1" s="1"/>
  <c r="G1102" i="1"/>
  <c r="H1102" i="1" s="1"/>
  <c r="G1101" i="1"/>
  <c r="H1101" i="1" s="1"/>
  <c r="H1100" i="1"/>
  <c r="G1100" i="1"/>
  <c r="G1099" i="1"/>
  <c r="H1099" i="1" s="1"/>
  <c r="G1098" i="1"/>
  <c r="H1098" i="1" s="1"/>
  <c r="G1097" i="1"/>
  <c r="H1097" i="1" s="1"/>
  <c r="G1096" i="1"/>
  <c r="H1096" i="1" s="1"/>
  <c r="G1095" i="1"/>
  <c r="H1095" i="1" s="1"/>
  <c r="H1094" i="1"/>
  <c r="G1094" i="1"/>
  <c r="G1093" i="1"/>
  <c r="H1093" i="1" s="1"/>
  <c r="G1092" i="1"/>
  <c r="H1092" i="1" s="1"/>
  <c r="G1091" i="1"/>
  <c r="H1091" i="1" s="1"/>
  <c r="G1090" i="1"/>
  <c r="H1090" i="1" s="1"/>
  <c r="G1089" i="1"/>
  <c r="H1089" i="1" s="1"/>
  <c r="G1088" i="1"/>
  <c r="H1088" i="1" s="1"/>
  <c r="G1087" i="1"/>
  <c r="H1087" i="1" s="1"/>
  <c r="G1086" i="1"/>
  <c r="H1086" i="1" s="1"/>
  <c r="G1085" i="1"/>
  <c r="H1085" i="1" s="1"/>
  <c r="G1084" i="1"/>
  <c r="H1084" i="1" s="1"/>
  <c r="G1083" i="1"/>
  <c r="H1083" i="1" s="1"/>
  <c r="G1082" i="1"/>
  <c r="H1082" i="1" s="1"/>
  <c r="G1081" i="1"/>
  <c r="H1081" i="1" s="1"/>
  <c r="G1080" i="1"/>
  <c r="H1080" i="1" s="1"/>
  <c r="G1079" i="1"/>
  <c r="H1079" i="1" s="1"/>
  <c r="G1078" i="1"/>
  <c r="H1078" i="1" s="1"/>
  <c r="G1077" i="1"/>
  <c r="H1077" i="1" s="1"/>
  <c r="G1076" i="1"/>
  <c r="H1076" i="1" s="1"/>
  <c r="G1075" i="1"/>
  <c r="H1075" i="1" s="1"/>
  <c r="G1074" i="1"/>
  <c r="H1074" i="1" s="1"/>
  <c r="G1073" i="1"/>
  <c r="H1073" i="1" s="1"/>
  <c r="G1072" i="1"/>
  <c r="H1072" i="1" s="1"/>
  <c r="G1071" i="1"/>
  <c r="H1071" i="1" s="1"/>
  <c r="G1070" i="1"/>
  <c r="H1070" i="1" s="1"/>
  <c r="G1069" i="1"/>
  <c r="H1069" i="1" s="1"/>
  <c r="G1068" i="1"/>
  <c r="H1068" i="1" s="1"/>
  <c r="G1067" i="1"/>
  <c r="H1067" i="1" s="1"/>
  <c r="G1066" i="1"/>
  <c r="H1066" i="1" s="1"/>
  <c r="H1065" i="1"/>
  <c r="G1065" i="1"/>
  <c r="G1064" i="1"/>
  <c r="H1064" i="1" s="1"/>
  <c r="G1063" i="1"/>
  <c r="H1063" i="1" s="1"/>
  <c r="G1062" i="1"/>
  <c r="H1062" i="1" s="1"/>
  <c r="G1061" i="1"/>
  <c r="H1061" i="1" s="1"/>
  <c r="G1060" i="1"/>
  <c r="H1060" i="1" s="1"/>
  <c r="G1059" i="1"/>
  <c r="H1059" i="1" s="1"/>
  <c r="G1058" i="1"/>
  <c r="H1058" i="1" s="1"/>
  <c r="G1057" i="1"/>
  <c r="H1057" i="1" s="1"/>
  <c r="G1056" i="1"/>
  <c r="H1056" i="1" s="1"/>
  <c r="G1055" i="1"/>
  <c r="H1055" i="1" s="1"/>
  <c r="G1054" i="1"/>
  <c r="H1054" i="1" s="1"/>
  <c r="G1053" i="1"/>
  <c r="H1053" i="1" s="1"/>
  <c r="G1052" i="1"/>
  <c r="H1052" i="1" s="1"/>
  <c r="G1051" i="1"/>
  <c r="H1051" i="1" s="1"/>
  <c r="G1050" i="1"/>
  <c r="H1050" i="1" s="1"/>
  <c r="G1049" i="1"/>
  <c r="H1049" i="1" s="1"/>
  <c r="G1048" i="1"/>
  <c r="H1048" i="1" s="1"/>
  <c r="G1047" i="1"/>
  <c r="H1047" i="1" s="1"/>
  <c r="G1046" i="1"/>
  <c r="H1046" i="1" s="1"/>
  <c r="G1045" i="1"/>
  <c r="H1045" i="1" s="1"/>
  <c r="G1044" i="1"/>
  <c r="H1044" i="1" s="1"/>
  <c r="G1043" i="1"/>
  <c r="H1043" i="1" s="1"/>
  <c r="G1042" i="1"/>
  <c r="H1042" i="1" s="1"/>
  <c r="G1041" i="1"/>
  <c r="H1041" i="1" s="1"/>
  <c r="G1040" i="1"/>
  <c r="H1040" i="1" s="1"/>
  <c r="G1039" i="1"/>
  <c r="H1039" i="1" s="1"/>
  <c r="G1038" i="1"/>
  <c r="H1038" i="1" s="1"/>
  <c r="G1037" i="1"/>
  <c r="H1037" i="1" s="1"/>
  <c r="G1036" i="1"/>
  <c r="H1036" i="1" s="1"/>
  <c r="G1035" i="1"/>
  <c r="H1035" i="1" s="1"/>
  <c r="G1034" i="1"/>
  <c r="H1034" i="1" s="1"/>
  <c r="H1033" i="1"/>
  <c r="G1033" i="1"/>
  <c r="G1032" i="1"/>
  <c r="H1032" i="1" s="1"/>
  <c r="G1031" i="1"/>
  <c r="H1031" i="1" s="1"/>
  <c r="G1030" i="1"/>
  <c r="H1030" i="1" s="1"/>
  <c r="G1029" i="1"/>
  <c r="H1029" i="1" s="1"/>
  <c r="G1028" i="1"/>
  <c r="H1028" i="1" s="1"/>
  <c r="G1027" i="1"/>
  <c r="H1027" i="1" s="1"/>
  <c r="G1026" i="1"/>
  <c r="H1026" i="1" s="1"/>
  <c r="G1025" i="1"/>
  <c r="H1025" i="1" s="1"/>
  <c r="G1024" i="1"/>
  <c r="H1024" i="1" s="1"/>
  <c r="G1023" i="1"/>
  <c r="H1023" i="1" s="1"/>
  <c r="G1022" i="1"/>
  <c r="H1022" i="1" s="1"/>
  <c r="G1021" i="1"/>
  <c r="H1021" i="1" s="1"/>
  <c r="G1020" i="1"/>
  <c r="H1020" i="1" s="1"/>
  <c r="G1019" i="1"/>
  <c r="H1019" i="1" s="1"/>
  <c r="G1018" i="1"/>
  <c r="H1018" i="1" s="1"/>
  <c r="G1017" i="1"/>
  <c r="H1017" i="1" s="1"/>
  <c r="G1016" i="1"/>
  <c r="H1016" i="1" s="1"/>
  <c r="H1015" i="1"/>
  <c r="G1015" i="1"/>
  <c r="G1014" i="1"/>
  <c r="H1014" i="1" s="1"/>
  <c r="G1013" i="1"/>
  <c r="H1013" i="1" s="1"/>
  <c r="G1012" i="1"/>
  <c r="H1012" i="1" s="1"/>
  <c r="G1011" i="1"/>
  <c r="H1011" i="1" s="1"/>
  <c r="G1010" i="1"/>
  <c r="H1010" i="1" s="1"/>
  <c r="G1009" i="1"/>
  <c r="H1009" i="1" s="1"/>
  <c r="G1008" i="1"/>
  <c r="H1008" i="1" s="1"/>
  <c r="H1007" i="1"/>
  <c r="G1007" i="1"/>
  <c r="G1006" i="1"/>
  <c r="H1006" i="1" s="1"/>
  <c r="G1005" i="1"/>
  <c r="H1005" i="1" s="1"/>
  <c r="G1004" i="1"/>
  <c r="H1004" i="1" s="1"/>
  <c r="G1003" i="1"/>
  <c r="H1003" i="1" s="1"/>
  <c r="G1002" i="1"/>
  <c r="H1002" i="1" s="1"/>
  <c r="G1001" i="1"/>
  <c r="H1001" i="1" s="1"/>
  <c r="G1000" i="1"/>
  <c r="H1000" i="1" s="1"/>
  <c r="G999" i="1"/>
  <c r="H999" i="1" s="1"/>
  <c r="G998" i="1"/>
  <c r="H998" i="1" s="1"/>
  <c r="G997" i="1"/>
  <c r="H997" i="1" s="1"/>
  <c r="G996" i="1"/>
  <c r="H996" i="1" s="1"/>
  <c r="G995" i="1"/>
  <c r="H995" i="1" s="1"/>
  <c r="G994" i="1"/>
  <c r="H994" i="1" s="1"/>
  <c r="G993" i="1"/>
  <c r="H993" i="1" s="1"/>
  <c r="G992" i="1"/>
  <c r="H992" i="1" s="1"/>
  <c r="G991" i="1"/>
  <c r="H991" i="1" s="1"/>
  <c r="G990" i="1"/>
  <c r="H990" i="1" s="1"/>
  <c r="G989" i="1"/>
  <c r="H989" i="1" s="1"/>
  <c r="G988" i="1"/>
  <c r="H988" i="1" s="1"/>
  <c r="G987" i="1"/>
  <c r="H987" i="1" s="1"/>
  <c r="G986" i="1"/>
  <c r="H986" i="1" s="1"/>
  <c r="G985" i="1"/>
  <c r="H985" i="1" s="1"/>
  <c r="G984" i="1"/>
  <c r="H984" i="1" s="1"/>
  <c r="H983" i="1"/>
  <c r="G983" i="1"/>
  <c r="G982" i="1"/>
  <c r="H982" i="1" s="1"/>
  <c r="G981" i="1"/>
  <c r="H981" i="1" s="1"/>
  <c r="G980" i="1"/>
  <c r="H980" i="1" s="1"/>
  <c r="G979" i="1"/>
  <c r="H979" i="1" s="1"/>
  <c r="G978" i="1"/>
  <c r="H978" i="1" s="1"/>
  <c r="G977" i="1"/>
  <c r="H977" i="1" s="1"/>
  <c r="G976" i="1"/>
  <c r="H976" i="1" s="1"/>
  <c r="H975" i="1"/>
  <c r="G975" i="1"/>
  <c r="G974" i="1"/>
  <c r="H974" i="1" s="1"/>
  <c r="G973" i="1"/>
  <c r="H973" i="1" s="1"/>
  <c r="G972" i="1"/>
  <c r="H972" i="1" s="1"/>
  <c r="G971" i="1"/>
  <c r="H971" i="1" s="1"/>
  <c r="G970" i="1"/>
  <c r="H970" i="1" s="1"/>
  <c r="G969" i="1"/>
  <c r="H969" i="1" s="1"/>
  <c r="G968" i="1"/>
  <c r="H968" i="1" s="1"/>
  <c r="G967" i="1"/>
  <c r="H967" i="1" s="1"/>
  <c r="G966" i="1"/>
  <c r="H966" i="1" s="1"/>
  <c r="G965" i="1"/>
  <c r="H965" i="1" s="1"/>
  <c r="G964" i="1"/>
  <c r="H964" i="1" s="1"/>
  <c r="G963" i="1"/>
  <c r="H963" i="1" s="1"/>
  <c r="G962" i="1"/>
  <c r="H962" i="1" s="1"/>
  <c r="G961" i="1"/>
  <c r="H961" i="1" s="1"/>
  <c r="G960" i="1"/>
  <c r="H960" i="1" s="1"/>
  <c r="G959" i="1"/>
  <c r="H959" i="1" s="1"/>
  <c r="G958" i="1"/>
  <c r="H958" i="1" s="1"/>
  <c r="G957" i="1"/>
  <c r="H957" i="1" s="1"/>
  <c r="G956" i="1"/>
  <c r="H956" i="1" s="1"/>
  <c r="G955" i="1"/>
  <c r="H955" i="1" s="1"/>
  <c r="G954" i="1"/>
  <c r="H954" i="1" s="1"/>
  <c r="G953" i="1"/>
  <c r="H953" i="1" s="1"/>
  <c r="G952" i="1"/>
  <c r="H952" i="1" s="1"/>
  <c r="H951" i="1"/>
  <c r="G951" i="1"/>
  <c r="G950" i="1"/>
  <c r="H950" i="1" s="1"/>
  <c r="G949" i="1"/>
  <c r="H949" i="1" s="1"/>
  <c r="G948" i="1"/>
  <c r="H948" i="1" s="1"/>
  <c r="G947" i="1"/>
  <c r="H947" i="1" s="1"/>
  <c r="G946" i="1"/>
  <c r="H946" i="1" s="1"/>
  <c r="G945" i="1"/>
  <c r="H945" i="1" s="1"/>
  <c r="G944" i="1"/>
  <c r="H944" i="1" s="1"/>
  <c r="H943" i="1"/>
  <c r="G943" i="1"/>
  <c r="G942" i="1"/>
  <c r="H942" i="1" s="1"/>
  <c r="G941" i="1"/>
  <c r="H941" i="1" s="1"/>
  <c r="G940" i="1"/>
  <c r="H940" i="1" s="1"/>
  <c r="G939" i="1"/>
  <c r="H939" i="1" s="1"/>
  <c r="G938" i="1"/>
  <c r="H938" i="1" s="1"/>
  <c r="G937" i="1"/>
  <c r="H937" i="1" s="1"/>
  <c r="G936" i="1"/>
  <c r="H936" i="1" s="1"/>
  <c r="G935" i="1"/>
  <c r="H935" i="1" s="1"/>
  <c r="G934" i="1"/>
  <c r="H934" i="1" s="1"/>
  <c r="G933" i="1"/>
  <c r="H933" i="1" s="1"/>
  <c r="G932" i="1"/>
  <c r="H932" i="1" s="1"/>
  <c r="G931" i="1"/>
  <c r="H931" i="1" s="1"/>
  <c r="G930" i="1"/>
  <c r="H930" i="1" s="1"/>
  <c r="G929" i="1"/>
  <c r="H929" i="1" s="1"/>
  <c r="G928" i="1"/>
  <c r="H928" i="1" s="1"/>
  <c r="G927" i="1"/>
  <c r="H927" i="1" s="1"/>
  <c r="G926" i="1"/>
  <c r="H926" i="1" s="1"/>
  <c r="G925" i="1"/>
  <c r="H925" i="1" s="1"/>
  <c r="G924" i="1"/>
  <c r="H924" i="1" s="1"/>
  <c r="G923" i="1"/>
  <c r="H923" i="1" s="1"/>
  <c r="G922" i="1"/>
  <c r="H922" i="1" s="1"/>
  <c r="G921" i="1"/>
  <c r="H921" i="1" s="1"/>
  <c r="G920" i="1"/>
  <c r="H920" i="1" s="1"/>
  <c r="H919" i="1"/>
  <c r="G919" i="1"/>
  <c r="G918" i="1"/>
  <c r="H918" i="1" s="1"/>
  <c r="G917" i="1"/>
  <c r="H917" i="1" s="1"/>
  <c r="G916" i="1"/>
  <c r="H916" i="1" s="1"/>
  <c r="G915" i="1"/>
  <c r="H915" i="1" s="1"/>
  <c r="G914" i="1"/>
  <c r="H914" i="1" s="1"/>
  <c r="G913" i="1"/>
  <c r="H913" i="1" s="1"/>
  <c r="G912" i="1"/>
  <c r="H912" i="1" s="1"/>
  <c r="H911" i="1"/>
  <c r="G911" i="1"/>
  <c r="G910" i="1"/>
  <c r="H910" i="1" s="1"/>
  <c r="G909" i="1"/>
  <c r="H909" i="1" s="1"/>
  <c r="G908" i="1"/>
  <c r="H908" i="1" s="1"/>
  <c r="G907" i="1"/>
  <c r="H907" i="1" s="1"/>
  <c r="G906" i="1"/>
  <c r="H906" i="1" s="1"/>
  <c r="G905" i="1"/>
  <c r="H905" i="1" s="1"/>
  <c r="G904" i="1"/>
  <c r="H904" i="1" s="1"/>
  <c r="G903" i="1"/>
  <c r="H903" i="1" s="1"/>
  <c r="G902" i="1"/>
  <c r="H902" i="1" s="1"/>
  <c r="G901" i="1"/>
  <c r="H901" i="1" s="1"/>
  <c r="G900" i="1"/>
  <c r="H900" i="1" s="1"/>
  <c r="G899" i="1"/>
  <c r="H899" i="1" s="1"/>
  <c r="G898" i="1"/>
  <c r="H898" i="1" s="1"/>
  <c r="G897" i="1"/>
  <c r="H897" i="1" s="1"/>
  <c r="G896" i="1"/>
  <c r="H896" i="1" s="1"/>
  <c r="G895" i="1"/>
  <c r="H895" i="1" s="1"/>
  <c r="G894" i="1"/>
  <c r="H894" i="1" s="1"/>
  <c r="G893" i="1"/>
  <c r="H893" i="1" s="1"/>
  <c r="G892" i="1"/>
  <c r="H892" i="1" s="1"/>
  <c r="G891" i="1"/>
  <c r="H891" i="1" s="1"/>
  <c r="G890" i="1"/>
  <c r="H890" i="1" s="1"/>
  <c r="G889" i="1"/>
  <c r="H889" i="1" s="1"/>
  <c r="G888" i="1"/>
  <c r="H888" i="1" s="1"/>
  <c r="H887" i="1"/>
  <c r="G887" i="1"/>
  <c r="G886" i="1"/>
  <c r="H886" i="1" s="1"/>
  <c r="G885" i="1"/>
  <c r="H885" i="1" s="1"/>
  <c r="G884" i="1"/>
  <c r="H884" i="1" s="1"/>
  <c r="G883" i="1"/>
  <c r="H883" i="1" s="1"/>
  <c r="G882" i="1"/>
  <c r="H882" i="1" s="1"/>
  <c r="G881" i="1"/>
  <c r="H881" i="1" s="1"/>
  <c r="G880" i="1"/>
  <c r="H880" i="1" s="1"/>
  <c r="H879" i="1"/>
  <c r="G879" i="1"/>
  <c r="G878" i="1"/>
  <c r="H878" i="1" s="1"/>
  <c r="G877" i="1"/>
  <c r="H877" i="1" s="1"/>
  <c r="G876" i="1"/>
  <c r="H876" i="1" s="1"/>
  <c r="G875" i="1"/>
  <c r="H875" i="1" s="1"/>
  <c r="G874" i="1"/>
  <c r="H874" i="1" s="1"/>
  <c r="G873" i="1"/>
  <c r="H873" i="1" s="1"/>
  <c r="G872" i="1"/>
  <c r="H872" i="1" s="1"/>
  <c r="G871" i="1"/>
  <c r="H871" i="1" s="1"/>
  <c r="G870" i="1"/>
  <c r="H870" i="1" s="1"/>
  <c r="G869" i="1"/>
  <c r="H869" i="1" s="1"/>
  <c r="G868" i="1"/>
  <c r="H868" i="1" s="1"/>
  <c r="G867" i="1"/>
  <c r="H867" i="1" s="1"/>
  <c r="G866" i="1"/>
  <c r="H866" i="1" s="1"/>
  <c r="G865" i="1"/>
  <c r="H865" i="1" s="1"/>
  <c r="G864" i="1"/>
  <c r="H864" i="1" s="1"/>
  <c r="G863" i="1"/>
  <c r="H863" i="1" s="1"/>
  <c r="G862" i="1"/>
  <c r="H862" i="1" s="1"/>
  <c r="G861" i="1"/>
  <c r="H861" i="1" s="1"/>
  <c r="G860" i="1"/>
  <c r="H860" i="1" s="1"/>
  <c r="G859" i="1"/>
  <c r="H859" i="1" s="1"/>
  <c r="G858" i="1"/>
  <c r="H858" i="1" s="1"/>
  <c r="G857" i="1"/>
  <c r="H857" i="1" s="1"/>
  <c r="G856" i="1"/>
  <c r="H856" i="1" s="1"/>
  <c r="H855" i="1"/>
  <c r="G855" i="1"/>
  <c r="G854" i="1"/>
  <c r="H854" i="1" s="1"/>
  <c r="G853" i="1"/>
  <c r="H853" i="1" s="1"/>
  <c r="G852" i="1"/>
  <c r="H852" i="1" s="1"/>
  <c r="G851" i="1"/>
  <c r="H851" i="1" s="1"/>
  <c r="G850" i="1"/>
  <c r="H850" i="1" s="1"/>
  <c r="G849" i="1"/>
  <c r="H849" i="1" s="1"/>
  <c r="G848" i="1"/>
  <c r="H848" i="1" s="1"/>
  <c r="H847" i="1"/>
  <c r="G847" i="1"/>
  <c r="G846" i="1"/>
  <c r="H846" i="1" s="1"/>
  <c r="G845" i="1"/>
  <c r="H845" i="1" s="1"/>
  <c r="G844" i="1"/>
  <c r="H844" i="1" s="1"/>
  <c r="G843" i="1"/>
  <c r="H843" i="1" s="1"/>
  <c r="G842" i="1"/>
  <c r="H842" i="1" s="1"/>
  <c r="G841" i="1"/>
  <c r="H841" i="1" s="1"/>
  <c r="G840" i="1"/>
  <c r="H840" i="1" s="1"/>
  <c r="G839" i="1"/>
  <c r="H839" i="1" s="1"/>
  <c r="G838" i="1"/>
  <c r="H838" i="1" s="1"/>
  <c r="G837" i="1"/>
  <c r="H837" i="1" s="1"/>
  <c r="G836" i="1"/>
  <c r="H836" i="1" s="1"/>
  <c r="G835" i="1"/>
  <c r="H835" i="1" s="1"/>
  <c r="G834" i="1"/>
  <c r="H834" i="1" s="1"/>
  <c r="G833" i="1"/>
  <c r="H833" i="1" s="1"/>
  <c r="G832" i="1"/>
  <c r="H832" i="1" s="1"/>
  <c r="G831" i="1"/>
  <c r="H831" i="1" s="1"/>
  <c r="G830" i="1"/>
  <c r="H830" i="1" s="1"/>
  <c r="H829" i="1"/>
  <c r="G829" i="1"/>
  <c r="G828" i="1"/>
  <c r="H828" i="1" s="1"/>
  <c r="G827" i="1"/>
  <c r="H827" i="1" s="1"/>
  <c r="G826" i="1"/>
  <c r="H826" i="1" s="1"/>
  <c r="G825" i="1"/>
  <c r="H825" i="1" s="1"/>
  <c r="G824" i="1"/>
  <c r="H824" i="1" s="1"/>
  <c r="G823" i="1"/>
  <c r="H823" i="1" s="1"/>
  <c r="G822" i="1"/>
  <c r="H822" i="1" s="1"/>
  <c r="G821" i="1"/>
  <c r="H821" i="1" s="1"/>
  <c r="G820" i="1"/>
  <c r="H820" i="1" s="1"/>
  <c r="G819" i="1"/>
  <c r="H819" i="1" s="1"/>
  <c r="G818" i="1"/>
  <c r="H818" i="1" s="1"/>
  <c r="G817" i="1"/>
  <c r="H817" i="1" s="1"/>
  <c r="G816" i="1"/>
  <c r="H816" i="1" s="1"/>
  <c r="G815" i="1"/>
  <c r="H815" i="1" s="1"/>
  <c r="G814" i="1"/>
  <c r="H814" i="1" s="1"/>
  <c r="G813" i="1"/>
  <c r="H813" i="1" s="1"/>
  <c r="G812" i="1"/>
  <c r="H812" i="1" s="1"/>
  <c r="G811" i="1"/>
  <c r="H811" i="1" s="1"/>
  <c r="G810" i="1"/>
  <c r="H810" i="1" s="1"/>
  <c r="G809" i="1"/>
  <c r="H809" i="1" s="1"/>
  <c r="G808" i="1"/>
  <c r="H808" i="1" s="1"/>
  <c r="G807" i="1"/>
  <c r="H807" i="1" s="1"/>
  <c r="G806" i="1"/>
  <c r="H806" i="1" s="1"/>
  <c r="G805" i="1"/>
  <c r="H805" i="1" s="1"/>
  <c r="G804" i="1"/>
  <c r="H804" i="1" s="1"/>
  <c r="G803" i="1"/>
  <c r="H803" i="1" s="1"/>
  <c r="G802" i="1"/>
  <c r="H802" i="1" s="1"/>
  <c r="G801" i="1"/>
  <c r="H801" i="1" s="1"/>
  <c r="G800" i="1"/>
  <c r="H800" i="1" s="1"/>
  <c r="G799" i="1"/>
  <c r="H799" i="1" s="1"/>
  <c r="G798" i="1"/>
  <c r="H798" i="1" s="1"/>
  <c r="G797" i="1"/>
  <c r="H797" i="1" s="1"/>
  <c r="G796" i="1"/>
  <c r="H796" i="1" s="1"/>
  <c r="G795" i="1"/>
  <c r="H795" i="1" s="1"/>
  <c r="G794" i="1"/>
  <c r="H794" i="1" s="1"/>
  <c r="G793" i="1"/>
  <c r="H793" i="1" s="1"/>
  <c r="G792" i="1"/>
  <c r="H792" i="1" s="1"/>
  <c r="G791" i="1"/>
  <c r="H791" i="1" s="1"/>
  <c r="G790" i="1"/>
  <c r="H790" i="1" s="1"/>
  <c r="G789" i="1"/>
  <c r="H789" i="1" s="1"/>
  <c r="G788" i="1"/>
  <c r="H788" i="1" s="1"/>
  <c r="G787" i="1"/>
  <c r="H787" i="1" s="1"/>
  <c r="G786" i="1"/>
  <c r="H786" i="1" s="1"/>
  <c r="G785" i="1"/>
  <c r="H785" i="1" s="1"/>
  <c r="G784" i="1"/>
  <c r="H784" i="1" s="1"/>
  <c r="G783" i="1"/>
  <c r="H783" i="1" s="1"/>
  <c r="G782" i="1"/>
  <c r="H782" i="1" s="1"/>
  <c r="H781" i="1"/>
  <c r="G781" i="1"/>
  <c r="G780" i="1"/>
  <c r="H780" i="1" s="1"/>
  <c r="G779" i="1"/>
  <c r="H779" i="1" s="1"/>
  <c r="G778" i="1"/>
  <c r="H778" i="1" s="1"/>
  <c r="G777" i="1"/>
  <c r="H777" i="1" s="1"/>
  <c r="G776" i="1"/>
  <c r="H776" i="1" s="1"/>
  <c r="G775" i="1"/>
  <c r="H775" i="1" s="1"/>
  <c r="G774" i="1"/>
  <c r="H774" i="1" s="1"/>
  <c r="G773" i="1"/>
  <c r="H773" i="1" s="1"/>
  <c r="G772" i="1"/>
  <c r="H772" i="1" s="1"/>
  <c r="G771" i="1"/>
  <c r="H771" i="1" s="1"/>
  <c r="G770" i="1"/>
  <c r="H770" i="1" s="1"/>
  <c r="G769" i="1"/>
  <c r="H769" i="1" s="1"/>
  <c r="G768" i="1"/>
  <c r="H768" i="1" s="1"/>
  <c r="G767" i="1"/>
  <c r="H767" i="1" s="1"/>
  <c r="G766" i="1"/>
  <c r="H766" i="1" s="1"/>
  <c r="H765" i="1"/>
  <c r="G765" i="1"/>
  <c r="G764" i="1"/>
  <c r="H764" i="1" s="1"/>
  <c r="G763" i="1"/>
  <c r="H763" i="1" s="1"/>
  <c r="G762" i="1"/>
  <c r="H762" i="1" s="1"/>
  <c r="G761" i="1"/>
  <c r="H761" i="1" s="1"/>
  <c r="G760" i="1"/>
  <c r="H760" i="1" s="1"/>
  <c r="G759" i="1"/>
  <c r="H759" i="1" s="1"/>
  <c r="G758" i="1"/>
  <c r="H758" i="1" s="1"/>
  <c r="G757" i="1"/>
  <c r="H757" i="1" s="1"/>
  <c r="G756" i="1"/>
  <c r="H756" i="1" s="1"/>
  <c r="G755" i="1"/>
  <c r="H755" i="1" s="1"/>
  <c r="G754" i="1"/>
  <c r="H754" i="1" s="1"/>
  <c r="G753" i="1"/>
  <c r="H753" i="1" s="1"/>
  <c r="G752" i="1"/>
  <c r="H752" i="1" s="1"/>
  <c r="G751" i="1"/>
  <c r="H751" i="1" s="1"/>
  <c r="G750" i="1"/>
  <c r="H750" i="1" s="1"/>
  <c r="G749" i="1"/>
  <c r="H749" i="1" s="1"/>
  <c r="G748" i="1"/>
  <c r="H748" i="1" s="1"/>
  <c r="G747" i="1"/>
  <c r="H747" i="1" s="1"/>
  <c r="G746" i="1"/>
  <c r="H746" i="1" s="1"/>
  <c r="G745" i="1"/>
  <c r="H745" i="1" s="1"/>
  <c r="G744" i="1"/>
  <c r="H744" i="1" s="1"/>
  <c r="G743" i="1"/>
  <c r="H743" i="1" s="1"/>
  <c r="G742" i="1"/>
  <c r="H742" i="1" s="1"/>
  <c r="G741" i="1"/>
  <c r="H741" i="1" s="1"/>
  <c r="G740" i="1"/>
  <c r="H740" i="1" s="1"/>
  <c r="G739" i="1"/>
  <c r="H739" i="1" s="1"/>
  <c r="G738" i="1"/>
  <c r="H738" i="1" s="1"/>
  <c r="G737" i="1"/>
  <c r="H737" i="1" s="1"/>
  <c r="G736" i="1"/>
  <c r="H736" i="1" s="1"/>
  <c r="G735" i="1"/>
  <c r="H735" i="1" s="1"/>
  <c r="G734" i="1"/>
  <c r="H734" i="1" s="1"/>
  <c r="G733" i="1"/>
  <c r="H733" i="1" s="1"/>
  <c r="G732" i="1"/>
  <c r="H732" i="1" s="1"/>
  <c r="G731" i="1"/>
  <c r="H731" i="1" s="1"/>
  <c r="G730" i="1"/>
  <c r="H730" i="1" s="1"/>
  <c r="G729" i="1"/>
  <c r="H729" i="1" s="1"/>
  <c r="G728" i="1"/>
  <c r="H728" i="1" s="1"/>
  <c r="G727" i="1"/>
  <c r="H727" i="1" s="1"/>
  <c r="G726" i="1"/>
  <c r="H726" i="1" s="1"/>
  <c r="G725" i="1"/>
  <c r="H725" i="1" s="1"/>
  <c r="G724" i="1"/>
  <c r="H724" i="1" s="1"/>
  <c r="G723" i="1"/>
  <c r="H723" i="1" s="1"/>
  <c r="G722" i="1"/>
  <c r="H722" i="1" s="1"/>
  <c r="G721" i="1"/>
  <c r="H721" i="1" s="1"/>
  <c r="G720" i="1"/>
  <c r="H720" i="1" s="1"/>
  <c r="G719" i="1"/>
  <c r="H719" i="1" s="1"/>
  <c r="G718" i="1"/>
  <c r="H718" i="1" s="1"/>
  <c r="H717" i="1"/>
  <c r="G717" i="1"/>
  <c r="G716" i="1"/>
  <c r="H716" i="1" s="1"/>
  <c r="G715" i="1"/>
  <c r="H715" i="1" s="1"/>
  <c r="G714" i="1"/>
  <c r="H714" i="1" s="1"/>
  <c r="G713" i="1"/>
  <c r="H713" i="1" s="1"/>
  <c r="G712" i="1"/>
  <c r="H712" i="1" s="1"/>
  <c r="G711" i="1"/>
  <c r="H711" i="1" s="1"/>
  <c r="G710" i="1"/>
  <c r="H710" i="1" s="1"/>
  <c r="G709" i="1"/>
  <c r="H709" i="1" s="1"/>
  <c r="G708" i="1"/>
  <c r="H708" i="1" s="1"/>
  <c r="G707" i="1"/>
  <c r="H707" i="1" s="1"/>
  <c r="G706" i="1"/>
  <c r="H706" i="1" s="1"/>
  <c r="G705" i="1"/>
  <c r="H705" i="1" s="1"/>
  <c r="G704" i="1"/>
  <c r="H704" i="1" s="1"/>
  <c r="G703" i="1"/>
  <c r="H703" i="1" s="1"/>
  <c r="G702" i="1"/>
  <c r="H702" i="1" s="1"/>
  <c r="G701" i="1"/>
  <c r="H701" i="1" s="1"/>
  <c r="G700" i="1"/>
  <c r="H700" i="1" s="1"/>
  <c r="G699" i="1"/>
  <c r="H699" i="1" s="1"/>
  <c r="G698" i="1"/>
  <c r="H698" i="1" s="1"/>
  <c r="G697" i="1"/>
  <c r="H697" i="1" s="1"/>
  <c r="G696" i="1"/>
  <c r="H696" i="1" s="1"/>
  <c r="G695" i="1"/>
  <c r="H695" i="1" s="1"/>
  <c r="G694" i="1"/>
  <c r="H694" i="1" s="1"/>
  <c r="G693" i="1"/>
  <c r="H693" i="1" s="1"/>
  <c r="G692" i="1"/>
  <c r="H692" i="1" s="1"/>
  <c r="G691" i="1"/>
  <c r="H691" i="1" s="1"/>
  <c r="G690" i="1"/>
  <c r="H690" i="1" s="1"/>
  <c r="G689" i="1"/>
  <c r="H689" i="1" s="1"/>
  <c r="G688" i="1"/>
  <c r="H688" i="1" s="1"/>
  <c r="G687" i="1"/>
  <c r="H687" i="1" s="1"/>
  <c r="G686" i="1"/>
  <c r="H686" i="1" s="1"/>
  <c r="G685" i="1"/>
  <c r="H685" i="1" s="1"/>
  <c r="G684" i="1"/>
  <c r="H684" i="1" s="1"/>
  <c r="G683" i="1"/>
  <c r="H683" i="1" s="1"/>
  <c r="L682" i="1"/>
  <c r="J682" i="1"/>
  <c r="G682" i="1"/>
  <c r="H682" i="1" s="1"/>
  <c r="L681" i="1"/>
  <c r="J681" i="1"/>
  <c r="I681" i="1"/>
  <c r="G681" i="1"/>
  <c r="H681" i="1" s="1"/>
  <c r="L680" i="1"/>
  <c r="J680" i="1"/>
  <c r="G680" i="1"/>
  <c r="H680" i="1" s="1"/>
  <c r="L679" i="1"/>
  <c r="J679" i="1"/>
  <c r="G679" i="1"/>
  <c r="H679" i="1" s="1"/>
  <c r="L678" i="1"/>
  <c r="J678" i="1"/>
  <c r="G678" i="1"/>
  <c r="H678" i="1" s="1"/>
  <c r="L677" i="1"/>
  <c r="J677" i="1"/>
  <c r="G677" i="1"/>
  <c r="H677" i="1" s="1"/>
  <c r="L676" i="1"/>
  <c r="J676" i="1"/>
  <c r="G676" i="1"/>
  <c r="H676" i="1" s="1"/>
  <c r="L675" i="1"/>
  <c r="K675" i="1"/>
  <c r="J675" i="1"/>
  <c r="G675" i="1"/>
  <c r="H675" i="1" s="1"/>
  <c r="L674" i="1"/>
  <c r="K674" i="1"/>
  <c r="J674" i="1"/>
  <c r="G674" i="1"/>
  <c r="H674" i="1" s="1"/>
  <c r="L673" i="1"/>
  <c r="K673" i="1"/>
  <c r="J673" i="1"/>
  <c r="G673" i="1"/>
  <c r="H673" i="1" s="1"/>
  <c r="L672" i="1"/>
  <c r="K672" i="1"/>
  <c r="J672" i="1"/>
  <c r="G672" i="1"/>
  <c r="H672" i="1" s="1"/>
  <c r="L671" i="1"/>
  <c r="K671" i="1"/>
  <c r="J671" i="1"/>
  <c r="G671" i="1"/>
  <c r="H671" i="1" s="1"/>
  <c r="L670" i="1"/>
  <c r="K670" i="1"/>
  <c r="J670" i="1"/>
  <c r="G670" i="1"/>
  <c r="H670" i="1" s="1"/>
  <c r="L669" i="1"/>
  <c r="K669" i="1"/>
  <c r="J669" i="1"/>
  <c r="G669" i="1"/>
  <c r="H669" i="1" s="1"/>
  <c r="L668" i="1"/>
  <c r="K668" i="1"/>
  <c r="J668" i="1"/>
  <c r="G668" i="1"/>
  <c r="H668" i="1" s="1"/>
  <c r="L667" i="1"/>
  <c r="K667" i="1"/>
  <c r="J667" i="1"/>
  <c r="G667" i="1"/>
  <c r="H667" i="1" s="1"/>
  <c r="L666" i="1"/>
  <c r="K666" i="1"/>
  <c r="J666" i="1"/>
  <c r="G666" i="1"/>
  <c r="H666" i="1" s="1"/>
  <c r="L665" i="1"/>
  <c r="K665" i="1"/>
  <c r="J665" i="1"/>
  <c r="G665" i="1"/>
  <c r="H665" i="1" s="1"/>
  <c r="L664" i="1"/>
  <c r="K664" i="1"/>
  <c r="J664" i="1"/>
  <c r="G664" i="1"/>
  <c r="H664" i="1" s="1"/>
  <c r="L663" i="1"/>
  <c r="K663" i="1"/>
  <c r="J663" i="1"/>
  <c r="G663" i="1"/>
  <c r="H663" i="1" s="1"/>
  <c r="L662" i="1"/>
  <c r="K662" i="1"/>
  <c r="J662" i="1"/>
  <c r="G662" i="1"/>
  <c r="H662" i="1" s="1"/>
  <c r="L661" i="1"/>
  <c r="K661" i="1"/>
  <c r="J661" i="1"/>
  <c r="G661" i="1"/>
  <c r="H661" i="1" s="1"/>
  <c r="L660" i="1"/>
  <c r="K660" i="1"/>
  <c r="J660" i="1"/>
  <c r="G660" i="1"/>
  <c r="H660" i="1" s="1"/>
  <c r="L659" i="1"/>
  <c r="K659" i="1"/>
  <c r="J659" i="1"/>
  <c r="G659" i="1"/>
  <c r="H659" i="1" s="1"/>
  <c r="L658" i="1"/>
  <c r="K658" i="1"/>
  <c r="J658" i="1"/>
  <c r="G658" i="1"/>
  <c r="H658" i="1" s="1"/>
  <c r="L657" i="1"/>
  <c r="K657" i="1"/>
  <c r="J657" i="1"/>
  <c r="I657" i="1"/>
  <c r="H657" i="1"/>
  <c r="G657" i="1"/>
  <c r="L656" i="1"/>
  <c r="K656" i="1"/>
  <c r="J656" i="1"/>
  <c r="G656" i="1"/>
  <c r="H656" i="1" s="1"/>
  <c r="L655" i="1"/>
  <c r="K655" i="1"/>
  <c r="J655" i="1"/>
  <c r="G655" i="1"/>
  <c r="H655" i="1" s="1"/>
  <c r="L654" i="1"/>
  <c r="K654" i="1"/>
  <c r="J654" i="1"/>
  <c r="G654" i="1"/>
  <c r="H654" i="1" s="1"/>
  <c r="L653" i="1"/>
  <c r="K653" i="1"/>
  <c r="J653" i="1"/>
  <c r="G653" i="1"/>
  <c r="H653" i="1" s="1"/>
  <c r="L652" i="1"/>
  <c r="K652" i="1"/>
  <c r="J652" i="1"/>
  <c r="G652" i="1"/>
  <c r="H652" i="1" s="1"/>
  <c r="L651" i="1"/>
  <c r="K651" i="1"/>
  <c r="J651" i="1"/>
  <c r="G651" i="1"/>
  <c r="H651" i="1" s="1"/>
  <c r="L650" i="1"/>
  <c r="K650" i="1"/>
  <c r="J650" i="1"/>
  <c r="G650" i="1"/>
  <c r="H650" i="1" s="1"/>
  <c r="L649" i="1"/>
  <c r="K649" i="1"/>
  <c r="J649" i="1"/>
  <c r="G649" i="1"/>
  <c r="H649" i="1" s="1"/>
  <c r="L648" i="1"/>
  <c r="K648" i="1"/>
  <c r="J648" i="1"/>
  <c r="G648" i="1"/>
  <c r="H648" i="1" s="1"/>
  <c r="L647" i="1"/>
  <c r="K647" i="1"/>
  <c r="J647" i="1"/>
  <c r="G647" i="1"/>
  <c r="H647" i="1" s="1"/>
  <c r="L646" i="1"/>
  <c r="K646" i="1"/>
  <c r="J646" i="1"/>
  <c r="G646" i="1"/>
  <c r="H646" i="1" s="1"/>
  <c r="L645" i="1"/>
  <c r="K645" i="1"/>
  <c r="J645" i="1"/>
  <c r="G645" i="1"/>
  <c r="H645" i="1" s="1"/>
  <c r="L644" i="1"/>
  <c r="K644" i="1"/>
  <c r="J644" i="1"/>
  <c r="G644" i="1"/>
  <c r="H644" i="1" s="1"/>
  <c r="L643" i="1"/>
  <c r="K643" i="1"/>
  <c r="J643" i="1"/>
  <c r="G643" i="1"/>
  <c r="H643" i="1" s="1"/>
  <c r="L642" i="1"/>
  <c r="K642" i="1"/>
  <c r="J642" i="1"/>
  <c r="G642" i="1"/>
  <c r="H642" i="1" s="1"/>
  <c r="L641" i="1"/>
  <c r="K641" i="1"/>
  <c r="J641" i="1"/>
  <c r="G641" i="1"/>
  <c r="H641" i="1" s="1"/>
  <c r="L640" i="1"/>
  <c r="K640" i="1"/>
  <c r="J640" i="1"/>
  <c r="G640" i="1"/>
  <c r="H640" i="1" s="1"/>
  <c r="L639" i="1"/>
  <c r="K639" i="1"/>
  <c r="J639" i="1"/>
  <c r="G639" i="1"/>
  <c r="H639" i="1" s="1"/>
  <c r="L638" i="1"/>
  <c r="K638" i="1"/>
  <c r="J638" i="1"/>
  <c r="G638" i="1"/>
  <c r="H638" i="1" s="1"/>
  <c r="L637" i="1"/>
  <c r="K637" i="1"/>
  <c r="J637" i="1"/>
  <c r="G637" i="1"/>
  <c r="H637" i="1" s="1"/>
  <c r="L636" i="1"/>
  <c r="K636" i="1"/>
  <c r="J636" i="1"/>
  <c r="G636" i="1"/>
  <c r="H636" i="1" s="1"/>
  <c r="L635" i="1"/>
  <c r="K635" i="1"/>
  <c r="J635" i="1"/>
  <c r="G635" i="1"/>
  <c r="H635" i="1" s="1"/>
  <c r="L634" i="1"/>
  <c r="K634" i="1"/>
  <c r="J634" i="1"/>
  <c r="G634" i="1"/>
  <c r="H634" i="1" s="1"/>
  <c r="L633" i="1"/>
  <c r="K633" i="1"/>
  <c r="J633" i="1"/>
  <c r="I633" i="1"/>
  <c r="G633" i="1"/>
  <c r="H633" i="1" s="1"/>
  <c r="L632" i="1"/>
  <c r="K632" i="1"/>
  <c r="J632" i="1"/>
  <c r="G632" i="1"/>
  <c r="H632" i="1" s="1"/>
  <c r="L631" i="1"/>
  <c r="K631" i="1"/>
  <c r="J631" i="1"/>
  <c r="G631" i="1"/>
  <c r="H631" i="1" s="1"/>
  <c r="L630" i="1"/>
  <c r="K630" i="1"/>
  <c r="J630" i="1"/>
  <c r="G630" i="1"/>
  <c r="H630" i="1" s="1"/>
  <c r="L629" i="1"/>
  <c r="K629" i="1"/>
  <c r="J629" i="1"/>
  <c r="G629" i="1"/>
  <c r="H629" i="1" s="1"/>
  <c r="L628" i="1"/>
  <c r="K628" i="1"/>
  <c r="J628" i="1"/>
  <c r="G628" i="1"/>
  <c r="H628" i="1" s="1"/>
  <c r="L627" i="1"/>
  <c r="K627" i="1"/>
  <c r="J627" i="1"/>
  <c r="G627" i="1"/>
  <c r="H627" i="1" s="1"/>
  <c r="L626" i="1"/>
  <c r="K626" i="1"/>
  <c r="J626" i="1"/>
  <c r="G626" i="1"/>
  <c r="H626" i="1" s="1"/>
  <c r="L625" i="1"/>
  <c r="K625" i="1"/>
  <c r="J625" i="1"/>
  <c r="G625" i="1"/>
  <c r="H625" i="1" s="1"/>
  <c r="L624" i="1"/>
  <c r="K624" i="1"/>
  <c r="J624" i="1"/>
  <c r="G624" i="1"/>
  <c r="H624" i="1" s="1"/>
  <c r="L623" i="1"/>
  <c r="K623" i="1"/>
  <c r="J623" i="1"/>
  <c r="G623" i="1"/>
  <c r="H623" i="1" s="1"/>
  <c r="L622" i="1"/>
  <c r="K622" i="1"/>
  <c r="J622" i="1"/>
  <c r="H622" i="1"/>
  <c r="G622" i="1"/>
  <c r="L621" i="1"/>
  <c r="K621" i="1"/>
  <c r="J621" i="1"/>
  <c r="G621" i="1"/>
  <c r="H621" i="1" s="1"/>
  <c r="L620" i="1"/>
  <c r="K620" i="1"/>
  <c r="J620" i="1"/>
  <c r="G620" i="1"/>
  <c r="H620" i="1" s="1"/>
  <c r="L619" i="1"/>
  <c r="K619" i="1"/>
  <c r="J619" i="1"/>
  <c r="G619" i="1"/>
  <c r="H619" i="1" s="1"/>
  <c r="L618" i="1"/>
  <c r="K618" i="1"/>
  <c r="J618" i="1"/>
  <c r="G618" i="1"/>
  <c r="H618" i="1" s="1"/>
  <c r="L617" i="1"/>
  <c r="K617" i="1"/>
  <c r="J617" i="1"/>
  <c r="G617" i="1"/>
  <c r="H617" i="1" s="1"/>
  <c r="L616" i="1"/>
  <c r="K616" i="1"/>
  <c r="J616" i="1"/>
  <c r="G616" i="1"/>
  <c r="H616" i="1" s="1"/>
  <c r="L615" i="1"/>
  <c r="K615" i="1"/>
  <c r="J615" i="1"/>
  <c r="G615" i="1"/>
  <c r="H615" i="1" s="1"/>
  <c r="L614" i="1"/>
  <c r="K614" i="1"/>
  <c r="J614" i="1"/>
  <c r="G614" i="1"/>
  <c r="H614" i="1" s="1"/>
  <c r="L613" i="1"/>
  <c r="K613" i="1"/>
  <c r="J613" i="1"/>
  <c r="G613" i="1"/>
  <c r="H613" i="1" s="1"/>
  <c r="L612" i="1"/>
  <c r="K612" i="1"/>
  <c r="J612" i="1"/>
  <c r="H612" i="1"/>
  <c r="G612" i="1"/>
  <c r="L611" i="1"/>
  <c r="K611" i="1"/>
  <c r="J611" i="1"/>
  <c r="G611" i="1"/>
  <c r="H611" i="1" s="1"/>
  <c r="L610" i="1"/>
  <c r="K610" i="1"/>
  <c r="J610" i="1"/>
  <c r="G610" i="1"/>
  <c r="H610" i="1" s="1"/>
  <c r="L609" i="1"/>
  <c r="K609" i="1"/>
  <c r="J609" i="1"/>
  <c r="G609" i="1"/>
  <c r="H609" i="1" s="1"/>
  <c r="L608" i="1"/>
  <c r="K608" i="1"/>
  <c r="J608" i="1"/>
  <c r="G608" i="1"/>
  <c r="H608" i="1" s="1"/>
  <c r="L607" i="1"/>
  <c r="K607" i="1"/>
  <c r="J607" i="1"/>
  <c r="I607" i="1"/>
  <c r="G607" i="1"/>
  <c r="H607" i="1" s="1"/>
  <c r="L606" i="1"/>
  <c r="K606" i="1"/>
  <c r="J606" i="1"/>
  <c r="G606" i="1"/>
  <c r="H606" i="1" s="1"/>
  <c r="L605" i="1"/>
  <c r="K605" i="1"/>
  <c r="J605" i="1"/>
  <c r="G605" i="1"/>
  <c r="H605" i="1" s="1"/>
  <c r="L604" i="1"/>
  <c r="K604" i="1"/>
  <c r="J604" i="1"/>
  <c r="H604" i="1"/>
  <c r="G604" i="1"/>
  <c r="L603" i="1"/>
  <c r="K603" i="1"/>
  <c r="J603" i="1"/>
  <c r="G603" i="1"/>
  <c r="H603" i="1" s="1"/>
  <c r="L602" i="1"/>
  <c r="K602" i="1"/>
  <c r="J602" i="1"/>
  <c r="G602" i="1"/>
  <c r="H602" i="1" s="1"/>
  <c r="L601" i="1"/>
  <c r="K601" i="1"/>
  <c r="J601" i="1"/>
  <c r="G601" i="1"/>
  <c r="H601" i="1" s="1"/>
  <c r="L600" i="1"/>
  <c r="K600" i="1"/>
  <c r="J600" i="1"/>
  <c r="G600" i="1"/>
  <c r="H600" i="1" s="1"/>
  <c r="L599" i="1"/>
  <c r="K599" i="1"/>
  <c r="J599" i="1"/>
  <c r="G599" i="1"/>
  <c r="H599" i="1" s="1"/>
  <c r="L598" i="1"/>
  <c r="K598" i="1"/>
  <c r="J598" i="1"/>
  <c r="G598" i="1"/>
  <c r="H598" i="1" s="1"/>
  <c r="L597" i="1"/>
  <c r="K597" i="1"/>
  <c r="J597" i="1"/>
  <c r="G597" i="1"/>
  <c r="H597" i="1" s="1"/>
  <c r="L596" i="1"/>
  <c r="K596" i="1"/>
  <c r="J596" i="1"/>
  <c r="G596" i="1"/>
  <c r="H596" i="1" s="1"/>
  <c r="L595" i="1"/>
  <c r="K595" i="1"/>
  <c r="J595" i="1"/>
  <c r="G595" i="1"/>
  <c r="H595" i="1" s="1"/>
  <c r="L594" i="1"/>
  <c r="K594" i="1"/>
  <c r="J594" i="1"/>
  <c r="G594" i="1"/>
  <c r="H594" i="1" s="1"/>
  <c r="L593" i="1"/>
  <c r="K593" i="1"/>
  <c r="J593" i="1"/>
  <c r="G593" i="1"/>
  <c r="H593" i="1" s="1"/>
  <c r="L592" i="1"/>
  <c r="K592" i="1"/>
  <c r="J592" i="1"/>
  <c r="G592" i="1"/>
  <c r="H592" i="1" s="1"/>
  <c r="L591" i="1"/>
  <c r="K591" i="1"/>
  <c r="J591" i="1"/>
  <c r="G591" i="1"/>
  <c r="H591" i="1" s="1"/>
  <c r="L590" i="1"/>
  <c r="K590" i="1"/>
  <c r="J590" i="1"/>
  <c r="G590" i="1"/>
  <c r="H590" i="1" s="1"/>
  <c r="L589" i="1"/>
  <c r="K589" i="1"/>
  <c r="J589" i="1"/>
  <c r="G589" i="1"/>
  <c r="H589" i="1" s="1"/>
  <c r="L588" i="1"/>
  <c r="K588" i="1"/>
  <c r="J588" i="1"/>
  <c r="G588" i="1"/>
  <c r="H588" i="1" s="1"/>
  <c r="L587" i="1"/>
  <c r="K587" i="1"/>
  <c r="J587" i="1"/>
  <c r="I587" i="1"/>
  <c r="G587" i="1"/>
  <c r="H587" i="1" s="1"/>
  <c r="L586" i="1"/>
  <c r="K586" i="1"/>
  <c r="J586" i="1"/>
  <c r="G586" i="1"/>
  <c r="H586" i="1" s="1"/>
  <c r="L585" i="1"/>
  <c r="K585" i="1"/>
  <c r="J585" i="1"/>
  <c r="G585" i="1"/>
  <c r="H585" i="1" s="1"/>
  <c r="L584" i="1"/>
  <c r="K584" i="1"/>
  <c r="J584" i="1"/>
  <c r="G584" i="1"/>
  <c r="H584" i="1" s="1"/>
  <c r="L583" i="1"/>
  <c r="K583" i="1"/>
  <c r="J583" i="1"/>
  <c r="G583" i="1"/>
  <c r="H583" i="1" s="1"/>
  <c r="L582" i="1"/>
  <c r="K582" i="1"/>
  <c r="J582" i="1"/>
  <c r="G582" i="1"/>
  <c r="H582" i="1" s="1"/>
  <c r="L581" i="1"/>
  <c r="K581" i="1"/>
  <c r="J581" i="1"/>
  <c r="G581" i="1"/>
  <c r="H581" i="1" s="1"/>
  <c r="L580" i="1"/>
  <c r="K580" i="1"/>
  <c r="J580" i="1"/>
  <c r="G580" i="1"/>
  <c r="H580" i="1" s="1"/>
  <c r="L579" i="1"/>
  <c r="K579" i="1"/>
  <c r="J579" i="1"/>
  <c r="G579" i="1"/>
  <c r="H579" i="1" s="1"/>
  <c r="L578" i="1"/>
  <c r="K578" i="1"/>
  <c r="J578" i="1"/>
  <c r="G578" i="1"/>
  <c r="H578" i="1" s="1"/>
  <c r="L577" i="1"/>
  <c r="K577" i="1"/>
  <c r="J577" i="1"/>
  <c r="G577" i="1"/>
  <c r="H577" i="1" s="1"/>
  <c r="L576" i="1"/>
  <c r="K576" i="1"/>
  <c r="J576" i="1"/>
  <c r="G576" i="1"/>
  <c r="H576" i="1" s="1"/>
  <c r="L575" i="1"/>
  <c r="K575" i="1"/>
  <c r="J575" i="1"/>
  <c r="G575" i="1"/>
  <c r="H575" i="1" s="1"/>
  <c r="L574" i="1"/>
  <c r="K574" i="1"/>
  <c r="J574" i="1"/>
  <c r="G574" i="1"/>
  <c r="H574" i="1" s="1"/>
  <c r="L573" i="1"/>
  <c r="K573" i="1"/>
  <c r="J573" i="1"/>
  <c r="G573" i="1"/>
  <c r="H573" i="1" s="1"/>
  <c r="L572" i="1"/>
  <c r="K572" i="1"/>
  <c r="J572" i="1"/>
  <c r="G572" i="1"/>
  <c r="H572" i="1" s="1"/>
  <c r="L571" i="1"/>
  <c r="K571" i="1"/>
  <c r="J571" i="1"/>
  <c r="G571" i="1"/>
  <c r="H571" i="1" s="1"/>
  <c r="L570" i="1"/>
  <c r="K570" i="1"/>
  <c r="J570" i="1"/>
  <c r="G570" i="1"/>
  <c r="H570" i="1" s="1"/>
  <c r="L569" i="1"/>
  <c r="K569" i="1"/>
  <c r="J569" i="1"/>
  <c r="G569" i="1"/>
  <c r="H569" i="1" s="1"/>
  <c r="L568" i="1"/>
  <c r="K568" i="1"/>
  <c r="J568" i="1"/>
  <c r="G568" i="1"/>
  <c r="H568" i="1" s="1"/>
  <c r="L567" i="1"/>
  <c r="K567" i="1"/>
  <c r="J567" i="1"/>
  <c r="G567" i="1"/>
  <c r="H567" i="1" s="1"/>
  <c r="L566" i="1"/>
  <c r="K566" i="1"/>
  <c r="J566" i="1"/>
  <c r="H566" i="1"/>
  <c r="G566" i="1"/>
  <c r="L565" i="1"/>
  <c r="K565" i="1"/>
  <c r="J565" i="1"/>
  <c r="G565" i="1"/>
  <c r="H565" i="1" s="1"/>
  <c r="L564" i="1"/>
  <c r="K564" i="1"/>
  <c r="J564" i="1"/>
  <c r="G564" i="1"/>
  <c r="H564" i="1" s="1"/>
  <c r="L563" i="1"/>
  <c r="K563" i="1"/>
  <c r="J563" i="1"/>
  <c r="I563" i="1"/>
  <c r="G563" i="1"/>
  <c r="H563" i="1" s="1"/>
  <c r="L562" i="1"/>
  <c r="K562" i="1"/>
  <c r="J562" i="1"/>
  <c r="G562" i="1"/>
  <c r="H562" i="1" s="1"/>
  <c r="L561" i="1"/>
  <c r="K561" i="1"/>
  <c r="J561" i="1"/>
  <c r="G561" i="1"/>
  <c r="H561" i="1" s="1"/>
  <c r="L560" i="1"/>
  <c r="K560" i="1"/>
  <c r="J560" i="1"/>
  <c r="G560" i="1"/>
  <c r="H560" i="1" s="1"/>
  <c r="L559" i="1"/>
  <c r="K559" i="1"/>
  <c r="J559" i="1"/>
  <c r="G559" i="1"/>
  <c r="H559" i="1" s="1"/>
  <c r="L558" i="1"/>
  <c r="K558" i="1"/>
  <c r="J558" i="1"/>
  <c r="G558" i="1"/>
  <c r="H558" i="1" s="1"/>
  <c r="L557" i="1"/>
  <c r="K557" i="1"/>
  <c r="J557" i="1"/>
  <c r="G557" i="1"/>
  <c r="H557" i="1" s="1"/>
  <c r="L556" i="1"/>
  <c r="K556" i="1"/>
  <c r="J556" i="1"/>
  <c r="G556" i="1"/>
  <c r="H556" i="1" s="1"/>
  <c r="L555" i="1"/>
  <c r="K555" i="1"/>
  <c r="J555" i="1"/>
  <c r="G555" i="1"/>
  <c r="H555" i="1" s="1"/>
  <c r="L554" i="1"/>
  <c r="K554" i="1"/>
  <c r="J554" i="1"/>
  <c r="G554" i="1"/>
  <c r="H554" i="1" s="1"/>
  <c r="L553" i="1"/>
  <c r="K553" i="1"/>
  <c r="J553" i="1"/>
  <c r="H553" i="1"/>
  <c r="G553" i="1"/>
  <c r="L552" i="1"/>
  <c r="K552" i="1"/>
  <c r="J552" i="1"/>
  <c r="G552" i="1"/>
  <c r="H552" i="1" s="1"/>
  <c r="L551" i="1"/>
  <c r="K551" i="1"/>
  <c r="J551" i="1"/>
  <c r="G551" i="1"/>
  <c r="H551" i="1" s="1"/>
  <c r="L550" i="1"/>
  <c r="K550" i="1"/>
  <c r="J550" i="1"/>
  <c r="G550" i="1"/>
  <c r="H550" i="1" s="1"/>
  <c r="L549" i="1"/>
  <c r="K549" i="1"/>
  <c r="J549" i="1"/>
  <c r="G549" i="1"/>
  <c r="H549" i="1" s="1"/>
  <c r="L548" i="1"/>
  <c r="K548" i="1"/>
  <c r="J548" i="1"/>
  <c r="G548" i="1"/>
  <c r="H548" i="1" s="1"/>
  <c r="L547" i="1"/>
  <c r="K547" i="1"/>
  <c r="J547" i="1"/>
  <c r="G547" i="1"/>
  <c r="H547" i="1" s="1"/>
  <c r="L546" i="1"/>
  <c r="K546" i="1"/>
  <c r="J546" i="1"/>
  <c r="G546" i="1"/>
  <c r="H546" i="1" s="1"/>
  <c r="L545" i="1"/>
  <c r="K545" i="1"/>
  <c r="J545" i="1"/>
  <c r="G545" i="1"/>
  <c r="H545" i="1" s="1"/>
  <c r="L544" i="1"/>
  <c r="K544" i="1"/>
  <c r="J544" i="1"/>
  <c r="G544" i="1"/>
  <c r="H544" i="1" s="1"/>
  <c r="L543" i="1"/>
  <c r="K543" i="1"/>
  <c r="J543" i="1"/>
  <c r="G543" i="1"/>
  <c r="H543" i="1" s="1"/>
  <c r="L542" i="1"/>
  <c r="K542" i="1"/>
  <c r="J542" i="1"/>
  <c r="G542" i="1"/>
  <c r="H542" i="1" s="1"/>
  <c r="L541" i="1"/>
  <c r="K541" i="1"/>
  <c r="J541" i="1"/>
  <c r="G541" i="1"/>
  <c r="H541" i="1" s="1"/>
  <c r="L540" i="1"/>
  <c r="K540" i="1"/>
  <c r="J540" i="1"/>
  <c r="G540" i="1"/>
  <c r="H540" i="1" s="1"/>
  <c r="L539" i="1"/>
  <c r="K539" i="1"/>
  <c r="J539" i="1"/>
  <c r="G539" i="1"/>
  <c r="H539" i="1" s="1"/>
  <c r="L538" i="1"/>
  <c r="K538" i="1"/>
  <c r="J538" i="1"/>
  <c r="I538" i="1"/>
  <c r="G538" i="1"/>
  <c r="H538" i="1" s="1"/>
  <c r="L537" i="1"/>
  <c r="K537" i="1"/>
  <c r="J537" i="1"/>
  <c r="G537" i="1"/>
  <c r="H537" i="1" s="1"/>
  <c r="L536" i="1"/>
  <c r="K536" i="1"/>
  <c r="J536" i="1"/>
  <c r="G536" i="1"/>
  <c r="H536" i="1" s="1"/>
  <c r="L535" i="1"/>
  <c r="K535" i="1"/>
  <c r="J535" i="1"/>
  <c r="G535" i="1"/>
  <c r="H535" i="1" s="1"/>
  <c r="L534" i="1"/>
  <c r="K534" i="1"/>
  <c r="J534" i="1"/>
  <c r="G534" i="1"/>
  <c r="H534" i="1" s="1"/>
  <c r="L533" i="1"/>
  <c r="K533" i="1"/>
  <c r="J533" i="1"/>
  <c r="G533" i="1"/>
  <c r="H533" i="1" s="1"/>
  <c r="L532" i="1"/>
  <c r="K532" i="1"/>
  <c r="J532" i="1"/>
  <c r="G532" i="1"/>
  <c r="H532" i="1" s="1"/>
  <c r="L531" i="1"/>
  <c r="K531" i="1"/>
  <c r="J531" i="1"/>
  <c r="G531" i="1"/>
  <c r="H531" i="1" s="1"/>
  <c r="L530" i="1"/>
  <c r="K530" i="1"/>
  <c r="J530" i="1"/>
  <c r="G530" i="1"/>
  <c r="H530" i="1" s="1"/>
  <c r="L529" i="1"/>
  <c r="K529" i="1"/>
  <c r="J529" i="1"/>
  <c r="G529" i="1"/>
  <c r="H529" i="1" s="1"/>
  <c r="L528" i="1"/>
  <c r="K528" i="1"/>
  <c r="J528" i="1"/>
  <c r="G528" i="1"/>
  <c r="H528" i="1" s="1"/>
  <c r="L527" i="1"/>
  <c r="K527" i="1"/>
  <c r="J527" i="1"/>
  <c r="G527" i="1"/>
  <c r="H527" i="1" s="1"/>
  <c r="L526" i="1"/>
  <c r="K526" i="1"/>
  <c r="J526" i="1"/>
  <c r="G526" i="1"/>
  <c r="H526" i="1" s="1"/>
  <c r="L525" i="1"/>
  <c r="K525" i="1"/>
  <c r="J525" i="1"/>
  <c r="G525" i="1"/>
  <c r="H525" i="1" s="1"/>
  <c r="L524" i="1"/>
  <c r="K524" i="1"/>
  <c r="J524" i="1"/>
  <c r="G524" i="1"/>
  <c r="H524" i="1" s="1"/>
  <c r="L523" i="1"/>
  <c r="K523" i="1"/>
  <c r="J523" i="1"/>
  <c r="G523" i="1"/>
  <c r="H523" i="1" s="1"/>
  <c r="L522" i="1"/>
  <c r="K522" i="1"/>
  <c r="J522" i="1"/>
  <c r="G522" i="1"/>
  <c r="H522" i="1" s="1"/>
  <c r="L521" i="1"/>
  <c r="K521" i="1"/>
  <c r="J521" i="1"/>
  <c r="G521" i="1"/>
  <c r="H521" i="1" s="1"/>
  <c r="L520" i="1"/>
  <c r="K520" i="1"/>
  <c r="J520" i="1"/>
  <c r="G520" i="1"/>
  <c r="H520" i="1" s="1"/>
  <c r="L519" i="1"/>
  <c r="K519" i="1"/>
  <c r="J519" i="1"/>
  <c r="G519" i="1"/>
  <c r="H519" i="1" s="1"/>
  <c r="L518" i="1"/>
  <c r="K518" i="1"/>
  <c r="J518" i="1"/>
  <c r="G518" i="1"/>
  <c r="H518" i="1" s="1"/>
  <c r="L517" i="1"/>
  <c r="K517" i="1"/>
  <c r="J517" i="1"/>
  <c r="G517" i="1"/>
  <c r="H517" i="1" s="1"/>
  <c r="L516" i="1"/>
  <c r="K516" i="1"/>
  <c r="J516" i="1"/>
  <c r="G516" i="1"/>
  <c r="H516" i="1" s="1"/>
  <c r="L515" i="1"/>
  <c r="K515" i="1"/>
  <c r="J515" i="1"/>
  <c r="G515" i="1"/>
  <c r="H515" i="1" s="1"/>
  <c r="L514" i="1"/>
  <c r="K514" i="1"/>
  <c r="J514" i="1"/>
  <c r="G514" i="1"/>
  <c r="H514" i="1" s="1"/>
  <c r="L513" i="1"/>
  <c r="K513" i="1"/>
  <c r="J513" i="1"/>
  <c r="I513" i="1"/>
  <c r="G513" i="1"/>
  <c r="H513" i="1" s="1"/>
  <c r="L512" i="1"/>
  <c r="K512" i="1"/>
  <c r="J512" i="1"/>
  <c r="H512" i="1"/>
  <c r="G512" i="1"/>
  <c r="L511" i="1"/>
  <c r="K511" i="1"/>
  <c r="J511" i="1"/>
  <c r="G511" i="1"/>
  <c r="H511" i="1" s="1"/>
  <c r="L510" i="1"/>
  <c r="K510" i="1"/>
  <c r="J510" i="1"/>
  <c r="G510" i="1"/>
  <c r="H510" i="1" s="1"/>
  <c r="L509" i="1"/>
  <c r="K509" i="1"/>
  <c r="J509" i="1"/>
  <c r="G509" i="1"/>
  <c r="H509" i="1" s="1"/>
  <c r="L508" i="1"/>
  <c r="K508" i="1"/>
  <c r="J508" i="1"/>
  <c r="G508" i="1"/>
  <c r="H508" i="1" s="1"/>
  <c r="L507" i="1"/>
  <c r="K507" i="1"/>
  <c r="J507" i="1"/>
  <c r="G507" i="1"/>
  <c r="H507" i="1" s="1"/>
  <c r="L506" i="1"/>
  <c r="K506" i="1"/>
  <c r="J506" i="1"/>
  <c r="G506" i="1"/>
  <c r="H506" i="1" s="1"/>
  <c r="L505" i="1"/>
  <c r="K505" i="1"/>
  <c r="J505" i="1"/>
  <c r="G505" i="1"/>
  <c r="H505" i="1" s="1"/>
  <c r="L504" i="1"/>
  <c r="K504" i="1"/>
  <c r="J504" i="1"/>
  <c r="G504" i="1"/>
  <c r="H504" i="1" s="1"/>
  <c r="L503" i="1"/>
  <c r="K503" i="1"/>
  <c r="J503" i="1"/>
  <c r="G503" i="1"/>
  <c r="H503" i="1" s="1"/>
  <c r="L502" i="1"/>
  <c r="K502" i="1"/>
  <c r="J502" i="1"/>
  <c r="G502" i="1"/>
  <c r="H502" i="1" s="1"/>
  <c r="L501" i="1"/>
  <c r="K501" i="1"/>
  <c r="J501" i="1"/>
  <c r="G501" i="1"/>
  <c r="H501" i="1" s="1"/>
  <c r="L500" i="1"/>
  <c r="K500" i="1"/>
  <c r="J500" i="1"/>
  <c r="G500" i="1"/>
  <c r="H500" i="1" s="1"/>
  <c r="L499" i="1"/>
  <c r="K499" i="1"/>
  <c r="J499" i="1"/>
  <c r="G499" i="1"/>
  <c r="H499" i="1" s="1"/>
  <c r="L498" i="1"/>
  <c r="K498" i="1"/>
  <c r="J498" i="1"/>
  <c r="G498" i="1"/>
  <c r="H498" i="1" s="1"/>
  <c r="L497" i="1"/>
  <c r="K497" i="1"/>
  <c r="J497" i="1"/>
  <c r="G497" i="1"/>
  <c r="H497" i="1" s="1"/>
  <c r="L496" i="1"/>
  <c r="K496" i="1"/>
  <c r="J496" i="1"/>
  <c r="G496" i="1"/>
  <c r="H496" i="1" s="1"/>
  <c r="L495" i="1"/>
  <c r="K495" i="1"/>
  <c r="J495" i="1"/>
  <c r="G495" i="1"/>
  <c r="H495" i="1" s="1"/>
  <c r="L494" i="1"/>
  <c r="K494" i="1"/>
  <c r="J494" i="1"/>
  <c r="G494" i="1"/>
  <c r="H494" i="1" s="1"/>
  <c r="L493" i="1"/>
  <c r="K493" i="1"/>
  <c r="J493" i="1"/>
  <c r="G493" i="1"/>
  <c r="H493" i="1" s="1"/>
  <c r="L492" i="1"/>
  <c r="K492" i="1"/>
  <c r="J492" i="1"/>
  <c r="H492" i="1"/>
  <c r="G492" i="1"/>
  <c r="L491" i="1"/>
  <c r="K491" i="1"/>
  <c r="J491" i="1"/>
  <c r="G491" i="1"/>
  <c r="H491" i="1" s="1"/>
  <c r="L490" i="1"/>
  <c r="K490" i="1"/>
  <c r="J490" i="1"/>
  <c r="G490" i="1"/>
  <c r="H490" i="1" s="1"/>
  <c r="L489" i="1"/>
  <c r="K489" i="1"/>
  <c r="J489" i="1"/>
  <c r="I489" i="1"/>
  <c r="G489" i="1"/>
  <c r="H489" i="1" s="1"/>
  <c r="L488" i="1"/>
  <c r="K488" i="1"/>
  <c r="J488" i="1"/>
  <c r="G488" i="1"/>
  <c r="H488" i="1" s="1"/>
  <c r="L487" i="1"/>
  <c r="K487" i="1"/>
  <c r="J487" i="1"/>
  <c r="G487" i="1"/>
  <c r="H487" i="1" s="1"/>
  <c r="L486" i="1"/>
  <c r="K486" i="1"/>
  <c r="J486" i="1"/>
  <c r="G486" i="1"/>
  <c r="H486" i="1" s="1"/>
  <c r="L485" i="1"/>
  <c r="K485" i="1"/>
  <c r="J485" i="1"/>
  <c r="G485" i="1"/>
  <c r="H485" i="1" s="1"/>
  <c r="L484" i="1"/>
  <c r="K484" i="1"/>
  <c r="J484" i="1"/>
  <c r="G484" i="1"/>
  <c r="H484" i="1" s="1"/>
  <c r="L483" i="1"/>
  <c r="K483" i="1"/>
  <c r="J483" i="1"/>
  <c r="G483" i="1"/>
  <c r="H483" i="1" s="1"/>
  <c r="L482" i="1"/>
  <c r="K482" i="1"/>
  <c r="J482" i="1"/>
  <c r="G482" i="1"/>
  <c r="H482" i="1" s="1"/>
  <c r="L481" i="1"/>
  <c r="K481" i="1"/>
  <c r="J481" i="1"/>
  <c r="G481" i="1"/>
  <c r="H481" i="1" s="1"/>
  <c r="L480" i="1"/>
  <c r="K480" i="1"/>
  <c r="J480" i="1"/>
  <c r="G480" i="1"/>
  <c r="H480" i="1" s="1"/>
  <c r="L479" i="1"/>
  <c r="K479" i="1"/>
  <c r="J479" i="1"/>
  <c r="G479" i="1"/>
  <c r="H479" i="1" s="1"/>
  <c r="L478" i="1"/>
  <c r="K478" i="1"/>
  <c r="J478" i="1"/>
  <c r="G478" i="1"/>
  <c r="H478" i="1" s="1"/>
  <c r="L477" i="1"/>
  <c r="K477" i="1"/>
  <c r="J477" i="1"/>
  <c r="G477" i="1"/>
  <c r="H477" i="1" s="1"/>
  <c r="L476" i="1"/>
  <c r="K476" i="1"/>
  <c r="J476" i="1"/>
  <c r="G476" i="1"/>
  <c r="H476" i="1" s="1"/>
  <c r="L475" i="1"/>
  <c r="K475" i="1"/>
  <c r="J475" i="1"/>
  <c r="G475" i="1"/>
  <c r="H475" i="1" s="1"/>
  <c r="L474" i="1"/>
  <c r="K474" i="1"/>
  <c r="J474" i="1"/>
  <c r="G474" i="1"/>
  <c r="H474" i="1" s="1"/>
  <c r="L473" i="1"/>
  <c r="K473" i="1"/>
  <c r="J473" i="1"/>
  <c r="G473" i="1"/>
  <c r="H473" i="1" s="1"/>
  <c r="L472" i="1"/>
  <c r="K472" i="1"/>
  <c r="J472" i="1"/>
  <c r="G472" i="1"/>
  <c r="H472" i="1" s="1"/>
  <c r="L471" i="1"/>
  <c r="K471" i="1"/>
  <c r="J471" i="1"/>
  <c r="G471" i="1"/>
  <c r="H471" i="1" s="1"/>
  <c r="L470" i="1"/>
  <c r="K470" i="1"/>
  <c r="J470" i="1"/>
  <c r="G470" i="1"/>
  <c r="H470" i="1" s="1"/>
  <c r="L469" i="1"/>
  <c r="K469" i="1"/>
  <c r="J469" i="1"/>
  <c r="G469" i="1"/>
  <c r="H469" i="1" s="1"/>
  <c r="L468" i="1"/>
  <c r="K468" i="1"/>
  <c r="J468" i="1"/>
  <c r="G468" i="1"/>
  <c r="H468" i="1" s="1"/>
  <c r="L467" i="1"/>
  <c r="K467" i="1"/>
  <c r="J467" i="1"/>
  <c r="G467" i="1"/>
  <c r="H467" i="1" s="1"/>
  <c r="L466" i="1"/>
  <c r="K466" i="1"/>
  <c r="J466" i="1"/>
  <c r="I466" i="1"/>
  <c r="G466" i="1"/>
  <c r="H466" i="1" s="1"/>
  <c r="L465" i="1"/>
  <c r="K465" i="1"/>
  <c r="J465" i="1"/>
  <c r="G465" i="1"/>
  <c r="H465" i="1" s="1"/>
  <c r="L464" i="1"/>
  <c r="K464" i="1"/>
  <c r="J464" i="1"/>
  <c r="G464" i="1"/>
  <c r="H464" i="1" s="1"/>
  <c r="L463" i="1"/>
  <c r="K463" i="1"/>
  <c r="J463" i="1"/>
  <c r="G463" i="1"/>
  <c r="H463" i="1" s="1"/>
  <c r="L462" i="1"/>
  <c r="K462" i="1"/>
  <c r="J462" i="1"/>
  <c r="G462" i="1"/>
  <c r="H462" i="1" s="1"/>
  <c r="L461" i="1"/>
  <c r="K461" i="1"/>
  <c r="J461" i="1"/>
  <c r="G461" i="1"/>
  <c r="H461" i="1" s="1"/>
  <c r="L460" i="1"/>
  <c r="K460" i="1"/>
  <c r="J460" i="1"/>
  <c r="G460" i="1"/>
  <c r="H460" i="1" s="1"/>
  <c r="L459" i="1"/>
  <c r="K459" i="1"/>
  <c r="J459" i="1"/>
  <c r="G459" i="1"/>
  <c r="H459" i="1" s="1"/>
  <c r="L458" i="1"/>
  <c r="K458" i="1"/>
  <c r="J458" i="1"/>
  <c r="G458" i="1"/>
  <c r="H458" i="1" s="1"/>
  <c r="L457" i="1"/>
  <c r="K457" i="1"/>
  <c r="J457" i="1"/>
  <c r="G457" i="1"/>
  <c r="H457" i="1" s="1"/>
  <c r="L456" i="1"/>
  <c r="K456" i="1"/>
  <c r="J456" i="1"/>
  <c r="G456" i="1"/>
  <c r="H456" i="1" s="1"/>
  <c r="L455" i="1"/>
  <c r="K455" i="1"/>
  <c r="J455" i="1"/>
  <c r="G455" i="1"/>
  <c r="H455" i="1" s="1"/>
  <c r="L454" i="1"/>
  <c r="K454" i="1"/>
  <c r="J454" i="1"/>
  <c r="H454" i="1"/>
  <c r="G454" i="1"/>
  <c r="L453" i="1"/>
  <c r="K453" i="1"/>
  <c r="J453" i="1"/>
  <c r="G453" i="1"/>
  <c r="H453" i="1" s="1"/>
  <c r="L452" i="1"/>
  <c r="K452" i="1"/>
  <c r="J452" i="1"/>
  <c r="G452" i="1"/>
  <c r="H452" i="1" s="1"/>
  <c r="L451" i="1"/>
  <c r="K451" i="1"/>
  <c r="J451" i="1"/>
  <c r="G451" i="1"/>
  <c r="H451" i="1" s="1"/>
  <c r="L450" i="1"/>
  <c r="K450" i="1"/>
  <c r="J450" i="1"/>
  <c r="G450" i="1"/>
  <c r="H450" i="1" s="1"/>
  <c r="L449" i="1"/>
  <c r="K449" i="1"/>
  <c r="J449" i="1"/>
  <c r="G449" i="1"/>
  <c r="H449" i="1" s="1"/>
  <c r="L448" i="1"/>
  <c r="K448" i="1"/>
  <c r="J448" i="1"/>
  <c r="G448" i="1"/>
  <c r="H448" i="1" s="1"/>
  <c r="L447" i="1"/>
  <c r="K447" i="1"/>
  <c r="J447" i="1"/>
  <c r="G447" i="1"/>
  <c r="H447" i="1" s="1"/>
  <c r="L446" i="1"/>
  <c r="K446" i="1"/>
  <c r="J446" i="1"/>
  <c r="G446" i="1"/>
  <c r="H446" i="1" s="1"/>
  <c r="L445" i="1"/>
  <c r="K445" i="1"/>
  <c r="J445" i="1"/>
  <c r="G445" i="1"/>
  <c r="H445" i="1" s="1"/>
  <c r="L444" i="1"/>
  <c r="K444" i="1"/>
  <c r="J444" i="1"/>
  <c r="G444" i="1"/>
  <c r="H444" i="1" s="1"/>
  <c r="L443" i="1"/>
  <c r="K443" i="1"/>
  <c r="J443" i="1"/>
  <c r="G443" i="1"/>
  <c r="H443" i="1" s="1"/>
  <c r="L442" i="1"/>
  <c r="K442" i="1"/>
  <c r="J442" i="1"/>
  <c r="G442" i="1"/>
  <c r="H442" i="1" s="1"/>
  <c r="L441" i="1"/>
  <c r="K441" i="1"/>
  <c r="J441" i="1"/>
  <c r="I441" i="1"/>
  <c r="G441" i="1"/>
  <c r="H441" i="1" s="1"/>
  <c r="L440" i="1"/>
  <c r="K440" i="1"/>
  <c r="J440" i="1"/>
  <c r="G440" i="1"/>
  <c r="H440" i="1" s="1"/>
  <c r="L439" i="1"/>
  <c r="K439" i="1"/>
  <c r="J439" i="1"/>
  <c r="G439" i="1"/>
  <c r="H439" i="1" s="1"/>
  <c r="L438" i="1"/>
  <c r="K438" i="1"/>
  <c r="J438" i="1"/>
  <c r="G438" i="1"/>
  <c r="H438" i="1" s="1"/>
  <c r="L437" i="1"/>
  <c r="K437" i="1"/>
  <c r="J437" i="1"/>
  <c r="G437" i="1"/>
  <c r="H437" i="1" s="1"/>
  <c r="L436" i="1"/>
  <c r="K436" i="1"/>
  <c r="J436" i="1"/>
  <c r="G436" i="1"/>
  <c r="H436" i="1" s="1"/>
  <c r="L435" i="1"/>
  <c r="K435" i="1"/>
  <c r="J435" i="1"/>
  <c r="G435" i="1"/>
  <c r="H435" i="1" s="1"/>
  <c r="L434" i="1"/>
  <c r="K434" i="1"/>
  <c r="J434" i="1"/>
  <c r="G434" i="1"/>
  <c r="H434" i="1" s="1"/>
  <c r="L433" i="1"/>
  <c r="K433" i="1"/>
  <c r="J433" i="1"/>
  <c r="G433" i="1"/>
  <c r="H433" i="1" s="1"/>
  <c r="L432" i="1"/>
  <c r="K432" i="1"/>
  <c r="J432" i="1"/>
  <c r="G432" i="1"/>
  <c r="H432" i="1" s="1"/>
  <c r="L431" i="1"/>
  <c r="K431" i="1"/>
  <c r="J431" i="1"/>
  <c r="G431" i="1"/>
  <c r="H431" i="1" s="1"/>
  <c r="L430" i="1"/>
  <c r="K430" i="1"/>
  <c r="J430" i="1"/>
  <c r="G430" i="1"/>
  <c r="H430" i="1" s="1"/>
  <c r="L429" i="1"/>
  <c r="K429" i="1"/>
  <c r="J429" i="1"/>
  <c r="G429" i="1"/>
  <c r="H429" i="1" s="1"/>
  <c r="L428" i="1"/>
  <c r="K428" i="1"/>
  <c r="J428" i="1"/>
  <c r="G428" i="1"/>
  <c r="H428" i="1" s="1"/>
  <c r="L427" i="1"/>
  <c r="K427" i="1"/>
  <c r="J427" i="1"/>
  <c r="G427" i="1"/>
  <c r="H427" i="1" s="1"/>
  <c r="L426" i="1"/>
  <c r="K426" i="1"/>
  <c r="J426" i="1"/>
  <c r="G426" i="1"/>
  <c r="H426" i="1" s="1"/>
  <c r="L425" i="1"/>
  <c r="K425" i="1"/>
  <c r="J425" i="1"/>
  <c r="G425" i="1"/>
  <c r="H425" i="1" s="1"/>
  <c r="L424" i="1"/>
  <c r="K424" i="1"/>
  <c r="J424" i="1"/>
  <c r="G424" i="1"/>
  <c r="H424" i="1" s="1"/>
  <c r="L423" i="1"/>
  <c r="K423" i="1"/>
  <c r="J423" i="1"/>
  <c r="G423" i="1"/>
  <c r="H423" i="1" s="1"/>
  <c r="L422" i="1"/>
  <c r="K422" i="1"/>
  <c r="J422" i="1"/>
  <c r="G422" i="1"/>
  <c r="H422" i="1" s="1"/>
  <c r="L421" i="1"/>
  <c r="K421" i="1"/>
  <c r="J421" i="1"/>
  <c r="G421" i="1"/>
  <c r="H421" i="1" s="1"/>
  <c r="L420" i="1"/>
  <c r="K420" i="1"/>
  <c r="J420" i="1"/>
  <c r="G420" i="1"/>
  <c r="H420" i="1" s="1"/>
  <c r="L419" i="1"/>
  <c r="K419" i="1"/>
  <c r="J419" i="1"/>
  <c r="G419" i="1"/>
  <c r="H419" i="1" s="1"/>
  <c r="L418" i="1"/>
  <c r="K418" i="1"/>
  <c r="J418" i="1"/>
  <c r="G418" i="1"/>
  <c r="H418" i="1" s="1"/>
  <c r="L417" i="1"/>
  <c r="K417" i="1"/>
  <c r="J417" i="1"/>
  <c r="G417" i="1"/>
  <c r="H417" i="1" s="1"/>
  <c r="L416" i="1"/>
  <c r="K416" i="1"/>
  <c r="J416" i="1"/>
  <c r="G416" i="1"/>
  <c r="H416" i="1" s="1"/>
  <c r="L415" i="1"/>
  <c r="K415" i="1"/>
  <c r="J415" i="1"/>
  <c r="I415" i="1"/>
  <c r="G415" i="1"/>
  <c r="H415" i="1" s="1"/>
  <c r="L414" i="1"/>
  <c r="K414" i="1"/>
  <c r="J414" i="1"/>
  <c r="G414" i="1"/>
  <c r="H414" i="1" s="1"/>
  <c r="L413" i="1"/>
  <c r="K413" i="1"/>
  <c r="J413" i="1"/>
  <c r="G413" i="1"/>
  <c r="H413" i="1" s="1"/>
  <c r="L412" i="1"/>
  <c r="K412" i="1"/>
  <c r="J412" i="1"/>
  <c r="G412" i="1"/>
  <c r="H412" i="1" s="1"/>
  <c r="L411" i="1"/>
  <c r="K411" i="1"/>
  <c r="J411" i="1"/>
  <c r="G411" i="1"/>
  <c r="H411" i="1" s="1"/>
  <c r="L410" i="1"/>
  <c r="K410" i="1"/>
  <c r="J410" i="1"/>
  <c r="G410" i="1"/>
  <c r="H410" i="1" s="1"/>
  <c r="L409" i="1"/>
  <c r="K409" i="1"/>
  <c r="J409" i="1"/>
  <c r="G409" i="1"/>
  <c r="H409" i="1" s="1"/>
  <c r="L408" i="1"/>
  <c r="K408" i="1"/>
  <c r="J408" i="1"/>
  <c r="G408" i="1"/>
  <c r="H408" i="1" s="1"/>
  <c r="L407" i="1"/>
  <c r="K407" i="1"/>
  <c r="J407" i="1"/>
  <c r="G407" i="1"/>
  <c r="H407" i="1" s="1"/>
  <c r="L406" i="1"/>
  <c r="K406" i="1"/>
  <c r="J406" i="1"/>
  <c r="G406" i="1"/>
  <c r="H406" i="1" s="1"/>
  <c r="L405" i="1"/>
  <c r="K405" i="1"/>
  <c r="J405" i="1"/>
  <c r="G405" i="1"/>
  <c r="H405" i="1" s="1"/>
  <c r="L404" i="1"/>
  <c r="K404" i="1"/>
  <c r="J404" i="1"/>
  <c r="G404" i="1"/>
  <c r="H404" i="1" s="1"/>
  <c r="L403" i="1"/>
  <c r="K403" i="1"/>
  <c r="J403" i="1"/>
  <c r="G403" i="1"/>
  <c r="H403" i="1" s="1"/>
  <c r="L402" i="1"/>
  <c r="K402" i="1"/>
  <c r="J402" i="1"/>
  <c r="G402" i="1"/>
  <c r="H402" i="1" s="1"/>
  <c r="L401" i="1"/>
  <c r="K401" i="1"/>
  <c r="J401" i="1"/>
  <c r="G401" i="1"/>
  <c r="H401" i="1" s="1"/>
  <c r="L400" i="1"/>
  <c r="K400" i="1"/>
  <c r="J400" i="1"/>
  <c r="G400" i="1"/>
  <c r="H400" i="1" s="1"/>
  <c r="L399" i="1"/>
  <c r="K399" i="1"/>
  <c r="J399" i="1"/>
  <c r="G399" i="1"/>
  <c r="H399" i="1" s="1"/>
  <c r="L398" i="1"/>
  <c r="K398" i="1"/>
  <c r="J398" i="1"/>
  <c r="G398" i="1"/>
  <c r="H398" i="1" s="1"/>
  <c r="L397" i="1"/>
  <c r="K397" i="1"/>
  <c r="J397" i="1"/>
  <c r="G397" i="1"/>
  <c r="H397" i="1" s="1"/>
  <c r="L396" i="1"/>
  <c r="K396" i="1"/>
  <c r="J396" i="1"/>
  <c r="G396" i="1"/>
  <c r="H396" i="1" s="1"/>
  <c r="L395" i="1"/>
  <c r="K395" i="1"/>
  <c r="J395" i="1"/>
  <c r="G395" i="1"/>
  <c r="H395" i="1" s="1"/>
  <c r="L394" i="1"/>
  <c r="K394" i="1"/>
  <c r="J394" i="1"/>
  <c r="G394" i="1"/>
  <c r="H394" i="1" s="1"/>
  <c r="L393" i="1"/>
  <c r="K393" i="1"/>
  <c r="J393" i="1"/>
  <c r="H393" i="1"/>
  <c r="G393" i="1"/>
  <c r="L392" i="1"/>
  <c r="K392" i="1"/>
  <c r="J392" i="1"/>
  <c r="G392" i="1"/>
  <c r="H392" i="1" s="1"/>
  <c r="L391" i="1"/>
  <c r="K391" i="1"/>
  <c r="J391" i="1"/>
  <c r="I391" i="1"/>
  <c r="G391" i="1"/>
  <c r="H391" i="1" s="1"/>
  <c r="L390" i="1"/>
  <c r="K390" i="1"/>
  <c r="J390" i="1"/>
  <c r="G390" i="1"/>
  <c r="H390" i="1" s="1"/>
  <c r="L389" i="1"/>
  <c r="K389" i="1"/>
  <c r="J389" i="1"/>
  <c r="G389" i="1"/>
  <c r="H389" i="1" s="1"/>
  <c r="L388" i="1"/>
  <c r="K388" i="1"/>
  <c r="J388" i="1"/>
  <c r="G388" i="1"/>
  <c r="H388" i="1" s="1"/>
  <c r="L387" i="1"/>
  <c r="K387" i="1"/>
  <c r="J387" i="1"/>
  <c r="G387" i="1"/>
  <c r="H387" i="1" s="1"/>
  <c r="L386" i="1"/>
  <c r="K386" i="1"/>
  <c r="J386" i="1"/>
  <c r="G386" i="1"/>
  <c r="H386" i="1" s="1"/>
  <c r="L385" i="1"/>
  <c r="K385" i="1"/>
  <c r="J385" i="1"/>
  <c r="G385" i="1"/>
  <c r="H385" i="1" s="1"/>
  <c r="L384" i="1"/>
  <c r="K384" i="1"/>
  <c r="J384" i="1"/>
  <c r="G384" i="1"/>
  <c r="H384" i="1" s="1"/>
  <c r="L383" i="1"/>
  <c r="K383" i="1"/>
  <c r="J383" i="1"/>
  <c r="G383" i="1"/>
  <c r="H383" i="1" s="1"/>
  <c r="L382" i="1"/>
  <c r="K382" i="1"/>
  <c r="J382" i="1"/>
  <c r="G382" i="1"/>
  <c r="H382" i="1" s="1"/>
  <c r="L381" i="1"/>
  <c r="K381" i="1"/>
  <c r="J381" i="1"/>
  <c r="G381" i="1"/>
  <c r="H381" i="1" s="1"/>
  <c r="L380" i="1"/>
  <c r="K380" i="1"/>
  <c r="J380" i="1"/>
  <c r="G380" i="1"/>
  <c r="H380" i="1" s="1"/>
  <c r="L379" i="1"/>
  <c r="K379" i="1"/>
  <c r="J379" i="1"/>
  <c r="G379" i="1"/>
  <c r="H379" i="1" s="1"/>
  <c r="L378" i="1"/>
  <c r="K378" i="1"/>
  <c r="J378" i="1"/>
  <c r="G378" i="1"/>
  <c r="H378" i="1" s="1"/>
  <c r="L377" i="1"/>
  <c r="K377" i="1"/>
  <c r="J377" i="1"/>
  <c r="G377" i="1"/>
  <c r="H377" i="1" s="1"/>
  <c r="L376" i="1"/>
  <c r="K376" i="1"/>
  <c r="J376" i="1"/>
  <c r="G376" i="1"/>
  <c r="H376" i="1" s="1"/>
  <c r="L375" i="1"/>
  <c r="K375" i="1"/>
  <c r="J375" i="1"/>
  <c r="G375" i="1"/>
  <c r="H375" i="1" s="1"/>
  <c r="L374" i="1"/>
  <c r="K374" i="1"/>
  <c r="J374" i="1"/>
  <c r="G374" i="1"/>
  <c r="H374" i="1" s="1"/>
  <c r="L373" i="1"/>
  <c r="K373" i="1"/>
  <c r="J373" i="1"/>
  <c r="G373" i="1"/>
  <c r="H373" i="1" s="1"/>
  <c r="L372" i="1"/>
  <c r="K372" i="1"/>
  <c r="J372" i="1"/>
  <c r="G372" i="1"/>
  <c r="H372" i="1" s="1"/>
  <c r="L371" i="1"/>
  <c r="K371" i="1"/>
  <c r="J371" i="1"/>
  <c r="G371" i="1"/>
  <c r="H371" i="1" s="1"/>
  <c r="L370" i="1"/>
  <c r="K370" i="1"/>
  <c r="J370" i="1"/>
  <c r="G370" i="1"/>
  <c r="H370" i="1" s="1"/>
  <c r="L369" i="1"/>
  <c r="K369" i="1"/>
  <c r="J369" i="1"/>
  <c r="G369" i="1"/>
  <c r="H369" i="1" s="1"/>
  <c r="L368" i="1"/>
  <c r="K368" i="1"/>
  <c r="J368" i="1"/>
  <c r="G368" i="1"/>
  <c r="H368" i="1" s="1"/>
  <c r="L367" i="1"/>
  <c r="K367" i="1"/>
  <c r="J367" i="1"/>
  <c r="G367" i="1"/>
  <c r="H367" i="1" s="1"/>
  <c r="L366" i="1"/>
  <c r="K366" i="1"/>
  <c r="J366" i="1"/>
  <c r="G366" i="1"/>
  <c r="H366" i="1" s="1"/>
  <c r="L365" i="1"/>
  <c r="K365" i="1"/>
  <c r="J365" i="1"/>
  <c r="I365" i="1"/>
  <c r="G365" i="1"/>
  <c r="H365" i="1" s="1"/>
  <c r="L364" i="1"/>
  <c r="K364" i="1"/>
  <c r="J364" i="1"/>
  <c r="G364" i="1"/>
  <c r="H364" i="1" s="1"/>
  <c r="L363" i="1"/>
  <c r="K363" i="1"/>
  <c r="J363" i="1"/>
  <c r="G363" i="1"/>
  <c r="H363" i="1" s="1"/>
  <c r="L362" i="1"/>
  <c r="K362" i="1"/>
  <c r="J362" i="1"/>
  <c r="G362" i="1"/>
  <c r="H362" i="1" s="1"/>
  <c r="L361" i="1"/>
  <c r="K361" i="1"/>
  <c r="J361" i="1"/>
  <c r="G361" i="1"/>
  <c r="H361" i="1" s="1"/>
  <c r="L360" i="1"/>
  <c r="K360" i="1"/>
  <c r="J360" i="1"/>
  <c r="G360" i="1"/>
  <c r="H360" i="1" s="1"/>
  <c r="L359" i="1"/>
  <c r="K359" i="1"/>
  <c r="J359" i="1"/>
  <c r="G359" i="1"/>
  <c r="H359" i="1" s="1"/>
  <c r="L358" i="1"/>
  <c r="K358" i="1"/>
  <c r="J358" i="1"/>
  <c r="G358" i="1"/>
  <c r="H358" i="1" s="1"/>
  <c r="L357" i="1"/>
  <c r="K357" i="1"/>
  <c r="J357" i="1"/>
  <c r="G357" i="1"/>
  <c r="H357" i="1" s="1"/>
  <c r="L356" i="1"/>
  <c r="K356" i="1"/>
  <c r="J356" i="1"/>
  <c r="G356" i="1"/>
  <c r="H356" i="1" s="1"/>
  <c r="L355" i="1"/>
  <c r="K355" i="1"/>
  <c r="J355" i="1"/>
  <c r="G355" i="1"/>
  <c r="H355" i="1" s="1"/>
  <c r="L354" i="1"/>
  <c r="K354" i="1"/>
  <c r="J354" i="1"/>
  <c r="G354" i="1"/>
  <c r="H354" i="1" s="1"/>
  <c r="L353" i="1"/>
  <c r="K353" i="1"/>
  <c r="J353" i="1"/>
  <c r="G353" i="1"/>
  <c r="H353" i="1" s="1"/>
  <c r="L352" i="1"/>
  <c r="K352" i="1"/>
  <c r="J352" i="1"/>
  <c r="G352" i="1"/>
  <c r="H352" i="1" s="1"/>
  <c r="L351" i="1"/>
  <c r="K351" i="1"/>
  <c r="J351" i="1"/>
  <c r="G351" i="1"/>
  <c r="H351" i="1" s="1"/>
  <c r="L350" i="1"/>
  <c r="K350" i="1"/>
  <c r="J350" i="1"/>
  <c r="G350" i="1"/>
  <c r="H350" i="1" s="1"/>
  <c r="L349" i="1"/>
  <c r="K349" i="1"/>
  <c r="J349" i="1"/>
  <c r="G349" i="1"/>
  <c r="H349" i="1" s="1"/>
  <c r="L348" i="1"/>
  <c r="K348" i="1"/>
  <c r="J348" i="1"/>
  <c r="G348" i="1"/>
  <c r="H348" i="1" s="1"/>
  <c r="L347" i="1"/>
  <c r="K347" i="1"/>
  <c r="J347" i="1"/>
  <c r="G347" i="1"/>
  <c r="H347" i="1" s="1"/>
  <c r="L346" i="1"/>
  <c r="K346" i="1"/>
  <c r="J346" i="1"/>
  <c r="G346" i="1"/>
  <c r="H346" i="1" s="1"/>
  <c r="L345" i="1"/>
  <c r="K345" i="1"/>
  <c r="J345" i="1"/>
  <c r="G345" i="1"/>
  <c r="H345" i="1" s="1"/>
  <c r="L344" i="1"/>
  <c r="K344" i="1"/>
  <c r="J344" i="1"/>
  <c r="G344" i="1"/>
  <c r="H344" i="1" s="1"/>
  <c r="L343" i="1"/>
  <c r="K343" i="1"/>
  <c r="J343" i="1"/>
  <c r="G343" i="1"/>
  <c r="H343" i="1" s="1"/>
  <c r="L342" i="1"/>
  <c r="K342" i="1"/>
  <c r="J342" i="1"/>
  <c r="I342" i="1"/>
  <c r="G342" i="1"/>
  <c r="H342" i="1" s="1"/>
  <c r="L341" i="1"/>
  <c r="K341" i="1"/>
  <c r="J341" i="1"/>
  <c r="G341" i="1"/>
  <c r="H341" i="1" s="1"/>
  <c r="L340" i="1"/>
  <c r="K340" i="1"/>
  <c r="J340" i="1"/>
  <c r="G340" i="1"/>
  <c r="H340" i="1" s="1"/>
  <c r="L339" i="1"/>
  <c r="K339" i="1"/>
  <c r="J339" i="1"/>
  <c r="G339" i="1"/>
  <c r="H339" i="1" s="1"/>
  <c r="L338" i="1"/>
  <c r="K338" i="1"/>
  <c r="J338" i="1"/>
  <c r="G338" i="1"/>
  <c r="H338" i="1" s="1"/>
  <c r="L337" i="1"/>
  <c r="K337" i="1"/>
  <c r="J337" i="1"/>
  <c r="G337" i="1"/>
  <c r="H337" i="1" s="1"/>
  <c r="L336" i="1"/>
  <c r="K336" i="1"/>
  <c r="J336" i="1"/>
  <c r="G336" i="1"/>
  <c r="H336" i="1" s="1"/>
  <c r="L335" i="1"/>
  <c r="K335" i="1"/>
  <c r="J335" i="1"/>
  <c r="G335" i="1"/>
  <c r="H335" i="1" s="1"/>
  <c r="L334" i="1"/>
  <c r="K334" i="1"/>
  <c r="J334" i="1"/>
  <c r="G334" i="1"/>
  <c r="H334" i="1" s="1"/>
  <c r="L333" i="1"/>
  <c r="K333" i="1"/>
  <c r="J333" i="1"/>
  <c r="G333" i="1"/>
  <c r="H333" i="1" s="1"/>
  <c r="L332" i="1"/>
  <c r="K332" i="1"/>
  <c r="J332" i="1"/>
  <c r="G332" i="1"/>
  <c r="H332" i="1" s="1"/>
  <c r="L331" i="1"/>
  <c r="K331" i="1"/>
  <c r="J331" i="1"/>
  <c r="G331" i="1"/>
  <c r="H331" i="1" s="1"/>
  <c r="L330" i="1"/>
  <c r="K330" i="1"/>
  <c r="J330" i="1"/>
  <c r="G330" i="1"/>
  <c r="H330" i="1" s="1"/>
  <c r="L329" i="1"/>
  <c r="J329" i="1"/>
  <c r="E329" i="1"/>
  <c r="K329" i="1" s="1"/>
  <c r="L328" i="1"/>
  <c r="K328" i="1"/>
  <c r="J328" i="1"/>
  <c r="G328" i="1"/>
  <c r="H328" i="1" s="1"/>
  <c r="L327" i="1"/>
  <c r="K327" i="1"/>
  <c r="J327" i="1"/>
  <c r="G327" i="1"/>
  <c r="H327" i="1" s="1"/>
  <c r="L326" i="1"/>
  <c r="K326" i="1"/>
  <c r="J326" i="1"/>
  <c r="G326" i="1"/>
  <c r="H326" i="1" s="1"/>
  <c r="L325" i="1"/>
  <c r="K325" i="1"/>
  <c r="J325" i="1"/>
  <c r="G325" i="1"/>
  <c r="H325" i="1" s="1"/>
  <c r="L324" i="1"/>
  <c r="K324" i="1"/>
  <c r="J324" i="1"/>
  <c r="G324" i="1"/>
  <c r="H324" i="1" s="1"/>
  <c r="L323" i="1"/>
  <c r="K323" i="1"/>
  <c r="J323" i="1"/>
  <c r="G323" i="1"/>
  <c r="H323" i="1" s="1"/>
  <c r="L322" i="1"/>
  <c r="K322" i="1"/>
  <c r="J322" i="1"/>
  <c r="G322" i="1"/>
  <c r="H322" i="1" s="1"/>
  <c r="L321" i="1"/>
  <c r="K321" i="1"/>
  <c r="J321" i="1"/>
  <c r="G321" i="1"/>
  <c r="H321" i="1" s="1"/>
  <c r="L320" i="1"/>
  <c r="K320" i="1"/>
  <c r="J320" i="1"/>
  <c r="G320" i="1"/>
  <c r="H320" i="1" s="1"/>
  <c r="L319" i="1"/>
  <c r="K319" i="1"/>
  <c r="J319" i="1"/>
  <c r="G319" i="1"/>
  <c r="H319" i="1" s="1"/>
  <c r="L318" i="1"/>
  <c r="K318" i="1"/>
  <c r="J318" i="1"/>
  <c r="G318" i="1"/>
  <c r="H318" i="1" s="1"/>
  <c r="L317" i="1"/>
  <c r="K317" i="1"/>
  <c r="J317" i="1"/>
  <c r="G317" i="1"/>
  <c r="H317" i="1" s="1"/>
  <c r="L316" i="1"/>
  <c r="K316" i="1"/>
  <c r="J316" i="1"/>
  <c r="G316" i="1"/>
  <c r="H316" i="1" s="1"/>
  <c r="L315" i="1"/>
  <c r="J315" i="1"/>
  <c r="E315" i="1"/>
  <c r="G315" i="1" s="1"/>
  <c r="H315" i="1" s="1"/>
  <c r="L314" i="1"/>
  <c r="K314" i="1"/>
  <c r="J314" i="1"/>
  <c r="I314" i="1"/>
  <c r="G314" i="1"/>
  <c r="H314" i="1" s="1"/>
  <c r="L313" i="1"/>
  <c r="K313" i="1"/>
  <c r="J313" i="1"/>
  <c r="G313" i="1"/>
  <c r="H313" i="1" s="1"/>
  <c r="L312" i="1"/>
  <c r="K312" i="1"/>
  <c r="J312" i="1"/>
  <c r="G312" i="1"/>
  <c r="H312" i="1" s="1"/>
  <c r="L311" i="1"/>
  <c r="K311" i="1"/>
  <c r="J311" i="1"/>
  <c r="G311" i="1"/>
  <c r="H311" i="1" s="1"/>
  <c r="L310" i="1"/>
  <c r="K310" i="1"/>
  <c r="J310" i="1"/>
  <c r="G310" i="1"/>
  <c r="H310" i="1" s="1"/>
  <c r="L309" i="1"/>
  <c r="K309" i="1"/>
  <c r="J309" i="1"/>
  <c r="G309" i="1"/>
  <c r="H309" i="1" s="1"/>
  <c r="L308" i="1"/>
  <c r="K308" i="1"/>
  <c r="J308" i="1"/>
  <c r="G308" i="1"/>
  <c r="H308" i="1" s="1"/>
  <c r="L307" i="1"/>
  <c r="K307" i="1"/>
  <c r="J307" i="1"/>
  <c r="G307" i="1"/>
  <c r="H307" i="1" s="1"/>
  <c r="L306" i="1"/>
  <c r="K306" i="1"/>
  <c r="J306" i="1"/>
  <c r="G306" i="1"/>
  <c r="H306" i="1" s="1"/>
  <c r="L305" i="1"/>
  <c r="K305" i="1"/>
  <c r="J305" i="1"/>
  <c r="G305" i="1"/>
  <c r="H305" i="1" s="1"/>
  <c r="L304" i="1"/>
  <c r="K304" i="1"/>
  <c r="J304" i="1"/>
  <c r="G304" i="1"/>
  <c r="H304" i="1" s="1"/>
  <c r="L303" i="1"/>
  <c r="K303" i="1"/>
  <c r="J303" i="1"/>
  <c r="G303" i="1"/>
  <c r="H303" i="1" s="1"/>
  <c r="L302" i="1"/>
  <c r="K302" i="1"/>
  <c r="J302" i="1"/>
  <c r="G302" i="1"/>
  <c r="H302" i="1" s="1"/>
  <c r="L301" i="1"/>
  <c r="K301" i="1"/>
  <c r="J301" i="1"/>
  <c r="G301" i="1"/>
  <c r="H301" i="1" s="1"/>
  <c r="L300" i="1"/>
  <c r="K300" i="1"/>
  <c r="J300" i="1"/>
  <c r="G300" i="1"/>
  <c r="H300" i="1" s="1"/>
  <c r="L299" i="1"/>
  <c r="K299" i="1"/>
  <c r="J299" i="1"/>
  <c r="G299" i="1"/>
  <c r="H299" i="1" s="1"/>
  <c r="L298" i="1"/>
  <c r="K298" i="1"/>
  <c r="J298" i="1"/>
  <c r="G298" i="1"/>
  <c r="H298" i="1" s="1"/>
  <c r="L297" i="1"/>
  <c r="K297" i="1"/>
  <c r="J297" i="1"/>
  <c r="G297" i="1"/>
  <c r="H297" i="1" s="1"/>
  <c r="L296" i="1"/>
  <c r="K296" i="1"/>
  <c r="J296" i="1"/>
  <c r="G296" i="1"/>
  <c r="H296" i="1" s="1"/>
  <c r="L295" i="1"/>
  <c r="K295" i="1"/>
  <c r="J295" i="1"/>
  <c r="H295" i="1"/>
  <c r="G295" i="1"/>
  <c r="L294" i="1"/>
  <c r="K294" i="1"/>
  <c r="J294" i="1"/>
  <c r="G294" i="1"/>
  <c r="H294" i="1" s="1"/>
  <c r="L293" i="1"/>
  <c r="K293" i="1"/>
  <c r="J293" i="1"/>
  <c r="G293" i="1"/>
  <c r="H293" i="1" s="1"/>
  <c r="L292" i="1"/>
  <c r="K292" i="1"/>
  <c r="J292" i="1"/>
  <c r="G292" i="1"/>
  <c r="H292" i="1" s="1"/>
  <c r="L291" i="1"/>
  <c r="K291" i="1"/>
  <c r="J291" i="1"/>
  <c r="G291" i="1"/>
  <c r="H291" i="1" s="1"/>
  <c r="L290" i="1"/>
  <c r="K290" i="1"/>
  <c r="J290" i="1"/>
  <c r="G290" i="1"/>
  <c r="H290" i="1" s="1"/>
  <c r="L289" i="1"/>
  <c r="K289" i="1"/>
  <c r="J289" i="1"/>
  <c r="G289" i="1"/>
  <c r="H289" i="1" s="1"/>
  <c r="L288" i="1"/>
  <c r="K288" i="1"/>
  <c r="J288" i="1"/>
  <c r="I288" i="1"/>
  <c r="G288" i="1"/>
  <c r="H288" i="1" s="1"/>
  <c r="L287" i="1"/>
  <c r="K287" i="1"/>
  <c r="J287" i="1"/>
  <c r="G287" i="1"/>
  <c r="H287" i="1" s="1"/>
  <c r="L286" i="1"/>
  <c r="K286" i="1"/>
  <c r="J286" i="1"/>
  <c r="G286" i="1"/>
  <c r="H286" i="1" s="1"/>
  <c r="L285" i="1"/>
  <c r="K285" i="1"/>
  <c r="J285" i="1"/>
  <c r="G285" i="1"/>
  <c r="H285" i="1" s="1"/>
  <c r="L284" i="1"/>
  <c r="K284" i="1"/>
  <c r="J284" i="1"/>
  <c r="G284" i="1"/>
  <c r="H284" i="1" s="1"/>
  <c r="L283" i="1"/>
  <c r="K283" i="1"/>
  <c r="J283" i="1"/>
  <c r="G283" i="1"/>
  <c r="H283" i="1" s="1"/>
  <c r="L282" i="1"/>
  <c r="K282" i="1"/>
  <c r="J282" i="1"/>
  <c r="G282" i="1"/>
  <c r="H282" i="1" s="1"/>
  <c r="L281" i="1"/>
  <c r="K281" i="1"/>
  <c r="J281" i="1"/>
  <c r="G281" i="1"/>
  <c r="H281" i="1" s="1"/>
  <c r="L280" i="1"/>
  <c r="K280" i="1"/>
  <c r="J280" i="1"/>
  <c r="G280" i="1"/>
  <c r="H280" i="1" s="1"/>
  <c r="L279" i="1"/>
  <c r="K279" i="1"/>
  <c r="J279" i="1"/>
  <c r="G279" i="1"/>
  <c r="H279" i="1" s="1"/>
  <c r="L278" i="1"/>
  <c r="K278" i="1"/>
  <c r="J278" i="1"/>
  <c r="G278" i="1"/>
  <c r="H278" i="1" s="1"/>
  <c r="L277" i="1"/>
  <c r="K277" i="1"/>
  <c r="J277" i="1"/>
  <c r="G277" i="1"/>
  <c r="H277" i="1" s="1"/>
  <c r="L276" i="1"/>
  <c r="K276" i="1"/>
  <c r="J276" i="1"/>
  <c r="G276" i="1"/>
  <c r="H276" i="1" s="1"/>
  <c r="L275" i="1"/>
  <c r="K275" i="1"/>
  <c r="J275" i="1"/>
  <c r="G275" i="1"/>
  <c r="H275" i="1" s="1"/>
  <c r="L274" i="1"/>
  <c r="K274" i="1"/>
  <c r="J274" i="1"/>
  <c r="G274" i="1"/>
  <c r="H274" i="1" s="1"/>
  <c r="L273" i="1"/>
  <c r="K273" i="1"/>
  <c r="J273" i="1"/>
  <c r="G273" i="1"/>
  <c r="H273" i="1" s="1"/>
  <c r="L272" i="1"/>
  <c r="K272" i="1"/>
  <c r="J272" i="1"/>
  <c r="G272" i="1"/>
  <c r="H272" i="1" s="1"/>
  <c r="L271" i="1"/>
  <c r="K271" i="1"/>
  <c r="J271" i="1"/>
  <c r="G271" i="1"/>
  <c r="H271" i="1" s="1"/>
  <c r="L270" i="1"/>
  <c r="K270" i="1"/>
  <c r="J270" i="1"/>
  <c r="G270" i="1"/>
  <c r="H270" i="1" s="1"/>
  <c r="L269" i="1"/>
  <c r="K269" i="1"/>
  <c r="J269" i="1"/>
  <c r="G269" i="1"/>
  <c r="H269" i="1" s="1"/>
  <c r="L268" i="1"/>
  <c r="K268" i="1"/>
  <c r="J268" i="1"/>
  <c r="G268" i="1"/>
  <c r="H268" i="1" s="1"/>
  <c r="L267" i="1"/>
  <c r="K267" i="1"/>
  <c r="J267" i="1"/>
  <c r="G267" i="1"/>
  <c r="H267" i="1" s="1"/>
  <c r="L266" i="1"/>
  <c r="K266" i="1"/>
  <c r="J266" i="1"/>
  <c r="G266" i="1"/>
  <c r="H266" i="1" s="1"/>
  <c r="L265" i="1"/>
  <c r="K265" i="1"/>
  <c r="J265" i="1"/>
  <c r="G265" i="1"/>
  <c r="H265" i="1" s="1"/>
  <c r="L264" i="1"/>
  <c r="K264" i="1"/>
  <c r="J264" i="1"/>
  <c r="G264" i="1"/>
  <c r="H264" i="1" s="1"/>
  <c r="L263" i="1"/>
  <c r="K263" i="1"/>
  <c r="J263" i="1"/>
  <c r="G263" i="1"/>
  <c r="H263" i="1" s="1"/>
  <c r="L262" i="1"/>
  <c r="K262" i="1"/>
  <c r="J262" i="1"/>
  <c r="G262" i="1"/>
  <c r="H262" i="1" s="1"/>
  <c r="L261" i="1"/>
  <c r="K261" i="1"/>
  <c r="J261" i="1"/>
  <c r="G261" i="1"/>
  <c r="H261" i="1" s="1"/>
  <c r="L260" i="1"/>
  <c r="K260" i="1"/>
  <c r="J260" i="1"/>
  <c r="G260" i="1"/>
  <c r="H260" i="1" s="1"/>
  <c r="L259" i="1"/>
  <c r="K259" i="1"/>
  <c r="J259" i="1"/>
  <c r="I259" i="1"/>
  <c r="G259" i="1"/>
  <c r="H259" i="1" s="1"/>
  <c r="L258" i="1"/>
  <c r="K258" i="1"/>
  <c r="J258" i="1"/>
  <c r="G258" i="1"/>
  <c r="H258" i="1" s="1"/>
  <c r="L257" i="1"/>
  <c r="K257" i="1"/>
  <c r="J257" i="1"/>
  <c r="G257" i="1"/>
  <c r="H257" i="1" s="1"/>
  <c r="L256" i="1"/>
  <c r="K256" i="1"/>
  <c r="J256" i="1"/>
  <c r="G256" i="1"/>
  <c r="H256" i="1" s="1"/>
  <c r="L255" i="1"/>
  <c r="K255" i="1"/>
  <c r="J255" i="1"/>
  <c r="G255" i="1"/>
  <c r="H255" i="1" s="1"/>
  <c r="L254" i="1"/>
  <c r="K254" i="1"/>
  <c r="J254" i="1"/>
  <c r="G254" i="1"/>
  <c r="H254" i="1" s="1"/>
  <c r="L253" i="1"/>
  <c r="K253" i="1"/>
  <c r="J253" i="1"/>
  <c r="H253" i="1"/>
  <c r="G253" i="1"/>
  <c r="L252" i="1"/>
  <c r="K252" i="1"/>
  <c r="J252" i="1"/>
  <c r="G252" i="1"/>
  <c r="H252" i="1" s="1"/>
  <c r="L251" i="1"/>
  <c r="K251" i="1"/>
  <c r="J251" i="1"/>
  <c r="G251" i="1"/>
  <c r="H251" i="1" s="1"/>
  <c r="L250" i="1"/>
  <c r="K250" i="1"/>
  <c r="J250" i="1"/>
  <c r="G250" i="1"/>
  <c r="H250" i="1" s="1"/>
  <c r="L249" i="1"/>
  <c r="K249" i="1"/>
  <c r="J249" i="1"/>
  <c r="G249" i="1"/>
  <c r="H249" i="1" s="1"/>
  <c r="L248" i="1"/>
  <c r="K248" i="1"/>
  <c r="J248" i="1"/>
  <c r="G248" i="1"/>
  <c r="H248" i="1" s="1"/>
  <c r="L247" i="1"/>
  <c r="K247" i="1"/>
  <c r="J247" i="1"/>
  <c r="G247" i="1"/>
  <c r="H247" i="1" s="1"/>
  <c r="L246" i="1"/>
  <c r="K246" i="1"/>
  <c r="J246" i="1"/>
  <c r="G246" i="1"/>
  <c r="H246" i="1" s="1"/>
  <c r="L245" i="1"/>
  <c r="K245" i="1"/>
  <c r="J245" i="1"/>
  <c r="G245" i="1"/>
  <c r="H245" i="1" s="1"/>
  <c r="L244" i="1"/>
  <c r="K244" i="1"/>
  <c r="J244" i="1"/>
  <c r="G244" i="1"/>
  <c r="H244" i="1" s="1"/>
  <c r="L243" i="1"/>
  <c r="K243" i="1"/>
  <c r="J243" i="1"/>
  <c r="G243" i="1"/>
  <c r="H243" i="1" s="1"/>
  <c r="L242" i="1"/>
  <c r="K242" i="1"/>
  <c r="J242" i="1"/>
  <c r="G242" i="1"/>
  <c r="H242" i="1" s="1"/>
  <c r="L241" i="1"/>
  <c r="K241" i="1"/>
  <c r="J241" i="1"/>
  <c r="G241" i="1"/>
  <c r="H241" i="1" s="1"/>
  <c r="L240" i="1"/>
  <c r="K240" i="1"/>
  <c r="J240" i="1"/>
  <c r="G240" i="1"/>
  <c r="H240" i="1" s="1"/>
  <c r="L239" i="1"/>
  <c r="K239" i="1"/>
  <c r="J239" i="1"/>
  <c r="G239" i="1"/>
  <c r="H239" i="1" s="1"/>
  <c r="L238" i="1"/>
  <c r="K238" i="1"/>
  <c r="J238" i="1"/>
  <c r="G238" i="1"/>
  <c r="H238" i="1" s="1"/>
  <c r="L237" i="1"/>
  <c r="K237" i="1"/>
  <c r="J237" i="1"/>
  <c r="G237" i="1"/>
  <c r="H237" i="1" s="1"/>
  <c r="L236" i="1"/>
  <c r="K236" i="1"/>
  <c r="J236" i="1"/>
  <c r="G236" i="1"/>
  <c r="H236" i="1" s="1"/>
  <c r="L235" i="1"/>
  <c r="K235" i="1"/>
  <c r="J235" i="1"/>
  <c r="G235" i="1"/>
  <c r="H235" i="1" s="1"/>
  <c r="L234" i="1"/>
  <c r="K234" i="1"/>
  <c r="J234" i="1"/>
  <c r="G234" i="1"/>
  <c r="H234" i="1" s="1"/>
  <c r="L233" i="1"/>
  <c r="K233" i="1"/>
  <c r="J233" i="1"/>
  <c r="G233" i="1"/>
  <c r="H233" i="1" s="1"/>
  <c r="L232" i="1"/>
  <c r="K232" i="1"/>
  <c r="J232" i="1"/>
  <c r="H232" i="1"/>
  <c r="G232" i="1"/>
  <c r="L231" i="1"/>
  <c r="K231" i="1"/>
  <c r="J231" i="1"/>
  <c r="G231" i="1"/>
  <c r="H231" i="1" s="1"/>
  <c r="L230" i="1"/>
  <c r="K230" i="1"/>
  <c r="J230" i="1"/>
  <c r="G230" i="1"/>
  <c r="H230" i="1" s="1"/>
  <c r="L229" i="1"/>
  <c r="K229" i="1"/>
  <c r="J229" i="1"/>
  <c r="I229" i="1"/>
  <c r="G229" i="1"/>
  <c r="H229" i="1" s="1"/>
  <c r="L228" i="1"/>
  <c r="K228" i="1"/>
  <c r="J228" i="1"/>
  <c r="G228" i="1"/>
  <c r="H228" i="1" s="1"/>
  <c r="L227" i="1"/>
  <c r="K227" i="1"/>
  <c r="J227" i="1"/>
  <c r="G227" i="1"/>
  <c r="H227" i="1" s="1"/>
  <c r="L226" i="1"/>
  <c r="K226" i="1"/>
  <c r="J226" i="1"/>
  <c r="G226" i="1"/>
  <c r="H226" i="1" s="1"/>
  <c r="L225" i="1"/>
  <c r="K225" i="1"/>
  <c r="J225" i="1"/>
  <c r="G225" i="1"/>
  <c r="H225" i="1" s="1"/>
  <c r="L224" i="1"/>
  <c r="K224" i="1"/>
  <c r="J224" i="1"/>
  <c r="G224" i="1"/>
  <c r="H224" i="1" s="1"/>
  <c r="L223" i="1"/>
  <c r="K223" i="1"/>
  <c r="J223" i="1"/>
  <c r="G223" i="1"/>
  <c r="H223" i="1" s="1"/>
  <c r="L222" i="1"/>
  <c r="K222" i="1"/>
  <c r="J222" i="1"/>
  <c r="G222" i="1"/>
  <c r="H222" i="1" s="1"/>
  <c r="L221" i="1"/>
  <c r="K221" i="1"/>
  <c r="J221" i="1"/>
  <c r="G221" i="1"/>
  <c r="H221" i="1" s="1"/>
  <c r="L220" i="1"/>
  <c r="K220" i="1"/>
  <c r="J220" i="1"/>
  <c r="G220" i="1"/>
  <c r="H220" i="1" s="1"/>
  <c r="L219" i="1"/>
  <c r="K219" i="1"/>
  <c r="J219" i="1"/>
  <c r="G219" i="1"/>
  <c r="H219" i="1" s="1"/>
  <c r="L218" i="1"/>
  <c r="K218" i="1"/>
  <c r="J218" i="1"/>
  <c r="G218" i="1"/>
  <c r="H218" i="1" s="1"/>
  <c r="L217" i="1"/>
  <c r="K217" i="1"/>
  <c r="J217" i="1"/>
  <c r="G217" i="1"/>
  <c r="H217" i="1" s="1"/>
  <c r="L216" i="1"/>
  <c r="K216" i="1"/>
  <c r="J216" i="1"/>
  <c r="G216" i="1"/>
  <c r="H216" i="1" s="1"/>
  <c r="L215" i="1"/>
  <c r="K215" i="1"/>
  <c r="J215" i="1"/>
  <c r="G215" i="1"/>
  <c r="H215" i="1" s="1"/>
  <c r="L214" i="1"/>
  <c r="K214" i="1"/>
  <c r="J214" i="1"/>
  <c r="G214" i="1"/>
  <c r="H214" i="1" s="1"/>
  <c r="L213" i="1"/>
  <c r="K213" i="1"/>
  <c r="J213" i="1"/>
  <c r="G213" i="1"/>
  <c r="H213" i="1" s="1"/>
  <c r="L212" i="1"/>
  <c r="K212" i="1"/>
  <c r="J212" i="1"/>
  <c r="G212" i="1"/>
  <c r="H212" i="1" s="1"/>
  <c r="L211" i="1"/>
  <c r="K211" i="1"/>
  <c r="J211" i="1"/>
  <c r="G211" i="1"/>
  <c r="H211" i="1" s="1"/>
  <c r="L210" i="1"/>
  <c r="J210" i="1"/>
  <c r="L209" i="1"/>
  <c r="J209" i="1"/>
  <c r="E209" i="1"/>
  <c r="E210" i="1" s="1"/>
  <c r="K210" i="1" s="1"/>
  <c r="L208" i="1"/>
  <c r="K208" i="1"/>
  <c r="J208" i="1"/>
  <c r="G208" i="1"/>
  <c r="H208" i="1" s="1"/>
  <c r="L207" i="1"/>
  <c r="K207" i="1"/>
  <c r="J207" i="1"/>
  <c r="G207" i="1"/>
  <c r="H207" i="1" s="1"/>
  <c r="L206" i="1"/>
  <c r="K206" i="1"/>
  <c r="J206" i="1"/>
  <c r="G206" i="1"/>
  <c r="H206" i="1" s="1"/>
  <c r="L205" i="1"/>
  <c r="K205" i="1"/>
  <c r="J205" i="1"/>
  <c r="G205" i="1"/>
  <c r="H205" i="1" s="1"/>
  <c r="L204" i="1"/>
  <c r="J204" i="1"/>
  <c r="E204" i="1"/>
  <c r="K204" i="1" s="1"/>
  <c r="L203" i="1"/>
  <c r="J203" i="1"/>
  <c r="L202" i="1"/>
  <c r="J202" i="1"/>
  <c r="L201" i="1"/>
  <c r="K201" i="1"/>
  <c r="J201" i="1"/>
  <c r="G201" i="1"/>
  <c r="H201" i="1" s="1"/>
  <c r="L200" i="1"/>
  <c r="K200" i="1"/>
  <c r="J200" i="1"/>
  <c r="G200" i="1"/>
  <c r="H200" i="1" s="1"/>
  <c r="L199" i="1"/>
  <c r="K199" i="1"/>
  <c r="J199" i="1"/>
  <c r="I199" i="1"/>
  <c r="G199" i="1"/>
  <c r="H199" i="1" s="1"/>
  <c r="L198" i="1"/>
  <c r="K198" i="1"/>
  <c r="J198" i="1"/>
  <c r="G198" i="1"/>
  <c r="H198" i="1" s="1"/>
  <c r="L197" i="1"/>
  <c r="K197" i="1"/>
  <c r="J197" i="1"/>
  <c r="G197" i="1"/>
  <c r="H197" i="1" s="1"/>
  <c r="L196" i="1"/>
  <c r="K196" i="1"/>
  <c r="J196" i="1"/>
  <c r="G196" i="1"/>
  <c r="H196" i="1" s="1"/>
  <c r="L195" i="1"/>
  <c r="K195" i="1"/>
  <c r="J195" i="1"/>
  <c r="G195" i="1"/>
  <c r="H195" i="1" s="1"/>
  <c r="L194" i="1"/>
  <c r="K194" i="1"/>
  <c r="J194" i="1"/>
  <c r="G194" i="1"/>
  <c r="H194" i="1" s="1"/>
  <c r="L193" i="1"/>
  <c r="K193" i="1"/>
  <c r="J193" i="1"/>
  <c r="G193" i="1"/>
  <c r="H193" i="1" s="1"/>
  <c r="L192" i="1"/>
  <c r="K192" i="1"/>
  <c r="J192" i="1"/>
  <c r="G192" i="1"/>
  <c r="H192" i="1" s="1"/>
  <c r="L191" i="1"/>
  <c r="K191" i="1"/>
  <c r="J191" i="1"/>
  <c r="G191" i="1"/>
  <c r="H191" i="1" s="1"/>
  <c r="L190" i="1"/>
  <c r="K190" i="1"/>
  <c r="J190" i="1"/>
  <c r="G190" i="1"/>
  <c r="H190" i="1" s="1"/>
  <c r="L189" i="1"/>
  <c r="K189" i="1"/>
  <c r="J189" i="1"/>
  <c r="G189" i="1"/>
  <c r="H189" i="1" s="1"/>
  <c r="L188" i="1"/>
  <c r="K188" i="1"/>
  <c r="J188" i="1"/>
  <c r="G188" i="1"/>
  <c r="H188" i="1" s="1"/>
  <c r="L187" i="1"/>
  <c r="K187" i="1"/>
  <c r="J187" i="1"/>
  <c r="G187" i="1"/>
  <c r="H187" i="1" s="1"/>
  <c r="L186" i="1"/>
  <c r="K186" i="1"/>
  <c r="J186" i="1"/>
  <c r="G186" i="1"/>
  <c r="H186" i="1" s="1"/>
  <c r="L185" i="1"/>
  <c r="K185" i="1"/>
  <c r="J185" i="1"/>
  <c r="G185" i="1"/>
  <c r="H185" i="1" s="1"/>
  <c r="L184" i="1"/>
  <c r="K184" i="1"/>
  <c r="J184" i="1"/>
  <c r="G184" i="1"/>
  <c r="H184" i="1" s="1"/>
  <c r="L183" i="1"/>
  <c r="K183" i="1"/>
  <c r="J183" i="1"/>
  <c r="G183" i="1"/>
  <c r="H183" i="1" s="1"/>
  <c r="L182" i="1"/>
  <c r="K182" i="1"/>
  <c r="J182" i="1"/>
  <c r="G182" i="1"/>
  <c r="H182" i="1" s="1"/>
  <c r="L181" i="1"/>
  <c r="K181" i="1"/>
  <c r="J181" i="1"/>
  <c r="G181" i="1"/>
  <c r="H181" i="1" s="1"/>
  <c r="L180" i="1"/>
  <c r="K180" i="1"/>
  <c r="J180" i="1"/>
  <c r="G180" i="1"/>
  <c r="H180" i="1" s="1"/>
  <c r="L179" i="1"/>
  <c r="K179" i="1"/>
  <c r="J179" i="1"/>
  <c r="G179" i="1"/>
  <c r="H179" i="1" s="1"/>
  <c r="L178" i="1"/>
  <c r="K178" i="1"/>
  <c r="J178" i="1"/>
  <c r="G178" i="1"/>
  <c r="H178" i="1" s="1"/>
  <c r="L177" i="1"/>
  <c r="K177" i="1"/>
  <c r="J177" i="1"/>
  <c r="G177" i="1"/>
  <c r="H177" i="1" s="1"/>
  <c r="L176" i="1"/>
  <c r="K176" i="1"/>
  <c r="J176" i="1"/>
  <c r="G176" i="1"/>
  <c r="H176" i="1" s="1"/>
  <c r="L175" i="1"/>
  <c r="K175" i="1"/>
  <c r="J175" i="1"/>
  <c r="G175" i="1"/>
  <c r="H175" i="1" s="1"/>
  <c r="L174" i="1"/>
  <c r="K174" i="1"/>
  <c r="J174" i="1"/>
  <c r="G174" i="1"/>
  <c r="H174" i="1" s="1"/>
  <c r="L173" i="1"/>
  <c r="K173" i="1"/>
  <c r="J173" i="1"/>
  <c r="G173" i="1"/>
  <c r="H173" i="1" s="1"/>
  <c r="L172" i="1"/>
  <c r="K172" i="1"/>
  <c r="J172" i="1"/>
  <c r="G172" i="1"/>
  <c r="H172" i="1" s="1"/>
  <c r="L171" i="1"/>
  <c r="K171" i="1"/>
  <c r="J171" i="1"/>
  <c r="G171" i="1"/>
  <c r="H171" i="1" s="1"/>
  <c r="L170" i="1"/>
  <c r="K170" i="1"/>
  <c r="J170" i="1"/>
  <c r="G170" i="1"/>
  <c r="H170" i="1" s="1"/>
  <c r="L169" i="1"/>
  <c r="K169" i="1"/>
  <c r="J169" i="1"/>
  <c r="I169" i="1"/>
  <c r="G169" i="1"/>
  <c r="H169" i="1" s="1"/>
  <c r="L168" i="1"/>
  <c r="K168" i="1"/>
  <c r="J168" i="1"/>
  <c r="G168" i="1"/>
  <c r="H168" i="1" s="1"/>
  <c r="L167" i="1"/>
  <c r="K167" i="1"/>
  <c r="J167" i="1"/>
  <c r="G167" i="1"/>
  <c r="H167" i="1" s="1"/>
  <c r="L166" i="1"/>
  <c r="K166" i="1"/>
  <c r="J166" i="1"/>
  <c r="G166" i="1"/>
  <c r="H166" i="1" s="1"/>
  <c r="L165" i="1"/>
  <c r="K165" i="1"/>
  <c r="J165" i="1"/>
  <c r="G165" i="1"/>
  <c r="H165" i="1" s="1"/>
  <c r="L164" i="1"/>
  <c r="K164" i="1"/>
  <c r="J164" i="1"/>
  <c r="G164" i="1"/>
  <c r="H164" i="1" s="1"/>
  <c r="L163" i="1"/>
  <c r="K163" i="1"/>
  <c r="J163" i="1"/>
  <c r="G163" i="1"/>
  <c r="H163" i="1" s="1"/>
  <c r="L162" i="1"/>
  <c r="K162" i="1"/>
  <c r="J162" i="1"/>
  <c r="G162" i="1"/>
  <c r="H162" i="1" s="1"/>
  <c r="L161" i="1"/>
  <c r="K161" i="1"/>
  <c r="J161" i="1"/>
  <c r="G161" i="1"/>
  <c r="H161" i="1" s="1"/>
  <c r="L160" i="1"/>
  <c r="K160" i="1"/>
  <c r="J160" i="1"/>
  <c r="G160" i="1"/>
  <c r="H160" i="1" s="1"/>
  <c r="L159" i="1"/>
  <c r="K159" i="1"/>
  <c r="J159" i="1"/>
  <c r="G159" i="1"/>
  <c r="H159" i="1" s="1"/>
  <c r="L158" i="1"/>
  <c r="K158" i="1"/>
  <c r="J158" i="1"/>
  <c r="G158" i="1"/>
  <c r="H158" i="1" s="1"/>
  <c r="L157" i="1"/>
  <c r="K157" i="1"/>
  <c r="J157" i="1"/>
  <c r="G157" i="1"/>
  <c r="H157" i="1" s="1"/>
  <c r="L156" i="1"/>
  <c r="K156" i="1"/>
  <c r="J156" i="1"/>
  <c r="H156" i="1"/>
  <c r="G156" i="1"/>
  <c r="L155" i="1"/>
  <c r="K155" i="1"/>
  <c r="J155" i="1"/>
  <c r="G155" i="1"/>
  <c r="H155" i="1" s="1"/>
  <c r="L154" i="1"/>
  <c r="K154" i="1"/>
  <c r="J154" i="1"/>
  <c r="G154" i="1"/>
  <c r="H154" i="1" s="1"/>
  <c r="L153" i="1"/>
  <c r="K153" i="1"/>
  <c r="J153" i="1"/>
  <c r="G153" i="1"/>
  <c r="H153" i="1" s="1"/>
  <c r="L152" i="1"/>
  <c r="K152" i="1"/>
  <c r="J152" i="1"/>
  <c r="G152" i="1"/>
  <c r="H152" i="1" s="1"/>
  <c r="L151" i="1"/>
  <c r="K151" i="1"/>
  <c r="J151" i="1"/>
  <c r="G151" i="1"/>
  <c r="H151" i="1" s="1"/>
  <c r="L150" i="1"/>
  <c r="K150" i="1"/>
  <c r="J150" i="1"/>
  <c r="G150" i="1"/>
  <c r="H150" i="1" s="1"/>
  <c r="L149" i="1"/>
  <c r="K149" i="1"/>
  <c r="J149" i="1"/>
  <c r="G149" i="1"/>
  <c r="H149" i="1" s="1"/>
  <c r="L148" i="1"/>
  <c r="K148" i="1"/>
  <c r="J148" i="1"/>
  <c r="G148" i="1"/>
  <c r="H148" i="1" s="1"/>
  <c r="L147" i="1"/>
  <c r="K147" i="1"/>
  <c r="J147" i="1"/>
  <c r="G147" i="1"/>
  <c r="H147" i="1" s="1"/>
  <c r="L146" i="1"/>
  <c r="K146" i="1"/>
  <c r="J146" i="1"/>
  <c r="G146" i="1"/>
  <c r="H146" i="1" s="1"/>
  <c r="L145" i="1"/>
  <c r="K145" i="1"/>
  <c r="J145" i="1"/>
  <c r="G145" i="1"/>
  <c r="H145" i="1" s="1"/>
  <c r="L144" i="1"/>
  <c r="K144" i="1"/>
  <c r="J144" i="1"/>
  <c r="G144" i="1"/>
  <c r="H144" i="1" s="1"/>
  <c r="L143" i="1"/>
  <c r="K143" i="1"/>
  <c r="J143" i="1"/>
  <c r="G143" i="1"/>
  <c r="H143" i="1" s="1"/>
  <c r="L142" i="1"/>
  <c r="K142" i="1"/>
  <c r="J142" i="1"/>
  <c r="G142" i="1"/>
  <c r="H142" i="1" s="1"/>
  <c r="L141" i="1"/>
  <c r="K141" i="1"/>
  <c r="J141" i="1"/>
  <c r="I141" i="1"/>
  <c r="G141" i="1"/>
  <c r="H141" i="1" s="1"/>
  <c r="L140" i="1"/>
  <c r="K140" i="1"/>
  <c r="J140" i="1"/>
  <c r="G140" i="1"/>
  <c r="H140" i="1" s="1"/>
  <c r="L139" i="1"/>
  <c r="K139" i="1"/>
  <c r="J139" i="1"/>
  <c r="G139" i="1"/>
  <c r="H139" i="1" s="1"/>
  <c r="L138" i="1"/>
  <c r="K138" i="1"/>
  <c r="J138" i="1"/>
  <c r="G138" i="1"/>
  <c r="H138" i="1" s="1"/>
  <c r="L137" i="1"/>
  <c r="K137" i="1"/>
  <c r="J137" i="1"/>
  <c r="G137" i="1"/>
  <c r="H137" i="1" s="1"/>
  <c r="L136" i="1"/>
  <c r="K136" i="1"/>
  <c r="J136" i="1"/>
  <c r="G136" i="1"/>
  <c r="H136" i="1" s="1"/>
  <c r="L135" i="1"/>
  <c r="K135" i="1"/>
  <c r="J135" i="1"/>
  <c r="G135" i="1"/>
  <c r="H135" i="1" s="1"/>
  <c r="L134" i="1"/>
  <c r="K134" i="1"/>
  <c r="J134" i="1"/>
  <c r="G134" i="1"/>
  <c r="H134" i="1" s="1"/>
  <c r="L133" i="1"/>
  <c r="K133" i="1"/>
  <c r="J133" i="1"/>
  <c r="G133" i="1"/>
  <c r="H133" i="1" s="1"/>
  <c r="L132" i="1"/>
  <c r="K132" i="1"/>
  <c r="J132" i="1"/>
  <c r="G132" i="1"/>
  <c r="H132" i="1" s="1"/>
  <c r="L131" i="1"/>
  <c r="K131" i="1"/>
  <c r="J131" i="1"/>
  <c r="G131" i="1"/>
  <c r="H131" i="1" s="1"/>
  <c r="L130" i="1"/>
  <c r="K130" i="1"/>
  <c r="J130" i="1"/>
  <c r="G130" i="1"/>
  <c r="H130" i="1" s="1"/>
  <c r="L129" i="1"/>
  <c r="K129" i="1"/>
  <c r="J129" i="1"/>
  <c r="G129" i="1"/>
  <c r="H129" i="1" s="1"/>
  <c r="L128" i="1"/>
  <c r="K128" i="1"/>
  <c r="J128" i="1"/>
  <c r="G128" i="1"/>
  <c r="H128" i="1" s="1"/>
  <c r="L127" i="1"/>
  <c r="K127" i="1"/>
  <c r="J127" i="1"/>
  <c r="G127" i="1"/>
  <c r="H127" i="1" s="1"/>
  <c r="L126" i="1"/>
  <c r="K126" i="1"/>
  <c r="J126" i="1"/>
  <c r="G126" i="1"/>
  <c r="H126" i="1" s="1"/>
  <c r="L125" i="1"/>
  <c r="K125" i="1"/>
  <c r="J125" i="1"/>
  <c r="G125" i="1"/>
  <c r="H125" i="1" s="1"/>
  <c r="L124" i="1"/>
  <c r="K124" i="1"/>
  <c r="J124" i="1"/>
  <c r="G124" i="1"/>
  <c r="H124" i="1" s="1"/>
  <c r="L123" i="1"/>
  <c r="K123" i="1"/>
  <c r="J123" i="1"/>
  <c r="G123" i="1"/>
  <c r="H123" i="1" s="1"/>
  <c r="L122" i="1"/>
  <c r="K122" i="1"/>
  <c r="J122" i="1"/>
  <c r="G122" i="1"/>
  <c r="H122" i="1" s="1"/>
  <c r="L121" i="1"/>
  <c r="K121" i="1"/>
  <c r="J121" i="1"/>
  <c r="G121" i="1"/>
  <c r="H121" i="1" s="1"/>
  <c r="L120" i="1"/>
  <c r="K120" i="1"/>
  <c r="J120" i="1"/>
  <c r="G120" i="1"/>
  <c r="H120" i="1" s="1"/>
  <c r="L119" i="1"/>
  <c r="K119" i="1"/>
  <c r="J119" i="1"/>
  <c r="G119" i="1"/>
  <c r="H119" i="1" s="1"/>
  <c r="L118" i="1"/>
  <c r="K118" i="1"/>
  <c r="J118" i="1"/>
  <c r="G118" i="1"/>
  <c r="H118" i="1" s="1"/>
  <c r="L117" i="1"/>
  <c r="K117" i="1"/>
  <c r="J117" i="1"/>
  <c r="G117" i="1"/>
  <c r="H117" i="1" s="1"/>
  <c r="L116" i="1"/>
  <c r="K116" i="1"/>
  <c r="J116" i="1"/>
  <c r="I116" i="1"/>
  <c r="G116" i="1"/>
  <c r="H116" i="1" s="1"/>
  <c r="L115" i="1"/>
  <c r="K115" i="1"/>
  <c r="J115" i="1"/>
  <c r="G115" i="1"/>
  <c r="H115" i="1" s="1"/>
  <c r="L114" i="1"/>
  <c r="K114" i="1"/>
  <c r="J114" i="1"/>
  <c r="G114" i="1"/>
  <c r="H114" i="1" s="1"/>
  <c r="L113" i="1"/>
  <c r="K113" i="1"/>
  <c r="J113" i="1"/>
  <c r="G113" i="1"/>
  <c r="H113" i="1" s="1"/>
  <c r="L112" i="1"/>
  <c r="K112" i="1"/>
  <c r="J112" i="1"/>
  <c r="G112" i="1"/>
  <c r="H112" i="1" s="1"/>
  <c r="L111" i="1"/>
  <c r="K111" i="1"/>
  <c r="J111" i="1"/>
  <c r="G111" i="1"/>
  <c r="H111" i="1" s="1"/>
  <c r="L110" i="1"/>
  <c r="K110" i="1"/>
  <c r="J110" i="1"/>
  <c r="G110" i="1"/>
  <c r="H110" i="1" s="1"/>
  <c r="L109" i="1"/>
  <c r="K109" i="1"/>
  <c r="J109" i="1"/>
  <c r="G109" i="1"/>
  <c r="H109" i="1" s="1"/>
  <c r="L108" i="1"/>
  <c r="K108" i="1"/>
  <c r="J108" i="1"/>
  <c r="G108" i="1"/>
  <c r="H108" i="1" s="1"/>
  <c r="L107" i="1"/>
  <c r="K107" i="1"/>
  <c r="J107" i="1"/>
  <c r="G107" i="1"/>
  <c r="H107" i="1" s="1"/>
  <c r="L106" i="1"/>
  <c r="K106" i="1"/>
  <c r="J106" i="1"/>
  <c r="G106" i="1"/>
  <c r="H106" i="1" s="1"/>
  <c r="L105" i="1"/>
  <c r="K105" i="1"/>
  <c r="J105" i="1"/>
  <c r="G105" i="1"/>
  <c r="H105" i="1" s="1"/>
  <c r="L104" i="1"/>
  <c r="K104" i="1"/>
  <c r="J104" i="1"/>
  <c r="G104" i="1"/>
  <c r="H104" i="1" s="1"/>
  <c r="L103" i="1"/>
  <c r="K103" i="1"/>
  <c r="J103" i="1"/>
  <c r="G103" i="1"/>
  <c r="H103" i="1" s="1"/>
  <c r="L102" i="1"/>
  <c r="K102" i="1"/>
  <c r="J102" i="1"/>
  <c r="H102" i="1"/>
  <c r="G102" i="1"/>
  <c r="L101" i="1"/>
  <c r="K101" i="1"/>
  <c r="J101" i="1"/>
  <c r="G101" i="1"/>
  <c r="H101" i="1" s="1"/>
  <c r="L100" i="1"/>
  <c r="K100" i="1"/>
  <c r="J100" i="1"/>
  <c r="G100" i="1"/>
  <c r="H100" i="1" s="1"/>
  <c r="L99" i="1"/>
  <c r="K99" i="1"/>
  <c r="J99" i="1"/>
  <c r="G99" i="1"/>
  <c r="H99" i="1" s="1"/>
  <c r="L98" i="1"/>
  <c r="K98" i="1"/>
  <c r="J98" i="1"/>
  <c r="G98" i="1"/>
  <c r="H98" i="1" s="1"/>
  <c r="L97" i="1"/>
  <c r="K97" i="1"/>
  <c r="J97" i="1"/>
  <c r="G97" i="1"/>
  <c r="H97" i="1" s="1"/>
  <c r="L96" i="1"/>
  <c r="K96" i="1"/>
  <c r="J96" i="1"/>
  <c r="G96" i="1"/>
  <c r="H96" i="1" s="1"/>
  <c r="L95" i="1"/>
  <c r="K95" i="1"/>
  <c r="J95" i="1"/>
  <c r="G95" i="1"/>
  <c r="H95" i="1" s="1"/>
  <c r="L94" i="1"/>
  <c r="J94" i="1"/>
  <c r="E94" i="1"/>
  <c r="G94" i="1" s="1"/>
  <c r="H94" i="1" s="1"/>
  <c r="L93" i="1"/>
  <c r="K93" i="1"/>
  <c r="J93" i="1"/>
  <c r="G93" i="1"/>
  <c r="H93" i="1" s="1"/>
  <c r="L92" i="1"/>
  <c r="K92" i="1"/>
  <c r="J92" i="1"/>
  <c r="G92" i="1"/>
  <c r="H92" i="1" s="1"/>
  <c r="L91" i="1"/>
  <c r="K91" i="1"/>
  <c r="J91" i="1"/>
  <c r="I91" i="1"/>
  <c r="G91" i="1"/>
  <c r="H91" i="1" s="1"/>
  <c r="L90" i="1"/>
  <c r="K90" i="1"/>
  <c r="J90" i="1"/>
  <c r="G90" i="1"/>
  <c r="H90" i="1" s="1"/>
  <c r="L89" i="1"/>
  <c r="K89" i="1"/>
  <c r="J89" i="1"/>
  <c r="G89" i="1"/>
  <c r="H89" i="1" s="1"/>
  <c r="L88" i="1"/>
  <c r="K88" i="1"/>
  <c r="J88" i="1"/>
  <c r="G88" i="1"/>
  <c r="H88" i="1" s="1"/>
  <c r="L87" i="1"/>
  <c r="K87" i="1"/>
  <c r="J87" i="1"/>
  <c r="G87" i="1"/>
  <c r="H87" i="1" s="1"/>
  <c r="L86" i="1"/>
  <c r="K86" i="1"/>
  <c r="J86" i="1"/>
  <c r="G86" i="1"/>
  <c r="H86" i="1" s="1"/>
  <c r="L85" i="1"/>
  <c r="K85" i="1"/>
  <c r="J85" i="1"/>
  <c r="G85" i="1"/>
  <c r="H85" i="1" s="1"/>
  <c r="L84" i="1"/>
  <c r="J84" i="1"/>
  <c r="E84" i="1"/>
  <c r="K84" i="1" s="1"/>
  <c r="L83" i="1"/>
  <c r="K83" i="1"/>
  <c r="J83" i="1"/>
  <c r="G83" i="1"/>
  <c r="H83" i="1" s="1"/>
  <c r="L82" i="1"/>
  <c r="K82" i="1"/>
  <c r="J82" i="1"/>
  <c r="G82" i="1"/>
  <c r="H82" i="1" s="1"/>
  <c r="L81" i="1"/>
  <c r="K81" i="1"/>
  <c r="J81" i="1"/>
  <c r="G81" i="1"/>
  <c r="H81" i="1" s="1"/>
  <c r="L80" i="1"/>
  <c r="K80" i="1"/>
  <c r="J80" i="1"/>
  <c r="G80" i="1"/>
  <c r="H80" i="1" s="1"/>
  <c r="L79" i="1"/>
  <c r="K79" i="1"/>
  <c r="J79" i="1"/>
  <c r="G79" i="1"/>
  <c r="H79" i="1" s="1"/>
  <c r="L78" i="1"/>
  <c r="K78" i="1"/>
  <c r="J78" i="1"/>
  <c r="G78" i="1"/>
  <c r="H78" i="1" s="1"/>
  <c r="L77" i="1"/>
  <c r="K77" i="1"/>
  <c r="J77" i="1"/>
  <c r="G77" i="1"/>
  <c r="H77" i="1" s="1"/>
  <c r="L76" i="1"/>
  <c r="K76" i="1"/>
  <c r="J76" i="1"/>
  <c r="G76" i="1"/>
  <c r="H76" i="1" s="1"/>
  <c r="L75" i="1"/>
  <c r="K75" i="1"/>
  <c r="J75" i="1"/>
  <c r="G75" i="1"/>
  <c r="H75" i="1" s="1"/>
  <c r="L74" i="1"/>
  <c r="K74" i="1"/>
  <c r="J74" i="1"/>
  <c r="G74" i="1"/>
  <c r="H74" i="1" s="1"/>
  <c r="L73" i="1"/>
  <c r="K73" i="1"/>
  <c r="J73" i="1"/>
  <c r="G73" i="1"/>
  <c r="H73" i="1" s="1"/>
  <c r="L72" i="1"/>
  <c r="K72" i="1"/>
  <c r="J72" i="1"/>
  <c r="G72" i="1"/>
  <c r="H72" i="1" s="1"/>
  <c r="L71" i="1"/>
  <c r="K71" i="1"/>
  <c r="J71" i="1"/>
  <c r="G71" i="1"/>
  <c r="H71" i="1" s="1"/>
  <c r="L70" i="1"/>
  <c r="K70" i="1"/>
  <c r="J70" i="1"/>
  <c r="G70" i="1"/>
  <c r="H70" i="1" s="1"/>
  <c r="L69" i="1"/>
  <c r="K69" i="1"/>
  <c r="J69" i="1"/>
  <c r="G69" i="1"/>
  <c r="H69" i="1" s="1"/>
  <c r="L68" i="1"/>
  <c r="K68" i="1"/>
  <c r="J68" i="1"/>
  <c r="G68" i="1"/>
  <c r="H68" i="1" s="1"/>
  <c r="L67" i="1"/>
  <c r="K67" i="1"/>
  <c r="J67" i="1"/>
  <c r="G67" i="1"/>
  <c r="H67" i="1" s="1"/>
  <c r="L66" i="1"/>
  <c r="K66" i="1"/>
  <c r="J66" i="1"/>
  <c r="G66" i="1"/>
  <c r="H66" i="1" s="1"/>
  <c r="L65" i="1"/>
  <c r="K65" i="1"/>
  <c r="J65" i="1"/>
  <c r="I65" i="1"/>
  <c r="G65" i="1"/>
  <c r="H65" i="1" s="1"/>
  <c r="L64" i="1"/>
  <c r="K64" i="1"/>
  <c r="J64" i="1"/>
  <c r="G64" i="1"/>
  <c r="H64" i="1" s="1"/>
  <c r="L63" i="1"/>
  <c r="K63" i="1"/>
  <c r="J63" i="1"/>
  <c r="G63" i="1"/>
  <c r="H63" i="1" s="1"/>
  <c r="L62" i="1"/>
  <c r="K62" i="1"/>
  <c r="J62" i="1"/>
  <c r="G62" i="1"/>
  <c r="H62" i="1" s="1"/>
  <c r="L61" i="1"/>
  <c r="K61" i="1"/>
  <c r="J61" i="1"/>
  <c r="G61" i="1"/>
  <c r="H61" i="1" s="1"/>
  <c r="L60" i="1"/>
  <c r="K60" i="1"/>
  <c r="J60" i="1"/>
  <c r="G60" i="1"/>
  <c r="H60" i="1" s="1"/>
  <c r="L59" i="1"/>
  <c r="K59" i="1"/>
  <c r="J59" i="1"/>
  <c r="G59" i="1"/>
  <c r="H59" i="1" s="1"/>
  <c r="L58" i="1"/>
  <c r="K58" i="1"/>
  <c r="J58" i="1"/>
  <c r="G58" i="1"/>
  <c r="H58" i="1" s="1"/>
  <c r="L57" i="1"/>
  <c r="K57" i="1"/>
  <c r="J57" i="1"/>
  <c r="G57" i="1"/>
  <c r="H57" i="1" s="1"/>
  <c r="L56" i="1"/>
  <c r="K56" i="1"/>
  <c r="J56" i="1"/>
  <c r="G56" i="1"/>
  <c r="H56" i="1" s="1"/>
  <c r="L55" i="1"/>
  <c r="K55" i="1"/>
  <c r="J55" i="1"/>
  <c r="G55" i="1"/>
  <c r="H55" i="1" s="1"/>
  <c r="L54" i="1"/>
  <c r="K54" i="1"/>
  <c r="J54" i="1"/>
  <c r="G54" i="1"/>
  <c r="H54" i="1" s="1"/>
  <c r="L53" i="1"/>
  <c r="K53" i="1"/>
  <c r="J53" i="1"/>
  <c r="G53" i="1"/>
  <c r="H53" i="1" s="1"/>
  <c r="L52" i="1"/>
  <c r="K52" i="1"/>
  <c r="J52" i="1"/>
  <c r="G52" i="1"/>
  <c r="H52" i="1" s="1"/>
  <c r="L51" i="1"/>
  <c r="K51" i="1"/>
  <c r="J51" i="1"/>
  <c r="G51" i="1"/>
  <c r="H51" i="1" s="1"/>
  <c r="L50" i="1"/>
  <c r="K50" i="1"/>
  <c r="J50" i="1"/>
  <c r="G50" i="1"/>
  <c r="H50" i="1" s="1"/>
  <c r="L49" i="1"/>
  <c r="K49" i="1"/>
  <c r="J49" i="1"/>
  <c r="G49" i="1"/>
  <c r="H49" i="1" s="1"/>
  <c r="L48" i="1"/>
  <c r="K48" i="1"/>
  <c r="J48" i="1"/>
  <c r="G48" i="1"/>
  <c r="H48" i="1" s="1"/>
  <c r="L47" i="1"/>
  <c r="K47" i="1"/>
  <c r="J47" i="1"/>
  <c r="G47" i="1"/>
  <c r="H47" i="1" s="1"/>
  <c r="L46" i="1"/>
  <c r="K46" i="1"/>
  <c r="J46" i="1"/>
  <c r="G46" i="1"/>
  <c r="H46" i="1" s="1"/>
  <c r="L45" i="1"/>
  <c r="K45" i="1"/>
  <c r="J45" i="1"/>
  <c r="G45" i="1"/>
  <c r="H45" i="1" s="1"/>
  <c r="L44" i="1"/>
  <c r="K44" i="1"/>
  <c r="J44" i="1"/>
  <c r="G44" i="1"/>
  <c r="H44" i="1" s="1"/>
  <c r="L43" i="1"/>
  <c r="K43" i="1"/>
  <c r="J43" i="1"/>
  <c r="G43" i="1"/>
  <c r="H43" i="1" s="1"/>
  <c r="L42" i="1"/>
  <c r="K42" i="1"/>
  <c r="J42" i="1"/>
  <c r="G42" i="1"/>
  <c r="H42" i="1" s="1"/>
  <c r="L41" i="1"/>
  <c r="K41" i="1"/>
  <c r="J41" i="1"/>
  <c r="G41" i="1"/>
  <c r="H41" i="1" s="1"/>
  <c r="L40" i="1"/>
  <c r="K40" i="1"/>
  <c r="J40" i="1"/>
  <c r="G40" i="1"/>
  <c r="H40" i="1" s="1"/>
  <c r="L39" i="1"/>
  <c r="K39" i="1"/>
  <c r="J39" i="1"/>
  <c r="H39" i="1"/>
  <c r="G39" i="1"/>
  <c r="L38" i="1"/>
  <c r="K38" i="1"/>
  <c r="J38" i="1"/>
  <c r="I38" i="1"/>
  <c r="G38" i="1"/>
  <c r="H38" i="1" s="1"/>
  <c r="L37" i="1"/>
  <c r="K37" i="1"/>
  <c r="J37" i="1"/>
  <c r="G37" i="1"/>
  <c r="H37" i="1" s="1"/>
  <c r="L36" i="1"/>
  <c r="K36" i="1"/>
  <c r="J36" i="1"/>
  <c r="G36" i="1"/>
  <c r="H36" i="1" s="1"/>
  <c r="L35" i="1"/>
  <c r="K35" i="1"/>
  <c r="J35" i="1"/>
  <c r="G35" i="1"/>
  <c r="H35" i="1" s="1"/>
  <c r="L34" i="1"/>
  <c r="K34" i="1"/>
  <c r="J34" i="1"/>
  <c r="G34" i="1"/>
  <c r="H34" i="1" s="1"/>
  <c r="L33" i="1"/>
  <c r="K33" i="1"/>
  <c r="J33" i="1"/>
  <c r="G33" i="1"/>
  <c r="H33" i="1" s="1"/>
  <c r="L32" i="1"/>
  <c r="K32" i="1"/>
  <c r="J32" i="1"/>
  <c r="G32" i="1"/>
  <c r="H32" i="1" s="1"/>
  <c r="L31" i="1"/>
  <c r="K31" i="1"/>
  <c r="J31" i="1"/>
  <c r="G31" i="1"/>
  <c r="H31" i="1" s="1"/>
  <c r="L30" i="1"/>
  <c r="K30" i="1"/>
  <c r="J30" i="1"/>
  <c r="G30" i="1"/>
  <c r="H30" i="1" s="1"/>
  <c r="L29" i="1"/>
  <c r="K29" i="1"/>
  <c r="J29" i="1"/>
  <c r="G29" i="1"/>
  <c r="H29" i="1" s="1"/>
  <c r="G28" i="1"/>
  <c r="H28" i="1" s="1"/>
  <c r="G27" i="1"/>
  <c r="H27" i="1" s="1"/>
  <c r="G26" i="1"/>
  <c r="H26" i="1" s="1"/>
  <c r="G25" i="1"/>
  <c r="H25" i="1" s="1"/>
  <c r="G24" i="1"/>
  <c r="H24" i="1" s="1"/>
  <c r="G23" i="1"/>
  <c r="H23" i="1" s="1"/>
  <c r="G22" i="1"/>
  <c r="H22" i="1" s="1"/>
  <c r="G21" i="1"/>
  <c r="H21" i="1" s="1"/>
  <c r="G20" i="1"/>
  <c r="H20" i="1" s="1"/>
  <c r="G19" i="1"/>
  <c r="H19" i="1" s="1"/>
  <c r="G18" i="1"/>
  <c r="H18" i="1" s="1"/>
  <c r="G17" i="1"/>
  <c r="H17" i="1" s="1"/>
  <c r="G16" i="1"/>
  <c r="H16" i="1" s="1"/>
  <c r="G15" i="1"/>
  <c r="H15" i="1" s="1"/>
  <c r="G14" i="1"/>
  <c r="H14" i="1" s="1"/>
  <c r="G13" i="1"/>
  <c r="H13" i="1" s="1"/>
  <c r="G12" i="1"/>
  <c r="H12" i="1" s="1"/>
  <c r="G11" i="1"/>
  <c r="H11" i="1" s="1"/>
  <c r="G10" i="1"/>
  <c r="H10" i="1" s="1"/>
  <c r="G9" i="1"/>
  <c r="H9" i="1" s="1"/>
  <c r="G8" i="1"/>
  <c r="H8" i="1" s="1"/>
  <c r="G7" i="1"/>
  <c r="H7" i="1" s="1"/>
  <c r="G6" i="1"/>
  <c r="H6" i="1" s="1"/>
  <c r="G5" i="1"/>
  <c r="H5" i="1" s="1"/>
  <c r="G4" i="1"/>
  <c r="H4" i="1" s="1"/>
  <c r="G3" i="1"/>
  <c r="H3" i="1" s="1"/>
  <c r="G2" i="1"/>
  <c r="H2" i="1" s="1"/>
  <c r="H1226" i="1" l="1"/>
  <c r="H1386" i="1"/>
  <c r="H1456" i="1"/>
  <c r="H1503" i="1"/>
  <c r="H1567" i="1"/>
  <c r="H1631" i="1"/>
  <c r="H1695" i="1"/>
  <c r="I2110" i="1"/>
  <c r="J2110" i="1" s="1"/>
  <c r="H2113" i="1"/>
  <c r="I2142" i="1"/>
  <c r="J2142" i="1" s="1"/>
  <c r="H2145" i="1"/>
  <c r="H1258" i="1"/>
  <c r="H1426" i="1"/>
  <c r="H1448" i="1"/>
  <c r="H1519" i="1"/>
  <c r="H1583" i="1"/>
  <c r="H1647" i="1"/>
  <c r="I2102" i="1"/>
  <c r="J2102" i="1" s="1"/>
  <c r="H2105" i="1"/>
  <c r="I2117" i="1"/>
  <c r="J2117" i="1" s="1"/>
  <c r="I2134" i="1"/>
  <c r="J2134" i="1" s="1"/>
  <c r="H2137" i="1"/>
  <c r="E202" i="1"/>
  <c r="K202" i="1" s="1"/>
  <c r="H2065" i="1"/>
  <c r="H1234" i="1"/>
  <c r="H1322" i="1"/>
  <c r="H1418" i="1"/>
  <c r="H1483" i="1"/>
  <c r="H1527" i="1"/>
  <c r="H1559" i="1"/>
  <c r="H1591" i="1"/>
  <c r="H1623" i="1"/>
  <c r="H1655" i="1"/>
  <c r="H1687" i="1"/>
  <c r="I2078" i="1"/>
  <c r="J2078" i="1" s="1"/>
  <c r="H2081" i="1"/>
  <c r="I2090" i="1"/>
  <c r="J2090" i="1" s="1"/>
  <c r="H2093" i="1"/>
  <c r="I2106" i="1"/>
  <c r="J2106" i="1" s="1"/>
  <c r="H2109" i="1"/>
  <c r="I2122" i="1"/>
  <c r="J2122" i="1" s="1"/>
  <c r="H2125" i="1"/>
  <c r="I2138" i="1"/>
  <c r="J2138" i="1" s="1"/>
  <c r="H2141" i="1"/>
  <c r="H1194" i="1"/>
  <c r="H1290" i="1"/>
  <c r="H1362" i="1"/>
  <c r="H1475" i="1"/>
  <c r="H1511" i="1"/>
  <c r="H1543" i="1"/>
  <c r="H1575" i="1"/>
  <c r="H1607" i="1"/>
  <c r="H1639" i="1"/>
  <c r="H1671" i="1"/>
  <c r="I2085" i="1"/>
  <c r="J2085" i="1" s="1"/>
  <c r="I2098" i="1"/>
  <c r="J2098" i="1" s="1"/>
  <c r="I2114" i="1"/>
  <c r="J2114" i="1" s="1"/>
  <c r="I2130" i="1"/>
  <c r="J2130" i="1" s="1"/>
  <c r="I2146" i="1"/>
  <c r="J2146" i="1" s="1"/>
  <c r="G202" i="1"/>
  <c r="H202" i="1" s="1"/>
  <c r="G209" i="1"/>
  <c r="H209" i="1" s="1"/>
  <c r="G204" i="1"/>
  <c r="H204" i="1" s="1"/>
  <c r="G210" i="1"/>
  <c r="H210" i="1" s="1"/>
  <c r="H1202" i="1"/>
  <c r="I1210" i="1"/>
  <c r="J1210" i="1" s="1"/>
  <c r="H1210" i="1"/>
  <c r="H1266" i="1"/>
  <c r="I1274" i="1"/>
  <c r="J1274" i="1" s="1"/>
  <c r="H1274" i="1"/>
  <c r="H1330" i="1"/>
  <c r="I1338" i="1"/>
  <c r="J1338" i="1" s="1"/>
  <c r="H1338" i="1"/>
  <c r="H1394" i="1"/>
  <c r="I1402" i="1"/>
  <c r="J1402" i="1" s="1"/>
  <c r="H1402" i="1"/>
  <c r="H1451" i="1"/>
  <c r="H1460" i="1"/>
  <c r="I1472" i="1"/>
  <c r="J1472" i="1" s="1"/>
  <c r="H1472" i="1"/>
  <c r="H1491" i="1"/>
  <c r="I1499" i="1"/>
  <c r="J1499" i="1" s="1"/>
  <c r="H1499" i="1"/>
  <c r="I1515" i="1"/>
  <c r="J1515" i="1" s="1"/>
  <c r="H1515" i="1"/>
  <c r="I1531" i="1"/>
  <c r="J1531" i="1" s="1"/>
  <c r="H1531" i="1"/>
  <c r="I1547" i="1"/>
  <c r="J1547" i="1" s="1"/>
  <c r="H1547" i="1"/>
  <c r="I1563" i="1"/>
  <c r="J1563" i="1" s="1"/>
  <c r="H1563" i="1"/>
  <c r="I1579" i="1"/>
  <c r="J1579" i="1" s="1"/>
  <c r="H1579" i="1"/>
  <c r="I1595" i="1"/>
  <c r="J1595" i="1" s="1"/>
  <c r="H1595" i="1"/>
  <c r="I1611" i="1"/>
  <c r="J1611" i="1" s="1"/>
  <c r="H1611" i="1"/>
  <c r="I1627" i="1"/>
  <c r="J1627" i="1" s="1"/>
  <c r="H1627" i="1"/>
  <c r="I1643" i="1"/>
  <c r="J1643" i="1" s="1"/>
  <c r="H1643" i="1"/>
  <c r="I1677" i="1"/>
  <c r="J1677" i="1" s="1"/>
  <c r="H1677" i="1"/>
  <c r="H1447" i="1"/>
  <c r="H1496" i="1"/>
  <c r="H1509" i="1"/>
  <c r="H1525" i="1"/>
  <c r="H1541" i="1"/>
  <c r="H1557" i="1"/>
  <c r="H1573" i="1"/>
  <c r="H1589" i="1"/>
  <c r="H1605" i="1"/>
  <c r="H1621" i="1"/>
  <c r="H1637" i="1"/>
  <c r="H1653" i="1"/>
  <c r="I1685" i="1"/>
  <c r="J1685" i="1" s="1"/>
  <c r="H1685" i="1"/>
  <c r="I1178" i="1"/>
  <c r="J1178" i="1" s="1"/>
  <c r="H1178" i="1"/>
  <c r="I1242" i="1"/>
  <c r="J1242" i="1" s="1"/>
  <c r="H1242" i="1"/>
  <c r="I1306" i="1"/>
  <c r="J1306" i="1" s="1"/>
  <c r="H1306" i="1"/>
  <c r="I1370" i="1"/>
  <c r="J1370" i="1" s="1"/>
  <c r="H1370" i="1"/>
  <c r="I1434" i="1"/>
  <c r="J1434" i="1" s="1"/>
  <c r="H1434" i="1"/>
  <c r="I1459" i="1"/>
  <c r="J1459" i="1" s="1"/>
  <c r="H1459" i="1"/>
  <c r="I1464" i="1"/>
  <c r="J1464" i="1" s="1"/>
  <c r="H1464" i="1"/>
  <c r="I1474" i="1"/>
  <c r="J1474" i="1" s="1"/>
  <c r="H1474" i="1"/>
  <c r="I1507" i="1"/>
  <c r="J1507" i="1" s="1"/>
  <c r="H1507" i="1"/>
  <c r="I1523" i="1"/>
  <c r="J1523" i="1" s="1"/>
  <c r="H1523" i="1"/>
  <c r="I1539" i="1"/>
  <c r="J1539" i="1" s="1"/>
  <c r="H1539" i="1"/>
  <c r="I1555" i="1"/>
  <c r="J1555" i="1" s="1"/>
  <c r="H1555" i="1"/>
  <c r="I1571" i="1"/>
  <c r="J1571" i="1" s="1"/>
  <c r="H1571" i="1"/>
  <c r="I1587" i="1"/>
  <c r="J1587" i="1" s="1"/>
  <c r="H1587" i="1"/>
  <c r="I1603" i="1"/>
  <c r="J1603" i="1" s="1"/>
  <c r="H1603" i="1"/>
  <c r="I1619" i="1"/>
  <c r="J1619" i="1" s="1"/>
  <c r="H1619" i="1"/>
  <c r="I1635" i="1"/>
  <c r="J1635" i="1" s="1"/>
  <c r="H1635" i="1"/>
  <c r="I1651" i="1"/>
  <c r="J1651" i="1" s="1"/>
  <c r="H1651" i="1"/>
  <c r="I1661" i="1"/>
  <c r="J1661" i="1" s="1"/>
  <c r="H1661" i="1"/>
  <c r="I1693" i="1"/>
  <c r="J1693" i="1" s="1"/>
  <c r="H1693" i="1"/>
  <c r="H1455" i="1"/>
  <c r="H1462" i="1"/>
  <c r="I1468" i="1"/>
  <c r="J1468" i="1" s="1"/>
  <c r="H1468" i="1"/>
  <c r="I1495" i="1"/>
  <c r="J1495" i="1" s="1"/>
  <c r="H1495" i="1"/>
  <c r="H1501" i="1"/>
  <c r="H1517" i="1"/>
  <c r="H1533" i="1"/>
  <c r="H1549" i="1"/>
  <c r="H1565" i="1"/>
  <c r="H1581" i="1"/>
  <c r="H1597" i="1"/>
  <c r="H1613" i="1"/>
  <c r="H1629" i="1"/>
  <c r="H1645" i="1"/>
  <c r="I1669" i="1"/>
  <c r="J1669" i="1" s="1"/>
  <c r="H1669" i="1"/>
  <c r="H1186" i="1"/>
  <c r="H1218" i="1"/>
  <c r="H1250" i="1"/>
  <c r="H1282" i="1"/>
  <c r="H1314" i="1"/>
  <c r="H1346" i="1"/>
  <c r="H1378" i="1"/>
  <c r="H1410" i="1"/>
  <c r="H1463" i="1"/>
  <c r="H1467" i="1"/>
  <c r="H1471" i="1"/>
  <c r="H1476" i="1"/>
  <c r="H1480" i="1"/>
  <c r="H1484" i="1"/>
  <c r="H1488" i="1"/>
  <c r="H1490" i="1"/>
  <c r="H1505" i="1"/>
  <c r="H1513" i="1"/>
  <c r="H1521" i="1"/>
  <c r="H1529" i="1"/>
  <c r="H1537" i="1"/>
  <c r="H1545" i="1"/>
  <c r="H1553" i="1"/>
  <c r="H1561" i="1"/>
  <c r="H1569" i="1"/>
  <c r="H1577" i="1"/>
  <c r="H1585" i="1"/>
  <c r="H1593" i="1"/>
  <c r="H1601" i="1"/>
  <c r="H1609" i="1"/>
  <c r="H1617" i="1"/>
  <c r="H1625" i="1"/>
  <c r="H1633" i="1"/>
  <c r="H1641" i="1"/>
  <c r="H1649" i="1"/>
  <c r="H1657" i="1"/>
  <c r="H1665" i="1"/>
  <c r="H1673" i="1"/>
  <c r="H1681" i="1"/>
  <c r="H1689" i="1"/>
  <c r="H1696" i="1"/>
  <c r="H1826" i="1"/>
  <c r="H1842" i="1"/>
  <c r="H1959" i="1"/>
  <c r="H1963" i="1"/>
  <c r="H1967" i="1"/>
  <c r="H1971" i="1"/>
  <c r="H1975" i="1"/>
  <c r="H1979" i="1"/>
  <c r="H1983" i="1"/>
  <c r="H1987" i="1"/>
  <c r="H1991" i="1"/>
  <c r="I2074" i="1"/>
  <c r="J2074" i="1" s="1"/>
  <c r="H2077" i="1"/>
  <c r="I2070" i="1"/>
  <c r="J2070" i="1" s="1"/>
  <c r="H2073" i="1"/>
  <c r="I2086" i="1"/>
  <c r="J2086" i="1" s="1"/>
  <c r="H2089" i="1"/>
  <c r="H2092" i="1"/>
  <c r="H2096" i="1"/>
  <c r="H2100" i="1"/>
  <c r="H2104" i="1"/>
  <c r="H2108" i="1"/>
  <c r="H2112" i="1"/>
  <c r="H2116" i="1"/>
  <c r="H2120" i="1"/>
  <c r="H2124" i="1"/>
  <c r="H2128" i="1"/>
  <c r="H2132" i="1"/>
  <c r="H2136" i="1"/>
  <c r="H2140" i="1"/>
  <c r="H2144" i="1"/>
  <c r="H1834" i="1"/>
  <c r="H1960" i="1"/>
  <c r="H1964" i="1"/>
  <c r="H1968" i="1"/>
  <c r="H1972" i="1"/>
  <c r="H1976" i="1"/>
  <c r="H1980" i="1"/>
  <c r="H1984" i="1"/>
  <c r="H1988" i="1"/>
  <c r="I2066" i="1"/>
  <c r="J2066" i="1" s="1"/>
  <c r="I2082" i="1"/>
  <c r="J2082" i="1" s="1"/>
  <c r="H2091" i="1"/>
  <c r="H2095" i="1"/>
  <c r="H2099" i="1"/>
  <c r="H2103" i="1"/>
  <c r="H2107" i="1"/>
  <c r="H2111" i="1"/>
  <c r="H2115" i="1"/>
  <c r="H2119" i="1"/>
  <c r="H2123" i="1"/>
  <c r="H2127" i="1"/>
  <c r="H2131" i="1"/>
  <c r="H2135" i="1"/>
  <c r="H2139" i="1"/>
  <c r="H2143" i="1"/>
  <c r="H2147" i="1"/>
  <c r="H1659" i="1"/>
  <c r="H1667" i="1"/>
  <c r="H1675" i="1"/>
  <c r="H1683" i="1"/>
  <c r="H1691" i="1"/>
  <c r="H1830" i="1"/>
  <c r="I1442" i="1"/>
  <c r="J1442" i="1" s="1"/>
  <c r="H1442" i="1"/>
  <c r="I1710" i="1"/>
  <c r="J1710" i="1" s="1"/>
  <c r="H1710" i="1"/>
  <c r="I1742" i="1"/>
  <c r="J1742" i="1" s="1"/>
  <c r="H1742" i="1"/>
  <c r="I1806" i="1"/>
  <c r="J1806" i="1" s="1"/>
  <c r="H1806" i="1"/>
  <c r="I1865" i="1"/>
  <c r="J1865" i="1" s="1"/>
  <c r="H1865" i="1"/>
  <c r="I1871" i="1"/>
  <c r="J1871" i="1" s="1"/>
  <c r="H1871" i="1"/>
  <c r="I1935" i="1"/>
  <c r="J1935" i="1" s="1"/>
  <c r="H1935" i="1"/>
  <c r="I2063" i="1"/>
  <c r="J2063" i="1" s="1"/>
  <c r="H2063" i="1"/>
  <c r="I2079" i="1"/>
  <c r="J2079" i="1" s="1"/>
  <c r="H2079" i="1"/>
  <c r="G84" i="1"/>
  <c r="H84" i="1" s="1"/>
  <c r="J1088" i="1"/>
  <c r="H1176" i="1"/>
  <c r="H1192" i="1"/>
  <c r="H1200" i="1"/>
  <c r="H1208" i="1"/>
  <c r="H1216" i="1"/>
  <c r="H1248" i="1"/>
  <c r="H1264" i="1"/>
  <c r="H1272" i="1"/>
  <c r="H1296" i="1"/>
  <c r="H1304" i="1"/>
  <c r="H1320" i="1"/>
  <c r="H1328" i="1"/>
  <c r="H1352" i="1"/>
  <c r="H1360" i="1"/>
  <c r="H1376" i="1"/>
  <c r="H1400" i="1"/>
  <c r="H1408" i="1"/>
  <c r="H1424" i="1"/>
  <c r="I1449" i="1"/>
  <c r="J1449" i="1" s="1"/>
  <c r="H1449" i="1"/>
  <c r="I1453" i="1"/>
  <c r="J1453" i="1" s="1"/>
  <c r="H1453" i="1"/>
  <c r="I1485" i="1"/>
  <c r="J1485" i="1" s="1"/>
  <c r="H1485" i="1"/>
  <c r="K209" i="1"/>
  <c r="H1166" i="1"/>
  <c r="H1174" i="1"/>
  <c r="H1182" i="1"/>
  <c r="H1190" i="1"/>
  <c r="H1198" i="1"/>
  <c r="H1206" i="1"/>
  <c r="H1214" i="1"/>
  <c r="H1222" i="1"/>
  <c r="H1230" i="1"/>
  <c r="H1238" i="1"/>
  <c r="H1246" i="1"/>
  <c r="H1254" i="1"/>
  <c r="H1262" i="1"/>
  <c r="H1270" i="1"/>
  <c r="H1278" i="1"/>
  <c r="H1286" i="1"/>
  <c r="H1294" i="1"/>
  <c r="H1302" i="1"/>
  <c r="H1310" i="1"/>
  <c r="H1318" i="1"/>
  <c r="H1326" i="1"/>
  <c r="H1334" i="1"/>
  <c r="H1342" i="1"/>
  <c r="H1350" i="1"/>
  <c r="H1358" i="1"/>
  <c r="H1366" i="1"/>
  <c r="H1374" i="1"/>
  <c r="H1382" i="1"/>
  <c r="H1390" i="1"/>
  <c r="H1398" i="1"/>
  <c r="H1406" i="1"/>
  <c r="H1414" i="1"/>
  <c r="H1422" i="1"/>
  <c r="H1430" i="1"/>
  <c r="I1438" i="1"/>
  <c r="J1438" i="1" s="1"/>
  <c r="H1438" i="1"/>
  <c r="H1446" i="1"/>
  <c r="I1450" i="1"/>
  <c r="J1450" i="1" s="1"/>
  <c r="H1450" i="1"/>
  <c r="H1478" i="1"/>
  <c r="I1482" i="1"/>
  <c r="J1482" i="1" s="1"/>
  <c r="H1482" i="1"/>
  <c r="I1502" i="1"/>
  <c r="J1502" i="1" s="1"/>
  <c r="H1502" i="1"/>
  <c r="I1510" i="1"/>
  <c r="J1510" i="1" s="1"/>
  <c r="H1510" i="1"/>
  <c r="I1518" i="1"/>
  <c r="J1518" i="1" s="1"/>
  <c r="H1518" i="1"/>
  <c r="I1526" i="1"/>
  <c r="J1526" i="1" s="1"/>
  <c r="H1526" i="1"/>
  <c r="I1534" i="1"/>
  <c r="J1534" i="1" s="1"/>
  <c r="H1534" i="1"/>
  <c r="I1542" i="1"/>
  <c r="J1542" i="1" s="1"/>
  <c r="H1542" i="1"/>
  <c r="I1550" i="1"/>
  <c r="J1550" i="1" s="1"/>
  <c r="H1550" i="1"/>
  <c r="I1558" i="1"/>
  <c r="J1558" i="1" s="1"/>
  <c r="H1558" i="1"/>
  <c r="I1566" i="1"/>
  <c r="J1566" i="1" s="1"/>
  <c r="H1566" i="1"/>
  <c r="I1574" i="1"/>
  <c r="J1574" i="1" s="1"/>
  <c r="H1574" i="1"/>
  <c r="I1582" i="1"/>
  <c r="J1582" i="1" s="1"/>
  <c r="H1582" i="1"/>
  <c r="I1590" i="1"/>
  <c r="J1590" i="1" s="1"/>
  <c r="H1590" i="1"/>
  <c r="I1598" i="1"/>
  <c r="J1598" i="1" s="1"/>
  <c r="H1598" i="1"/>
  <c r="I1606" i="1"/>
  <c r="J1606" i="1" s="1"/>
  <c r="H1606" i="1"/>
  <c r="I1614" i="1"/>
  <c r="J1614" i="1" s="1"/>
  <c r="H1614" i="1"/>
  <c r="I1622" i="1"/>
  <c r="J1622" i="1" s="1"/>
  <c r="H1622" i="1"/>
  <c r="I1630" i="1"/>
  <c r="J1630" i="1" s="1"/>
  <c r="H1630" i="1"/>
  <c r="I1638" i="1"/>
  <c r="J1638" i="1" s="1"/>
  <c r="H1638" i="1"/>
  <c r="I1646" i="1"/>
  <c r="J1646" i="1" s="1"/>
  <c r="H1646" i="1"/>
  <c r="I1654" i="1"/>
  <c r="J1654" i="1" s="1"/>
  <c r="H1654" i="1"/>
  <c r="I1662" i="1"/>
  <c r="J1662" i="1" s="1"/>
  <c r="H1662" i="1"/>
  <c r="I1670" i="1"/>
  <c r="J1670" i="1" s="1"/>
  <c r="H1670" i="1"/>
  <c r="I1678" i="1"/>
  <c r="J1678" i="1" s="1"/>
  <c r="H1678" i="1"/>
  <c r="I1686" i="1"/>
  <c r="J1686" i="1" s="1"/>
  <c r="H1686" i="1"/>
  <c r="I1694" i="1"/>
  <c r="J1694" i="1" s="1"/>
  <c r="H1694" i="1"/>
  <c r="I1726" i="1"/>
  <c r="J1726" i="1" s="1"/>
  <c r="H1726" i="1"/>
  <c r="I1758" i="1"/>
  <c r="J1758" i="1" s="1"/>
  <c r="H1758" i="1"/>
  <c r="I1790" i="1"/>
  <c r="J1790" i="1" s="1"/>
  <c r="H1790" i="1"/>
  <c r="I1822" i="1"/>
  <c r="J1822" i="1" s="1"/>
  <c r="H1822" i="1"/>
  <c r="I1897" i="1"/>
  <c r="J1897" i="1" s="1"/>
  <c r="H1897" i="1"/>
  <c r="I1903" i="1"/>
  <c r="J1903" i="1" s="1"/>
  <c r="H1903" i="1"/>
  <c r="I1999" i="1"/>
  <c r="J1999" i="1" s="1"/>
  <c r="H1999" i="1"/>
  <c r="I1466" i="1"/>
  <c r="J1466" i="1" s="1"/>
  <c r="H1466" i="1"/>
  <c r="I1498" i="1"/>
  <c r="J1498" i="1" s="1"/>
  <c r="H1498" i="1"/>
  <c r="I1774" i="1"/>
  <c r="J1774" i="1" s="1"/>
  <c r="H1774" i="1"/>
  <c r="I1929" i="1"/>
  <c r="J1929" i="1" s="1"/>
  <c r="H1929" i="1"/>
  <c r="G329" i="1"/>
  <c r="H329" i="1" s="1"/>
  <c r="H1168" i="1"/>
  <c r="H1184" i="1"/>
  <c r="H1224" i="1"/>
  <c r="H1232" i="1"/>
  <c r="H1240" i="1"/>
  <c r="H1256" i="1"/>
  <c r="H1280" i="1"/>
  <c r="H1288" i="1"/>
  <c r="H1312" i="1"/>
  <c r="H1336" i="1"/>
  <c r="H1344" i="1"/>
  <c r="H1368" i="1"/>
  <c r="H1384" i="1"/>
  <c r="H1392" i="1"/>
  <c r="H1416" i="1"/>
  <c r="H1432" i="1"/>
  <c r="I1440" i="1"/>
  <c r="J1440" i="1" s="1"/>
  <c r="H1440" i="1"/>
  <c r="I1481" i="1"/>
  <c r="J1481" i="1" s="1"/>
  <c r="H1481" i="1"/>
  <c r="I1704" i="1"/>
  <c r="J1704" i="1" s="1"/>
  <c r="H1704" i="1"/>
  <c r="I1736" i="1"/>
  <c r="J1736" i="1" s="1"/>
  <c r="H1736" i="1"/>
  <c r="I1768" i="1"/>
  <c r="J1768" i="1" s="1"/>
  <c r="H1768" i="1"/>
  <c r="I1800" i="1"/>
  <c r="J1800" i="1" s="1"/>
  <c r="H1800" i="1"/>
  <c r="I2053" i="1"/>
  <c r="J2053" i="1" s="1"/>
  <c r="H2053" i="1"/>
  <c r="I2075" i="1"/>
  <c r="J2075" i="1" s="1"/>
  <c r="H2075" i="1"/>
  <c r="K94" i="1"/>
  <c r="K315" i="1"/>
  <c r="H1172" i="1"/>
  <c r="H1180" i="1"/>
  <c r="H1188" i="1"/>
  <c r="H1196" i="1"/>
  <c r="H1204" i="1"/>
  <c r="H1212" i="1"/>
  <c r="H1220" i="1"/>
  <c r="H1228" i="1"/>
  <c r="H1236" i="1"/>
  <c r="H1244" i="1"/>
  <c r="H1252" i="1"/>
  <c r="H1260" i="1"/>
  <c r="H1268" i="1"/>
  <c r="H1276" i="1"/>
  <c r="H1284" i="1"/>
  <c r="H1292" i="1"/>
  <c r="H1300" i="1"/>
  <c r="H1308" i="1"/>
  <c r="H1316" i="1"/>
  <c r="H1324" i="1"/>
  <c r="H1332" i="1"/>
  <c r="H1340" i="1"/>
  <c r="H1348" i="1"/>
  <c r="H1356" i="1"/>
  <c r="H1364" i="1"/>
  <c r="H1372" i="1"/>
  <c r="H1380" i="1"/>
  <c r="H1388" i="1"/>
  <c r="H1396" i="1"/>
  <c r="H1404" i="1"/>
  <c r="H1412" i="1"/>
  <c r="H1420" i="1"/>
  <c r="H1428" i="1"/>
  <c r="H1436" i="1"/>
  <c r="I1444" i="1"/>
  <c r="J1444" i="1" s="1"/>
  <c r="H1444" i="1"/>
  <c r="I1465" i="1"/>
  <c r="J1465" i="1" s="1"/>
  <c r="H1465" i="1"/>
  <c r="I1469" i="1"/>
  <c r="J1469" i="1" s="1"/>
  <c r="H1469" i="1"/>
  <c r="I1497" i="1"/>
  <c r="J1497" i="1" s="1"/>
  <c r="H1497" i="1"/>
  <c r="I1500" i="1"/>
  <c r="J1500" i="1" s="1"/>
  <c r="H1500" i="1"/>
  <c r="I1508" i="1"/>
  <c r="J1508" i="1" s="1"/>
  <c r="H1508" i="1"/>
  <c r="I1516" i="1"/>
  <c r="J1516" i="1" s="1"/>
  <c r="H1516" i="1"/>
  <c r="I1524" i="1"/>
  <c r="J1524" i="1" s="1"/>
  <c r="H1524" i="1"/>
  <c r="I1532" i="1"/>
  <c r="J1532" i="1" s="1"/>
  <c r="H1532" i="1"/>
  <c r="I1540" i="1"/>
  <c r="J1540" i="1" s="1"/>
  <c r="H1540" i="1"/>
  <c r="I1548" i="1"/>
  <c r="J1548" i="1" s="1"/>
  <c r="H1548" i="1"/>
  <c r="I1556" i="1"/>
  <c r="J1556" i="1" s="1"/>
  <c r="H1556" i="1"/>
  <c r="I1564" i="1"/>
  <c r="J1564" i="1" s="1"/>
  <c r="H1564" i="1"/>
  <c r="I1572" i="1"/>
  <c r="J1572" i="1" s="1"/>
  <c r="H1572" i="1"/>
  <c r="I1580" i="1"/>
  <c r="J1580" i="1" s="1"/>
  <c r="H1580" i="1"/>
  <c r="I1588" i="1"/>
  <c r="J1588" i="1" s="1"/>
  <c r="H1588" i="1"/>
  <c r="I1596" i="1"/>
  <c r="J1596" i="1" s="1"/>
  <c r="H1596" i="1"/>
  <c r="I1604" i="1"/>
  <c r="J1604" i="1" s="1"/>
  <c r="H1604" i="1"/>
  <c r="I1612" i="1"/>
  <c r="J1612" i="1" s="1"/>
  <c r="H1612" i="1"/>
  <c r="I1620" i="1"/>
  <c r="J1620" i="1" s="1"/>
  <c r="H1620" i="1"/>
  <c r="I1628" i="1"/>
  <c r="J1628" i="1" s="1"/>
  <c r="H1628" i="1"/>
  <c r="I1636" i="1"/>
  <c r="J1636" i="1" s="1"/>
  <c r="H1636" i="1"/>
  <c r="I1644" i="1"/>
  <c r="J1644" i="1" s="1"/>
  <c r="H1644" i="1"/>
  <c r="I1652" i="1"/>
  <c r="J1652" i="1" s="1"/>
  <c r="H1652" i="1"/>
  <c r="I1660" i="1"/>
  <c r="J1660" i="1" s="1"/>
  <c r="H1660" i="1"/>
  <c r="I1668" i="1"/>
  <c r="J1668" i="1" s="1"/>
  <c r="H1668" i="1"/>
  <c r="I1676" i="1"/>
  <c r="J1676" i="1" s="1"/>
  <c r="H1676" i="1"/>
  <c r="I1684" i="1"/>
  <c r="J1684" i="1" s="1"/>
  <c r="H1684" i="1"/>
  <c r="I1692" i="1"/>
  <c r="J1692" i="1" s="1"/>
  <c r="H1692" i="1"/>
  <c r="I1720" i="1"/>
  <c r="J1720" i="1" s="1"/>
  <c r="H1720" i="1"/>
  <c r="I1752" i="1"/>
  <c r="J1752" i="1" s="1"/>
  <c r="H1752" i="1"/>
  <c r="I1784" i="1"/>
  <c r="J1784" i="1" s="1"/>
  <c r="H1784" i="1"/>
  <c r="I1816" i="1"/>
  <c r="J1816" i="1" s="1"/>
  <c r="H1816" i="1"/>
  <c r="I1457" i="1"/>
  <c r="J1457" i="1" s="1"/>
  <c r="H1457" i="1"/>
  <c r="I1473" i="1"/>
  <c r="J1473" i="1" s="1"/>
  <c r="H1473" i="1"/>
  <c r="I1489" i="1"/>
  <c r="J1489" i="1" s="1"/>
  <c r="H1489" i="1"/>
  <c r="I1506" i="1"/>
  <c r="J1506" i="1" s="1"/>
  <c r="H1506" i="1"/>
  <c r="I1514" i="1"/>
  <c r="J1514" i="1" s="1"/>
  <c r="H1514" i="1"/>
  <c r="I1522" i="1"/>
  <c r="J1522" i="1" s="1"/>
  <c r="H1522" i="1"/>
  <c r="I1530" i="1"/>
  <c r="J1530" i="1" s="1"/>
  <c r="H1530" i="1"/>
  <c r="I1538" i="1"/>
  <c r="J1538" i="1" s="1"/>
  <c r="H1538" i="1"/>
  <c r="I1546" i="1"/>
  <c r="J1546" i="1" s="1"/>
  <c r="H1546" i="1"/>
  <c r="I1554" i="1"/>
  <c r="J1554" i="1" s="1"/>
  <c r="H1554" i="1"/>
  <c r="I1562" i="1"/>
  <c r="J1562" i="1" s="1"/>
  <c r="H1562" i="1"/>
  <c r="I1570" i="1"/>
  <c r="J1570" i="1" s="1"/>
  <c r="H1570" i="1"/>
  <c r="I1578" i="1"/>
  <c r="J1578" i="1" s="1"/>
  <c r="H1578" i="1"/>
  <c r="I1586" i="1"/>
  <c r="J1586" i="1" s="1"/>
  <c r="H1586" i="1"/>
  <c r="I1594" i="1"/>
  <c r="J1594" i="1" s="1"/>
  <c r="H1594" i="1"/>
  <c r="I1602" i="1"/>
  <c r="J1602" i="1" s="1"/>
  <c r="H1602" i="1"/>
  <c r="I1610" i="1"/>
  <c r="J1610" i="1" s="1"/>
  <c r="H1610" i="1"/>
  <c r="I1618" i="1"/>
  <c r="J1618" i="1" s="1"/>
  <c r="H1618" i="1"/>
  <c r="I1626" i="1"/>
  <c r="J1626" i="1" s="1"/>
  <c r="H1626" i="1"/>
  <c r="I1634" i="1"/>
  <c r="J1634" i="1" s="1"/>
  <c r="H1634" i="1"/>
  <c r="I1642" i="1"/>
  <c r="J1642" i="1" s="1"/>
  <c r="H1642" i="1"/>
  <c r="I1650" i="1"/>
  <c r="J1650" i="1" s="1"/>
  <c r="H1650" i="1"/>
  <c r="I1658" i="1"/>
  <c r="J1658" i="1" s="1"/>
  <c r="H1658" i="1"/>
  <c r="I1666" i="1"/>
  <c r="J1666" i="1" s="1"/>
  <c r="H1666" i="1"/>
  <c r="I1674" i="1"/>
  <c r="J1674" i="1" s="1"/>
  <c r="H1674" i="1"/>
  <c r="I1682" i="1"/>
  <c r="J1682" i="1" s="1"/>
  <c r="H1682" i="1"/>
  <c r="I1690" i="1"/>
  <c r="J1690" i="1" s="1"/>
  <c r="H1690" i="1"/>
  <c r="I1702" i="1"/>
  <c r="J1702" i="1" s="1"/>
  <c r="H1702" i="1"/>
  <c r="I1712" i="1"/>
  <c r="J1712" i="1" s="1"/>
  <c r="H1712" i="1"/>
  <c r="I1718" i="1"/>
  <c r="J1718" i="1" s="1"/>
  <c r="H1718" i="1"/>
  <c r="I1728" i="1"/>
  <c r="J1728" i="1" s="1"/>
  <c r="H1728" i="1"/>
  <c r="I1734" i="1"/>
  <c r="J1734" i="1" s="1"/>
  <c r="H1734" i="1"/>
  <c r="I1744" i="1"/>
  <c r="J1744" i="1" s="1"/>
  <c r="H1744" i="1"/>
  <c r="I1750" i="1"/>
  <c r="J1750" i="1" s="1"/>
  <c r="H1750" i="1"/>
  <c r="I1760" i="1"/>
  <c r="J1760" i="1" s="1"/>
  <c r="H1760" i="1"/>
  <c r="I1766" i="1"/>
  <c r="J1766" i="1" s="1"/>
  <c r="H1766" i="1"/>
  <c r="I1776" i="1"/>
  <c r="J1776" i="1" s="1"/>
  <c r="H1776" i="1"/>
  <c r="I1782" i="1"/>
  <c r="J1782" i="1" s="1"/>
  <c r="H1782" i="1"/>
  <c r="I1792" i="1"/>
  <c r="J1792" i="1" s="1"/>
  <c r="H1792" i="1"/>
  <c r="I1798" i="1"/>
  <c r="J1798" i="1" s="1"/>
  <c r="H1798" i="1"/>
  <c r="I1808" i="1"/>
  <c r="J1808" i="1" s="1"/>
  <c r="H1808" i="1"/>
  <c r="I1814" i="1"/>
  <c r="J1814" i="1" s="1"/>
  <c r="H1814" i="1"/>
  <c r="I1824" i="1"/>
  <c r="J1824" i="1" s="1"/>
  <c r="H1824" i="1"/>
  <c r="I1840" i="1"/>
  <c r="J1840" i="1" s="1"/>
  <c r="H1840" i="1"/>
  <c r="I1849" i="1"/>
  <c r="J1849" i="1" s="1"/>
  <c r="H1849" i="1"/>
  <c r="I1855" i="1"/>
  <c r="J1855" i="1" s="1"/>
  <c r="H1855" i="1"/>
  <c r="I1881" i="1"/>
  <c r="J1881" i="1" s="1"/>
  <c r="H1881" i="1"/>
  <c r="I1887" i="1"/>
  <c r="J1887" i="1" s="1"/>
  <c r="H1887" i="1"/>
  <c r="I1913" i="1"/>
  <c r="J1913" i="1" s="1"/>
  <c r="H1913" i="1"/>
  <c r="I1919" i="1"/>
  <c r="J1919" i="1" s="1"/>
  <c r="H1919" i="1"/>
  <c r="I1945" i="1"/>
  <c r="J1945" i="1" s="1"/>
  <c r="H1945" i="1"/>
  <c r="I1951" i="1"/>
  <c r="J1951" i="1" s="1"/>
  <c r="H1951" i="1"/>
  <c r="I2031" i="1"/>
  <c r="J2031" i="1" s="1"/>
  <c r="H2031" i="1"/>
  <c r="H1165" i="1"/>
  <c r="H1167" i="1"/>
  <c r="H1169" i="1"/>
  <c r="H1171" i="1"/>
  <c r="H1173" i="1"/>
  <c r="H1175" i="1"/>
  <c r="H1177" i="1"/>
  <c r="H1179" i="1"/>
  <c r="H1181" i="1"/>
  <c r="H1183" i="1"/>
  <c r="H1185" i="1"/>
  <c r="H1187" i="1"/>
  <c r="H1189" i="1"/>
  <c r="H1191" i="1"/>
  <c r="H1193" i="1"/>
  <c r="H1195" i="1"/>
  <c r="H1197" i="1"/>
  <c r="H1199" i="1"/>
  <c r="H1201" i="1"/>
  <c r="H1203" i="1"/>
  <c r="H1205" i="1"/>
  <c r="H1207" i="1"/>
  <c r="H1209" i="1"/>
  <c r="H1211" i="1"/>
  <c r="H1213" i="1"/>
  <c r="H1215" i="1"/>
  <c r="H1217" i="1"/>
  <c r="H1219" i="1"/>
  <c r="H1221" i="1"/>
  <c r="H1223" i="1"/>
  <c r="H1225" i="1"/>
  <c r="H1227" i="1"/>
  <c r="H1229" i="1"/>
  <c r="H1231" i="1"/>
  <c r="H1233" i="1"/>
  <c r="H1235" i="1"/>
  <c r="H1237" i="1"/>
  <c r="H1239" i="1"/>
  <c r="H1241" i="1"/>
  <c r="H1243" i="1"/>
  <c r="H1245" i="1"/>
  <c r="H1247" i="1"/>
  <c r="H1249" i="1"/>
  <c r="H1251" i="1"/>
  <c r="H1253" i="1"/>
  <c r="H1255" i="1"/>
  <c r="H1257" i="1"/>
  <c r="H1259" i="1"/>
  <c r="H1261" i="1"/>
  <c r="H1263" i="1"/>
  <c r="H1265" i="1"/>
  <c r="H1267" i="1"/>
  <c r="H1269" i="1"/>
  <c r="H1271" i="1"/>
  <c r="H1273" i="1"/>
  <c r="H1275" i="1"/>
  <c r="H1277" i="1"/>
  <c r="H1279" i="1"/>
  <c r="H1281" i="1"/>
  <c r="H1283" i="1"/>
  <c r="H1285" i="1"/>
  <c r="H1287" i="1"/>
  <c r="H1289" i="1"/>
  <c r="H1291" i="1"/>
  <c r="H1293" i="1"/>
  <c r="H1295" i="1"/>
  <c r="H1297" i="1"/>
  <c r="H1299" i="1"/>
  <c r="H1301" i="1"/>
  <c r="H1303" i="1"/>
  <c r="H1305" i="1"/>
  <c r="H1307" i="1"/>
  <c r="H1309" i="1"/>
  <c r="H1311" i="1"/>
  <c r="H1313" i="1"/>
  <c r="H1315" i="1"/>
  <c r="H1317" i="1"/>
  <c r="H1319" i="1"/>
  <c r="H1321" i="1"/>
  <c r="H1323" i="1"/>
  <c r="H1325" i="1"/>
  <c r="H1327" i="1"/>
  <c r="H1329" i="1"/>
  <c r="H1331" i="1"/>
  <c r="H1333" i="1"/>
  <c r="H1335" i="1"/>
  <c r="H1337" i="1"/>
  <c r="H1339" i="1"/>
  <c r="H1341" i="1"/>
  <c r="H1343" i="1"/>
  <c r="H1345" i="1"/>
  <c r="H1347" i="1"/>
  <c r="H1349" i="1"/>
  <c r="H1351" i="1"/>
  <c r="H1353" i="1"/>
  <c r="H1355" i="1"/>
  <c r="H1357" i="1"/>
  <c r="H1359" i="1"/>
  <c r="H1361" i="1"/>
  <c r="H1363" i="1"/>
  <c r="H1365" i="1"/>
  <c r="H1367" i="1"/>
  <c r="H1369" i="1"/>
  <c r="H1371" i="1"/>
  <c r="H1373" i="1"/>
  <c r="H1375" i="1"/>
  <c r="H1377" i="1"/>
  <c r="H1379" i="1"/>
  <c r="H1381" i="1"/>
  <c r="H1383" i="1"/>
  <c r="H1385" i="1"/>
  <c r="H1387" i="1"/>
  <c r="H1389" i="1"/>
  <c r="H1391" i="1"/>
  <c r="H1393" i="1"/>
  <c r="H1395" i="1"/>
  <c r="H1397" i="1"/>
  <c r="H1399" i="1"/>
  <c r="H1401" i="1"/>
  <c r="H1403" i="1"/>
  <c r="H1405" i="1"/>
  <c r="H1407" i="1"/>
  <c r="H1409" i="1"/>
  <c r="H1411" i="1"/>
  <c r="H1413" i="1"/>
  <c r="H1415" i="1"/>
  <c r="H1417" i="1"/>
  <c r="H1419" i="1"/>
  <c r="H1421" i="1"/>
  <c r="H1423" i="1"/>
  <c r="H1425" i="1"/>
  <c r="H1427" i="1"/>
  <c r="H1429" i="1"/>
  <c r="H1431" i="1"/>
  <c r="H1433" i="1"/>
  <c r="H1435" i="1"/>
  <c r="H1437" i="1"/>
  <c r="I1439" i="1"/>
  <c r="J1439" i="1" s="1"/>
  <c r="H1439" i="1"/>
  <c r="I1441" i="1"/>
  <c r="J1441" i="1" s="1"/>
  <c r="H1441" i="1"/>
  <c r="I1443" i="1"/>
  <c r="J1443" i="1" s="1"/>
  <c r="H1443" i="1"/>
  <c r="I1445" i="1"/>
  <c r="J1445" i="1" s="1"/>
  <c r="H1445" i="1"/>
  <c r="H1454" i="1"/>
  <c r="I1461" i="1"/>
  <c r="J1461" i="1" s="1"/>
  <c r="H1461" i="1"/>
  <c r="H1470" i="1"/>
  <c r="I1477" i="1"/>
  <c r="J1477" i="1" s="1"/>
  <c r="H1477" i="1"/>
  <c r="H1486" i="1"/>
  <c r="I1493" i="1"/>
  <c r="J1493" i="1" s="1"/>
  <c r="H1493" i="1"/>
  <c r="I1504" i="1"/>
  <c r="J1504" i="1" s="1"/>
  <c r="H1504" i="1"/>
  <c r="I1512" i="1"/>
  <c r="J1512" i="1" s="1"/>
  <c r="H1512" i="1"/>
  <c r="I1520" i="1"/>
  <c r="J1520" i="1" s="1"/>
  <c r="H1520" i="1"/>
  <c r="I1528" i="1"/>
  <c r="J1528" i="1" s="1"/>
  <c r="H1528" i="1"/>
  <c r="I1536" i="1"/>
  <c r="J1536" i="1" s="1"/>
  <c r="H1536" i="1"/>
  <c r="I1544" i="1"/>
  <c r="J1544" i="1" s="1"/>
  <c r="H1544" i="1"/>
  <c r="I1552" i="1"/>
  <c r="J1552" i="1" s="1"/>
  <c r="H1552" i="1"/>
  <c r="I1560" i="1"/>
  <c r="J1560" i="1" s="1"/>
  <c r="H1560" i="1"/>
  <c r="I1568" i="1"/>
  <c r="J1568" i="1" s="1"/>
  <c r="H1568" i="1"/>
  <c r="I1576" i="1"/>
  <c r="J1576" i="1" s="1"/>
  <c r="H1576" i="1"/>
  <c r="I1584" i="1"/>
  <c r="J1584" i="1" s="1"/>
  <c r="H1584" i="1"/>
  <c r="I1592" i="1"/>
  <c r="J1592" i="1" s="1"/>
  <c r="H1592" i="1"/>
  <c r="I1600" i="1"/>
  <c r="J1600" i="1" s="1"/>
  <c r="H1600" i="1"/>
  <c r="I1608" i="1"/>
  <c r="J1608" i="1" s="1"/>
  <c r="H1608" i="1"/>
  <c r="I1616" i="1"/>
  <c r="J1616" i="1" s="1"/>
  <c r="H1616" i="1"/>
  <c r="I1624" i="1"/>
  <c r="J1624" i="1" s="1"/>
  <c r="H1624" i="1"/>
  <c r="I1632" i="1"/>
  <c r="J1632" i="1" s="1"/>
  <c r="H1632" i="1"/>
  <c r="I1640" i="1"/>
  <c r="J1640" i="1" s="1"/>
  <c r="H1640" i="1"/>
  <c r="I1648" i="1"/>
  <c r="J1648" i="1" s="1"/>
  <c r="H1648" i="1"/>
  <c r="I1656" i="1"/>
  <c r="J1656" i="1" s="1"/>
  <c r="H1656" i="1"/>
  <c r="I1664" i="1"/>
  <c r="J1664" i="1" s="1"/>
  <c r="H1664" i="1"/>
  <c r="I1672" i="1"/>
  <c r="J1672" i="1" s="1"/>
  <c r="H1672" i="1"/>
  <c r="I1680" i="1"/>
  <c r="J1680" i="1" s="1"/>
  <c r="H1680" i="1"/>
  <c r="I1688" i="1"/>
  <c r="J1688" i="1" s="1"/>
  <c r="H1688" i="1"/>
  <c r="I1697" i="1"/>
  <c r="J1697" i="1" s="1"/>
  <c r="H1697" i="1"/>
  <c r="I1836" i="1"/>
  <c r="J1836" i="1" s="1"/>
  <c r="H1836" i="1"/>
  <c r="I2021" i="1"/>
  <c r="J2021" i="1" s="1"/>
  <c r="H2021" i="1"/>
  <c r="I1700" i="1"/>
  <c r="J1700" i="1" s="1"/>
  <c r="H1700" i="1"/>
  <c r="I1708" i="1"/>
  <c r="J1708" i="1" s="1"/>
  <c r="H1708" i="1"/>
  <c r="I1716" i="1"/>
  <c r="J1716" i="1" s="1"/>
  <c r="H1716" i="1"/>
  <c r="I1724" i="1"/>
  <c r="J1724" i="1" s="1"/>
  <c r="H1724" i="1"/>
  <c r="I1732" i="1"/>
  <c r="J1732" i="1" s="1"/>
  <c r="H1732" i="1"/>
  <c r="I1740" i="1"/>
  <c r="J1740" i="1" s="1"/>
  <c r="H1740" i="1"/>
  <c r="I1748" i="1"/>
  <c r="J1748" i="1" s="1"/>
  <c r="H1748" i="1"/>
  <c r="I1756" i="1"/>
  <c r="J1756" i="1" s="1"/>
  <c r="H1756" i="1"/>
  <c r="I1764" i="1"/>
  <c r="J1764" i="1" s="1"/>
  <c r="H1764" i="1"/>
  <c r="I1772" i="1"/>
  <c r="J1772" i="1" s="1"/>
  <c r="H1772" i="1"/>
  <c r="I1780" i="1"/>
  <c r="J1780" i="1" s="1"/>
  <c r="H1780" i="1"/>
  <c r="I1788" i="1"/>
  <c r="J1788" i="1" s="1"/>
  <c r="H1788" i="1"/>
  <c r="I1796" i="1"/>
  <c r="J1796" i="1" s="1"/>
  <c r="H1796" i="1"/>
  <c r="I1804" i="1"/>
  <c r="J1804" i="1" s="1"/>
  <c r="H1804" i="1"/>
  <c r="I1812" i="1"/>
  <c r="J1812" i="1" s="1"/>
  <c r="H1812" i="1"/>
  <c r="I1820" i="1"/>
  <c r="J1820" i="1" s="1"/>
  <c r="H1820" i="1"/>
  <c r="I1832" i="1"/>
  <c r="J1832" i="1" s="1"/>
  <c r="H1832" i="1"/>
  <c r="I1847" i="1"/>
  <c r="J1847" i="1" s="1"/>
  <c r="H1847" i="1"/>
  <c r="I1857" i="1"/>
  <c r="J1857" i="1" s="1"/>
  <c r="H1857" i="1"/>
  <c r="I1863" i="1"/>
  <c r="J1863" i="1" s="1"/>
  <c r="H1863" i="1"/>
  <c r="I1873" i="1"/>
  <c r="J1873" i="1" s="1"/>
  <c r="H1873" i="1"/>
  <c r="I1879" i="1"/>
  <c r="J1879" i="1" s="1"/>
  <c r="H1879" i="1"/>
  <c r="I1889" i="1"/>
  <c r="J1889" i="1" s="1"/>
  <c r="H1889" i="1"/>
  <c r="I1895" i="1"/>
  <c r="J1895" i="1" s="1"/>
  <c r="H1895" i="1"/>
  <c r="I1905" i="1"/>
  <c r="J1905" i="1" s="1"/>
  <c r="H1905" i="1"/>
  <c r="I1911" i="1"/>
  <c r="J1911" i="1" s="1"/>
  <c r="H1911" i="1"/>
  <c r="I1921" i="1"/>
  <c r="J1921" i="1" s="1"/>
  <c r="H1921" i="1"/>
  <c r="I1927" i="1"/>
  <c r="J1927" i="1" s="1"/>
  <c r="H1927" i="1"/>
  <c r="I1937" i="1"/>
  <c r="J1937" i="1" s="1"/>
  <c r="H1937" i="1"/>
  <c r="I1943" i="1"/>
  <c r="J1943" i="1" s="1"/>
  <c r="H1943" i="1"/>
  <c r="I1953" i="1"/>
  <c r="J1953" i="1" s="1"/>
  <c r="H1953" i="1"/>
  <c r="I2015" i="1"/>
  <c r="J2015" i="1" s="1"/>
  <c r="H2015" i="1"/>
  <c r="I2047" i="1"/>
  <c r="J2047" i="1" s="1"/>
  <c r="H2047" i="1"/>
  <c r="H1698" i="1"/>
  <c r="I1706" i="1"/>
  <c r="J1706" i="1" s="1"/>
  <c r="H1706" i="1"/>
  <c r="I1714" i="1"/>
  <c r="J1714" i="1" s="1"/>
  <c r="H1714" i="1"/>
  <c r="I1722" i="1"/>
  <c r="J1722" i="1" s="1"/>
  <c r="H1722" i="1"/>
  <c r="I1730" i="1"/>
  <c r="J1730" i="1" s="1"/>
  <c r="H1730" i="1"/>
  <c r="I1738" i="1"/>
  <c r="J1738" i="1" s="1"/>
  <c r="H1738" i="1"/>
  <c r="I1746" i="1"/>
  <c r="J1746" i="1" s="1"/>
  <c r="H1746" i="1"/>
  <c r="I1754" i="1"/>
  <c r="J1754" i="1" s="1"/>
  <c r="H1754" i="1"/>
  <c r="I1762" i="1"/>
  <c r="J1762" i="1" s="1"/>
  <c r="H1762" i="1"/>
  <c r="I1770" i="1"/>
  <c r="J1770" i="1" s="1"/>
  <c r="H1770" i="1"/>
  <c r="I1778" i="1"/>
  <c r="J1778" i="1" s="1"/>
  <c r="H1778" i="1"/>
  <c r="I1786" i="1"/>
  <c r="J1786" i="1" s="1"/>
  <c r="H1786" i="1"/>
  <c r="I1794" i="1"/>
  <c r="J1794" i="1" s="1"/>
  <c r="H1794" i="1"/>
  <c r="I1802" i="1"/>
  <c r="J1802" i="1" s="1"/>
  <c r="H1802" i="1"/>
  <c r="I1810" i="1"/>
  <c r="J1810" i="1" s="1"/>
  <c r="H1810" i="1"/>
  <c r="I1818" i="1"/>
  <c r="J1818" i="1" s="1"/>
  <c r="H1818" i="1"/>
  <c r="I1828" i="1"/>
  <c r="J1828" i="1" s="1"/>
  <c r="H1828" i="1"/>
  <c r="I1844" i="1"/>
  <c r="J1844" i="1" s="1"/>
  <c r="H1844" i="1"/>
  <c r="I2005" i="1"/>
  <c r="J2005" i="1" s="1"/>
  <c r="H2005" i="1"/>
  <c r="I2037" i="1"/>
  <c r="J2037" i="1" s="1"/>
  <c r="H2037" i="1"/>
  <c r="I1845" i="1"/>
  <c r="J1845" i="1" s="1"/>
  <c r="H1845" i="1"/>
  <c r="I1853" i="1"/>
  <c r="J1853" i="1" s="1"/>
  <c r="H1853" i="1"/>
  <c r="I1861" i="1"/>
  <c r="J1861" i="1" s="1"/>
  <c r="H1861" i="1"/>
  <c r="I1869" i="1"/>
  <c r="J1869" i="1" s="1"/>
  <c r="H1869" i="1"/>
  <c r="I1877" i="1"/>
  <c r="J1877" i="1" s="1"/>
  <c r="H1877" i="1"/>
  <c r="I1885" i="1"/>
  <c r="J1885" i="1" s="1"/>
  <c r="H1885" i="1"/>
  <c r="I1893" i="1"/>
  <c r="J1893" i="1" s="1"/>
  <c r="H1893" i="1"/>
  <c r="I1901" i="1"/>
  <c r="J1901" i="1" s="1"/>
  <c r="H1901" i="1"/>
  <c r="I1909" i="1"/>
  <c r="J1909" i="1" s="1"/>
  <c r="H1909" i="1"/>
  <c r="I1917" i="1"/>
  <c r="J1917" i="1" s="1"/>
  <c r="H1917" i="1"/>
  <c r="I1925" i="1"/>
  <c r="J1925" i="1" s="1"/>
  <c r="H1925" i="1"/>
  <c r="I1933" i="1"/>
  <c r="J1933" i="1" s="1"/>
  <c r="H1933" i="1"/>
  <c r="I1941" i="1"/>
  <c r="J1941" i="1" s="1"/>
  <c r="H1941" i="1"/>
  <c r="I1949" i="1"/>
  <c r="J1949" i="1" s="1"/>
  <c r="H1949" i="1"/>
  <c r="I1957" i="1"/>
  <c r="J1957" i="1" s="1"/>
  <c r="H1957" i="1"/>
  <c r="I1997" i="1"/>
  <c r="J1997" i="1" s="1"/>
  <c r="H1997" i="1"/>
  <c r="I2007" i="1"/>
  <c r="J2007" i="1" s="1"/>
  <c r="H2007" i="1"/>
  <c r="I2013" i="1"/>
  <c r="J2013" i="1" s="1"/>
  <c r="H2013" i="1"/>
  <c r="I2023" i="1"/>
  <c r="J2023" i="1" s="1"/>
  <c r="H2023" i="1"/>
  <c r="I2029" i="1"/>
  <c r="J2029" i="1" s="1"/>
  <c r="H2029" i="1"/>
  <c r="I2039" i="1"/>
  <c r="J2039" i="1" s="1"/>
  <c r="H2039" i="1"/>
  <c r="I2045" i="1"/>
  <c r="J2045" i="1" s="1"/>
  <c r="H2045" i="1"/>
  <c r="I2055" i="1"/>
  <c r="J2055" i="1" s="1"/>
  <c r="H2055" i="1"/>
  <c r="I2061" i="1"/>
  <c r="J2061" i="1" s="1"/>
  <c r="H2061" i="1"/>
  <c r="I1699" i="1"/>
  <c r="J1699" i="1" s="1"/>
  <c r="H1699" i="1"/>
  <c r="I1701" i="1"/>
  <c r="J1701" i="1" s="1"/>
  <c r="H1701" i="1"/>
  <c r="I1703" i="1"/>
  <c r="J1703" i="1" s="1"/>
  <c r="H1703" i="1"/>
  <c r="I1705" i="1"/>
  <c r="J1705" i="1" s="1"/>
  <c r="H1705" i="1"/>
  <c r="I1707" i="1"/>
  <c r="J1707" i="1" s="1"/>
  <c r="H1707" i="1"/>
  <c r="I1709" i="1"/>
  <c r="J1709" i="1" s="1"/>
  <c r="H1709" i="1"/>
  <c r="I1711" i="1"/>
  <c r="J1711" i="1" s="1"/>
  <c r="H1711" i="1"/>
  <c r="I1713" i="1"/>
  <c r="J1713" i="1" s="1"/>
  <c r="H1713" i="1"/>
  <c r="I1715" i="1"/>
  <c r="J1715" i="1" s="1"/>
  <c r="H1715" i="1"/>
  <c r="I1717" i="1"/>
  <c r="J1717" i="1" s="1"/>
  <c r="H1717" i="1"/>
  <c r="I1719" i="1"/>
  <c r="J1719" i="1" s="1"/>
  <c r="H1719" i="1"/>
  <c r="I1721" i="1"/>
  <c r="J1721" i="1" s="1"/>
  <c r="H1721" i="1"/>
  <c r="I1723" i="1"/>
  <c r="J1723" i="1" s="1"/>
  <c r="H1723" i="1"/>
  <c r="I1725" i="1"/>
  <c r="J1725" i="1" s="1"/>
  <c r="H1725" i="1"/>
  <c r="I1727" i="1"/>
  <c r="J1727" i="1" s="1"/>
  <c r="H1727" i="1"/>
  <c r="I1729" i="1"/>
  <c r="J1729" i="1" s="1"/>
  <c r="H1729" i="1"/>
  <c r="I1731" i="1"/>
  <c r="J1731" i="1" s="1"/>
  <c r="H1731" i="1"/>
  <c r="I1733" i="1"/>
  <c r="J1733" i="1" s="1"/>
  <c r="H1733" i="1"/>
  <c r="I1735" i="1"/>
  <c r="J1735" i="1" s="1"/>
  <c r="H1735" i="1"/>
  <c r="I1737" i="1"/>
  <c r="J1737" i="1" s="1"/>
  <c r="H1737" i="1"/>
  <c r="I1739" i="1"/>
  <c r="J1739" i="1" s="1"/>
  <c r="H1739" i="1"/>
  <c r="I1741" i="1"/>
  <c r="J1741" i="1" s="1"/>
  <c r="H1741" i="1"/>
  <c r="I1743" i="1"/>
  <c r="J1743" i="1" s="1"/>
  <c r="H1743" i="1"/>
  <c r="I1745" i="1"/>
  <c r="J1745" i="1" s="1"/>
  <c r="H1745" i="1"/>
  <c r="I1747" i="1"/>
  <c r="J1747" i="1" s="1"/>
  <c r="H1747" i="1"/>
  <c r="I1749" i="1"/>
  <c r="J1749" i="1" s="1"/>
  <c r="H1749" i="1"/>
  <c r="I1751" i="1"/>
  <c r="J1751" i="1" s="1"/>
  <c r="H1751" i="1"/>
  <c r="I1753" i="1"/>
  <c r="J1753" i="1" s="1"/>
  <c r="H1753" i="1"/>
  <c r="I1755" i="1"/>
  <c r="J1755" i="1" s="1"/>
  <c r="H1755" i="1"/>
  <c r="I1757" i="1"/>
  <c r="J1757" i="1" s="1"/>
  <c r="H1757" i="1"/>
  <c r="I1759" i="1"/>
  <c r="J1759" i="1" s="1"/>
  <c r="H1759" i="1"/>
  <c r="I1761" i="1"/>
  <c r="J1761" i="1" s="1"/>
  <c r="H1761" i="1"/>
  <c r="I1763" i="1"/>
  <c r="J1763" i="1" s="1"/>
  <c r="H1763" i="1"/>
  <c r="I1765" i="1"/>
  <c r="J1765" i="1" s="1"/>
  <c r="H1765" i="1"/>
  <c r="I1767" i="1"/>
  <c r="J1767" i="1" s="1"/>
  <c r="H1767" i="1"/>
  <c r="I1769" i="1"/>
  <c r="J1769" i="1" s="1"/>
  <c r="H1769" i="1"/>
  <c r="I1771" i="1"/>
  <c r="J1771" i="1" s="1"/>
  <c r="H1771" i="1"/>
  <c r="I1773" i="1"/>
  <c r="J1773" i="1" s="1"/>
  <c r="H1773" i="1"/>
  <c r="I1775" i="1"/>
  <c r="J1775" i="1" s="1"/>
  <c r="H1775" i="1"/>
  <c r="I1777" i="1"/>
  <c r="J1777" i="1" s="1"/>
  <c r="H1777" i="1"/>
  <c r="I1779" i="1"/>
  <c r="J1779" i="1" s="1"/>
  <c r="H1779" i="1"/>
  <c r="I1781" i="1"/>
  <c r="J1781" i="1" s="1"/>
  <c r="H1781" i="1"/>
  <c r="I1783" i="1"/>
  <c r="J1783" i="1" s="1"/>
  <c r="H1783" i="1"/>
  <c r="I1785" i="1"/>
  <c r="J1785" i="1" s="1"/>
  <c r="H1785" i="1"/>
  <c r="I1787" i="1"/>
  <c r="J1787" i="1" s="1"/>
  <c r="H1787" i="1"/>
  <c r="I1789" i="1"/>
  <c r="J1789" i="1" s="1"/>
  <c r="H1789" i="1"/>
  <c r="I1791" i="1"/>
  <c r="J1791" i="1" s="1"/>
  <c r="H1791" i="1"/>
  <c r="I1793" i="1"/>
  <c r="J1793" i="1" s="1"/>
  <c r="H1793" i="1"/>
  <c r="I1795" i="1"/>
  <c r="J1795" i="1" s="1"/>
  <c r="H1795" i="1"/>
  <c r="I1797" i="1"/>
  <c r="J1797" i="1" s="1"/>
  <c r="H1797" i="1"/>
  <c r="I1799" i="1"/>
  <c r="J1799" i="1" s="1"/>
  <c r="H1799" i="1"/>
  <c r="I1801" i="1"/>
  <c r="J1801" i="1" s="1"/>
  <c r="H1801" i="1"/>
  <c r="I1803" i="1"/>
  <c r="J1803" i="1" s="1"/>
  <c r="H1803" i="1"/>
  <c r="I1805" i="1"/>
  <c r="J1805" i="1" s="1"/>
  <c r="H1805" i="1"/>
  <c r="I1807" i="1"/>
  <c r="J1807" i="1" s="1"/>
  <c r="H1807" i="1"/>
  <c r="I1809" i="1"/>
  <c r="J1809" i="1" s="1"/>
  <c r="H1809" i="1"/>
  <c r="I1811" i="1"/>
  <c r="J1811" i="1" s="1"/>
  <c r="H1811" i="1"/>
  <c r="I1813" i="1"/>
  <c r="J1813" i="1" s="1"/>
  <c r="H1813" i="1"/>
  <c r="I1815" i="1"/>
  <c r="J1815" i="1" s="1"/>
  <c r="H1815" i="1"/>
  <c r="I1817" i="1"/>
  <c r="J1817" i="1" s="1"/>
  <c r="H1817" i="1"/>
  <c r="I1819" i="1"/>
  <c r="J1819" i="1" s="1"/>
  <c r="H1819" i="1"/>
  <c r="I1821" i="1"/>
  <c r="J1821" i="1" s="1"/>
  <c r="H1821" i="1"/>
  <c r="I1823" i="1"/>
  <c r="J1823" i="1" s="1"/>
  <c r="H1823" i="1"/>
  <c r="H1825" i="1"/>
  <c r="H1829" i="1"/>
  <c r="H1833" i="1"/>
  <c r="H1837" i="1"/>
  <c r="H1841" i="1"/>
  <c r="I1851" i="1"/>
  <c r="J1851" i="1" s="1"/>
  <c r="H1851" i="1"/>
  <c r="I1859" i="1"/>
  <c r="J1859" i="1" s="1"/>
  <c r="H1859" i="1"/>
  <c r="I1867" i="1"/>
  <c r="J1867" i="1" s="1"/>
  <c r="H1867" i="1"/>
  <c r="I1875" i="1"/>
  <c r="J1875" i="1" s="1"/>
  <c r="H1875" i="1"/>
  <c r="I1883" i="1"/>
  <c r="J1883" i="1" s="1"/>
  <c r="H1883" i="1"/>
  <c r="I1891" i="1"/>
  <c r="J1891" i="1" s="1"/>
  <c r="H1891" i="1"/>
  <c r="I1899" i="1"/>
  <c r="J1899" i="1" s="1"/>
  <c r="H1899" i="1"/>
  <c r="I1907" i="1"/>
  <c r="J1907" i="1" s="1"/>
  <c r="H1907" i="1"/>
  <c r="I1915" i="1"/>
  <c r="J1915" i="1" s="1"/>
  <c r="H1915" i="1"/>
  <c r="I1923" i="1"/>
  <c r="J1923" i="1" s="1"/>
  <c r="H1923" i="1"/>
  <c r="I1931" i="1"/>
  <c r="J1931" i="1" s="1"/>
  <c r="H1931" i="1"/>
  <c r="I1939" i="1"/>
  <c r="J1939" i="1" s="1"/>
  <c r="H1939" i="1"/>
  <c r="I1947" i="1"/>
  <c r="J1947" i="1" s="1"/>
  <c r="H1947" i="1"/>
  <c r="I1955" i="1"/>
  <c r="J1955" i="1" s="1"/>
  <c r="H1955" i="1"/>
  <c r="I1846" i="1"/>
  <c r="J1846" i="1" s="1"/>
  <c r="H1846" i="1"/>
  <c r="I1848" i="1"/>
  <c r="J1848" i="1" s="1"/>
  <c r="H1848" i="1"/>
  <c r="I1850" i="1"/>
  <c r="J1850" i="1" s="1"/>
  <c r="H1850" i="1"/>
  <c r="I1852" i="1"/>
  <c r="J1852" i="1" s="1"/>
  <c r="H1852" i="1"/>
  <c r="I1854" i="1"/>
  <c r="J1854" i="1" s="1"/>
  <c r="H1854" i="1"/>
  <c r="I1856" i="1"/>
  <c r="J1856" i="1" s="1"/>
  <c r="H1856" i="1"/>
  <c r="I1858" i="1"/>
  <c r="J1858" i="1" s="1"/>
  <c r="H1858" i="1"/>
  <c r="I1860" i="1"/>
  <c r="J1860" i="1" s="1"/>
  <c r="H1860" i="1"/>
  <c r="I1862" i="1"/>
  <c r="J1862" i="1" s="1"/>
  <c r="H1862" i="1"/>
  <c r="I1864" i="1"/>
  <c r="J1864" i="1" s="1"/>
  <c r="H1864" i="1"/>
  <c r="I1866" i="1"/>
  <c r="J1866" i="1" s="1"/>
  <c r="H1866" i="1"/>
  <c r="I1868" i="1"/>
  <c r="J1868" i="1" s="1"/>
  <c r="H1868" i="1"/>
  <c r="I1870" i="1"/>
  <c r="J1870" i="1" s="1"/>
  <c r="H1870" i="1"/>
  <c r="I1872" i="1"/>
  <c r="J1872" i="1" s="1"/>
  <c r="H1872" i="1"/>
  <c r="I1874" i="1"/>
  <c r="J1874" i="1" s="1"/>
  <c r="H1874" i="1"/>
  <c r="I1876" i="1"/>
  <c r="J1876" i="1" s="1"/>
  <c r="H1876" i="1"/>
  <c r="I1878" i="1"/>
  <c r="J1878" i="1" s="1"/>
  <c r="H1878" i="1"/>
  <c r="I1880" i="1"/>
  <c r="J1880" i="1" s="1"/>
  <c r="H1880" i="1"/>
  <c r="I1882" i="1"/>
  <c r="J1882" i="1" s="1"/>
  <c r="H1882" i="1"/>
  <c r="I1884" i="1"/>
  <c r="J1884" i="1" s="1"/>
  <c r="H1884" i="1"/>
  <c r="I1886" i="1"/>
  <c r="J1886" i="1" s="1"/>
  <c r="H1886" i="1"/>
  <c r="I1888" i="1"/>
  <c r="J1888" i="1" s="1"/>
  <c r="H1888" i="1"/>
  <c r="I1890" i="1"/>
  <c r="J1890" i="1" s="1"/>
  <c r="H1890" i="1"/>
  <c r="I1892" i="1"/>
  <c r="J1892" i="1" s="1"/>
  <c r="H1892" i="1"/>
  <c r="I1894" i="1"/>
  <c r="J1894" i="1" s="1"/>
  <c r="H1894" i="1"/>
  <c r="I1896" i="1"/>
  <c r="J1896" i="1" s="1"/>
  <c r="H1896" i="1"/>
  <c r="I1898" i="1"/>
  <c r="J1898" i="1" s="1"/>
  <c r="H1898" i="1"/>
  <c r="I1900" i="1"/>
  <c r="J1900" i="1" s="1"/>
  <c r="H1900" i="1"/>
  <c r="I1902" i="1"/>
  <c r="J1902" i="1" s="1"/>
  <c r="H1902" i="1"/>
  <c r="I1904" i="1"/>
  <c r="J1904" i="1" s="1"/>
  <c r="H1904" i="1"/>
  <c r="I1906" i="1"/>
  <c r="J1906" i="1" s="1"/>
  <c r="H1906" i="1"/>
  <c r="I1908" i="1"/>
  <c r="J1908" i="1" s="1"/>
  <c r="H1908" i="1"/>
  <c r="I1910" i="1"/>
  <c r="J1910" i="1" s="1"/>
  <c r="H1910" i="1"/>
  <c r="I1912" i="1"/>
  <c r="J1912" i="1" s="1"/>
  <c r="H1912" i="1"/>
  <c r="I1914" i="1"/>
  <c r="J1914" i="1" s="1"/>
  <c r="H1914" i="1"/>
  <c r="I1916" i="1"/>
  <c r="J1916" i="1" s="1"/>
  <c r="H1916" i="1"/>
  <c r="I1918" i="1"/>
  <c r="J1918" i="1" s="1"/>
  <c r="H1918" i="1"/>
  <c r="I1920" i="1"/>
  <c r="J1920" i="1" s="1"/>
  <c r="H1920" i="1"/>
  <c r="I1922" i="1"/>
  <c r="J1922" i="1" s="1"/>
  <c r="H1922" i="1"/>
  <c r="I1924" i="1"/>
  <c r="J1924" i="1" s="1"/>
  <c r="H1924" i="1"/>
  <c r="I1926" i="1"/>
  <c r="J1926" i="1" s="1"/>
  <c r="H1926" i="1"/>
  <c r="I1928" i="1"/>
  <c r="J1928" i="1" s="1"/>
  <c r="H1928" i="1"/>
  <c r="I1930" i="1"/>
  <c r="J1930" i="1" s="1"/>
  <c r="H1930" i="1"/>
  <c r="I1932" i="1"/>
  <c r="J1932" i="1" s="1"/>
  <c r="H1932" i="1"/>
  <c r="I1934" i="1"/>
  <c r="J1934" i="1" s="1"/>
  <c r="H1934" i="1"/>
  <c r="I1936" i="1"/>
  <c r="J1936" i="1" s="1"/>
  <c r="H1936" i="1"/>
  <c r="I1938" i="1"/>
  <c r="J1938" i="1" s="1"/>
  <c r="H1938" i="1"/>
  <c r="I1940" i="1"/>
  <c r="J1940" i="1" s="1"/>
  <c r="H1940" i="1"/>
  <c r="I1942" i="1"/>
  <c r="J1942" i="1" s="1"/>
  <c r="H1942" i="1"/>
  <c r="I1944" i="1"/>
  <c r="J1944" i="1" s="1"/>
  <c r="H1944" i="1"/>
  <c r="I1946" i="1"/>
  <c r="J1946" i="1" s="1"/>
  <c r="H1946" i="1"/>
  <c r="I1948" i="1"/>
  <c r="J1948" i="1" s="1"/>
  <c r="H1948" i="1"/>
  <c r="I1950" i="1"/>
  <c r="J1950" i="1" s="1"/>
  <c r="H1950" i="1"/>
  <c r="I1952" i="1"/>
  <c r="J1952" i="1" s="1"/>
  <c r="H1952" i="1"/>
  <c r="I1954" i="1"/>
  <c r="J1954" i="1" s="1"/>
  <c r="H1954" i="1"/>
  <c r="I1956" i="1"/>
  <c r="J1956" i="1" s="1"/>
  <c r="H1956" i="1"/>
  <c r="I1958" i="1"/>
  <c r="J1958" i="1" s="1"/>
  <c r="H1958" i="1"/>
  <c r="I1962" i="1"/>
  <c r="J1962" i="1" s="1"/>
  <c r="H1962" i="1"/>
  <c r="I1966" i="1"/>
  <c r="J1966" i="1" s="1"/>
  <c r="H1966" i="1"/>
  <c r="I1970" i="1"/>
  <c r="J1970" i="1" s="1"/>
  <c r="H1970" i="1"/>
  <c r="I1974" i="1"/>
  <c r="J1974" i="1" s="1"/>
  <c r="H1974" i="1"/>
  <c r="I1978" i="1"/>
  <c r="J1978" i="1" s="1"/>
  <c r="H1978" i="1"/>
  <c r="I1982" i="1"/>
  <c r="J1982" i="1" s="1"/>
  <c r="H1982" i="1"/>
  <c r="I1986" i="1"/>
  <c r="J1986" i="1" s="1"/>
  <c r="H1986" i="1"/>
  <c r="I1990" i="1"/>
  <c r="J1990" i="1" s="1"/>
  <c r="H1990" i="1"/>
  <c r="I1995" i="1"/>
  <c r="J1995" i="1" s="1"/>
  <c r="H1995" i="1"/>
  <c r="I2003" i="1"/>
  <c r="J2003" i="1" s="1"/>
  <c r="H2003" i="1"/>
  <c r="I2011" i="1"/>
  <c r="J2011" i="1" s="1"/>
  <c r="H2011" i="1"/>
  <c r="I2019" i="1"/>
  <c r="J2019" i="1" s="1"/>
  <c r="H2019" i="1"/>
  <c r="I2027" i="1"/>
  <c r="J2027" i="1" s="1"/>
  <c r="H2027" i="1"/>
  <c r="I2035" i="1"/>
  <c r="J2035" i="1" s="1"/>
  <c r="H2035" i="1"/>
  <c r="I2043" i="1"/>
  <c r="J2043" i="1" s="1"/>
  <c r="H2043" i="1"/>
  <c r="I2051" i="1"/>
  <c r="J2051" i="1" s="1"/>
  <c r="H2051" i="1"/>
  <c r="I2059" i="1"/>
  <c r="J2059" i="1" s="1"/>
  <c r="H2059" i="1"/>
  <c r="I2071" i="1"/>
  <c r="J2071" i="1" s="1"/>
  <c r="H2071" i="1"/>
  <c r="I2087" i="1"/>
  <c r="J2087" i="1" s="1"/>
  <c r="H2087" i="1"/>
  <c r="H1827" i="1"/>
  <c r="H1831" i="1"/>
  <c r="H1835" i="1"/>
  <c r="H1839" i="1"/>
  <c r="H1843" i="1"/>
  <c r="I1993" i="1"/>
  <c r="J1993" i="1" s="1"/>
  <c r="H1993" i="1"/>
  <c r="I2001" i="1"/>
  <c r="J2001" i="1" s="1"/>
  <c r="H2001" i="1"/>
  <c r="I2009" i="1"/>
  <c r="J2009" i="1" s="1"/>
  <c r="H2009" i="1"/>
  <c r="I2017" i="1"/>
  <c r="J2017" i="1" s="1"/>
  <c r="H2017" i="1"/>
  <c r="I2025" i="1"/>
  <c r="J2025" i="1" s="1"/>
  <c r="H2025" i="1"/>
  <c r="I2033" i="1"/>
  <c r="J2033" i="1" s="1"/>
  <c r="H2033" i="1"/>
  <c r="I2041" i="1"/>
  <c r="J2041" i="1" s="1"/>
  <c r="H2041" i="1"/>
  <c r="I2049" i="1"/>
  <c r="J2049" i="1" s="1"/>
  <c r="H2049" i="1"/>
  <c r="I2057" i="1"/>
  <c r="J2057" i="1" s="1"/>
  <c r="H2057" i="1"/>
  <c r="I2067" i="1"/>
  <c r="J2067" i="1" s="1"/>
  <c r="H2067" i="1"/>
  <c r="I2083" i="1"/>
  <c r="J2083" i="1" s="1"/>
  <c r="H2083" i="1"/>
  <c r="H1961" i="1"/>
  <c r="H1965" i="1"/>
  <c r="H1969" i="1"/>
  <c r="H1973" i="1"/>
  <c r="H1977" i="1"/>
  <c r="H1981" i="1"/>
  <c r="H1985" i="1"/>
  <c r="H1989" i="1"/>
  <c r="I1992" i="1"/>
  <c r="J1992" i="1" s="1"/>
  <c r="H1992" i="1"/>
  <c r="I1994" i="1"/>
  <c r="J1994" i="1" s="1"/>
  <c r="H1994" i="1"/>
  <c r="I1996" i="1"/>
  <c r="J1996" i="1" s="1"/>
  <c r="H1996" i="1"/>
  <c r="I1998" i="1"/>
  <c r="J1998" i="1" s="1"/>
  <c r="H1998" i="1"/>
  <c r="I2000" i="1"/>
  <c r="J2000" i="1" s="1"/>
  <c r="H2000" i="1"/>
  <c r="I2002" i="1"/>
  <c r="J2002" i="1" s="1"/>
  <c r="H2002" i="1"/>
  <c r="I2004" i="1"/>
  <c r="J2004" i="1" s="1"/>
  <c r="H2004" i="1"/>
  <c r="I2006" i="1"/>
  <c r="J2006" i="1" s="1"/>
  <c r="H2006" i="1"/>
  <c r="I2008" i="1"/>
  <c r="J2008" i="1" s="1"/>
  <c r="H2008" i="1"/>
  <c r="I2010" i="1"/>
  <c r="J2010" i="1" s="1"/>
  <c r="H2010" i="1"/>
  <c r="I2012" i="1"/>
  <c r="J2012" i="1" s="1"/>
  <c r="H2012" i="1"/>
  <c r="I2014" i="1"/>
  <c r="J2014" i="1" s="1"/>
  <c r="H2014" i="1"/>
  <c r="I2016" i="1"/>
  <c r="J2016" i="1" s="1"/>
  <c r="H2016" i="1"/>
  <c r="I2018" i="1"/>
  <c r="J2018" i="1" s="1"/>
  <c r="H2018" i="1"/>
  <c r="I2020" i="1"/>
  <c r="J2020" i="1" s="1"/>
  <c r="H2020" i="1"/>
  <c r="I2022" i="1"/>
  <c r="J2022" i="1" s="1"/>
  <c r="H2022" i="1"/>
  <c r="I2024" i="1"/>
  <c r="J2024" i="1" s="1"/>
  <c r="H2024" i="1"/>
  <c r="I2026" i="1"/>
  <c r="J2026" i="1" s="1"/>
  <c r="H2026" i="1"/>
  <c r="I2028" i="1"/>
  <c r="J2028" i="1" s="1"/>
  <c r="H2028" i="1"/>
  <c r="I2030" i="1"/>
  <c r="J2030" i="1" s="1"/>
  <c r="H2030" i="1"/>
  <c r="I2032" i="1"/>
  <c r="J2032" i="1" s="1"/>
  <c r="H2032" i="1"/>
  <c r="I2034" i="1"/>
  <c r="J2034" i="1" s="1"/>
  <c r="H2034" i="1"/>
  <c r="I2036" i="1"/>
  <c r="J2036" i="1" s="1"/>
  <c r="H2036" i="1"/>
  <c r="I2038" i="1"/>
  <c r="J2038" i="1" s="1"/>
  <c r="H2038" i="1"/>
  <c r="I2040" i="1"/>
  <c r="J2040" i="1" s="1"/>
  <c r="H2040" i="1"/>
  <c r="I2042" i="1"/>
  <c r="J2042" i="1" s="1"/>
  <c r="H2042" i="1"/>
  <c r="I2044" i="1"/>
  <c r="J2044" i="1" s="1"/>
  <c r="H2044" i="1"/>
  <c r="I2046" i="1"/>
  <c r="J2046" i="1" s="1"/>
  <c r="H2046" i="1"/>
  <c r="I2048" i="1"/>
  <c r="J2048" i="1" s="1"/>
  <c r="H2048" i="1"/>
  <c r="I2050" i="1"/>
  <c r="J2050" i="1" s="1"/>
  <c r="H2050" i="1"/>
  <c r="I2052" i="1"/>
  <c r="J2052" i="1" s="1"/>
  <c r="H2052" i="1"/>
  <c r="I2054" i="1"/>
  <c r="J2054" i="1" s="1"/>
  <c r="H2054" i="1"/>
  <c r="I2056" i="1"/>
  <c r="J2056" i="1" s="1"/>
  <c r="H2056" i="1"/>
  <c r="I2058" i="1"/>
  <c r="J2058" i="1" s="1"/>
  <c r="H2058" i="1"/>
  <c r="I2060" i="1"/>
  <c r="J2060" i="1" s="1"/>
  <c r="H2060" i="1"/>
  <c r="I2062" i="1"/>
  <c r="J2062" i="1" s="1"/>
  <c r="H2062" i="1"/>
  <c r="H2064" i="1"/>
  <c r="H2068" i="1"/>
  <c r="H2072" i="1"/>
  <c r="H2076" i="1"/>
  <c r="H2080" i="1"/>
  <c r="H2084" i="1"/>
  <c r="H2088" i="1"/>
  <c r="E203" i="1" l="1"/>
  <c r="K203" i="1"/>
  <c r="G203" i="1"/>
  <c r="H203" i="1" s="1"/>
</calcChain>
</file>

<file path=xl/sharedStrings.xml><?xml version="1.0" encoding="utf-8"?>
<sst xmlns="http://schemas.openxmlformats.org/spreadsheetml/2006/main" count="5520" uniqueCount="2566">
  <si>
    <t>تاریخ</t>
  </si>
  <si>
    <t>قیمت دلار (تومان)</t>
  </si>
  <si>
    <t>قیمت اونس (دلار)</t>
  </si>
  <si>
    <t>قیمت سکه (تومان)</t>
  </si>
  <si>
    <t>ارزش ذاتی سکه (تومان)</t>
  </si>
  <si>
    <t>حباب سکه (تومان)</t>
  </si>
  <si>
    <t>ارزش ذاتی (VAT)</t>
  </si>
  <si>
    <t>حباب (VAT)</t>
  </si>
  <si>
    <t>اردیبهشت</t>
  </si>
  <si>
    <t>92/02/17</t>
  </si>
  <si>
    <t>92/02/18</t>
  </si>
  <si>
    <t>92/02/19</t>
  </si>
  <si>
    <t>92/02/21</t>
  </si>
  <si>
    <t>92/02/22</t>
  </si>
  <si>
    <t>92/02/23</t>
  </si>
  <si>
    <t>92/02/24</t>
  </si>
  <si>
    <t>92/02/25</t>
  </si>
  <si>
    <t>92/02/28</t>
  </si>
  <si>
    <t>92/02/26</t>
  </si>
  <si>
    <t>92/02/29</t>
  </si>
  <si>
    <t>92/02/27</t>
  </si>
  <si>
    <t>92/02/30</t>
  </si>
  <si>
    <t>92/02/31</t>
  </si>
  <si>
    <t>خرداد</t>
  </si>
  <si>
    <t>92/03/01</t>
  </si>
  <si>
    <t>92/03/04</t>
  </si>
  <si>
    <t>92/03/05</t>
  </si>
  <si>
    <t>92/03/02</t>
  </si>
  <si>
    <t>92/03/06</t>
  </si>
  <si>
    <t>92/03/07</t>
  </si>
  <si>
    <t>92/03/08</t>
  </si>
  <si>
    <t>92/03/11</t>
  </si>
  <si>
    <t>92/03/12</t>
  </si>
  <si>
    <t>92/03/13</t>
  </si>
  <si>
    <t>92/03/09</t>
  </si>
  <si>
    <t>92/03/18</t>
  </si>
  <si>
    <t>92/03/19</t>
  </si>
  <si>
    <t>92/03/20</t>
  </si>
  <si>
    <t>92/03/21</t>
  </si>
  <si>
    <t>92/03/16</t>
  </si>
  <si>
    <t>92/03/22</t>
  </si>
  <si>
    <t>92/03/25</t>
  </si>
  <si>
    <t>92/03/26</t>
  </si>
  <si>
    <t>92/03/27</t>
  </si>
  <si>
    <t>92/03/28</t>
  </si>
  <si>
    <t>92/03/29</t>
  </si>
  <si>
    <t>92/03/23</t>
  </si>
  <si>
    <t>تیر</t>
  </si>
  <si>
    <t>92/04/01</t>
  </si>
  <si>
    <t>92/04/02</t>
  </si>
  <si>
    <t>92/04/04</t>
  </si>
  <si>
    <t>92/04/05</t>
  </si>
  <si>
    <t>92/04/08</t>
  </si>
  <si>
    <t>92/04/09</t>
  </si>
  <si>
    <t>92/03/30</t>
  </si>
  <si>
    <t>92/04/10</t>
  </si>
  <si>
    <t>92/04/11</t>
  </si>
  <si>
    <t>92/04/12</t>
  </si>
  <si>
    <t>92/04/15</t>
  </si>
  <si>
    <t>92/04/16</t>
  </si>
  <si>
    <t>92/04/06</t>
  </si>
  <si>
    <t>92/04/17</t>
  </si>
  <si>
    <t>92/04/18</t>
  </si>
  <si>
    <t>92/04/19</t>
  </si>
  <si>
    <t>92/04/22</t>
  </si>
  <si>
    <t>92/04/23</t>
  </si>
  <si>
    <t>92/04/24</t>
  </si>
  <si>
    <t>92/04/13</t>
  </si>
  <si>
    <t>92/04/25</t>
  </si>
  <si>
    <t>92/04/26</t>
  </si>
  <si>
    <t>92/04/29</t>
  </si>
  <si>
    <t>92/04/30</t>
  </si>
  <si>
    <t>92/04/31</t>
  </si>
  <si>
    <t>مرداد</t>
  </si>
  <si>
    <t>92/05/01</t>
  </si>
  <si>
    <t>92/04/20</t>
  </si>
  <si>
    <t>92/05/02</t>
  </si>
  <si>
    <t>92/04/21</t>
  </si>
  <si>
    <t>92/05/05</t>
  </si>
  <si>
    <t>92/05/06</t>
  </si>
  <si>
    <t>92/05/07</t>
  </si>
  <si>
    <t>92/05/09</t>
  </si>
  <si>
    <t>92/05/12</t>
  </si>
  <si>
    <t>92/05/13</t>
  </si>
  <si>
    <t>92/04/27</t>
  </si>
  <si>
    <t>92/05/14</t>
  </si>
  <si>
    <t>92/05/15</t>
  </si>
  <si>
    <t>92/05/16</t>
  </si>
  <si>
    <t>92/05/20</t>
  </si>
  <si>
    <t>92/05/21</t>
  </si>
  <si>
    <t>92/05/22</t>
  </si>
  <si>
    <t>92/05/03</t>
  </si>
  <si>
    <t>92/05/23</t>
  </si>
  <si>
    <t>92/05/26</t>
  </si>
  <si>
    <t>92/05/27</t>
  </si>
  <si>
    <t>92/05/28</t>
  </si>
  <si>
    <t>92/05/08</t>
  </si>
  <si>
    <t>92/05/29</t>
  </si>
  <si>
    <t>92/05/30</t>
  </si>
  <si>
    <t>92/05/10</t>
  </si>
  <si>
    <t>شهریور</t>
  </si>
  <si>
    <t>92/06/02</t>
  </si>
  <si>
    <t>92/06/03</t>
  </si>
  <si>
    <t>92/06/04</t>
  </si>
  <si>
    <t>92/06/05</t>
  </si>
  <si>
    <t>92/06/06</t>
  </si>
  <si>
    <t>92/06/09</t>
  </si>
  <si>
    <t>92/05/17</t>
  </si>
  <si>
    <t>92/06/10</t>
  </si>
  <si>
    <t>92/06/12</t>
  </si>
  <si>
    <t>92/06/13</t>
  </si>
  <si>
    <t>92/06/16</t>
  </si>
  <si>
    <t>92/06/17</t>
  </si>
  <si>
    <t>92/05/24</t>
  </si>
  <si>
    <t>92/06/18</t>
  </si>
  <si>
    <t>92/06/19</t>
  </si>
  <si>
    <t>92/06/20</t>
  </si>
  <si>
    <t>92/06/23</t>
  </si>
  <si>
    <t>92/06/24</t>
  </si>
  <si>
    <t>92/06/25</t>
  </si>
  <si>
    <t>92/05/31</t>
  </si>
  <si>
    <t>92/06/26</t>
  </si>
  <si>
    <t>92/06/27</t>
  </si>
  <si>
    <t>92/06/30</t>
  </si>
  <si>
    <t>92/06/31</t>
  </si>
  <si>
    <t>مهر</t>
  </si>
  <si>
    <t>92/07/01</t>
  </si>
  <si>
    <t>92/07/02</t>
  </si>
  <si>
    <t>92/06/07</t>
  </si>
  <si>
    <t>92/07/03</t>
  </si>
  <si>
    <t>92/07/06</t>
  </si>
  <si>
    <t>92/07/07</t>
  </si>
  <si>
    <t>92/07/08</t>
  </si>
  <si>
    <t>92/07/09</t>
  </si>
  <si>
    <t>92/06/14</t>
  </si>
  <si>
    <t>92/07/10</t>
  </si>
  <si>
    <t>92/07/13</t>
  </si>
  <si>
    <t>92/07/14</t>
  </si>
  <si>
    <t>92/07/15</t>
  </si>
  <si>
    <t>92/07/16</t>
  </si>
  <si>
    <t>92/07/17</t>
  </si>
  <si>
    <t>92/06/21</t>
  </si>
  <si>
    <t>92/07/20</t>
  </si>
  <si>
    <t>92/07/21</t>
  </si>
  <si>
    <t>92/07/22</t>
  </si>
  <si>
    <t>92/07/23</t>
  </si>
  <si>
    <t>92/07/27</t>
  </si>
  <si>
    <t>92/07/28</t>
  </si>
  <si>
    <t>92/06/28</t>
  </si>
  <si>
    <t>92/07/29</t>
  </si>
  <si>
    <t>92/07/30</t>
  </si>
  <si>
    <t>آبان</t>
  </si>
  <si>
    <t>92/08/01</t>
  </si>
  <si>
    <t>92/08/04</t>
  </si>
  <si>
    <t>92/08/05</t>
  </si>
  <si>
    <t>92/08/06</t>
  </si>
  <si>
    <t>92/07/04</t>
  </si>
  <si>
    <t>92/08/07</t>
  </si>
  <si>
    <t>92/08/08</t>
  </si>
  <si>
    <t>92/08/11</t>
  </si>
  <si>
    <t>92/08/12</t>
  </si>
  <si>
    <t>92/08/13</t>
  </si>
  <si>
    <t>92/08/14</t>
  </si>
  <si>
    <t>92/07/11</t>
  </si>
  <si>
    <t>92/08/15</t>
  </si>
  <si>
    <t>92/08/18</t>
  </si>
  <si>
    <t>92/08/19</t>
  </si>
  <si>
    <t>92/08/20</t>
  </si>
  <si>
    <t>92/08/21</t>
  </si>
  <si>
    <t>92/08/25</t>
  </si>
  <si>
    <t>92/07/18</t>
  </si>
  <si>
    <t>92/08/26</t>
  </si>
  <si>
    <t>92/08/27</t>
  </si>
  <si>
    <t>92/08/28</t>
  </si>
  <si>
    <t>92/08/29</t>
  </si>
  <si>
    <t>آذر</t>
  </si>
  <si>
    <t>92/09/02</t>
  </si>
  <si>
    <t>92/07/25</t>
  </si>
  <si>
    <t>92/09/03</t>
  </si>
  <si>
    <t>92/09/04</t>
  </si>
  <si>
    <t>92/09/05</t>
  </si>
  <si>
    <t>92/09/06</t>
  </si>
  <si>
    <t>92/09/09</t>
  </si>
  <si>
    <t>92/09/10</t>
  </si>
  <si>
    <t>92/09/11</t>
  </si>
  <si>
    <t>92/09/12</t>
  </si>
  <si>
    <t>92/09/13</t>
  </si>
  <si>
    <t>92/09/16</t>
  </si>
  <si>
    <t>92/09/17</t>
  </si>
  <si>
    <t>92/08/09</t>
  </si>
  <si>
    <t>92/09/18</t>
  </si>
  <si>
    <t>92/08/10</t>
  </si>
  <si>
    <t>92/09/19</t>
  </si>
  <si>
    <t>92/09/20</t>
  </si>
  <si>
    <t>92/09/23</t>
  </si>
  <si>
    <t>92/09/24</t>
  </si>
  <si>
    <t>92/09/25</t>
  </si>
  <si>
    <t>92/09/26</t>
  </si>
  <si>
    <t>92/08/16</t>
  </si>
  <si>
    <t>92/09/27</t>
  </si>
  <si>
    <t>92/08/17</t>
  </si>
  <si>
    <t>دی</t>
  </si>
  <si>
    <t>92/10/01</t>
  </si>
  <si>
    <t>92/10/03</t>
  </si>
  <si>
    <t>92/10/04</t>
  </si>
  <si>
    <t>92/10/07</t>
  </si>
  <si>
    <t>92/10/08</t>
  </si>
  <si>
    <t>92/08/22</t>
  </si>
  <si>
    <t>92/10/09</t>
  </si>
  <si>
    <t>92/08/23</t>
  </si>
  <si>
    <t>92/10/11</t>
  </si>
  <si>
    <t>92/08/24</t>
  </si>
  <si>
    <t>92/10/14</t>
  </si>
  <si>
    <t>92/10/15</t>
  </si>
  <si>
    <t>92/10/16</t>
  </si>
  <si>
    <t>92/10/17</t>
  </si>
  <si>
    <t>92/10/18</t>
  </si>
  <si>
    <t>92/10/21</t>
  </si>
  <si>
    <t>92/08/30</t>
  </si>
  <si>
    <t>92/10/22</t>
  </si>
  <si>
    <t>92/09/01</t>
  </si>
  <si>
    <t>92/10/23</t>
  </si>
  <si>
    <t>92/10/24</t>
  </si>
  <si>
    <t>92/10/25</t>
  </si>
  <si>
    <t>92/10/28</t>
  </si>
  <si>
    <t>92/10/30</t>
  </si>
  <si>
    <t>بهمن</t>
  </si>
  <si>
    <t>92/11/01</t>
  </si>
  <si>
    <t>92/09/07</t>
  </si>
  <si>
    <t>92/11/02</t>
  </si>
  <si>
    <t>92/09/08</t>
  </si>
  <si>
    <t>92/11/05</t>
  </si>
  <si>
    <t>92/11/06</t>
  </si>
  <si>
    <t>92/11/07</t>
  </si>
  <si>
    <t>92/11/08</t>
  </si>
  <si>
    <t>92/11/09</t>
  </si>
  <si>
    <t>92/11/12</t>
  </si>
  <si>
    <t>92/09/14</t>
  </si>
  <si>
    <t>92/11/13</t>
  </si>
  <si>
    <t>92/09/15</t>
  </si>
  <si>
    <t>92/11/14</t>
  </si>
  <si>
    <t>92/11/15</t>
  </si>
  <si>
    <t>92/11/16</t>
  </si>
  <si>
    <t>92/11/19</t>
  </si>
  <si>
    <t>92/11/20</t>
  </si>
  <si>
    <t>92/11/21</t>
  </si>
  <si>
    <t>92/09/21</t>
  </si>
  <si>
    <t>92/11/23</t>
  </si>
  <si>
    <t>92/09/22</t>
  </si>
  <si>
    <t>92/11/26</t>
  </si>
  <si>
    <t>92/11/27</t>
  </si>
  <si>
    <t>92/11/28</t>
  </si>
  <si>
    <t>92/11/29</t>
  </si>
  <si>
    <t>92/11/30</t>
  </si>
  <si>
    <t>اسفند</t>
  </si>
  <si>
    <t>92/12/03</t>
  </si>
  <si>
    <t>92/09/28</t>
  </si>
  <si>
    <t>92/12/04</t>
  </si>
  <si>
    <t>92/09/29</t>
  </si>
  <si>
    <t>92/12/05</t>
  </si>
  <si>
    <t>92/09/30</t>
  </si>
  <si>
    <t>92/12/06</t>
  </si>
  <si>
    <t>92/12/07</t>
  </si>
  <si>
    <t>92/10/02</t>
  </si>
  <si>
    <t>92/12/10</t>
  </si>
  <si>
    <t>92/12/11</t>
  </si>
  <si>
    <t>92/12/12</t>
  </si>
  <si>
    <t>92/10/05</t>
  </si>
  <si>
    <t>92/12/13</t>
  </si>
  <si>
    <t>92/10/06</t>
  </si>
  <si>
    <t>92/12/14</t>
  </si>
  <si>
    <t>92/12/17</t>
  </si>
  <si>
    <t>92/12/18</t>
  </si>
  <si>
    <t>92/12/19</t>
  </si>
  <si>
    <t>92/10/10</t>
  </si>
  <si>
    <t>92/12/20</t>
  </si>
  <si>
    <t>92/12/21</t>
  </si>
  <si>
    <t>92/10/12</t>
  </si>
  <si>
    <t>92/12/24</t>
  </si>
  <si>
    <t>92/10/13</t>
  </si>
  <si>
    <t>92/12/25</t>
  </si>
  <si>
    <t>92/12/26</t>
  </si>
  <si>
    <t>92/12/27</t>
  </si>
  <si>
    <t>92/12/28</t>
  </si>
  <si>
    <t>فروردین</t>
  </si>
  <si>
    <t xml:space="preserve"> 93/01/05</t>
  </si>
  <si>
    <t xml:space="preserve"> 93/01/06</t>
  </si>
  <si>
    <t>92/10/19</t>
  </si>
  <si>
    <t xml:space="preserve"> 93/01/09</t>
  </si>
  <si>
    <t>92/10/20</t>
  </si>
  <si>
    <t xml:space="preserve"> 93/01/10</t>
  </si>
  <si>
    <t xml:space="preserve"> 93/01/11</t>
  </si>
  <si>
    <t xml:space="preserve"> 93/01/16</t>
  </si>
  <si>
    <t xml:space="preserve"> 93/01/17</t>
  </si>
  <si>
    <t xml:space="preserve"> 93/01/18</t>
  </si>
  <si>
    <t xml:space="preserve"> 93/01/19</t>
  </si>
  <si>
    <t>92/10/26</t>
  </si>
  <si>
    <t xml:space="preserve"> 93/01/20</t>
  </si>
  <si>
    <t>92/10/27</t>
  </si>
  <si>
    <t xml:space="preserve"> 93/01/23</t>
  </si>
  <si>
    <t xml:space="preserve"> 93/01/24</t>
  </si>
  <si>
    <t>92/10/29</t>
  </si>
  <si>
    <t xml:space="preserve"> 93/01/25</t>
  </si>
  <si>
    <t xml:space="preserve"> 93/01/26</t>
  </si>
  <si>
    <t xml:space="preserve"> 93/01/27</t>
  </si>
  <si>
    <t xml:space="preserve"> 93/01/30</t>
  </si>
  <si>
    <t>92/11/03</t>
  </si>
  <si>
    <t xml:space="preserve"> 93/01/31</t>
  </si>
  <si>
    <t>92/11/04</t>
  </si>
  <si>
    <t xml:space="preserve"> 93/02/01</t>
  </si>
  <si>
    <t xml:space="preserve"> 93/02/02</t>
  </si>
  <si>
    <t xml:space="preserve"> 93/02/03</t>
  </si>
  <si>
    <t xml:space="preserve"> 93/02/06</t>
  </si>
  <si>
    <t xml:space="preserve"> 93/02/07</t>
  </si>
  <si>
    <t xml:space="preserve"> 93/02/08</t>
  </si>
  <si>
    <t>92/11/10</t>
  </si>
  <si>
    <t xml:space="preserve"> 93/02/09</t>
  </si>
  <si>
    <t>92/11/11</t>
  </si>
  <si>
    <t xml:space="preserve"> 93/02/10</t>
  </si>
  <si>
    <t xml:space="preserve"> 93/02/13</t>
  </si>
  <si>
    <t xml:space="preserve"> 93/02/14</t>
  </si>
  <si>
    <t xml:space="preserve"> 93/02/15</t>
  </si>
  <si>
    <t xml:space="preserve"> 93/02/16</t>
  </si>
  <si>
    <t xml:space="preserve"> 93/02/17</t>
  </si>
  <si>
    <t>92/11/17</t>
  </si>
  <si>
    <t xml:space="preserve"> 93/02/20</t>
  </si>
  <si>
    <t>92/11/18</t>
  </si>
  <si>
    <t xml:space="preserve"> 93/02/21</t>
  </si>
  <si>
    <t xml:space="preserve"> 93/02/22</t>
  </si>
  <si>
    <t xml:space="preserve"> 93/02/24</t>
  </si>
  <si>
    <t xml:space="preserve"> 93/02/27</t>
  </si>
  <si>
    <t>92/11/22</t>
  </si>
  <si>
    <t xml:space="preserve"> 93/02/28</t>
  </si>
  <si>
    <t xml:space="preserve"> 93/02/29</t>
  </si>
  <si>
    <t>92/11/24</t>
  </si>
  <si>
    <t xml:space="preserve"> 93/02/30</t>
  </si>
  <si>
    <t>92/11/25</t>
  </si>
  <si>
    <t xml:space="preserve"> 93/02/31</t>
  </si>
  <si>
    <t xml:space="preserve"> 93/03/03</t>
  </si>
  <si>
    <t xml:space="preserve"> 93/03/04</t>
  </si>
  <si>
    <t xml:space="preserve"> 93/03/05</t>
  </si>
  <si>
    <t xml:space="preserve"> 93/03/07</t>
  </si>
  <si>
    <t xml:space="preserve"> 93/03/10</t>
  </si>
  <si>
    <t>92/12/01</t>
  </si>
  <si>
    <t xml:space="preserve"> 93/03/11</t>
  </si>
  <si>
    <t>92/12/02</t>
  </si>
  <si>
    <t xml:space="preserve"> 93/03/12</t>
  </si>
  <si>
    <t xml:space="preserve"> 93/03/13</t>
  </si>
  <si>
    <t xml:space="preserve"> 93/03/17</t>
  </si>
  <si>
    <t xml:space="preserve"> 93/03/18</t>
  </si>
  <si>
    <t xml:space="preserve"> 93/03/19</t>
  </si>
  <si>
    <t xml:space="preserve"> 93/03/20</t>
  </si>
  <si>
    <t>92/12/08</t>
  </si>
  <si>
    <t xml:space="preserve"> 93/03/21</t>
  </si>
  <si>
    <t>92/12/09</t>
  </si>
  <si>
    <t xml:space="preserve"> 93/03/24</t>
  </si>
  <si>
    <t xml:space="preserve"> 93/03/25</t>
  </si>
  <si>
    <t xml:space="preserve"> 93/03/26</t>
  </si>
  <si>
    <t xml:space="preserve"> 93/03/27</t>
  </si>
  <si>
    <t xml:space="preserve"> 93/03/28</t>
  </si>
  <si>
    <t xml:space="preserve"> 93/03/31</t>
  </si>
  <si>
    <t>92/12/15</t>
  </si>
  <si>
    <t xml:space="preserve"> 93/04/01</t>
  </si>
  <si>
    <t>92/12/16</t>
  </si>
  <si>
    <t xml:space="preserve"> 93/04/02</t>
  </si>
  <si>
    <t xml:space="preserve"> 93/04/03</t>
  </si>
  <si>
    <t xml:space="preserve"> 93/04/04</t>
  </si>
  <si>
    <t xml:space="preserve"> 93/04/07</t>
  </si>
  <si>
    <t xml:space="preserve"> 93/04/08</t>
  </si>
  <si>
    <t xml:space="preserve"> 93/04/09</t>
  </si>
  <si>
    <t>92/12/22</t>
  </si>
  <si>
    <t xml:space="preserve"> 93/04/10</t>
  </si>
  <si>
    <t>92/12/23</t>
  </si>
  <si>
    <t xml:space="preserve"> 93/04/11</t>
  </si>
  <si>
    <t xml:space="preserve"> 93/04/14</t>
  </si>
  <si>
    <t xml:space="preserve"> 93/04/15</t>
  </si>
  <si>
    <t xml:space="preserve"> 93/04/16</t>
  </si>
  <si>
    <t xml:space="preserve"> 93/04/17</t>
  </si>
  <si>
    <t xml:space="preserve"> 93/04/18</t>
  </si>
  <si>
    <t>92/12/29</t>
  </si>
  <si>
    <t xml:space="preserve"> 93/04/21</t>
  </si>
  <si>
    <t>93/01/01</t>
  </si>
  <si>
    <t xml:space="preserve"> 93/04/22</t>
  </si>
  <si>
    <t>93/01/05</t>
  </si>
  <si>
    <t xml:space="preserve"> 93/04/23</t>
  </si>
  <si>
    <t>93/01/06</t>
  </si>
  <si>
    <t xml:space="preserve"> 93/04/24</t>
  </si>
  <si>
    <t>93/01/07</t>
  </si>
  <si>
    <t xml:space="preserve"> 93/04/25</t>
  </si>
  <si>
    <t>93/01/08</t>
  </si>
  <si>
    <t xml:space="preserve"> 93/04/29</t>
  </si>
  <si>
    <t>93/01/09</t>
  </si>
  <si>
    <t xml:space="preserve"> 93/04/30</t>
  </si>
  <si>
    <t>93/01/10</t>
  </si>
  <si>
    <t xml:space="preserve"> 93/04/31</t>
  </si>
  <si>
    <t>93/01/11</t>
  </si>
  <si>
    <t xml:space="preserve"> 93/05/01</t>
  </si>
  <si>
    <t xml:space="preserve">  93/01/14</t>
  </si>
  <si>
    <t xml:space="preserve"> 93/05/04</t>
  </si>
  <si>
    <t xml:space="preserve">  93/01/15</t>
  </si>
  <si>
    <t xml:space="preserve"> 93/05/05</t>
  </si>
  <si>
    <t xml:space="preserve">  93/01/16</t>
  </si>
  <si>
    <t xml:space="preserve"> 93/05/06</t>
  </si>
  <si>
    <t xml:space="preserve"> 93/05/11</t>
  </si>
  <si>
    <t xml:space="preserve"> 93/05/12</t>
  </si>
  <si>
    <t xml:space="preserve"> 93/05/13</t>
  </si>
  <si>
    <t xml:space="preserve"> 93/05/14</t>
  </si>
  <si>
    <t xml:space="preserve"> 93/01/21</t>
  </si>
  <si>
    <t xml:space="preserve"> 93/05/15</t>
  </si>
  <si>
    <t xml:space="preserve"> 93/01/22</t>
  </si>
  <si>
    <t xml:space="preserve"> 93/05/18</t>
  </si>
  <si>
    <t xml:space="preserve"> 93/05/19</t>
  </si>
  <si>
    <t xml:space="preserve"> 93/05/20</t>
  </si>
  <si>
    <t xml:space="preserve"> 93/05/21</t>
  </si>
  <si>
    <t xml:space="preserve"> 93/05/22</t>
  </si>
  <si>
    <t xml:space="preserve"> 93/05/25</t>
  </si>
  <si>
    <t xml:space="preserve"> 93/01/28</t>
  </si>
  <si>
    <t xml:space="preserve"> 93/05/26</t>
  </si>
  <si>
    <t xml:space="preserve"> 93/01/29</t>
  </si>
  <si>
    <t xml:space="preserve"> 93/05/27</t>
  </si>
  <si>
    <t xml:space="preserve"> 93/05/28</t>
  </si>
  <si>
    <t xml:space="preserve"> 93/05/29</t>
  </si>
  <si>
    <t xml:space="preserve"> 93/06/01</t>
  </si>
  <si>
    <t xml:space="preserve"> 93/06/02</t>
  </si>
  <si>
    <t xml:space="preserve"> 93/06/03</t>
  </si>
  <si>
    <t xml:space="preserve"> 93/02/04</t>
  </si>
  <si>
    <t xml:space="preserve"> 93/06/04</t>
  </si>
  <si>
    <t xml:space="preserve"> 93/02/05</t>
  </si>
  <si>
    <t xml:space="preserve"> 93/06/05</t>
  </si>
  <si>
    <t xml:space="preserve"> 93/06/08</t>
  </si>
  <si>
    <t xml:space="preserve"> 93/06/09</t>
  </si>
  <si>
    <t xml:space="preserve"> 93/06/10</t>
  </si>
  <si>
    <t xml:space="preserve"> 93/06/11</t>
  </si>
  <si>
    <t xml:space="preserve"> 93/06/12</t>
  </si>
  <si>
    <t xml:space="preserve"> 93/02/11</t>
  </si>
  <si>
    <t xml:space="preserve"> 93/06/15</t>
  </si>
  <si>
    <t xml:space="preserve"> 93/02/12</t>
  </si>
  <si>
    <t xml:space="preserve"> 93/06/16</t>
  </si>
  <si>
    <t>شنبه</t>
  </si>
  <si>
    <t xml:space="preserve"> 93/06/17</t>
  </si>
  <si>
    <t>یکشنبه</t>
  </si>
  <si>
    <t xml:space="preserve"> 93/06/18</t>
  </si>
  <si>
    <t>دوشنبه</t>
  </si>
  <si>
    <t xml:space="preserve"> 93/06/19</t>
  </si>
  <si>
    <t>سه‌شنبه</t>
  </si>
  <si>
    <t xml:space="preserve"> 93/06/22</t>
  </si>
  <si>
    <t>چهارشنبه</t>
  </si>
  <si>
    <t xml:space="preserve"> 93/06/23</t>
  </si>
  <si>
    <t>پنجشنبه</t>
  </si>
  <si>
    <t xml:space="preserve"> 93/02/18</t>
  </si>
  <si>
    <t xml:space="preserve"> 93/06/24</t>
  </si>
  <si>
    <t xml:space="preserve"> 93/06/25</t>
  </si>
  <si>
    <t xml:space="preserve"> 93/06/26</t>
  </si>
  <si>
    <t xml:space="preserve"> 93/06/29</t>
  </si>
  <si>
    <t xml:space="preserve"> 93/06/30</t>
  </si>
  <si>
    <t xml:space="preserve"> 93/02/25</t>
  </si>
  <si>
    <t xml:space="preserve"> 93/06/31</t>
  </si>
  <si>
    <t xml:space="preserve"> 93/07/01</t>
  </si>
  <si>
    <t xml:space="preserve"> 93/07/02</t>
  </si>
  <si>
    <t xml:space="preserve"> 93/07/05</t>
  </si>
  <si>
    <t xml:space="preserve"> 93/07/06</t>
  </si>
  <si>
    <t xml:space="preserve"> 93/07/07</t>
  </si>
  <si>
    <t xml:space="preserve"> 93/03/01</t>
  </si>
  <si>
    <t xml:space="preserve"> 93/07/08</t>
  </si>
  <si>
    <t xml:space="preserve"> 93/07/09</t>
  </si>
  <si>
    <t xml:space="preserve"> 93/07/12</t>
  </si>
  <si>
    <t xml:space="preserve"> 93/07/14</t>
  </si>
  <si>
    <t xml:space="preserve"> 93/07/15</t>
  </si>
  <si>
    <t xml:space="preserve"> 93/03/08</t>
  </si>
  <si>
    <t xml:space="preserve"> 93/07/16</t>
  </si>
  <si>
    <t xml:space="preserve"> 93/07/19</t>
  </si>
  <si>
    <t xml:space="preserve"> 93/07/20</t>
  </si>
  <si>
    <t xml:space="preserve"> 93/07/22</t>
  </si>
  <si>
    <t xml:space="preserve"> 93/07/23</t>
  </si>
  <si>
    <t xml:space="preserve"> 93/07/26</t>
  </si>
  <si>
    <t xml:space="preserve"> 93/07/27</t>
  </si>
  <si>
    <t xml:space="preserve"> 93/07/28</t>
  </si>
  <si>
    <t xml:space="preserve"> 93/07/29</t>
  </si>
  <si>
    <t xml:space="preserve"> 93/07/30</t>
  </si>
  <si>
    <t xml:space="preserve"> 93/03/22</t>
  </si>
  <si>
    <t xml:space="preserve"> 93/08/03</t>
  </si>
  <si>
    <t xml:space="preserve"> 93/08/04</t>
  </si>
  <si>
    <t xml:space="preserve"> 93/08/05</t>
  </si>
  <si>
    <t xml:space="preserve"> 93/08/06</t>
  </si>
  <si>
    <t xml:space="preserve"> 93/08/07</t>
  </si>
  <si>
    <t xml:space="preserve"> 93/08/10</t>
  </si>
  <si>
    <t xml:space="preserve"> 93/03/29</t>
  </si>
  <si>
    <t xml:space="preserve"> 93/08/11</t>
  </si>
  <si>
    <t xml:space="preserve"> 93/08/14</t>
  </si>
  <si>
    <t xml:space="preserve"> 93/08/17</t>
  </si>
  <si>
    <t xml:space="preserve"> 93/08/18</t>
  </si>
  <si>
    <t xml:space="preserve"> 93/08/19</t>
  </si>
  <si>
    <t xml:space="preserve"> 93/08/20</t>
  </si>
  <si>
    <t xml:space="preserve"> 93/04/05</t>
  </si>
  <si>
    <t xml:space="preserve"> 93/08/21</t>
  </si>
  <si>
    <t xml:space="preserve"> 93/08/24</t>
  </si>
  <si>
    <t xml:space="preserve"> 93/08/25</t>
  </si>
  <si>
    <t xml:space="preserve"> 93/08/26</t>
  </si>
  <si>
    <t xml:space="preserve"> 93/08/27</t>
  </si>
  <si>
    <t xml:space="preserve"> 93/08/28</t>
  </si>
  <si>
    <t xml:space="preserve"> 93/04/12</t>
  </si>
  <si>
    <t xml:space="preserve"> 93/09/01</t>
  </si>
  <si>
    <t xml:space="preserve"> 93/09/02</t>
  </si>
  <si>
    <t xml:space="preserve"> 93/09/03</t>
  </si>
  <si>
    <t xml:space="preserve"> 93/09/04</t>
  </si>
  <si>
    <t xml:space="preserve"> 93/09/05</t>
  </si>
  <si>
    <t xml:space="preserve"> 93/09/08</t>
  </si>
  <si>
    <t xml:space="preserve"> 93/04/19</t>
  </si>
  <si>
    <t xml:space="preserve"> 93/09/09</t>
  </si>
  <si>
    <t xml:space="preserve"> 93/09/10</t>
  </si>
  <si>
    <t xml:space="preserve"> 93/09/11</t>
  </si>
  <si>
    <t xml:space="preserve"> 93/09/12</t>
  </si>
  <si>
    <t xml:space="preserve"> 93/09/15</t>
  </si>
  <si>
    <t xml:space="preserve"> 93/09/16</t>
  </si>
  <si>
    <t xml:space="preserve"> 93/04/26</t>
  </si>
  <si>
    <t xml:space="preserve"> 93/09/17</t>
  </si>
  <si>
    <t xml:space="preserve"> 93/09/18</t>
  </si>
  <si>
    <t xml:space="preserve"> 93/09/19</t>
  </si>
  <si>
    <t xml:space="preserve"> 93/09/23</t>
  </si>
  <si>
    <t xml:space="preserve"> 93/09/24</t>
  </si>
  <si>
    <t xml:space="preserve"> 93/05/02</t>
  </si>
  <si>
    <t xml:space="preserve"> 93/09/25</t>
  </si>
  <si>
    <t xml:space="preserve"> 93/09/26</t>
  </si>
  <si>
    <t xml:space="preserve"> 93/09/29</t>
  </si>
  <si>
    <t xml:space="preserve"> 93/10/01</t>
  </si>
  <si>
    <t xml:space="preserve"> 93/05/09</t>
  </si>
  <si>
    <t xml:space="preserve"> 93/10/03</t>
  </si>
  <si>
    <t xml:space="preserve"> 93/10/06</t>
  </si>
  <si>
    <t xml:space="preserve"> 93/10/07</t>
  </si>
  <si>
    <t xml:space="preserve"> 93/10/08</t>
  </si>
  <si>
    <t xml:space="preserve"> 93/10/09</t>
  </si>
  <si>
    <t xml:space="preserve"> 93/10/10</t>
  </si>
  <si>
    <t xml:space="preserve"> 93/05/16</t>
  </si>
  <si>
    <t xml:space="preserve"> 93/10/13</t>
  </si>
  <si>
    <t xml:space="preserve"> 93/10/14</t>
  </si>
  <si>
    <t xml:space="preserve"> 93/10/15</t>
  </si>
  <si>
    <t xml:space="preserve"> 93/10/16</t>
  </si>
  <si>
    <t xml:space="preserve"> 93/10/17</t>
  </si>
  <si>
    <t xml:space="preserve"> 93/10/20</t>
  </si>
  <si>
    <t xml:space="preserve"> 93/05/23</t>
  </si>
  <si>
    <t xml:space="preserve"> 93/10/21</t>
  </si>
  <si>
    <t xml:space="preserve"> 93/10/22</t>
  </si>
  <si>
    <t xml:space="preserve"> 93/10/23</t>
  </si>
  <si>
    <t xml:space="preserve"> 93/10/24</t>
  </si>
  <si>
    <t xml:space="preserve"> 93/10/27</t>
  </si>
  <si>
    <t xml:space="preserve"> 93/10/28</t>
  </si>
  <si>
    <t xml:space="preserve"> 93/05/30</t>
  </si>
  <si>
    <t xml:space="preserve"> 93/10/29</t>
  </si>
  <si>
    <t xml:space="preserve"> 93/10/30</t>
  </si>
  <si>
    <t xml:space="preserve"> 93/11/01</t>
  </si>
  <si>
    <t xml:space="preserve"> 93/11/04</t>
  </si>
  <si>
    <t xml:space="preserve"> 93/11/05</t>
  </si>
  <si>
    <t xml:space="preserve"> 93/11/06</t>
  </si>
  <si>
    <t xml:space="preserve"> 93/06/06</t>
  </si>
  <si>
    <t xml:space="preserve"> 93/11/07</t>
  </si>
  <si>
    <t xml:space="preserve"> 93/11/08</t>
  </si>
  <si>
    <t xml:space="preserve"> 93/11/11</t>
  </si>
  <si>
    <t xml:space="preserve"> 93/11/12</t>
  </si>
  <si>
    <t xml:space="preserve"> 93/11/13</t>
  </si>
  <si>
    <t xml:space="preserve"> 93/11/14</t>
  </si>
  <si>
    <t xml:space="preserve"> 93/06/13</t>
  </si>
  <si>
    <t xml:space="preserve"> 93/11/15</t>
  </si>
  <si>
    <t xml:space="preserve"> 93/11/18</t>
  </si>
  <si>
    <t xml:space="preserve"> 93/11/19</t>
  </si>
  <si>
    <t xml:space="preserve"> 93/11/20</t>
  </si>
  <si>
    <t xml:space="preserve"> 93/11/21</t>
  </si>
  <si>
    <t xml:space="preserve"> 93/11/25</t>
  </si>
  <si>
    <t xml:space="preserve"> 93/06/20</t>
  </si>
  <si>
    <t xml:space="preserve"> 93/11/26</t>
  </si>
  <si>
    <t xml:space="preserve"> 93/11/27</t>
  </si>
  <si>
    <t xml:space="preserve"> 93/11/28</t>
  </si>
  <si>
    <t xml:space="preserve"> 93/11/29</t>
  </si>
  <si>
    <t xml:space="preserve"> 93/12/02</t>
  </si>
  <si>
    <t xml:space="preserve"> 93/12/03</t>
  </si>
  <si>
    <t xml:space="preserve"> 93/06/27</t>
  </si>
  <si>
    <t xml:space="preserve"> 93/12/04</t>
  </si>
  <si>
    <t xml:space="preserve"> 93/12/05</t>
  </si>
  <si>
    <t xml:space="preserve"> 93/12/06</t>
  </si>
  <si>
    <t xml:space="preserve"> 93/12/09</t>
  </si>
  <si>
    <t xml:space="preserve"> 93/12/10</t>
  </si>
  <si>
    <t xml:space="preserve"> 93/12/11</t>
  </si>
  <si>
    <t xml:space="preserve"> 93/07/03</t>
  </si>
  <si>
    <t xml:space="preserve"> 93/12/12</t>
  </si>
  <si>
    <t xml:space="preserve"> 93/12/13</t>
  </si>
  <si>
    <t xml:space="preserve"> 93/12/16</t>
  </si>
  <si>
    <t xml:space="preserve"> 93/12/17</t>
  </si>
  <si>
    <t xml:space="preserve"> 93/12/18</t>
  </si>
  <si>
    <t xml:space="preserve"> 93/12/19</t>
  </si>
  <si>
    <t xml:space="preserve"> 93/07/10</t>
  </si>
  <si>
    <t xml:space="preserve"> 93/12/20</t>
  </si>
  <si>
    <t xml:space="preserve"> 93/12/23</t>
  </si>
  <si>
    <t xml:space="preserve"> 93/12/24</t>
  </si>
  <si>
    <t xml:space="preserve"> 93/12/25</t>
  </si>
  <si>
    <t xml:space="preserve"> 93/12/26</t>
  </si>
  <si>
    <t xml:space="preserve"> 93/07/17</t>
  </si>
  <si>
    <t xml:space="preserve"> 93/12/27</t>
  </si>
  <si>
    <t xml:space="preserve"> 94/01/05</t>
  </si>
  <si>
    <t xml:space="preserve"> 94/01/08</t>
  </si>
  <si>
    <t xml:space="preserve"> 94/01/09</t>
  </si>
  <si>
    <t xml:space="preserve"> 94/01/10</t>
  </si>
  <si>
    <t xml:space="preserve"> 93/07/24</t>
  </si>
  <si>
    <t xml:space="preserve"> 94/01/11</t>
  </si>
  <si>
    <t xml:space="preserve"> 94/01/15</t>
  </si>
  <si>
    <t xml:space="preserve"> 94/01/16</t>
  </si>
  <si>
    <t xml:space="preserve"> 94/01/17</t>
  </si>
  <si>
    <t xml:space="preserve"> 94/01/18</t>
  </si>
  <si>
    <t xml:space="preserve"> 94/01/19</t>
  </si>
  <si>
    <t xml:space="preserve"> 93/08/01</t>
  </si>
  <si>
    <t xml:space="preserve"> 94/01/22</t>
  </si>
  <si>
    <t xml:space="preserve"> 94/01/23</t>
  </si>
  <si>
    <t xml:space="preserve"> 94/01/24</t>
  </si>
  <si>
    <t xml:space="preserve"> 94/01/25</t>
  </si>
  <si>
    <t xml:space="preserve"> 94/01/26</t>
  </si>
  <si>
    <t xml:space="preserve"> 94/01/29</t>
  </si>
  <si>
    <t xml:space="preserve"> 93/08/08</t>
  </si>
  <si>
    <t xml:space="preserve"> 94/01/30</t>
  </si>
  <si>
    <t xml:space="preserve"> 94/01/31</t>
  </si>
  <si>
    <t xml:space="preserve"> 94/02/01</t>
  </si>
  <si>
    <t xml:space="preserve"> 94/02/02</t>
  </si>
  <si>
    <t xml:space="preserve"> 93/08/15</t>
  </si>
  <si>
    <t xml:space="preserve"> 94/02/05</t>
  </si>
  <si>
    <t xml:space="preserve"> 94/02/06</t>
  </si>
  <si>
    <t xml:space="preserve"> 94/02/07</t>
  </si>
  <si>
    <t xml:space="preserve"> 94/02/08</t>
  </si>
  <si>
    <t xml:space="preserve"> 94/02/09</t>
  </si>
  <si>
    <t xml:space="preserve"> 94/02/13</t>
  </si>
  <si>
    <t xml:space="preserve"> 93/08/22</t>
  </si>
  <si>
    <t xml:space="preserve"> 94/02/14</t>
  </si>
  <si>
    <t xml:space="preserve"> 94/02/15</t>
  </si>
  <si>
    <t xml:space="preserve"> 94/02/16</t>
  </si>
  <si>
    <t xml:space="preserve"> 94/02/19</t>
  </si>
  <si>
    <t xml:space="preserve"> 94/02/20</t>
  </si>
  <si>
    <t xml:space="preserve"> 94/02/21</t>
  </si>
  <si>
    <t xml:space="preserve"> 93/08/29</t>
  </si>
  <si>
    <t xml:space="preserve"> 94/02/22</t>
  </si>
  <si>
    <t xml:space="preserve"> 94/02/23</t>
  </si>
  <si>
    <t xml:space="preserve"> 94/02/27</t>
  </si>
  <si>
    <t xml:space="preserve"> 94/02/28</t>
  </si>
  <si>
    <t xml:space="preserve"> 94/02/29</t>
  </si>
  <si>
    <t xml:space="preserve"> 94/02/30</t>
  </si>
  <si>
    <t xml:space="preserve"> 93/09/06</t>
  </si>
  <si>
    <t xml:space="preserve"> 94/03/02</t>
  </si>
  <si>
    <t xml:space="preserve"> 94/03/03</t>
  </si>
  <si>
    <t xml:space="preserve"> 94/03/04</t>
  </si>
  <si>
    <t xml:space="preserve"> 94/03/05</t>
  </si>
  <si>
    <t xml:space="preserve"> 94/03/06</t>
  </si>
  <si>
    <t xml:space="preserve"> 94/03/09</t>
  </si>
  <si>
    <t xml:space="preserve"> 93/09/13</t>
  </si>
  <si>
    <t xml:space="preserve"> 94/03/10</t>
  </si>
  <si>
    <t xml:space="preserve"> 94/03/11</t>
  </si>
  <si>
    <t xml:space="preserve"> 94/03/12</t>
  </si>
  <si>
    <t xml:space="preserve"> 94/03/16</t>
  </si>
  <si>
    <t xml:space="preserve"> 94/03/17</t>
  </si>
  <si>
    <t xml:space="preserve"> 94/03/18</t>
  </si>
  <si>
    <t xml:space="preserve"> 93/09/20</t>
  </si>
  <si>
    <t xml:space="preserve"> 94/03/19</t>
  </si>
  <si>
    <t xml:space="preserve"> 94/03/20</t>
  </si>
  <si>
    <t xml:space="preserve"> 94/03/23</t>
  </si>
  <si>
    <t xml:space="preserve"> 94/03/24</t>
  </si>
  <si>
    <t xml:space="preserve"> 94/03/25</t>
  </si>
  <si>
    <t xml:space="preserve"> 93/09/27</t>
  </si>
  <si>
    <t xml:space="preserve"> 94/03/26</t>
  </si>
  <si>
    <t xml:space="preserve"> 94/03/27</t>
  </si>
  <si>
    <t xml:space="preserve"> 94/03/30</t>
  </si>
  <si>
    <t xml:space="preserve"> 94/03/31</t>
  </si>
  <si>
    <t xml:space="preserve"> 93/10/04</t>
  </si>
  <si>
    <t xml:space="preserve"> 94/04/01</t>
  </si>
  <si>
    <t xml:space="preserve"> 94/04/02</t>
  </si>
  <si>
    <t xml:space="preserve"> 94/04/03</t>
  </si>
  <si>
    <t xml:space="preserve"> 93/10/11</t>
  </si>
  <si>
    <t xml:space="preserve"> 93/10/18</t>
  </si>
  <si>
    <t>سه شنبه</t>
  </si>
  <si>
    <t xml:space="preserve"> 93/10/25</t>
  </si>
  <si>
    <t xml:space="preserve"> 93/11/02</t>
  </si>
  <si>
    <t>چهار شنبه</t>
  </si>
  <si>
    <t xml:space="preserve"> 93/11/09</t>
  </si>
  <si>
    <t xml:space="preserve"> 93/11/16</t>
  </si>
  <si>
    <t>يکشنبه</t>
  </si>
  <si>
    <t xml:space="preserve"> 93/11/23</t>
  </si>
  <si>
    <t xml:space="preserve"> 93/11/30</t>
  </si>
  <si>
    <t xml:space="preserve"> 93/12/07</t>
  </si>
  <si>
    <t xml:space="preserve"> 93/12/14</t>
  </si>
  <si>
    <t xml:space="preserve"> 93/12/21</t>
  </si>
  <si>
    <t xml:space="preserve"> 93/12/28</t>
  </si>
  <si>
    <t xml:space="preserve"> 94/01/06</t>
  </si>
  <si>
    <t xml:space="preserve"> 94/01/20</t>
  </si>
  <si>
    <t xml:space="preserve"> 94/01/27</t>
  </si>
  <si>
    <t xml:space="preserve"> 94/02/03</t>
  </si>
  <si>
    <t xml:space="preserve"> 94/02/10</t>
  </si>
  <si>
    <t xml:space="preserve"> 94/02/17</t>
  </si>
  <si>
    <t xml:space="preserve"> 94/02/24</t>
  </si>
  <si>
    <t xml:space="preserve"> 94/02/31</t>
  </si>
  <si>
    <t xml:space="preserve"> 94/03/07</t>
  </si>
  <si>
    <t xml:space="preserve"> 94/03/21</t>
  </si>
  <si>
    <t xml:space="preserve"> 94/03/28</t>
  </si>
  <si>
    <t xml:space="preserve"> 94/04/04</t>
  </si>
  <si>
    <t xml:space="preserve"> 94/04/06</t>
  </si>
  <si>
    <t xml:space="preserve"> 94/04/07</t>
  </si>
  <si>
    <t xml:space="preserve"> 94/04/08</t>
  </si>
  <si>
    <t xml:space="preserve"> 94/04/09</t>
  </si>
  <si>
    <t xml:space="preserve"> 94/04/10</t>
  </si>
  <si>
    <t xml:space="preserve"> 94/04/11</t>
  </si>
  <si>
    <t xml:space="preserve"> 94/04/13</t>
  </si>
  <si>
    <t xml:space="preserve"> 94/04/14</t>
  </si>
  <si>
    <t xml:space="preserve"> 94/04/15</t>
  </si>
  <si>
    <t xml:space="preserve"> 94/04/16</t>
  </si>
  <si>
    <t xml:space="preserve"> 94/04/18</t>
  </si>
  <si>
    <t xml:space="preserve"> 94/04/20</t>
  </si>
  <si>
    <t xml:space="preserve"> 94/04/21</t>
  </si>
  <si>
    <t xml:space="preserve"> 94/04/22</t>
  </si>
  <si>
    <t>سه شنبه</t>
  </si>
  <si>
    <t xml:space="preserve"> 94/04/23</t>
  </si>
  <si>
    <t xml:space="preserve"> 94/04/24</t>
  </si>
  <si>
    <t xml:space="preserve"> 94/04/25</t>
  </si>
  <si>
    <t>94/04/29</t>
  </si>
  <si>
    <t>94/04/30</t>
  </si>
  <si>
    <t>94/04/31</t>
  </si>
  <si>
    <t>94/05/01</t>
  </si>
  <si>
    <t>94/05/03</t>
  </si>
  <si>
    <t>يكشنبه</t>
  </si>
  <si>
    <t>94/05/04</t>
  </si>
  <si>
    <t>94/05/05</t>
  </si>
  <si>
    <t>94/05/06</t>
  </si>
  <si>
    <t>94/05/07</t>
  </si>
  <si>
    <t>94/05/08</t>
  </si>
  <si>
    <t>94/05/10</t>
  </si>
  <si>
    <t>94/05/11</t>
  </si>
  <si>
    <t>94/05/12</t>
  </si>
  <si>
    <t>94/05/13</t>
  </si>
  <si>
    <t>94/05/14</t>
  </si>
  <si>
    <t>94/05/15</t>
  </si>
  <si>
    <t>94/05/17</t>
  </si>
  <si>
    <t>94/05/18</t>
  </si>
  <si>
    <t>94/05/19</t>
  </si>
  <si>
    <t>94/05/21</t>
  </si>
  <si>
    <t>94/05/22</t>
  </si>
  <si>
    <t>94/05/24</t>
  </si>
  <si>
    <t>94/05/25</t>
  </si>
  <si>
    <t>94/05/26</t>
  </si>
  <si>
    <t>94/05/27</t>
  </si>
  <si>
    <t>94/05/28</t>
  </si>
  <si>
    <t>94/05/29</t>
  </si>
  <si>
    <t>94/05/31</t>
  </si>
  <si>
    <t>94/06/1</t>
  </si>
  <si>
    <t>94/06/2</t>
  </si>
  <si>
    <t>94/06/3</t>
  </si>
  <si>
    <t>94/06/4</t>
  </si>
  <si>
    <t>94/06/5</t>
  </si>
  <si>
    <t>94/06/7</t>
  </si>
  <si>
    <t>94/06/8</t>
  </si>
  <si>
    <t>94/06/9</t>
  </si>
  <si>
    <t>94/06/10</t>
  </si>
  <si>
    <t>94/06/11</t>
  </si>
  <si>
    <t>94/06/12</t>
  </si>
  <si>
    <t>94/06/14</t>
  </si>
  <si>
    <t>94/06/15</t>
  </si>
  <si>
    <t>94/06/16</t>
  </si>
  <si>
    <t>94/06/17</t>
  </si>
  <si>
    <t>94/06/18</t>
  </si>
  <si>
    <t>94/06/19</t>
  </si>
  <si>
    <t>جمعه</t>
  </si>
  <si>
    <t>94/06/20</t>
  </si>
  <si>
    <t>94/06/21</t>
  </si>
  <si>
    <t>94/06/22</t>
  </si>
  <si>
    <t>94/06/23</t>
  </si>
  <si>
    <t>94/06/24</t>
  </si>
  <si>
    <t>94/06/25</t>
  </si>
  <si>
    <t>94/06/26</t>
  </si>
  <si>
    <t>94/06/28</t>
  </si>
  <si>
    <t>94/06/29</t>
  </si>
  <si>
    <t>94/06/30</t>
  </si>
  <si>
    <t>94/06/31</t>
  </si>
  <si>
    <t>94/07/01</t>
  </si>
  <si>
    <t>94/07/02</t>
  </si>
  <si>
    <t>94/07/04</t>
  </si>
  <si>
    <t>94/07/05</t>
  </si>
  <si>
    <t>94/07/06</t>
  </si>
  <si>
    <t>94/07/07</t>
  </si>
  <si>
    <t>94/07/08</t>
  </si>
  <si>
    <t>94/07/09</t>
  </si>
  <si>
    <t>94/07/11</t>
  </si>
  <si>
    <t>94/07/12</t>
  </si>
  <si>
    <t>94/07/13</t>
  </si>
  <si>
    <t>94/07/14</t>
  </si>
  <si>
    <t>94/07/15</t>
  </si>
  <si>
    <t>94/07/16</t>
  </si>
  <si>
    <t>94/07/18</t>
  </si>
  <si>
    <t>94/07/19</t>
  </si>
  <si>
    <t>94/07/20</t>
  </si>
  <si>
    <t>94/07/21</t>
  </si>
  <si>
    <t>94/07/22</t>
  </si>
  <si>
    <t>94/07/23</t>
  </si>
  <si>
    <t>94/07/25</t>
  </si>
  <si>
    <t>94/07/26</t>
  </si>
  <si>
    <t>94/07/27</t>
  </si>
  <si>
    <t>94/07/28</t>
  </si>
  <si>
    <t>94/07/29</t>
  </si>
  <si>
    <t>94/07/30</t>
  </si>
  <si>
    <t>94/08/03</t>
  </si>
  <si>
    <t>94/08/04</t>
  </si>
  <si>
    <t>94/08/05</t>
  </si>
  <si>
    <t>94/08/06</t>
  </si>
  <si>
    <t>94/08/07</t>
  </si>
  <si>
    <t>94/08/09</t>
  </si>
  <si>
    <t>94/08/10</t>
  </si>
  <si>
    <t>94/08/11</t>
  </si>
  <si>
    <t>94/08/12</t>
  </si>
  <si>
    <t>94/08/13</t>
  </si>
  <si>
    <t>94/08/14</t>
  </si>
  <si>
    <t>94/08/16</t>
  </si>
  <si>
    <t>94/08/17</t>
  </si>
  <si>
    <t>94/08/18</t>
  </si>
  <si>
    <t>94/08/19</t>
  </si>
  <si>
    <t>94/08/20</t>
  </si>
  <si>
    <t>94/08/21</t>
  </si>
  <si>
    <t>94/08/23</t>
  </si>
  <si>
    <t>94/08/24</t>
  </si>
  <si>
    <t>94/08/25</t>
  </si>
  <si>
    <t>94/08/26</t>
  </si>
  <si>
    <t>94/08/27</t>
  </si>
  <si>
    <t>94/08/28</t>
  </si>
  <si>
    <t>94/08/30</t>
  </si>
  <si>
    <t>94/09/01</t>
  </si>
  <si>
    <t>94/09/02</t>
  </si>
  <si>
    <t>94/09/03</t>
  </si>
  <si>
    <t>94/09/04</t>
  </si>
  <si>
    <t>94/09/05</t>
  </si>
  <si>
    <t>94/09/07</t>
  </si>
  <si>
    <t>94/09/08</t>
  </si>
  <si>
    <t>94/09/09</t>
  </si>
  <si>
    <t>94/09/10</t>
  </si>
  <si>
    <t>94/09/12</t>
  </si>
  <si>
    <t>94/09/14</t>
  </si>
  <si>
    <t>94/09/15</t>
  </si>
  <si>
    <t>94/09/16</t>
  </si>
  <si>
    <t>94/09/17</t>
  </si>
  <si>
    <t>94/09/18</t>
  </si>
  <si>
    <t>94/09/22</t>
  </si>
  <si>
    <t>94/09/23</t>
  </si>
  <si>
    <t>94/09/24</t>
  </si>
  <si>
    <t>94/09/25</t>
  </si>
  <si>
    <t>94/09/26</t>
  </si>
  <si>
    <t>94/09/28</t>
  </si>
  <si>
    <t>94/09/29</t>
  </si>
  <si>
    <t>94/09/30</t>
  </si>
  <si>
    <t>94/10/01</t>
  </si>
  <si>
    <t>94/10/02</t>
  </si>
  <si>
    <t>94/10/03</t>
  </si>
  <si>
    <t>94/10/05</t>
  </si>
  <si>
    <t>94/10/06</t>
  </si>
  <si>
    <t>94/10/07</t>
  </si>
  <si>
    <t>94/10/09</t>
  </si>
  <si>
    <t>94/10/10</t>
  </si>
  <si>
    <t>94/10/12</t>
  </si>
  <si>
    <t>94/10/13</t>
  </si>
  <si>
    <t>94/10/14</t>
  </si>
  <si>
    <t>94/10/15</t>
  </si>
  <si>
    <t xml:space="preserve"> 94/10/19</t>
  </si>
  <si>
    <t>94/10/16</t>
  </si>
  <si>
    <t>94/10/17</t>
  </si>
  <si>
    <t>94/10/19</t>
  </si>
  <si>
    <t>94/10/20</t>
  </si>
  <si>
    <t>94/10/21</t>
  </si>
  <si>
    <t>94/10/22</t>
  </si>
  <si>
    <t>94/10/23</t>
  </si>
  <si>
    <t>94/10/24</t>
  </si>
  <si>
    <t>94/10/26</t>
  </si>
  <si>
    <t>94/10/27</t>
  </si>
  <si>
    <t>94/10/28</t>
  </si>
  <si>
    <t>94/10/29</t>
  </si>
  <si>
    <t>94/10/30</t>
  </si>
  <si>
    <t>94/11/01</t>
  </si>
  <si>
    <t>94/11/03</t>
  </si>
  <si>
    <t>94/11/04</t>
  </si>
  <si>
    <t>94/11/05</t>
  </si>
  <si>
    <t>94/11/06</t>
  </si>
  <si>
    <t>94/11/07</t>
  </si>
  <si>
    <t>94/11/08</t>
  </si>
  <si>
    <t>94/11/10</t>
  </si>
  <si>
    <t>94/11/11</t>
  </si>
  <si>
    <t>94/11/12</t>
  </si>
  <si>
    <t>94/11/13</t>
  </si>
  <si>
    <t>94/11/14</t>
  </si>
  <si>
    <t>94/11/15</t>
  </si>
  <si>
    <t>94/11/17</t>
  </si>
  <si>
    <t>94/11/18</t>
  </si>
  <si>
    <t>94/11/19</t>
  </si>
  <si>
    <t>94/11/20</t>
  </si>
  <si>
    <t>94/11/21</t>
  </si>
  <si>
    <t>94/11/24</t>
  </si>
  <si>
    <t>94/11/25</t>
  </si>
  <si>
    <t>94/11/26</t>
  </si>
  <si>
    <t>94/11/27</t>
  </si>
  <si>
    <t>94/11/28</t>
  </si>
  <si>
    <t>94/11/29</t>
  </si>
  <si>
    <t>94/12/01</t>
  </si>
  <si>
    <t>94/12/02</t>
  </si>
  <si>
    <t>94/12/03</t>
  </si>
  <si>
    <t>94/12/04</t>
  </si>
  <si>
    <t>94/12/05</t>
  </si>
  <si>
    <t>94/12/06</t>
  </si>
  <si>
    <t>94/12/08</t>
  </si>
  <si>
    <t>94/12/09</t>
  </si>
  <si>
    <t>94/12/10</t>
  </si>
  <si>
    <t>94/12/11</t>
  </si>
  <si>
    <t>94/12/12</t>
  </si>
  <si>
    <t>94/12/13</t>
  </si>
  <si>
    <t>94/12/15</t>
  </si>
  <si>
    <t>94/12/16</t>
  </si>
  <si>
    <t>94/12/17</t>
  </si>
  <si>
    <t>94/12/18</t>
  </si>
  <si>
    <t>94/12/19</t>
  </si>
  <si>
    <t>94/12/20</t>
  </si>
  <si>
    <t>94/12/22</t>
  </si>
  <si>
    <t>94/12/24</t>
  </si>
  <si>
    <t>94/12/25</t>
  </si>
  <si>
    <t>94/12/26</t>
  </si>
  <si>
    <t>95/01/07</t>
  </si>
  <si>
    <t>95/01/08</t>
  </si>
  <si>
    <t>95/01/09</t>
  </si>
  <si>
    <t>95/01/10</t>
  </si>
  <si>
    <t>95/01/11</t>
  </si>
  <si>
    <t>95/01/14</t>
  </si>
  <si>
    <t>95/01/15</t>
  </si>
  <si>
    <t>95/01/16</t>
  </si>
  <si>
    <t>95/01/17</t>
  </si>
  <si>
    <t>95/01/18</t>
  </si>
  <si>
    <t>95/01/19</t>
  </si>
  <si>
    <t>95/01/21</t>
  </si>
  <si>
    <t>95/01/22</t>
  </si>
  <si>
    <t>95/01/23</t>
  </si>
  <si>
    <t>95/01/24</t>
  </si>
  <si>
    <t>95/01/25</t>
  </si>
  <si>
    <t>95/01/26</t>
  </si>
  <si>
    <t>95/01/28</t>
  </si>
  <si>
    <t>95/01/29</t>
  </si>
  <si>
    <t>95/01/30</t>
  </si>
  <si>
    <t>95/01/31</t>
  </si>
  <si>
    <t>95/02/01</t>
  </si>
  <si>
    <t>95/02/04</t>
  </si>
  <si>
    <t>95/02/05</t>
  </si>
  <si>
    <t>95/02/06</t>
  </si>
  <si>
    <t>95/02/07</t>
  </si>
  <si>
    <t>95/02/08</t>
  </si>
  <si>
    <t>95/02/09</t>
  </si>
  <si>
    <t>95/02/10</t>
  </si>
  <si>
    <t>95/02/11</t>
  </si>
  <si>
    <t>95/02/12</t>
  </si>
  <si>
    <t>95/02/13</t>
  </si>
  <si>
    <t>95/02/14</t>
  </si>
  <si>
    <t>95/02/18</t>
  </si>
  <si>
    <t>95/02/19</t>
  </si>
  <si>
    <t>95/02/20</t>
  </si>
  <si>
    <t>95/02/21</t>
  </si>
  <si>
    <t>95/02/22</t>
  </si>
  <si>
    <t>95/02/23</t>
  </si>
  <si>
    <t>95/02/25</t>
  </si>
  <si>
    <t>95/02/26</t>
  </si>
  <si>
    <t>95/02/27</t>
  </si>
  <si>
    <t>95/02/28</t>
  </si>
  <si>
    <t>95/02/29</t>
  </si>
  <si>
    <t>95/02/30</t>
  </si>
  <si>
    <t>95/03/01</t>
  </si>
  <si>
    <t>95/03/03</t>
  </si>
  <si>
    <t>95/03/04</t>
  </si>
  <si>
    <t>95/03/05</t>
  </si>
  <si>
    <t>95/03/06</t>
  </si>
  <si>
    <t>95/03/08</t>
  </si>
  <si>
    <t>95/03/09</t>
  </si>
  <si>
    <t>95/03/10</t>
  </si>
  <si>
    <t>95/03/11</t>
  </si>
  <si>
    <t>95/03/12</t>
  </si>
  <si>
    <t>95/03/13</t>
  </si>
  <si>
    <t>95/03/16</t>
  </si>
  <si>
    <t>95/03/17</t>
  </si>
  <si>
    <t>95/03/18</t>
  </si>
  <si>
    <t>95/03/19</t>
  </si>
  <si>
    <t>95/03/20</t>
  </si>
  <si>
    <t>95/03/22</t>
  </si>
  <si>
    <t>95/03/23</t>
  </si>
  <si>
    <t>95/03/24</t>
  </si>
  <si>
    <t>95/03/25</t>
  </si>
  <si>
    <t>95/03/26</t>
  </si>
  <si>
    <t>95/03/27</t>
  </si>
  <si>
    <t>95/03/29</t>
  </si>
  <si>
    <t>95/03/30</t>
  </si>
  <si>
    <t>95/03/31</t>
  </si>
  <si>
    <t>95/04/01</t>
  </si>
  <si>
    <t>95/04/02</t>
  </si>
  <si>
    <t>95/04/03</t>
  </si>
  <si>
    <t>95/04/05</t>
  </si>
  <si>
    <t>95/04/06</t>
  </si>
  <si>
    <t>95/04/08</t>
  </si>
  <si>
    <t>95/04/09</t>
  </si>
  <si>
    <t>95/04/10</t>
  </si>
  <si>
    <t>95/04/12</t>
  </si>
  <si>
    <t>95/04/13</t>
  </si>
  <si>
    <t>95/04/14</t>
  </si>
  <si>
    <t>95/04/15</t>
  </si>
  <si>
    <t>95/04/19</t>
  </si>
  <si>
    <t>95/04/20</t>
  </si>
  <si>
    <t>95/04/21</t>
  </si>
  <si>
    <t>95/04/22</t>
  </si>
  <si>
    <t>95/04/23</t>
  </si>
  <si>
    <t>95/04/24</t>
  </si>
  <si>
    <t>95/04/26</t>
  </si>
  <si>
    <t>95/04/27</t>
  </si>
  <si>
    <t>95/04/28</t>
  </si>
  <si>
    <t>95/04/29</t>
  </si>
  <si>
    <t>95/04/30</t>
  </si>
  <si>
    <t>95/04/31</t>
  </si>
  <si>
    <t>95/05/02</t>
  </si>
  <si>
    <t>95/05/03</t>
  </si>
  <si>
    <t>95/05/04</t>
  </si>
  <si>
    <t>95/05/05</t>
  </si>
  <si>
    <t>95/05/06</t>
  </si>
  <si>
    <t>95/05/07</t>
  </si>
  <si>
    <t>95/05/10</t>
  </si>
  <si>
    <t>95/05/11</t>
  </si>
  <si>
    <t>95/05/12</t>
  </si>
  <si>
    <t>95/05/13</t>
  </si>
  <si>
    <t>95/05/14</t>
  </si>
  <si>
    <t>95/05/16</t>
  </si>
  <si>
    <t>95/05/17</t>
  </si>
  <si>
    <t>95/05/18</t>
  </si>
  <si>
    <t>95/05/19</t>
  </si>
  <si>
    <t>95/05/20</t>
  </si>
  <si>
    <t>95/05/21</t>
  </si>
  <si>
    <t>95/05/23</t>
  </si>
  <si>
    <t>95/05/24</t>
  </si>
  <si>
    <t>95/05/25</t>
  </si>
  <si>
    <t>95/05/26</t>
  </si>
  <si>
    <t>95/05/27</t>
  </si>
  <si>
    <t>95/05/28</t>
  </si>
  <si>
    <t>95/05/30</t>
  </si>
  <si>
    <t>95/05/31</t>
  </si>
  <si>
    <t>95/06/01</t>
  </si>
  <si>
    <t>95/06/02</t>
  </si>
  <si>
    <t>95/06/03</t>
  </si>
  <si>
    <t>95/06/04</t>
  </si>
  <si>
    <t>95/06/06</t>
  </si>
  <si>
    <t>95/06/07</t>
  </si>
  <si>
    <t>95/06/08</t>
  </si>
  <si>
    <t>95/06/09</t>
  </si>
  <si>
    <t>95/06/10</t>
  </si>
  <si>
    <t>95/06/11</t>
  </si>
  <si>
    <t>95/06/13</t>
  </si>
  <si>
    <t>95/06/14</t>
  </si>
  <si>
    <t>95/06/15</t>
  </si>
  <si>
    <t>95/06/16</t>
  </si>
  <si>
    <t>95/06/17</t>
  </si>
  <si>
    <t>95/06/18</t>
  </si>
  <si>
    <t>95/06/20</t>
  </si>
  <si>
    <t>95/06/21</t>
  </si>
  <si>
    <t>95/06/23</t>
  </si>
  <si>
    <t>95/06/24</t>
  </si>
  <si>
    <t>95/06/25</t>
  </si>
  <si>
    <t>95/06/27</t>
  </si>
  <si>
    <t>95/06/28</t>
  </si>
  <si>
    <t>95/06/29</t>
  </si>
  <si>
    <t>95/06/31</t>
  </si>
  <si>
    <t>95/07/01</t>
  </si>
  <si>
    <t>95/07/03</t>
  </si>
  <si>
    <t>95/07/04</t>
  </si>
  <si>
    <t>95/07/05</t>
  </si>
  <si>
    <t>95/07/06</t>
  </si>
  <si>
    <t>95/07/07</t>
  </si>
  <si>
    <t>95/07/08</t>
  </si>
  <si>
    <t>95/07/10</t>
  </si>
  <si>
    <t>95/07/11</t>
  </si>
  <si>
    <t>95/07/12</t>
  </si>
  <si>
    <t>95/07/13</t>
  </si>
  <si>
    <t>95/07/14</t>
  </si>
  <si>
    <t>95/07/15</t>
  </si>
  <si>
    <t>95/07/17</t>
  </si>
  <si>
    <t>95/07/18</t>
  </si>
  <si>
    <t>95/07/19</t>
  </si>
  <si>
    <t>95/07/22</t>
  </si>
  <si>
    <t>95/07/24</t>
  </si>
  <si>
    <t>95/07/25</t>
  </si>
  <si>
    <t>95/07/26</t>
  </si>
  <si>
    <t>95/07/27</t>
  </si>
  <si>
    <t>95/07/28</t>
  </si>
  <si>
    <t>95/07/29</t>
  </si>
  <si>
    <t>95/08/01</t>
  </si>
  <si>
    <t>95/08/02</t>
  </si>
  <si>
    <t>95/08/03</t>
  </si>
  <si>
    <t>95/08/04</t>
  </si>
  <si>
    <t>95/08/05</t>
  </si>
  <si>
    <t>95/08/06</t>
  </si>
  <si>
    <t>95/08/08</t>
  </si>
  <si>
    <t>95/08/09</t>
  </si>
  <si>
    <t>95/08/10</t>
  </si>
  <si>
    <t>95/08/11</t>
  </si>
  <si>
    <t>95/08/12</t>
  </si>
  <si>
    <t>95/08/13</t>
  </si>
  <si>
    <t>95/08/15</t>
  </si>
  <si>
    <t>95/08/16</t>
  </si>
  <si>
    <t>95/08/17</t>
  </si>
  <si>
    <t>95/08/18</t>
  </si>
  <si>
    <t>95/08/19</t>
  </si>
  <si>
    <t>95/08/20</t>
  </si>
  <si>
    <t>95/08/22</t>
  </si>
  <si>
    <t>95/08/23</t>
  </si>
  <si>
    <t>95/08/24</t>
  </si>
  <si>
    <t>95/08/25</t>
  </si>
  <si>
    <t>95/08/26</t>
  </si>
  <si>
    <t>95/08/27</t>
  </si>
  <si>
    <t>95/08/29</t>
  </si>
  <si>
    <t>95/09/01</t>
  </si>
  <si>
    <t>95/09/02</t>
  </si>
  <si>
    <t>95/09/03</t>
  </si>
  <si>
    <t>95/09/04</t>
  </si>
  <si>
    <t>95/09/06</t>
  </si>
  <si>
    <t>95/09/07</t>
  </si>
  <si>
    <t>95/09/09</t>
  </si>
  <si>
    <t>95/09/11</t>
  </si>
  <si>
    <t>95/09/13</t>
  </si>
  <si>
    <t>95/09/14</t>
  </si>
  <si>
    <t>95/09/15</t>
  </si>
  <si>
    <t>95/09/16</t>
  </si>
  <si>
    <t>95/09/17</t>
  </si>
  <si>
    <t>95/09/18</t>
  </si>
  <si>
    <t>95/09/20</t>
  </si>
  <si>
    <t>95/09/21</t>
  </si>
  <si>
    <t>95/09/22</t>
  </si>
  <si>
    <t>95/09/23</t>
  </si>
  <si>
    <t>95/09/24</t>
  </si>
  <si>
    <t>95/09/25</t>
  </si>
  <si>
    <t>95/09/28</t>
  </si>
  <si>
    <t>95/09/29</t>
  </si>
  <si>
    <t>95/09/30</t>
  </si>
  <si>
    <t>95/10/01</t>
  </si>
  <si>
    <t>95/10/02</t>
  </si>
  <si>
    <t>95/10/04</t>
  </si>
  <si>
    <t>95/10/05</t>
  </si>
  <si>
    <t>95/10/06</t>
  </si>
  <si>
    <t>95/10/07</t>
  </si>
  <si>
    <t>95/10/08</t>
  </si>
  <si>
    <t>95/10/09</t>
  </si>
  <si>
    <t>95/10/11</t>
  </si>
  <si>
    <t>95/10/13</t>
  </si>
  <si>
    <t>95/10/14</t>
  </si>
  <si>
    <t>95/10/15</t>
  </si>
  <si>
    <t>95/10/16</t>
  </si>
  <si>
    <t>95/10/18</t>
  </si>
  <si>
    <t>95/10/19</t>
  </si>
  <si>
    <t>95/10/20</t>
  </si>
  <si>
    <t>95/10/22</t>
  </si>
  <si>
    <t>95/10/23</t>
  </si>
  <si>
    <t>95/10/25</t>
  </si>
  <si>
    <t>95/10/26</t>
  </si>
  <si>
    <t>95/10/27</t>
  </si>
  <si>
    <t>95/10/28</t>
  </si>
  <si>
    <t>95/10/29</t>
  </si>
  <si>
    <t>95/10/30</t>
  </si>
  <si>
    <t>95/11/02</t>
  </si>
  <si>
    <t>95/11/03</t>
  </si>
  <si>
    <t>95/11/04</t>
  </si>
  <si>
    <t>95/11/05</t>
  </si>
  <si>
    <t>95/11/06</t>
  </si>
  <si>
    <t>95/11/07</t>
  </si>
  <si>
    <t>95/11/09</t>
  </si>
  <si>
    <t>95/11/10</t>
  </si>
  <si>
    <t>95/11/11</t>
  </si>
  <si>
    <t>95/11/12</t>
  </si>
  <si>
    <t>95/11/13</t>
  </si>
  <si>
    <t>95/11/14</t>
  </si>
  <si>
    <t>95/11/16</t>
  </si>
  <si>
    <t>95/11/17</t>
  </si>
  <si>
    <t>95/11/18</t>
  </si>
  <si>
    <t>95/11/19</t>
  </si>
  <si>
    <t>95/11/20</t>
  </si>
  <si>
    <t>95/11/21</t>
  </si>
  <si>
    <t>95/11/23</t>
  </si>
  <si>
    <t>95/11/24</t>
  </si>
  <si>
    <t>95/11/25</t>
  </si>
  <si>
    <t>95/11/26</t>
  </si>
  <si>
    <t>95/11/27</t>
  </si>
  <si>
    <t>95/11/28</t>
  </si>
  <si>
    <t>95/11/30</t>
  </si>
  <si>
    <t>95/12/01</t>
  </si>
  <si>
    <t>95/12/02</t>
  </si>
  <si>
    <t>95/12/03</t>
  </si>
  <si>
    <t>95/12/04</t>
  </si>
  <si>
    <t>95/12/05</t>
  </si>
  <si>
    <t>95/12/07</t>
  </si>
  <si>
    <t>95/12/08</t>
  </si>
  <si>
    <t>95/12/09</t>
  </si>
  <si>
    <t>95/12/10</t>
  </si>
  <si>
    <t>95/12/11</t>
  </si>
  <si>
    <t>95/12/14</t>
  </si>
  <si>
    <t>95/12/15</t>
  </si>
  <si>
    <t>95/12/16</t>
  </si>
  <si>
    <t>95/12/17</t>
  </si>
  <si>
    <t>95/12/18</t>
  </si>
  <si>
    <t>95/12/19</t>
  </si>
  <si>
    <t>95/12/21</t>
  </si>
  <si>
    <t>95/12/22</t>
  </si>
  <si>
    <t>95/12/23</t>
  </si>
  <si>
    <t>95/12/24</t>
  </si>
  <si>
    <t>95/12/25</t>
  </si>
  <si>
    <t>95/12/26</t>
  </si>
  <si>
    <t>96/01/05</t>
  </si>
  <si>
    <t>96/01/06</t>
  </si>
  <si>
    <t>96/01/07</t>
  </si>
  <si>
    <t>96/01/08</t>
  </si>
  <si>
    <t>96/01/09</t>
  </si>
  <si>
    <t>96/01/10</t>
  </si>
  <si>
    <t>96/01/14</t>
  </si>
  <si>
    <t>96/01/15</t>
  </si>
  <si>
    <t>96/01/16</t>
  </si>
  <si>
    <t>96/01/17</t>
  </si>
  <si>
    <t>96/01/19</t>
  </si>
  <si>
    <t>96/01/20</t>
  </si>
  <si>
    <t>96/01/21</t>
  </si>
  <si>
    <t>96/01/23</t>
  </si>
  <si>
    <t>96/01/24</t>
  </si>
  <si>
    <t>96/01/26</t>
  </si>
  <si>
    <t>96/01/27</t>
  </si>
  <si>
    <t>96/01/28</t>
  </si>
  <si>
    <t>96/01/29</t>
  </si>
  <si>
    <t>96/01/30</t>
  </si>
  <si>
    <t>96/01/31</t>
  </si>
  <si>
    <t>96/02/02</t>
  </si>
  <si>
    <t>96/02/03</t>
  </si>
  <si>
    <t>96/02/04</t>
  </si>
  <si>
    <t>96/02/06</t>
  </si>
  <si>
    <t>96/02/07</t>
  </si>
  <si>
    <t>96/02/09</t>
  </si>
  <si>
    <t>96/02/10</t>
  </si>
  <si>
    <t>96/02/11</t>
  </si>
  <si>
    <t>96/02/12</t>
  </si>
  <si>
    <t>96/02/13</t>
  </si>
  <si>
    <t>96/02/14</t>
  </si>
  <si>
    <t>96/02/16</t>
  </si>
  <si>
    <t>96/02/17</t>
  </si>
  <si>
    <t>96/02/18</t>
  </si>
  <si>
    <t>96/02/19</t>
  </si>
  <si>
    <t>96/02/20</t>
  </si>
  <si>
    <t>96/02/21</t>
  </si>
  <si>
    <t>96/02/23</t>
  </si>
  <si>
    <t>96/02/24</t>
  </si>
  <si>
    <t>96/02/25</t>
  </si>
  <si>
    <t>96/02/26</t>
  </si>
  <si>
    <t>96/02/27</t>
  </si>
  <si>
    <t>96/02/28</t>
  </si>
  <si>
    <t>96/02/30</t>
  </si>
  <si>
    <t>96/02/31</t>
  </si>
  <si>
    <t>96/03/01</t>
  </si>
  <si>
    <t>96/03/02</t>
  </si>
  <si>
    <t>96/03/03</t>
  </si>
  <si>
    <t>96/03/04</t>
  </si>
  <si>
    <t>96/03/06</t>
  </si>
  <si>
    <t>96/03/07</t>
  </si>
  <si>
    <t>96/03/08</t>
  </si>
  <si>
    <t>96/03/09</t>
  </si>
  <si>
    <t>96/03/10</t>
  </si>
  <si>
    <t>96/03/11</t>
  </si>
  <si>
    <t>96/03/13</t>
  </si>
  <si>
    <t>96/03/16</t>
  </si>
  <si>
    <t>96/03/17</t>
  </si>
  <si>
    <t>96/03/18</t>
  </si>
  <si>
    <t>96/03/20</t>
  </si>
  <si>
    <t>96/03/21</t>
  </si>
  <si>
    <t>96/03/22</t>
  </si>
  <si>
    <t>96/03/23</t>
  </si>
  <si>
    <t>96/03/24</t>
  </si>
  <si>
    <t>96/03/25</t>
  </si>
  <si>
    <t>96/03/27</t>
  </si>
  <si>
    <t>96/03/28</t>
  </si>
  <si>
    <t>96/03/29</t>
  </si>
  <si>
    <t>96/03/30</t>
  </si>
  <si>
    <t>96/03/31</t>
  </si>
  <si>
    <t>96/04/01</t>
  </si>
  <si>
    <t>96/04/03</t>
  </si>
  <si>
    <t>96/04/04</t>
  </si>
  <si>
    <t>96/04/07</t>
  </si>
  <si>
    <t>96/04/08</t>
  </si>
  <si>
    <t>96/04/10</t>
  </si>
  <si>
    <t>96/04/11</t>
  </si>
  <si>
    <t>96/04/12</t>
  </si>
  <si>
    <t>96/04/13</t>
  </si>
  <si>
    <t>96/04/19</t>
  </si>
  <si>
    <t>96/04/20</t>
  </si>
  <si>
    <t>96/04/21</t>
  </si>
  <si>
    <t>96/04/22</t>
  </si>
  <si>
    <t>96/04/24</t>
  </si>
  <si>
    <t>96/04/25</t>
  </si>
  <si>
    <t>96/04/26</t>
  </si>
  <si>
    <t>96/04/27</t>
  </si>
  <si>
    <t>96/04/28</t>
  </si>
  <si>
    <t>96/04/31</t>
  </si>
  <si>
    <t>96/05/01</t>
  </si>
  <si>
    <t>96/05/02</t>
  </si>
  <si>
    <t>96/05/03</t>
  </si>
  <si>
    <t>96/05/04</t>
  </si>
  <si>
    <t>96/05/05</t>
  </si>
  <si>
    <t>96/05/07</t>
  </si>
  <si>
    <t>96/05/08</t>
  </si>
  <si>
    <t>96/05/09</t>
  </si>
  <si>
    <t>96/05/10</t>
  </si>
  <si>
    <t>96/05/11</t>
  </si>
  <si>
    <t>96/05/12</t>
  </si>
  <si>
    <t>96/05/14</t>
  </si>
  <si>
    <t>96/05/15</t>
  </si>
  <si>
    <t>96/05/16</t>
  </si>
  <si>
    <t>96/05/17</t>
  </si>
  <si>
    <t>96/05/18</t>
  </si>
  <si>
    <t>96/05/19</t>
  </si>
  <si>
    <t>96/05/21</t>
  </si>
  <si>
    <t>96/05/22</t>
  </si>
  <si>
    <t>96/05/23</t>
  </si>
  <si>
    <t>96/05/24</t>
  </si>
  <si>
    <t>96/05/25</t>
  </si>
  <si>
    <t>96/05/26</t>
  </si>
  <si>
    <t>96/05/28</t>
  </si>
  <si>
    <t>96/05/29</t>
  </si>
  <si>
    <t>96/05/30</t>
  </si>
  <si>
    <t>96/05/31</t>
  </si>
  <si>
    <t>96/06/01</t>
  </si>
  <si>
    <t>96/06/02</t>
  </si>
  <si>
    <t>96/06/04</t>
  </si>
  <si>
    <t>96/06/05</t>
  </si>
  <si>
    <t>96/06/06</t>
  </si>
  <si>
    <t>96/06/07</t>
  </si>
  <si>
    <t>96/06/08</t>
  </si>
  <si>
    <t>96/06/09</t>
  </si>
  <si>
    <t>96/06/11</t>
  </si>
  <si>
    <t>96/06/12</t>
  </si>
  <si>
    <t>96/06/13</t>
  </si>
  <si>
    <t>96/06/14</t>
  </si>
  <si>
    <t>96/06/15</t>
  </si>
  <si>
    <t>96/06/16</t>
  </si>
  <si>
    <t>96/06/19</t>
  </si>
  <si>
    <t>96/06/20</t>
  </si>
  <si>
    <t>96/06/21</t>
  </si>
  <si>
    <t>96/06/22</t>
  </si>
  <si>
    <t>96/06/23</t>
  </si>
  <si>
    <t>96/06/25</t>
  </si>
  <si>
    <t>96/06/26</t>
  </si>
  <si>
    <t>96/06/27</t>
  </si>
  <si>
    <t>96/06/28</t>
  </si>
  <si>
    <t>96/06/29</t>
  </si>
  <si>
    <t>96/06/30</t>
  </si>
  <si>
    <t>96/07/01</t>
  </si>
  <si>
    <t>96/07/02</t>
  </si>
  <si>
    <t>96/07/03</t>
  </si>
  <si>
    <t>96/07/04</t>
  </si>
  <si>
    <t>96/07/05</t>
  </si>
  <si>
    <t>96/07/06</t>
  </si>
  <si>
    <t>96/07/10</t>
  </si>
  <si>
    <t>96/07/11</t>
  </si>
  <si>
    <t>96/07/12</t>
  </si>
  <si>
    <t>96/07/13</t>
  </si>
  <si>
    <t>96/07/15</t>
  </si>
  <si>
    <t>96/07/16</t>
  </si>
  <si>
    <t>96/07/17</t>
  </si>
  <si>
    <t>96/07/18</t>
  </si>
  <si>
    <t>96/07/19</t>
  </si>
  <si>
    <t>96/07/20</t>
  </si>
  <si>
    <t>96/07/22</t>
  </si>
  <si>
    <t>96/07/23</t>
  </si>
  <si>
    <t>96/07/24</t>
  </si>
  <si>
    <t>96/07/25</t>
  </si>
  <si>
    <t>96/07/26</t>
  </si>
  <si>
    <t>96/07/27</t>
  </si>
  <si>
    <t>96/07/29</t>
  </si>
  <si>
    <t>96/07/30</t>
  </si>
  <si>
    <t>96/08/01</t>
  </si>
  <si>
    <t>96/08/02</t>
  </si>
  <si>
    <t>96/08/03</t>
  </si>
  <si>
    <t>96/08/04</t>
  </si>
  <si>
    <t>96/08/06</t>
  </si>
  <si>
    <t>96/08/07</t>
  </si>
  <si>
    <t>96/08/08</t>
  </si>
  <si>
    <t>96/08/09</t>
  </si>
  <si>
    <t>96/08/10</t>
  </si>
  <si>
    <t>96/08/11</t>
  </si>
  <si>
    <t>96/08/13</t>
  </si>
  <si>
    <t>96/08/14</t>
  </si>
  <si>
    <t>96/08/15</t>
  </si>
  <si>
    <t>96/08/16</t>
  </si>
  <si>
    <t>96/08/17</t>
  </si>
  <si>
    <t>96/08/20</t>
  </si>
  <si>
    <t>96/08/21</t>
  </si>
  <si>
    <t>96/08/22</t>
  </si>
  <si>
    <t>96/08/23</t>
  </si>
  <si>
    <t>96/08/24</t>
  </si>
  <si>
    <t>96/08/25</t>
  </si>
  <si>
    <t>96/08/27</t>
  </si>
  <si>
    <t>96/08/29</t>
  </si>
  <si>
    <t>96/08/30</t>
  </si>
  <si>
    <t>96/09/01</t>
  </si>
  <si>
    <t>96/09/02</t>
  </si>
  <si>
    <t>96/09/04</t>
  </si>
  <si>
    <t>96/09/05</t>
  </si>
  <si>
    <t>96/09/08</t>
  </si>
  <si>
    <t>96/09/09</t>
  </si>
  <si>
    <t>96/09/11</t>
  </si>
  <si>
    <t>96/09/12</t>
  </si>
  <si>
    <t>96/09/13</t>
  </si>
  <si>
    <t>96/09/14</t>
  </si>
  <si>
    <t>96/09/16</t>
  </si>
  <si>
    <t>96/09/25</t>
  </si>
  <si>
    <t>96/09/26</t>
  </si>
  <si>
    <t>96/09/27</t>
  </si>
  <si>
    <t>96/09/28</t>
  </si>
  <si>
    <t>96/09/29</t>
  </si>
  <si>
    <t>96/09/30</t>
  </si>
  <si>
    <t>96/10/02</t>
  </si>
  <si>
    <t>96/10/03</t>
  </si>
  <si>
    <t>96/10/04</t>
  </si>
  <si>
    <t>96/10/05</t>
  </si>
  <si>
    <t>96/10/06</t>
  </si>
  <si>
    <t>96/10/07</t>
  </si>
  <si>
    <t>96/10/09</t>
  </si>
  <si>
    <t>96/10/10</t>
  </si>
  <si>
    <t>96/10/11</t>
  </si>
  <si>
    <t>96/10/12</t>
  </si>
  <si>
    <t>96/10/13</t>
  </si>
  <si>
    <t>96/10/14</t>
  </si>
  <si>
    <t>96/10/16</t>
  </si>
  <si>
    <t>96/10/17</t>
  </si>
  <si>
    <t>96/10/18</t>
  </si>
  <si>
    <t>96/10/19</t>
  </si>
  <si>
    <t>96/10/20</t>
  </si>
  <si>
    <t>96/10/21</t>
  </si>
  <si>
    <t>96/10/23</t>
  </si>
  <si>
    <t>96/10/24</t>
  </si>
  <si>
    <t>96/10/25</t>
  </si>
  <si>
    <t>96/10/26</t>
  </si>
  <si>
    <t>96/10/27</t>
  </si>
  <si>
    <t>96/10/28</t>
  </si>
  <si>
    <t>96/10/30</t>
  </si>
  <si>
    <t>96/11/01</t>
  </si>
  <si>
    <t>96/11/02</t>
  </si>
  <si>
    <t>96/11/03</t>
  </si>
  <si>
    <t>96/11/04</t>
  </si>
  <si>
    <t>96/11/05</t>
  </si>
  <si>
    <t>96/11/07</t>
  </si>
  <si>
    <t>96/11/08</t>
  </si>
  <si>
    <t>96/11/09</t>
  </si>
  <si>
    <t>96/11/10</t>
  </si>
  <si>
    <t>96/11/11</t>
  </si>
  <si>
    <t>96/11/12</t>
  </si>
  <si>
    <t>96/11/14</t>
  </si>
  <si>
    <t>96/11/15</t>
  </si>
  <si>
    <t>96/11/16</t>
  </si>
  <si>
    <t>96/11/17</t>
  </si>
  <si>
    <t>96/11/18</t>
  </si>
  <si>
    <t>96/11/19</t>
  </si>
  <si>
    <t>96/11/21</t>
  </si>
  <si>
    <t>96/11/23</t>
  </si>
  <si>
    <t>96/11/24</t>
  </si>
  <si>
    <t>96/11/25</t>
  </si>
  <si>
    <t>96/11/26</t>
  </si>
  <si>
    <t>96/11/28</t>
  </si>
  <si>
    <t>96/11/29</t>
  </si>
  <si>
    <t>96/11/30</t>
  </si>
  <si>
    <t>96/12/02</t>
  </si>
  <si>
    <t>96/12/03</t>
  </si>
  <si>
    <t>96/12/05</t>
  </si>
  <si>
    <t>96/12/06</t>
  </si>
  <si>
    <t>96/12/07</t>
  </si>
  <si>
    <t>96/12/08</t>
  </si>
  <si>
    <t>96/12/09</t>
  </si>
  <si>
    <t>96/12/10</t>
  </si>
  <si>
    <t>96/12/12</t>
  </si>
  <si>
    <t>96/12/13</t>
  </si>
  <si>
    <t>96/12/14</t>
  </si>
  <si>
    <t>96/12/15</t>
  </si>
  <si>
    <t>96/12/16</t>
  </si>
  <si>
    <t>96/12/17</t>
  </si>
  <si>
    <t>96/12/19</t>
  </si>
  <si>
    <t>96/12/20</t>
  </si>
  <si>
    <t>96/12/21</t>
  </si>
  <si>
    <t>96/12/22</t>
  </si>
  <si>
    <t>96/12/23</t>
  </si>
  <si>
    <t>96/12/24</t>
  </si>
  <si>
    <t>96/12/26</t>
  </si>
  <si>
    <t>96/12/27</t>
  </si>
  <si>
    <t>96/12/28</t>
  </si>
  <si>
    <t>97/01/06</t>
  </si>
  <si>
    <t>97/01/07</t>
  </si>
  <si>
    <t>97/01/08</t>
  </si>
  <si>
    <t>97/01/09</t>
  </si>
  <si>
    <t>97/01/14</t>
  </si>
  <si>
    <t>97/01/15</t>
  </si>
  <si>
    <t>97/01/16</t>
  </si>
  <si>
    <t>97/01/18</t>
  </si>
  <si>
    <t>97/01/19</t>
  </si>
  <si>
    <t>97/01/20</t>
  </si>
  <si>
    <t>97/01/21</t>
  </si>
  <si>
    <t>97/01/22</t>
  </si>
  <si>
    <t>97/01/23</t>
  </si>
  <si>
    <t>97/01/26</t>
  </si>
  <si>
    <t>97/01/27</t>
  </si>
  <si>
    <t>97/01/28</t>
  </si>
  <si>
    <t>97/01/29</t>
  </si>
  <si>
    <t>97/01/30</t>
  </si>
  <si>
    <t>97/02/01</t>
  </si>
  <si>
    <t>97/02/02</t>
  </si>
  <si>
    <t>97/02/03</t>
  </si>
  <si>
    <t>97/02/04</t>
  </si>
  <si>
    <t>97/02/05</t>
  </si>
  <si>
    <t>97/02/06</t>
  </si>
  <si>
    <t>97/02/08</t>
  </si>
  <si>
    <t>97/02/09</t>
  </si>
  <si>
    <t>97/02/10</t>
  </si>
  <si>
    <t>97/02/11</t>
  </si>
  <si>
    <t>97/02/13</t>
  </si>
  <si>
    <t>97/02/15</t>
  </si>
  <si>
    <t>97/02/16</t>
  </si>
  <si>
    <t>97/02/17</t>
  </si>
  <si>
    <t>97/02/18</t>
  </si>
  <si>
    <t>97/02/19</t>
  </si>
  <si>
    <t>97/02/20</t>
  </si>
  <si>
    <t>97/02/22</t>
  </si>
  <si>
    <t>97/02/23</t>
  </si>
  <si>
    <t>97/02/24</t>
  </si>
  <si>
    <t>97/02/25</t>
  </si>
  <si>
    <t>97/02/26</t>
  </si>
  <si>
    <t>97/02/27</t>
  </si>
  <si>
    <t>97/02/29</t>
  </si>
  <si>
    <t>97/02/30</t>
  </si>
  <si>
    <t>97/02/31</t>
  </si>
  <si>
    <t>97/03/01</t>
  </si>
  <si>
    <t>97/03/02</t>
  </si>
  <si>
    <t>97/03/03</t>
  </si>
  <si>
    <t>97/03/05</t>
  </si>
  <si>
    <t>97/03/06</t>
  </si>
  <si>
    <t>97/03/07</t>
  </si>
  <si>
    <t>97/03/08</t>
  </si>
  <si>
    <t>97/03/09</t>
  </si>
  <si>
    <t>97/03/10</t>
  </si>
  <si>
    <t>97/03/12</t>
  </si>
  <si>
    <t>97/03/13</t>
  </si>
  <si>
    <t>97/03/14</t>
  </si>
  <si>
    <t>97/03/19</t>
  </si>
  <si>
    <t>97/03/20</t>
  </si>
  <si>
    <t>97/03/21</t>
  </si>
  <si>
    <t>97/03/22</t>
  </si>
  <si>
    <t>97/03/23</t>
  </si>
  <si>
    <t>97/03/24</t>
  </si>
  <si>
    <t>97/03/27</t>
  </si>
  <si>
    <t>97/03/28</t>
  </si>
  <si>
    <t>97/03/29</t>
  </si>
  <si>
    <t>97/03/30</t>
  </si>
  <si>
    <t>97/03/31</t>
  </si>
  <si>
    <t>97/04/02</t>
  </si>
  <si>
    <t>97/04/03</t>
  </si>
  <si>
    <t>97/04/04</t>
  </si>
  <si>
    <t>97/04/05</t>
  </si>
  <si>
    <t>97/04/06</t>
  </si>
  <si>
    <t>97/04/07</t>
  </si>
  <si>
    <t>97/04/09</t>
  </si>
  <si>
    <t>97/04/10</t>
  </si>
  <si>
    <t>97/04/11</t>
  </si>
  <si>
    <t>97/04/12</t>
  </si>
  <si>
    <t>97/04/13</t>
  </si>
  <si>
    <t>97/04/14</t>
  </si>
  <si>
    <t>97/04/16</t>
  </si>
  <si>
    <t>97/04/17</t>
  </si>
  <si>
    <t>97/04/19</t>
  </si>
  <si>
    <t>97/04/20</t>
  </si>
  <si>
    <t>97/04/21</t>
  </si>
  <si>
    <t>97/04/23</t>
  </si>
  <si>
    <t>97/04/24</t>
  </si>
  <si>
    <t>97/04/25</t>
  </si>
  <si>
    <t>97/04/26</t>
  </si>
  <si>
    <t>97/04/27</t>
  </si>
  <si>
    <t>97/04/28</t>
  </si>
  <si>
    <t>97/04/30</t>
  </si>
  <si>
    <t>97/04/31</t>
  </si>
  <si>
    <t>97/05/01</t>
  </si>
  <si>
    <t>97/05/02</t>
  </si>
  <si>
    <t>97/05/03</t>
  </si>
  <si>
    <t>97/05/04</t>
  </si>
  <si>
    <t>97/05/06</t>
  </si>
  <si>
    <t>97/05/07</t>
  </si>
  <si>
    <t>97/05/08</t>
  </si>
  <si>
    <t>97/05/09</t>
  </si>
  <si>
    <t>97/05/10</t>
  </si>
  <si>
    <t>97/05/11</t>
  </si>
  <si>
    <t>97/05/13</t>
  </si>
  <si>
    <t>97/05/14</t>
  </si>
  <si>
    <t>97/05/15</t>
  </si>
  <si>
    <t>97/05/16</t>
  </si>
  <si>
    <t>97/05/17</t>
  </si>
  <si>
    <t>97/05/18</t>
  </si>
  <si>
    <t>97/05/20</t>
  </si>
  <si>
    <t>97/05/21</t>
  </si>
  <si>
    <t>97/05/22</t>
  </si>
  <si>
    <t>97/05/23</t>
  </si>
  <si>
    <t>97/05/24</t>
  </si>
  <si>
    <t>97/05/25</t>
  </si>
  <si>
    <t>97/05/27</t>
  </si>
  <si>
    <t>97/05/28</t>
  </si>
  <si>
    <t>97/05/29</t>
  </si>
  <si>
    <t>97/05/30</t>
  </si>
  <si>
    <t>97/06/01</t>
  </si>
  <si>
    <t>97/06/03</t>
  </si>
  <si>
    <t>97/06/04</t>
  </si>
  <si>
    <t>97/06/05</t>
  </si>
  <si>
    <t>97/06/06</t>
  </si>
  <si>
    <t>97/06/07</t>
  </si>
  <si>
    <t>97/06/10</t>
  </si>
  <si>
    <t>97/06/11</t>
  </si>
  <si>
    <t>97/06/12</t>
  </si>
  <si>
    <t>97/06/13</t>
  </si>
  <si>
    <t>97/06/14</t>
  </si>
  <si>
    <t>97/06/15</t>
  </si>
  <si>
    <t>97/06/17</t>
  </si>
  <si>
    <t>97/06/18</t>
  </si>
  <si>
    <t>97/06/19</t>
  </si>
  <si>
    <t>97/06/20</t>
  </si>
  <si>
    <t>97/06/21</t>
  </si>
  <si>
    <t>97/06/22</t>
  </si>
  <si>
    <t>97/06/24</t>
  </si>
  <si>
    <t>97/06/25</t>
  </si>
  <si>
    <t>97/06/26</t>
  </si>
  <si>
    <t>97/06/27</t>
  </si>
  <si>
    <t>97/06/31</t>
  </si>
  <si>
    <t>97/07/01</t>
  </si>
  <si>
    <t>97/07/02</t>
  </si>
  <si>
    <t>97/07/03</t>
  </si>
  <si>
    <t>97/07/04</t>
  </si>
  <si>
    <t>97/07/05</t>
  </si>
  <si>
    <t>97/07/07</t>
  </si>
  <si>
    <t>97/07/08</t>
  </si>
  <si>
    <t>97/07/09</t>
  </si>
  <si>
    <t>97/07/10</t>
  </si>
  <si>
    <t>97/07/11</t>
  </si>
  <si>
    <t>97/07/12</t>
  </si>
  <si>
    <t>97/07/14</t>
  </si>
  <si>
    <t>97/07/15</t>
  </si>
  <si>
    <t>97/07/16</t>
  </si>
  <si>
    <t>97/07/17</t>
  </si>
  <si>
    <t>97/07/18</t>
  </si>
  <si>
    <t>97/07/19</t>
  </si>
  <si>
    <t>97/07/21</t>
  </si>
  <si>
    <t>97/07/22</t>
  </si>
  <si>
    <t>97/07/23</t>
  </si>
  <si>
    <t>97/07/24</t>
  </si>
  <si>
    <t>97/07/25</t>
  </si>
  <si>
    <t>97/07/26</t>
  </si>
  <si>
    <t>97/07/28</t>
  </si>
  <si>
    <t>97/07/29</t>
  </si>
  <si>
    <t>97/07/30</t>
  </si>
  <si>
    <t>97/08/01</t>
  </si>
  <si>
    <t>97/08/02</t>
  </si>
  <si>
    <t>97/08/03</t>
  </si>
  <si>
    <t>97/08/05</t>
  </si>
  <si>
    <t>97/08/06</t>
  </si>
  <si>
    <t>97/08/07</t>
  </si>
  <si>
    <t>97/08/09</t>
  </si>
  <si>
    <t>97/08/10</t>
  </si>
  <si>
    <t>97/08/12</t>
  </si>
  <si>
    <t>97/08/13</t>
  </si>
  <si>
    <t>97/08/14</t>
  </si>
  <si>
    <t>97/08/15</t>
  </si>
  <si>
    <t>97/08/19</t>
  </si>
  <si>
    <t>97/08/20</t>
  </si>
  <si>
    <t>97/08/21</t>
  </si>
  <si>
    <t>97/08/22</t>
  </si>
  <si>
    <t>97/08/23</t>
  </si>
  <si>
    <t>97/08/24</t>
  </si>
  <si>
    <t>97/08/25</t>
  </si>
  <si>
    <t>97/08/26</t>
  </si>
  <si>
    <t>97/08/28</t>
  </si>
  <si>
    <t>97/08/29</t>
  </si>
  <si>
    <t>97/08/30</t>
  </si>
  <si>
    <t>97/09/01</t>
  </si>
  <si>
    <t>97/09/03</t>
  </si>
  <si>
    <t>97/09/05</t>
  </si>
  <si>
    <t>97/09/06</t>
  </si>
  <si>
    <t>97/09/07</t>
  </si>
  <si>
    <t>97/09/08</t>
  </si>
  <si>
    <t>97/09/10</t>
  </si>
  <si>
    <t>97/09/12</t>
  </si>
  <si>
    <t>97/09/13</t>
  </si>
  <si>
    <t>97/09/14</t>
  </si>
  <si>
    <t>97/09/15</t>
  </si>
  <si>
    <t>97/09/17</t>
  </si>
  <si>
    <t>97/09/18</t>
  </si>
  <si>
    <t>97/09/19</t>
  </si>
  <si>
    <t>97/09/20</t>
  </si>
  <si>
    <t>97/09/21</t>
  </si>
  <si>
    <t>97/09/22</t>
  </si>
  <si>
    <t>97/09/24</t>
  </si>
  <si>
    <t>97/09/25</t>
  </si>
  <si>
    <t>97/09/26</t>
  </si>
  <si>
    <t>97/09/27</t>
  </si>
  <si>
    <t>97/09/28</t>
  </si>
  <si>
    <t>97/09/29</t>
  </si>
  <si>
    <t>97/10/01</t>
  </si>
  <si>
    <t>97/10/02</t>
  </si>
  <si>
    <t>97/10/03</t>
  </si>
  <si>
    <t>97/10/04</t>
  </si>
  <si>
    <t>97/10/05</t>
  </si>
  <si>
    <t>97/10/07</t>
  </si>
  <si>
    <t>97/10/08</t>
  </si>
  <si>
    <t>97/10/09</t>
  </si>
  <si>
    <t>97/10/10</t>
  </si>
  <si>
    <t>97/10/11</t>
  </si>
  <si>
    <t>97/10/12</t>
  </si>
  <si>
    <t>97/10/13</t>
  </si>
  <si>
    <t>97/10/15</t>
  </si>
  <si>
    <t>97/10/16</t>
  </si>
  <si>
    <t>97/10/17</t>
  </si>
  <si>
    <t>97/10/18</t>
  </si>
  <si>
    <t>97/10/19</t>
  </si>
  <si>
    <t>97/10/20</t>
  </si>
  <si>
    <t>97/10/22</t>
  </si>
  <si>
    <t>97/10/23</t>
  </si>
  <si>
    <t>97/10/24</t>
  </si>
  <si>
    <t>97/10/25</t>
  </si>
  <si>
    <t>97/10/26</t>
  </si>
  <si>
    <t>97/10/27</t>
  </si>
  <si>
    <t>97/10/29</t>
  </si>
  <si>
    <t>97/10/30</t>
  </si>
  <si>
    <t>97/11/01</t>
  </si>
  <si>
    <t>97/11/02</t>
  </si>
  <si>
    <t>97/11/03</t>
  </si>
  <si>
    <t>97/11/04</t>
  </si>
  <si>
    <t>97/11/06</t>
  </si>
  <si>
    <t>97/11/07</t>
  </si>
  <si>
    <t>97/11/08</t>
  </si>
  <si>
    <t>97/11/09</t>
  </si>
  <si>
    <t>97/11/10</t>
  </si>
  <si>
    <t>97/11/11</t>
  </si>
  <si>
    <t>97/11/13</t>
  </si>
  <si>
    <t>97/11/14</t>
  </si>
  <si>
    <t>97/11/15</t>
  </si>
  <si>
    <t>97/11/16</t>
  </si>
  <si>
    <t>97/11/17</t>
  </si>
  <si>
    <t>97/11/18</t>
  </si>
  <si>
    <t>97/11/21</t>
  </si>
  <si>
    <t>97/11/23</t>
  </si>
  <si>
    <t>97/11/24</t>
  </si>
  <si>
    <t>97/11/25</t>
  </si>
  <si>
    <t>97/11/27</t>
  </si>
  <si>
    <t>97/11/28</t>
  </si>
  <si>
    <t>97/11/29</t>
  </si>
  <si>
    <t>97/11/30</t>
  </si>
  <si>
    <t>97/12/01</t>
  </si>
  <si>
    <t>97/12/02</t>
  </si>
  <si>
    <t>97/12/04</t>
  </si>
  <si>
    <t>97/12/05</t>
  </si>
  <si>
    <t>97/12/06</t>
  </si>
  <si>
    <t>97/12/07</t>
  </si>
  <si>
    <t>97/12/08</t>
  </si>
  <si>
    <t>97/12/09</t>
  </si>
  <si>
    <t>97/12/11</t>
  </si>
  <si>
    <t>97/12/12</t>
  </si>
  <si>
    <t>97/12/13</t>
  </si>
  <si>
    <t>97/12/14</t>
  </si>
  <si>
    <t>97/12/15</t>
  </si>
  <si>
    <t>97/12/16</t>
  </si>
  <si>
    <t>97/12/18</t>
  </si>
  <si>
    <t>97/12/19</t>
  </si>
  <si>
    <t>97/12/20</t>
  </si>
  <si>
    <t>97/12/21</t>
  </si>
  <si>
    <t>97/12/22</t>
  </si>
  <si>
    <t>97/12/23</t>
  </si>
  <si>
    <t>97/12/25</t>
  </si>
  <si>
    <t>97/12/26</t>
  </si>
  <si>
    <t>97/12/27</t>
  </si>
  <si>
    <t>97/12/28</t>
  </si>
  <si>
    <t>98/01/05</t>
  </si>
  <si>
    <t>98/01/06</t>
  </si>
  <si>
    <t>98/01/07</t>
  </si>
  <si>
    <t>98/01/08</t>
  </si>
  <si>
    <t>98/01/10</t>
  </si>
  <si>
    <t>98/01/11</t>
  </si>
  <si>
    <t>98/01/15</t>
  </si>
  <si>
    <t>98/01/17</t>
  </si>
  <si>
    <t>98/01/18</t>
  </si>
  <si>
    <t>98/01/19</t>
  </si>
  <si>
    <t>98/01/20</t>
  </si>
  <si>
    <t>98/01/21</t>
  </si>
  <si>
    <t>98/01/22</t>
  </si>
  <si>
    <t>98/01/24</t>
  </si>
  <si>
    <t>98/01/25</t>
  </si>
  <si>
    <t>98/01/26</t>
  </si>
  <si>
    <t>98/01/27</t>
  </si>
  <si>
    <t>98/01/28</t>
  </si>
  <si>
    <t>98/01/29</t>
  </si>
  <si>
    <t>98/01/31</t>
  </si>
  <si>
    <t>98/02/02</t>
  </si>
  <si>
    <t>98/02/03</t>
  </si>
  <si>
    <t>98/02/04</t>
  </si>
  <si>
    <t>98/02/05</t>
  </si>
  <si>
    <t>98/02/07</t>
  </si>
  <si>
    <t>98/02/08</t>
  </si>
  <si>
    <t>98/02/09</t>
  </si>
  <si>
    <t>98/02/10</t>
  </si>
  <si>
    <t>98/02/11</t>
  </si>
  <si>
    <t>98/02/12</t>
  </si>
  <si>
    <t>98/02/14</t>
  </si>
  <si>
    <t>98/02/15</t>
  </si>
  <si>
    <t>98/02/16</t>
  </si>
  <si>
    <t>98/02/17</t>
  </si>
  <si>
    <t>98/02/18</t>
  </si>
  <si>
    <t>98/02/19</t>
  </si>
  <si>
    <t>98/02/21</t>
  </si>
  <si>
    <t>98/02/22</t>
  </si>
  <si>
    <t>98/02/23</t>
  </si>
  <si>
    <t>98/02/24</t>
  </si>
  <si>
    <t>98/02/25</t>
  </si>
  <si>
    <t>98/02/26</t>
  </si>
  <si>
    <t>98/02/28</t>
  </si>
  <si>
    <t>98/02/29</t>
  </si>
  <si>
    <t>98/02/30</t>
  </si>
  <si>
    <t>98/02/31</t>
  </si>
  <si>
    <t>98/03/01</t>
  </si>
  <si>
    <t>98/03/02</t>
  </si>
  <si>
    <t>98/03/04</t>
  </si>
  <si>
    <t>98/03/05</t>
  </si>
  <si>
    <t>98/03/07</t>
  </si>
  <si>
    <t>98/03/08</t>
  </si>
  <si>
    <t>98/03/09</t>
  </si>
  <si>
    <t>98/03/11</t>
  </si>
  <si>
    <t>98/03/12</t>
  </si>
  <si>
    <t>98/03/13</t>
  </si>
  <si>
    <t>98/03/18</t>
  </si>
  <si>
    <t>98/03/19</t>
  </si>
  <si>
    <t>98/03/20</t>
  </si>
  <si>
    <t>98/03/21</t>
  </si>
  <si>
    <t>98/03/22</t>
  </si>
  <si>
    <t>98/03/23</t>
  </si>
  <si>
    <t>98/03/25</t>
  </si>
  <si>
    <t>98/03/26</t>
  </si>
  <si>
    <t>98/03/27</t>
  </si>
  <si>
    <t>98/03/28</t>
  </si>
  <si>
    <t>98/03/29</t>
  </si>
  <si>
    <t>98/03/30</t>
  </si>
  <si>
    <t>98/04/01</t>
  </si>
  <si>
    <t>98/04/02</t>
  </si>
  <si>
    <t>98/04/03</t>
  </si>
  <si>
    <t>98/04/04</t>
  </si>
  <si>
    <t>98/04/05</t>
  </si>
  <si>
    <t>98/04/06</t>
  </si>
  <si>
    <t>98/04/09</t>
  </si>
  <si>
    <t>98/04/10</t>
  </si>
  <si>
    <t>98/04/11</t>
  </si>
  <si>
    <t>98/04/12</t>
  </si>
  <si>
    <t>98/04/13</t>
  </si>
  <si>
    <t>98/04/15</t>
  </si>
  <si>
    <t>98/04/16</t>
  </si>
  <si>
    <t>98/04/17</t>
  </si>
  <si>
    <t>98/04/18</t>
  </si>
  <si>
    <t>98/04/19</t>
  </si>
  <si>
    <t>98/04/20</t>
  </si>
  <si>
    <t>98/04/22</t>
  </si>
  <si>
    <t>98/04/23</t>
  </si>
  <si>
    <t>98/04/24</t>
  </si>
  <si>
    <t>98/04/25</t>
  </si>
  <si>
    <t>98/04/26</t>
  </si>
  <si>
    <t>98/04/27</t>
  </si>
  <si>
    <t>98/04/29</t>
  </si>
  <si>
    <t>98/04/30</t>
  </si>
  <si>
    <t>98/04/31</t>
  </si>
  <si>
    <t>98/05/01</t>
  </si>
  <si>
    <t>98/05/02</t>
  </si>
  <si>
    <t>98/05/03</t>
  </si>
  <si>
    <t>98/05/05</t>
  </si>
  <si>
    <t>98/05/06</t>
  </si>
  <si>
    <t>98/05/07</t>
  </si>
  <si>
    <t>98/05/08</t>
  </si>
  <si>
    <t>98/05/09</t>
  </si>
  <si>
    <t>98/05/10</t>
  </si>
  <si>
    <t>98/05/12</t>
  </si>
  <si>
    <t>98/05/13</t>
  </si>
  <si>
    <t>98/05/14</t>
  </si>
  <si>
    <t>98/05/15</t>
  </si>
  <si>
    <t>98/05/16</t>
  </si>
  <si>
    <t>98/05/17</t>
  </si>
  <si>
    <t>98/05/19</t>
  </si>
  <si>
    <t>98/05/20</t>
  </si>
  <si>
    <t>98/05/22</t>
  </si>
  <si>
    <t>98/05/23</t>
  </si>
  <si>
    <t>98/05/24</t>
  </si>
  <si>
    <t>98/05/26</t>
  </si>
  <si>
    <t>98/05/27</t>
  </si>
  <si>
    <t>98/05/28</t>
  </si>
  <si>
    <t>98/05/30</t>
  </si>
  <si>
    <t>98/05/31</t>
  </si>
  <si>
    <t>98/06/02</t>
  </si>
  <si>
    <t>98/06/03</t>
  </si>
  <si>
    <t>98/06/04</t>
  </si>
  <si>
    <t>98/06/05</t>
  </si>
  <si>
    <t>98/06/06</t>
  </si>
  <si>
    <t>98/06/07</t>
  </si>
  <si>
    <t>98/06/09</t>
  </si>
  <si>
    <t>98/06/10</t>
  </si>
  <si>
    <t>98/06/11</t>
  </si>
  <si>
    <t>98/06/12</t>
  </si>
  <si>
    <t>98/06/13</t>
  </si>
  <si>
    <t>98/06/14</t>
  </si>
  <si>
    <t>98/06/16</t>
  </si>
  <si>
    <t>98/06/17</t>
  </si>
  <si>
    <t>98/06/20</t>
  </si>
  <si>
    <t>98/06/21</t>
  </si>
  <si>
    <t>98/06/23</t>
  </si>
  <si>
    <t>98/06/24</t>
  </si>
  <si>
    <t>98/06/25</t>
  </si>
  <si>
    <t>98/06/26</t>
  </si>
  <si>
    <t>98/06/27</t>
  </si>
  <si>
    <t>98/06/28</t>
  </si>
  <si>
    <t>98/06/30</t>
  </si>
  <si>
    <t>98/06/31</t>
  </si>
  <si>
    <t>98/07/01</t>
  </si>
  <si>
    <t>98/07/02</t>
  </si>
  <si>
    <t>98/07/03</t>
  </si>
  <si>
    <t>98/07/04</t>
  </si>
  <si>
    <t>98/07/06</t>
  </si>
  <si>
    <t>98/07/07</t>
  </si>
  <si>
    <t>98/07/08</t>
  </si>
  <si>
    <t>98/07/09</t>
  </si>
  <si>
    <t>98/07/10</t>
  </si>
  <si>
    <t>98/07/11</t>
  </si>
  <si>
    <t>98/07/13</t>
  </si>
  <si>
    <t>98/07/14</t>
  </si>
  <si>
    <t>98/07/15</t>
  </si>
  <si>
    <t>98/07/16</t>
  </si>
  <si>
    <t>98/07/17</t>
  </si>
  <si>
    <t>98/07/18</t>
  </si>
  <si>
    <t>98/07/20</t>
  </si>
  <si>
    <t>98/07/21</t>
  </si>
  <si>
    <t>98/07/22</t>
  </si>
  <si>
    <t>98/07/23</t>
  </si>
  <si>
    <t>98/07/24</t>
  </si>
  <si>
    <t>98/07/25</t>
  </si>
  <si>
    <t>98/07/28</t>
  </si>
  <si>
    <t>98/07/29</t>
  </si>
  <si>
    <t>98/07/30</t>
  </si>
  <si>
    <t>98/08/01</t>
  </si>
  <si>
    <t>98/08/02</t>
  </si>
  <si>
    <t>98/08/04</t>
  </si>
  <si>
    <t>98/08/06</t>
  </si>
  <si>
    <t>98/08/08</t>
  </si>
  <si>
    <t>98/08/09</t>
  </si>
  <si>
    <t>98/08/11</t>
  </si>
  <si>
    <t>98/08/12</t>
  </si>
  <si>
    <t>98/08/13</t>
  </si>
  <si>
    <t>98/08/14</t>
  </si>
  <si>
    <t>98/08/16</t>
  </si>
  <si>
    <t>98/08/18</t>
  </si>
  <si>
    <t>98/08/19</t>
  </si>
  <si>
    <t>98/08/20</t>
  </si>
  <si>
    <t>98/08/21</t>
  </si>
  <si>
    <t>98/08/22</t>
  </si>
  <si>
    <t>98/08/23</t>
  </si>
  <si>
    <t>98/08/25</t>
  </si>
  <si>
    <t>98/08/26</t>
  </si>
  <si>
    <t>98/08/27</t>
  </si>
  <si>
    <t>98/08/28</t>
  </si>
  <si>
    <t>98/08/29</t>
  </si>
  <si>
    <t>98/08/30</t>
  </si>
  <si>
    <t>98/09/02</t>
  </si>
  <si>
    <t>98/09/03</t>
  </si>
  <si>
    <t>98/09/04</t>
  </si>
  <si>
    <t>98/09/05</t>
  </si>
  <si>
    <t>98/09/06</t>
  </si>
  <si>
    <t>98/09/07</t>
  </si>
  <si>
    <t>98/09/09</t>
  </si>
  <si>
    <t>98/09/10</t>
  </si>
  <si>
    <t>98/09/11</t>
  </si>
  <si>
    <t>98/09/12</t>
  </si>
  <si>
    <t>98/09/13</t>
  </si>
  <si>
    <t>98/09/14</t>
  </si>
  <si>
    <t>98/09/16</t>
  </si>
  <si>
    <t>98/09/17</t>
  </si>
  <si>
    <t>98/09/18</t>
  </si>
  <si>
    <t>98/09/19</t>
  </si>
  <si>
    <t>98/09/20</t>
  </si>
  <si>
    <t>98/09/21</t>
  </si>
  <si>
    <t>98/09/23</t>
  </si>
  <si>
    <t>98/09/24</t>
  </si>
  <si>
    <t>98/09/25</t>
  </si>
  <si>
    <t>98/09/26</t>
  </si>
  <si>
    <t>98/09/27</t>
  </si>
  <si>
    <t>98/09/28</t>
  </si>
  <si>
    <t>98/09/30</t>
  </si>
  <si>
    <t>98/10/01</t>
  </si>
  <si>
    <t>98/10/02</t>
  </si>
  <si>
    <t>98/10/03</t>
  </si>
  <si>
    <t>98/10/04</t>
  </si>
  <si>
    <t>98/10/05</t>
  </si>
  <si>
    <t>98/10/07</t>
  </si>
  <si>
    <t>98/10/08</t>
  </si>
  <si>
    <t>98/10/09</t>
  </si>
  <si>
    <t>98/10/10</t>
  </si>
  <si>
    <t>98/10/11</t>
  </si>
  <si>
    <t>98/10/12</t>
  </si>
  <si>
    <t>98/10/14</t>
  </si>
  <si>
    <t>98/10/15</t>
  </si>
  <si>
    <t>98/10/17</t>
  </si>
  <si>
    <t>98/10/18</t>
  </si>
  <si>
    <t>98/10/19</t>
  </si>
  <si>
    <t>98/10/21</t>
  </si>
  <si>
    <t>98/10/22</t>
  </si>
  <si>
    <t>98/10/23</t>
  </si>
  <si>
    <t>98/10/24</t>
  </si>
  <si>
    <t>98/10/25</t>
  </si>
  <si>
    <t>98/10/26</t>
  </si>
  <si>
    <t>98/10/28</t>
  </si>
  <si>
    <t>98/10/29</t>
  </si>
  <si>
    <t>98/10/30</t>
  </si>
  <si>
    <t>98/11/01</t>
  </si>
  <si>
    <t>98/11/02</t>
  </si>
  <si>
    <t>98/11/03</t>
  </si>
  <si>
    <t>98/11/05</t>
  </si>
  <si>
    <t>98/11/06</t>
  </si>
  <si>
    <t>98/11/07</t>
  </si>
  <si>
    <t>98/11/08</t>
  </si>
  <si>
    <t>98/11/10</t>
  </si>
  <si>
    <t>98/11/12</t>
  </si>
  <si>
    <t>98/11/13</t>
  </si>
  <si>
    <t>98/11/14</t>
  </si>
  <si>
    <t>98/11/15</t>
  </si>
  <si>
    <t>98/11/16</t>
  </si>
  <si>
    <t>98/11/17</t>
  </si>
  <si>
    <t>98/11/19</t>
  </si>
  <si>
    <t>98/11/20</t>
  </si>
  <si>
    <t>98/11/21</t>
  </si>
  <si>
    <t>98/11/23</t>
  </si>
  <si>
    <t>98/11/24</t>
  </si>
  <si>
    <t>98/11/26</t>
  </si>
  <si>
    <t>98/11/27</t>
  </si>
  <si>
    <t>98/11/28</t>
  </si>
  <si>
    <t>98/11/29</t>
  </si>
  <si>
    <t>98/11/30</t>
  </si>
  <si>
    <t>98/12/01</t>
  </si>
  <si>
    <t>98/12/03</t>
  </si>
  <si>
    <t>98/12/04</t>
  </si>
  <si>
    <t>98/12/05</t>
  </si>
  <si>
    <t>98/12/06</t>
  </si>
  <si>
    <t>98/12/07</t>
  </si>
  <si>
    <t>98/12/08</t>
  </si>
  <si>
    <t>98/12/10</t>
  </si>
  <si>
    <t>98/12/11</t>
  </si>
  <si>
    <t>98/12/12</t>
  </si>
  <si>
    <t>98/12/13</t>
  </si>
  <si>
    <t>98/12/14</t>
  </si>
  <si>
    <t>98/12/15</t>
  </si>
  <si>
    <t>98/12/17</t>
  </si>
  <si>
    <t>98/12/19</t>
  </si>
  <si>
    <t>98/12/20</t>
  </si>
  <si>
    <t>98/12/21</t>
  </si>
  <si>
    <t>98/12/22</t>
  </si>
  <si>
    <t>98/12/24</t>
  </si>
  <si>
    <t>98/12/25</t>
  </si>
  <si>
    <t>98/12/26</t>
  </si>
  <si>
    <t>98/12/27</t>
  </si>
  <si>
    <t>98/12/28</t>
  </si>
  <si>
    <t>99/01/05</t>
  </si>
  <si>
    <t>99/01/06</t>
  </si>
  <si>
    <t>99/01/07</t>
  </si>
  <si>
    <t>99/01/09</t>
  </si>
  <si>
    <t>99/01/10</t>
  </si>
  <si>
    <t>99/01/11</t>
  </si>
  <si>
    <t>99/01/14</t>
  </si>
  <si>
    <t>99/01/16</t>
  </si>
  <si>
    <t>99/01/17</t>
  </si>
  <si>
    <t>99/01/18</t>
  </si>
  <si>
    <t>99/01/19</t>
  </si>
  <si>
    <t>99/01/20</t>
  </si>
  <si>
    <t>99/01/23</t>
  </si>
  <si>
    <t>99/01/24</t>
  </si>
  <si>
    <t>99/01/25</t>
  </si>
  <si>
    <t>99/01/26</t>
  </si>
  <si>
    <t>99/01/27</t>
  </si>
  <si>
    <t>99/01/28</t>
  </si>
  <si>
    <t>99/01/30</t>
  </si>
  <si>
    <t>99/01/31</t>
  </si>
  <si>
    <t>99/02/01</t>
  </si>
  <si>
    <t>99/02/02</t>
  </si>
  <si>
    <t>99/02/03</t>
  </si>
  <si>
    <t>99/02/04</t>
  </si>
  <si>
    <t>99/02/06</t>
  </si>
  <si>
    <t>99/02/07</t>
  </si>
  <si>
    <t>99/02/08</t>
  </si>
  <si>
    <t>99/02/09</t>
  </si>
  <si>
    <t>99/02/10</t>
  </si>
  <si>
    <t>99/02/11</t>
  </si>
  <si>
    <t>99/02/13</t>
  </si>
  <si>
    <t>99/02/14</t>
  </si>
  <si>
    <t>99/02/15</t>
  </si>
  <si>
    <t>99/02/16</t>
  </si>
  <si>
    <t>99/02/17</t>
  </si>
  <si>
    <t>99/02/18</t>
  </si>
  <si>
    <t>99/02/20</t>
  </si>
  <si>
    <t>99/02/21</t>
  </si>
  <si>
    <t>99/02/22</t>
  </si>
  <si>
    <t>99/02/23</t>
  </si>
  <si>
    <t>99/02/24</t>
  </si>
  <si>
    <t>99/02/25</t>
  </si>
  <si>
    <t>99/02/27</t>
  </si>
  <si>
    <t>99/02/28</t>
  </si>
  <si>
    <t>99/02/29</t>
  </si>
  <si>
    <t>99/02/30</t>
  </si>
  <si>
    <t>99/02/31</t>
  </si>
  <si>
    <t>99/03/01</t>
  </si>
  <si>
    <t>99/03/03</t>
  </si>
  <si>
    <t>99/03/06</t>
  </si>
  <si>
    <t>99/03/07</t>
  </si>
  <si>
    <t>99/03/08</t>
  </si>
  <si>
    <t>99/03/10</t>
  </si>
  <si>
    <t>99/03/11</t>
  </si>
  <si>
    <t>99/03/12</t>
  </si>
  <si>
    <t>99/03/13</t>
  </si>
  <si>
    <t>99/03/17</t>
  </si>
  <si>
    <t>99/03/18</t>
  </si>
  <si>
    <t>99/03/19</t>
  </si>
  <si>
    <t>99/03/20</t>
  </si>
  <si>
    <t>99/03/21</t>
  </si>
  <si>
    <t>99/03/22</t>
  </si>
  <si>
    <t>99/03/24</t>
  </si>
  <si>
    <t>99/03/25</t>
  </si>
  <si>
    <t>99/03/26</t>
  </si>
  <si>
    <t>99/03/27</t>
  </si>
  <si>
    <t>99/03/29</t>
  </si>
  <si>
    <t>99/03/31</t>
  </si>
  <si>
    <t>99/04/01</t>
  </si>
  <si>
    <t>99/04/02</t>
  </si>
  <si>
    <t>99/04/03</t>
  </si>
  <si>
    <t>99/04/04</t>
  </si>
  <si>
    <t>99/04/05</t>
  </si>
  <si>
    <t>99/04/07</t>
  </si>
  <si>
    <t>99/04/08</t>
  </si>
  <si>
    <t>99/04/09</t>
  </si>
  <si>
    <t>99/04/10</t>
  </si>
  <si>
    <t>99/04/11</t>
  </si>
  <si>
    <t>99/04/12</t>
  </si>
  <si>
    <t>99/04/14</t>
  </si>
  <si>
    <t>99/04/15</t>
  </si>
  <si>
    <t>99/04/16</t>
  </si>
  <si>
    <t>99/04/17</t>
  </si>
  <si>
    <t>99/04/18</t>
  </si>
  <si>
    <t>99/04/19</t>
  </si>
  <si>
    <t>99/04/21</t>
  </si>
  <si>
    <t>99/04/22</t>
  </si>
  <si>
    <t>99/04/23</t>
  </si>
  <si>
    <t>99/04/24</t>
  </si>
  <si>
    <t>99/04/25</t>
  </si>
  <si>
    <t>99/04/26</t>
  </si>
  <si>
    <t>99/04/28</t>
  </si>
  <si>
    <t>99/04/29</t>
  </si>
  <si>
    <t>99/04/30</t>
  </si>
  <si>
    <t>99/04/31</t>
  </si>
  <si>
    <t>99/05/01</t>
  </si>
  <si>
    <t>99/05/02</t>
  </si>
  <si>
    <t>99/05/04</t>
  </si>
  <si>
    <t>99/05/05</t>
  </si>
  <si>
    <t>99/05/06</t>
  </si>
  <si>
    <t>99/05/07</t>
  </si>
  <si>
    <t>99/05/08</t>
  </si>
  <si>
    <t>99/05/09</t>
  </si>
  <si>
    <t>99/05/11</t>
  </si>
  <si>
    <t>99/05/12</t>
  </si>
  <si>
    <t>99/05/13</t>
  </si>
  <si>
    <t>99/05/14</t>
  </si>
  <si>
    <t>99/05/15</t>
  </si>
  <si>
    <t>99/05/16</t>
  </si>
  <si>
    <t>99/05/19</t>
  </si>
  <si>
    <t>99/05/20</t>
  </si>
  <si>
    <t>99/05/21</t>
  </si>
  <si>
    <t>99/05/22</t>
  </si>
  <si>
    <t>99/05/23</t>
  </si>
  <si>
    <t>99/05/25</t>
  </si>
  <si>
    <t>99/05/26</t>
  </si>
  <si>
    <t>99/05/27</t>
  </si>
  <si>
    <t>99/05/28</t>
  </si>
  <si>
    <t>99/05/29</t>
  </si>
  <si>
    <t>99/05/30</t>
  </si>
  <si>
    <t>99/06/01</t>
  </si>
  <si>
    <t>99/06/02</t>
  </si>
  <si>
    <t>99/06/04</t>
  </si>
  <si>
    <t>99/06/05</t>
  </si>
  <si>
    <t>99/06/06</t>
  </si>
  <si>
    <t>99/06/10</t>
  </si>
  <si>
    <t>99/06/11</t>
  </si>
  <si>
    <t>99/06/12</t>
  </si>
  <si>
    <t>99/06/13</t>
  </si>
  <si>
    <t>99/06/14</t>
  </si>
  <si>
    <t>99/06/15</t>
  </si>
  <si>
    <t>99/06/16</t>
  </si>
  <si>
    <t>99/06/17</t>
  </si>
  <si>
    <t>99/06/18</t>
  </si>
  <si>
    <t>99/06/19</t>
  </si>
  <si>
    <t>99/06/20</t>
  </si>
  <si>
    <t>99/06/21</t>
  </si>
  <si>
    <t>99/06/22</t>
  </si>
  <si>
    <t>99/06/23</t>
  </si>
  <si>
    <t>99/06/24</t>
  </si>
  <si>
    <t>99/06/25</t>
  </si>
  <si>
    <t>99/06/26</t>
  </si>
  <si>
    <t>99/06/27</t>
  </si>
  <si>
    <t>99/06/29</t>
  </si>
  <si>
    <t>99/06/30</t>
  </si>
  <si>
    <t>99/06/31</t>
  </si>
  <si>
    <t>99/07/02</t>
  </si>
  <si>
    <t>99/07/03</t>
  </si>
  <si>
    <t>99/07/05</t>
  </si>
  <si>
    <t>99/07/06</t>
  </si>
  <si>
    <t>99/07/07</t>
  </si>
  <si>
    <t>99/07/08</t>
  </si>
  <si>
    <t>99/06/03</t>
  </si>
  <si>
    <t>99/07/09</t>
  </si>
  <si>
    <t>99/07/10</t>
  </si>
  <si>
    <t>99/07/12</t>
  </si>
  <si>
    <t>99/07/13</t>
  </si>
  <si>
    <t>99/07/14</t>
  </si>
  <si>
    <t>99/07/15</t>
  </si>
  <si>
    <t>99/07/16</t>
  </si>
  <si>
    <t>99/07/19</t>
  </si>
  <si>
    <t>99/07/20</t>
  </si>
  <si>
    <t>99/07/21</t>
  </si>
  <si>
    <t>99/07/22</t>
  </si>
  <si>
    <t>99/07/23</t>
  </si>
  <si>
    <t>99/07/24</t>
  </si>
  <si>
    <t>99/07/27</t>
  </si>
  <si>
    <t>99/07/28</t>
  </si>
  <si>
    <t>99/07/29</t>
  </si>
  <si>
    <t>99/07/30</t>
  </si>
  <si>
    <t>99/08/01</t>
  </si>
  <si>
    <t>99/08/03</t>
  </si>
  <si>
    <t>99/08/05</t>
  </si>
  <si>
    <t>99/08/06</t>
  </si>
  <si>
    <t>99/08/07</t>
  </si>
  <si>
    <t>99/08/08</t>
  </si>
  <si>
    <t>99/08/10</t>
  </si>
  <si>
    <t>99/08/11</t>
  </si>
  <si>
    <t>99/08/12</t>
  </si>
  <si>
    <t>99/08/14</t>
  </si>
  <si>
    <t>99/08/15</t>
  </si>
  <si>
    <t>99/08/17</t>
  </si>
  <si>
    <t>99/08/18</t>
  </si>
  <si>
    <t>99/08/19</t>
  </si>
  <si>
    <t>99/08/20</t>
  </si>
  <si>
    <t>99/08/21</t>
  </si>
  <si>
    <t>99/08/22</t>
  </si>
  <si>
    <t>99/08/24</t>
  </si>
  <si>
    <t>99/08/25</t>
  </si>
  <si>
    <t>99/08/26</t>
  </si>
  <si>
    <t>99/08/27</t>
  </si>
  <si>
    <t>99/08/28</t>
  </si>
  <si>
    <t>99/08/29</t>
  </si>
  <si>
    <t>99/09/01</t>
  </si>
  <si>
    <t>99/09/02</t>
  </si>
  <si>
    <t>99/09/03</t>
  </si>
  <si>
    <t>99/09/04</t>
  </si>
  <si>
    <t>99/09/05</t>
  </si>
  <si>
    <t>99/09/06</t>
  </si>
  <si>
    <t>99/09/08</t>
  </si>
  <si>
    <t>99/09/09</t>
  </si>
  <si>
    <t>99/09/10</t>
  </si>
  <si>
    <t>99/09/11</t>
  </si>
  <si>
    <t>99/09/12</t>
  </si>
  <si>
    <t>99/09/13</t>
  </si>
  <si>
    <t>99/09/15</t>
  </si>
  <si>
    <t>99/09/16</t>
  </si>
  <si>
    <t>99/09/17</t>
  </si>
  <si>
    <t>99/09/18</t>
  </si>
  <si>
    <t>99/09/19</t>
  </si>
  <si>
    <t>99/09/20</t>
  </si>
  <si>
    <t>99/09/22</t>
  </si>
  <si>
    <t>99/09/24</t>
  </si>
  <si>
    <t>99/09/25</t>
  </si>
  <si>
    <t>99/09/26</t>
  </si>
  <si>
    <t>99/09/27</t>
  </si>
  <si>
    <t>99/09/29</t>
  </si>
  <si>
    <t>99/09/30</t>
  </si>
  <si>
    <t>99/09/23</t>
  </si>
  <si>
    <t>99/10/01</t>
  </si>
  <si>
    <t>99/10/02</t>
  </si>
  <si>
    <t>99/10/03</t>
  </si>
  <si>
    <t>99/10/04</t>
  </si>
  <si>
    <t>99/10/06</t>
  </si>
  <si>
    <t>99/10/07</t>
  </si>
  <si>
    <t>99/10/08</t>
  </si>
  <si>
    <t>99/10/09</t>
  </si>
  <si>
    <t>99/10/10</t>
  </si>
  <si>
    <t>99/10/11</t>
  </si>
  <si>
    <t>99/10/13</t>
  </si>
  <si>
    <t>99/10/14</t>
  </si>
  <si>
    <t>99/10/15</t>
  </si>
  <si>
    <t>99/10/16</t>
  </si>
  <si>
    <t>99/10/17</t>
  </si>
  <si>
    <t>99/10/18</t>
  </si>
  <si>
    <t>99/10/20</t>
  </si>
  <si>
    <t>99/10/21</t>
  </si>
  <si>
    <t>99/10/22</t>
  </si>
  <si>
    <t>99/10/23</t>
  </si>
  <si>
    <t>99/10/24</t>
  </si>
  <si>
    <t>99/10/25</t>
  </si>
  <si>
    <t>99/10/27</t>
  </si>
  <si>
    <t>99/10/29</t>
  </si>
  <si>
    <t>99/10/30</t>
  </si>
  <si>
    <t>99/11/01</t>
  </si>
  <si>
    <t>99/11/02</t>
  </si>
  <si>
    <t>99/11/04</t>
  </si>
  <si>
    <t>99/11/05</t>
  </si>
  <si>
    <t>99/11/06</t>
  </si>
  <si>
    <t>99/11/07</t>
  </si>
  <si>
    <t>99/11/08</t>
  </si>
  <si>
    <t>99/11/09</t>
  </si>
  <si>
    <t>99/11/11</t>
  </si>
  <si>
    <t>99/11/12</t>
  </si>
  <si>
    <t>99/11/13</t>
  </si>
  <si>
    <t>99/11/14</t>
  </si>
  <si>
    <t>99/11/15</t>
  </si>
  <si>
    <t>99/11/16</t>
  </si>
  <si>
    <t>یک شنبه</t>
  </si>
  <si>
    <t>99/11/18</t>
  </si>
  <si>
    <t>99/11/19</t>
  </si>
  <si>
    <t>99/11/20</t>
  </si>
  <si>
    <t>99/11/23</t>
  </si>
  <si>
    <t>99/11/25</t>
  </si>
  <si>
    <t>99/11/26</t>
  </si>
  <si>
    <t>99/11/27</t>
  </si>
  <si>
    <t>99/11/28</t>
  </si>
  <si>
    <t>99/11/21</t>
  </si>
  <si>
    <t>99/11/29</t>
  </si>
  <si>
    <t>99/11/30</t>
  </si>
  <si>
    <t>99/12/02</t>
  </si>
  <si>
    <t>99/12/03</t>
  </si>
  <si>
    <t>99/12/04</t>
  </si>
  <si>
    <t>99/12/05</t>
  </si>
  <si>
    <t>99/12/06</t>
  </si>
  <si>
    <t>99/12/09</t>
  </si>
  <si>
    <t>99/12/10</t>
  </si>
  <si>
    <t>99/12/11</t>
  </si>
  <si>
    <t>99/12/12</t>
  </si>
  <si>
    <t>99/12/13</t>
  </si>
  <si>
    <t>99/12/14</t>
  </si>
  <si>
    <t>99/12/16</t>
  </si>
  <si>
    <t>99/12/17</t>
  </si>
  <si>
    <t>99/12/18</t>
  </si>
  <si>
    <t>99/12/19</t>
  </si>
  <si>
    <t>99/12/20</t>
  </si>
  <si>
    <t>99/12/23</t>
  </si>
  <si>
    <t>99/12/24</t>
  </si>
  <si>
    <t>99/12/25</t>
  </si>
  <si>
    <t>99/12/26</t>
  </si>
  <si>
    <t>99/12/27</t>
  </si>
  <si>
    <t>1400/01/07</t>
  </si>
  <si>
    <t>1400/01/08</t>
  </si>
  <si>
    <t>1400/01/10</t>
  </si>
  <si>
    <t>1400/01/11</t>
  </si>
  <si>
    <t>1400/01/14</t>
  </si>
  <si>
    <t>1400/01/15</t>
  </si>
  <si>
    <t>1400/01/16</t>
  </si>
  <si>
    <t>1400/01/17</t>
  </si>
  <si>
    <t>1400/01/18</t>
  </si>
  <si>
    <t>1400/01/19</t>
  </si>
  <si>
    <t>1400/01/21</t>
  </si>
  <si>
    <t>1400/01/22</t>
  </si>
  <si>
    <t>1400/01/23</t>
  </si>
  <si>
    <t>1400/01/24</t>
  </si>
  <si>
    <t>1400/01/25</t>
  </si>
  <si>
    <t>1400/01/26</t>
  </si>
  <si>
    <t>1400/01/28</t>
  </si>
  <si>
    <t>1400/01/29</t>
  </si>
  <si>
    <t>1400/01/30</t>
  </si>
  <si>
    <t>1400/01/31</t>
  </si>
  <si>
    <t>1400/02/01</t>
  </si>
  <si>
    <t>1400/02/02</t>
  </si>
  <si>
    <t>1400/02/04</t>
  </si>
  <si>
    <t>1400/02/05</t>
  </si>
  <si>
    <t>1400/02/06</t>
  </si>
  <si>
    <t>1400/02/07</t>
  </si>
  <si>
    <t>1400/02/08</t>
  </si>
  <si>
    <t>1400/02/09</t>
  </si>
  <si>
    <t>1400/02/11</t>
  </si>
  <si>
    <t>1400/02/12</t>
  </si>
  <si>
    <t>1400/02/13</t>
  </si>
  <si>
    <t>1400/02/15</t>
  </si>
  <si>
    <t>1400/02/16</t>
  </si>
  <si>
    <t>1400/02/18</t>
  </si>
  <si>
    <t>1400/02/19</t>
  </si>
  <si>
    <t>1400/02/20</t>
  </si>
  <si>
    <t>1400/02/21</t>
  </si>
  <si>
    <t>1400/02/22</t>
  </si>
  <si>
    <t>1400/02/25</t>
  </si>
  <si>
    <t>1400/02/26</t>
  </si>
  <si>
    <t>1400/02/27</t>
  </si>
  <si>
    <t>1400/02/28</t>
  </si>
  <si>
    <t>1400/02/29</t>
  </si>
  <si>
    <t>1400/02/30</t>
  </si>
  <si>
    <t>1400/03/01</t>
  </si>
  <si>
    <t>1400/03/02</t>
  </si>
  <si>
    <t>1400/03/03</t>
  </si>
  <si>
    <t>1400/03/04</t>
  </si>
  <si>
    <t>1400/03/05</t>
  </si>
  <si>
    <t>1400/03/06</t>
  </si>
  <si>
    <t>1400/03/08</t>
  </si>
  <si>
    <t>1400/03/09</t>
  </si>
  <si>
    <t>1400/03/10</t>
  </si>
  <si>
    <t>1400/03/11</t>
  </si>
  <si>
    <t>1400/03/12</t>
  </si>
  <si>
    <t>1400/03/13</t>
  </si>
  <si>
    <t>1400/03/20</t>
  </si>
  <si>
    <t>1400/03/17</t>
  </si>
  <si>
    <t>1400/03/18</t>
  </si>
  <si>
    <t>1400/03/19</t>
  </si>
  <si>
    <t>1400/03/22</t>
  </si>
  <si>
    <t>1400/03/23</t>
  </si>
  <si>
    <t>1400/03/24</t>
  </si>
  <si>
    <t>1400/03/25</t>
  </si>
  <si>
    <t>1400/03/26</t>
  </si>
  <si>
    <t>1400/03/27</t>
  </si>
  <si>
    <t>1400/03/29</t>
  </si>
  <si>
    <t>1400/03/30</t>
  </si>
  <si>
    <t>1400/03/31</t>
  </si>
  <si>
    <t>1400/04/01</t>
  </si>
  <si>
    <t>1400/04/02</t>
  </si>
  <si>
    <t>1400/04/03</t>
  </si>
  <si>
    <t>1400/04/05</t>
  </si>
  <si>
    <t>1400/04/06</t>
  </si>
  <si>
    <t>1400/04/07</t>
  </si>
  <si>
    <t>1400/04/08</t>
  </si>
  <si>
    <t>1400/04/09</t>
  </si>
  <si>
    <t>1400/04/10</t>
  </si>
  <si>
    <t>1400/04/12</t>
  </si>
  <si>
    <t>1400/04/13</t>
  </si>
  <si>
    <t>1400/04/14</t>
  </si>
  <si>
    <t>1400/04/15</t>
  </si>
  <si>
    <t>1400/04/16</t>
  </si>
  <si>
    <t>1400/04/17</t>
  </si>
  <si>
    <t>1400/04/19</t>
  </si>
  <si>
    <t>1400/04/20</t>
  </si>
  <si>
    <t>1400/04/21</t>
  </si>
  <si>
    <t>1400/04/22</t>
  </si>
  <si>
    <t>1400/04/23</t>
  </si>
  <si>
    <t>1400/04/24</t>
  </si>
  <si>
    <t>1400/04/26</t>
  </si>
  <si>
    <t>1400/04/27</t>
  </si>
  <si>
    <t>1400/04/28</t>
  </si>
  <si>
    <t>1400/04/29</t>
  </si>
  <si>
    <t>1400/05/02</t>
  </si>
  <si>
    <t>1400/05/03</t>
  </si>
  <si>
    <t>1400/05/04</t>
  </si>
  <si>
    <t>1400/05/05</t>
  </si>
  <si>
    <t>1400/05/06</t>
  </si>
  <si>
    <t>1400/05/09</t>
  </si>
  <si>
    <t>1400/05/10</t>
  </si>
  <si>
    <t>1400/05/11</t>
  </si>
  <si>
    <t>1400/05/12</t>
  </si>
  <si>
    <t>1400/05/13</t>
  </si>
  <si>
    <t>1400/05/14</t>
  </si>
  <si>
    <t>1400/005/16</t>
  </si>
  <si>
    <t>1400/005/17</t>
  </si>
  <si>
    <t>1400/005/18</t>
  </si>
  <si>
    <t>1400/005/19</t>
  </si>
  <si>
    <t>1400/005/20</t>
  </si>
  <si>
    <t>1400/005/21</t>
  </si>
  <si>
    <t>1400/05/23</t>
  </si>
  <si>
    <t>1400/05/24</t>
  </si>
  <si>
    <t>1400/05/25</t>
  </si>
  <si>
    <t>1400/05/26</t>
  </si>
  <si>
    <t>1400/05/30</t>
  </si>
  <si>
    <t>1400/05/31</t>
  </si>
  <si>
    <t>1400/06/01</t>
  </si>
  <si>
    <t>1400/06/02</t>
  </si>
  <si>
    <t>1400/06/03</t>
  </si>
  <si>
    <t>1400/06/04</t>
  </si>
  <si>
    <t>1400/06/06</t>
  </si>
  <si>
    <t>1400/06/07</t>
  </si>
  <si>
    <t>1400/06/08</t>
  </si>
  <si>
    <t>1400/06/09</t>
  </si>
  <si>
    <t>1400/06/10</t>
  </si>
  <si>
    <t>1400/06/11</t>
  </si>
  <si>
    <t>1400/06/13</t>
  </si>
  <si>
    <t>1400/06/14</t>
  </si>
  <si>
    <t>1400/06/15</t>
  </si>
  <si>
    <t>1400/06/16</t>
  </si>
  <si>
    <t>1400/06/17</t>
  </si>
  <si>
    <t>1400/06/18</t>
  </si>
  <si>
    <t>1400/06/20</t>
  </si>
  <si>
    <t>1400/06/21</t>
  </si>
  <si>
    <t>1400/06/22</t>
  </si>
  <si>
    <t>1400/06/23</t>
  </si>
  <si>
    <t>1400/06/24</t>
  </si>
  <si>
    <t>1400/06/25</t>
  </si>
  <si>
    <t>1400/06/27</t>
  </si>
  <si>
    <t>1400/06/28</t>
  </si>
  <si>
    <t>1400/06/29</t>
  </si>
  <si>
    <t>1400/06/30</t>
  </si>
  <si>
    <t>1400/06/31</t>
  </si>
  <si>
    <t>1400/07/01</t>
  </si>
  <si>
    <t>1400/07/03</t>
  </si>
  <si>
    <t>1400/07/04</t>
  </si>
  <si>
    <t>1400/07/06</t>
  </si>
  <si>
    <t>1400/07/07</t>
  </si>
  <si>
    <t>1400/07/08</t>
  </si>
  <si>
    <t>1400/07/10</t>
  </si>
  <si>
    <t>1400/07/11</t>
  </si>
  <si>
    <t>1400/07/12</t>
  </si>
  <si>
    <t>1400/07/14</t>
  </si>
  <si>
    <t>1400/07/17</t>
  </si>
  <si>
    <t>1400/07/18</t>
  </si>
  <si>
    <t>1400/07/19</t>
  </si>
  <si>
    <t>1400/07/20</t>
  </si>
  <si>
    <t>1400/07/21</t>
  </si>
  <si>
    <t>1400/07/22</t>
  </si>
  <si>
    <t>1400/07/24</t>
  </si>
  <si>
    <t>1400/07/25</t>
  </si>
  <si>
    <t>1400/07/26</t>
  </si>
  <si>
    <t>1400/07/27</t>
  </si>
  <si>
    <t>1400/07/28</t>
  </si>
  <si>
    <t>1400/07/29</t>
  </si>
  <si>
    <t>1400/08/01</t>
  </si>
  <si>
    <t>1400/08/03</t>
  </si>
  <si>
    <t>1400/08/04</t>
  </si>
  <si>
    <t>1400/08/05</t>
  </si>
  <si>
    <t>1400/08/06</t>
  </si>
  <si>
    <t>1400/08/08</t>
  </si>
  <si>
    <t>1400/08/09</t>
  </si>
  <si>
    <t>1400/08/10</t>
  </si>
  <si>
    <t>1400/08/11</t>
  </si>
  <si>
    <t>1400/08/12</t>
  </si>
  <si>
    <t>1400/08/13</t>
  </si>
  <si>
    <t>1400/08/15</t>
  </si>
  <si>
    <t>1400/08/16</t>
  </si>
  <si>
    <t>1400/08/17</t>
  </si>
  <si>
    <t>1400/08/18</t>
  </si>
  <si>
    <t>1400/08/19</t>
  </si>
  <si>
    <t>1400/08/20</t>
  </si>
  <si>
    <t>1400/08/22</t>
  </si>
  <si>
    <t>1400/08/23</t>
  </si>
  <si>
    <t>1400/08/24</t>
  </si>
  <si>
    <t>1400/08/25</t>
  </si>
  <si>
    <t>1400/08/26</t>
  </si>
  <si>
    <t>1400/08/27</t>
  </si>
  <si>
    <t>1400/08/29</t>
  </si>
  <si>
    <t>1400/08/30</t>
  </si>
  <si>
    <t>1400/09/01</t>
  </si>
  <si>
    <t>1400/09/02</t>
  </si>
  <si>
    <t>1400/09/03</t>
  </si>
  <si>
    <t>1400/09/04</t>
  </si>
  <si>
    <t>1400/09/06</t>
  </si>
  <si>
    <t>1400/09/07</t>
  </si>
  <si>
    <t>1400/09/08</t>
  </si>
  <si>
    <t>1400/09/09</t>
  </si>
  <si>
    <t>1400/09/10</t>
  </si>
  <si>
    <t>1400/09/11</t>
  </si>
  <si>
    <t>1400/09/13</t>
  </si>
  <si>
    <t>1400/09/14</t>
  </si>
  <si>
    <t>1400/09/15</t>
  </si>
  <si>
    <t>1400/09/16</t>
  </si>
  <si>
    <t>1400/09/17</t>
  </si>
  <si>
    <t>1400/09/18</t>
  </si>
  <si>
    <t>1400/09/20</t>
  </si>
  <si>
    <t>1400/09/21</t>
  </si>
  <si>
    <t>1400/09/22</t>
  </si>
  <si>
    <t>1400/09/23</t>
  </si>
  <si>
    <t>1400/09/24</t>
  </si>
  <si>
    <t>1400/09/25</t>
  </si>
  <si>
    <t>1400/09/27</t>
  </si>
  <si>
    <t>1400/09/28</t>
  </si>
  <si>
    <t>1400/09/29</t>
  </si>
  <si>
    <t>1400/09/30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</si>
</sst>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[$-3000401]0"/>
  </numFmts>
  <fonts count="7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  <font>
      <sz val="11"/>
      <color theme="1"/>
      <name val="B Nazanin"/>
      <charset val="178"/>
    </font>
    <font>
      <sz val="11"/>
      <color rgb="FF000000"/>
      <name val="Calibri"/>
      <family val="2"/>
      <scheme val="minor"/>
    </font>
    <font>
      <sz val="11"/>
      <color rgb="FF000000"/>
      <name val="B Nazanin"/>
      <charset val="178"/>
    </font>
    <font>
      <b/>
      <sz val="11"/>
      <color theme="1"/>
      <name val="B Nazanin"/>
      <charset val="178"/>
    </font>
    <font>
      <sz val="14"/>
      <color theme="1"/>
      <name val="B Nazanin"/>
      <charset val="17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34">
    <xf numFmtId="0" fontId="0" fillId="0" borderId="0" xfId="0"/>
    <xf numFmtId="1" fontId="0" fillId="2" borderId="0" xfId="0" applyNumberFormat="1" applyFill="1"/>
    <xf numFmtId="3" fontId="0" fillId="2" borderId="0" xfId="0" applyNumberFormat="1" applyFill="1"/>
    <xf numFmtId="0" fontId="1" fillId="0" borderId="0" xfId="0" applyFont="1"/>
    <xf numFmtId="0" fontId="2" fillId="0" borderId="0" xfId="0" applyFont="1"/>
    <xf numFmtId="1" fontId="0" fillId="0" borderId="0" xfId="0" applyNumberFormat="1"/>
    <xf numFmtId="1" fontId="2" fillId="0" borderId="0" xfId="0" applyNumberFormat="1" applyFont="1"/>
    <xf numFmtId="1" fontId="2" fillId="2" borderId="0" xfId="0" applyNumberFormat="1" applyFont="1" applyFill="1"/>
    <xf numFmtId="0" fontId="4" fillId="0" borderId="0" xfId="1" applyFont="1" applyAlignment="1">
      <alignment horizontal="center" wrapText="1"/>
    </xf>
    <xf numFmtId="0" fontId="3" fillId="0" borderId="0" xfId="1" applyFont="1" applyAlignment="1">
      <alignment horizontal="center" wrapText="1"/>
    </xf>
    <xf numFmtId="0" fontId="4" fillId="0" borderId="0" xfId="2" applyFont="1" applyFill="1" applyAlignment="1">
      <alignment horizontal="center" wrapText="1"/>
    </xf>
    <xf numFmtId="0" fontId="3" fillId="0" borderId="0" xfId="1" applyFont="1" applyFill="1" applyAlignment="1">
      <alignment horizontal="center" wrapText="1"/>
    </xf>
    <xf numFmtId="0" fontId="2" fillId="0" borderId="0" xfId="0" applyFont="1" applyAlignment="1">
      <alignment vertical="top" readingOrder="1"/>
    </xf>
    <xf numFmtId="0" fontId="2" fillId="0" borderId="0" xfId="0" applyFont="1" applyAlignment="1">
      <alignment readingOrder="1"/>
    </xf>
    <xf numFmtId="1" fontId="2" fillId="2" borderId="0" xfId="0" applyNumberFormat="1" applyFont="1" applyFill="1" applyAlignment="1">
      <alignment vertical="top" readingOrder="1"/>
    </xf>
    <xf numFmtId="14" fontId="2" fillId="0" borderId="0" xfId="0" applyNumberFormat="1" applyFont="1" applyAlignment="1">
      <alignment vertical="top" readingOrder="1"/>
    </xf>
    <xf numFmtId="0" fontId="0" fillId="0" borderId="0" xfId="0" applyNumberFormat="1"/>
    <xf numFmtId="0" fontId="0" fillId="0" borderId="0" xfId="0" applyNumberFormat="1" applyFill="1"/>
    <xf numFmtId="2" fontId="0" fillId="0" borderId="0" xfId="0" applyNumberFormat="1"/>
    <xf numFmtId="164" fontId="0" fillId="0" borderId="0" xfId="0" applyNumberFormat="1"/>
    <xf numFmtId="0" fontId="0" fillId="0" borderId="0" xfId="0" applyFont="1"/>
    <xf numFmtId="0" fontId="2" fillId="0" borderId="0" xfId="0" applyNumberFormat="1" applyFont="1"/>
    <xf numFmtId="0" fontId="5" fillId="0" borderId="0" xfId="0" applyFont="1"/>
    <xf numFmtId="0" fontId="2" fillId="3" borderId="0" xfId="0" applyNumberFormat="1" applyFont="1" applyFill="1"/>
    <xf numFmtId="3" fontId="0" fillId="0" borderId="0" xfId="0" applyNumberFormat="1"/>
    <xf numFmtId="4" fontId="0" fillId="2" borderId="0" xfId="0" applyNumberFormat="1" applyFill="1"/>
    <xf numFmtId="0" fontId="6" fillId="0" borderId="0" xfId="0" applyFont="1" applyAlignment="1">
      <alignment horizontal="center"/>
    </xf>
    <xf numFmtId="0" fontId="3" fillId="0" borderId="0" xfId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3" fillId="0" borderId="0" xfId="1" applyFill="1"/>
    <xf numFmtId="0" fontId="0" fillId="2" borderId="0" xfId="0" applyFill="1"/>
    <xf numFmtId="165" fontId="0" fillId="0" borderId="0" xfId="0" applyNumberFormat="1"/>
  </cellXfs>
  <cellStyles count="3">
    <cellStyle name="Normal" xfId="0" builtinId="0"/>
    <cellStyle name="Normal 2" xfId="1"/>
    <cellStyle name="Normal 3" xfId="2"/>
  </cellStyles>
  <dxfs count="9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29"/>
  <sheetViews>
    <sheetView tabSelected="1" workbookViewId="0">
      <pane ySplit="1" topLeftCell="A2514" activePane="bottomLeft" state="frozen"/>
      <selection pane="bottomLeft" activeCell="H2517" sqref="H2517"/>
    </sheetView>
  </sheetViews>
  <sheetFormatPr defaultRowHeight="15" x14ac:dyDescent="0.25"/>
  <cols>
    <col min="2" max="2" width="4.28515625" customWidth="1"/>
    <col min="3" max="3" width="15.85546875" customWidth="1"/>
    <col min="4" max="4" width="12.140625" bestFit="1" customWidth="1"/>
    <col min="5" max="5" width="11.85546875" bestFit="1" customWidth="1"/>
    <col min="6" max="6" width="12.42578125" bestFit="1" customWidth="1"/>
    <col min="7" max="7" width="16.140625" bestFit="1" customWidth="1"/>
    <col min="8" max="8" width="12.42578125" bestFit="1" customWidth="1"/>
    <col min="9" max="9" width="12.42578125" style="1" bestFit="1" customWidth="1"/>
    <col min="10" max="10" width="10.42578125" style="2" bestFit="1" customWidth="1"/>
  </cols>
  <sheetData>
    <row r="1" spans="1:15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s="1" t="s">
        <v>6</v>
      </c>
      <c r="J1" s="2" t="s">
        <v>7</v>
      </c>
    </row>
    <row r="2" spans="1:15" ht="18" x14ac:dyDescent="0.45">
      <c r="A2" s="3" t="s">
        <v>8</v>
      </c>
      <c r="C2" s="4" t="s">
        <v>9</v>
      </c>
      <c r="D2">
        <v>3552.5</v>
      </c>
      <c r="E2">
        <v>1444.25</v>
      </c>
      <c r="F2">
        <v>1334500</v>
      </c>
      <c r="G2" s="5">
        <f>E2/31.103*8.133*D2*0.9+5000</f>
        <v>1212445.2967740248</v>
      </c>
      <c r="H2" s="6">
        <f t="shared" ref="H2:H65" si="0">F:F-G:G</f>
        <v>122054.70322597516</v>
      </c>
      <c r="I2" s="7"/>
      <c r="M2" s="3" t="s">
        <v>8</v>
      </c>
      <c r="N2" s="8" t="s">
        <v>9</v>
      </c>
      <c r="O2" s="9">
        <v>44707.4</v>
      </c>
    </row>
    <row r="3" spans="1:15" ht="18" x14ac:dyDescent="0.45">
      <c r="A3" s="3" t="s">
        <v>8</v>
      </c>
      <c r="C3" s="4" t="s">
        <v>10</v>
      </c>
      <c r="D3">
        <v>3541</v>
      </c>
      <c r="E3">
        <v>1468</v>
      </c>
      <c r="F3">
        <v>1320000</v>
      </c>
      <c r="G3" s="5">
        <f t="shared" ref="G3:G66" si="1">E3/31.103*8.133*D3*0.9+5000</f>
        <v>1228328.1903224767</v>
      </c>
      <c r="H3" s="6">
        <f t="shared" si="0"/>
        <v>91671.809677523328</v>
      </c>
      <c r="I3" s="7"/>
      <c r="M3" s="3" t="s">
        <v>8</v>
      </c>
      <c r="N3" s="8" t="s">
        <v>10</v>
      </c>
      <c r="O3" s="9">
        <v>44683.9</v>
      </c>
    </row>
    <row r="4" spans="1:15" ht="18" x14ac:dyDescent="0.45">
      <c r="A4" s="3" t="s">
        <v>8</v>
      </c>
      <c r="C4" s="4" t="s">
        <v>11</v>
      </c>
      <c r="D4">
        <v>3526</v>
      </c>
      <c r="E4">
        <v>1465.5</v>
      </c>
      <c r="F4">
        <v>1316000</v>
      </c>
      <c r="G4" s="5">
        <f t="shared" si="1"/>
        <v>1221071.560752982</v>
      </c>
      <c r="H4" s="6">
        <f t="shared" si="0"/>
        <v>94928.439247017959</v>
      </c>
      <c r="I4" s="7"/>
      <c r="M4" s="3" t="s">
        <v>8</v>
      </c>
      <c r="N4" s="8" t="s">
        <v>12</v>
      </c>
      <c r="O4" s="9">
        <v>45091.4</v>
      </c>
    </row>
    <row r="5" spans="1:15" ht="18" x14ac:dyDescent="0.45">
      <c r="A5" s="3" t="s">
        <v>8</v>
      </c>
      <c r="C5" s="4" t="s">
        <v>12</v>
      </c>
      <c r="D5">
        <v>3491</v>
      </c>
      <c r="E5">
        <v>1426.5</v>
      </c>
      <c r="F5">
        <v>1298000</v>
      </c>
      <c r="G5" s="5">
        <f t="shared" si="1"/>
        <v>1176959.5603816353</v>
      </c>
      <c r="H5" s="6">
        <f t="shared" si="0"/>
        <v>121040.43961836467</v>
      </c>
      <c r="I5" s="7"/>
      <c r="M5" s="3" t="s">
        <v>8</v>
      </c>
      <c r="N5" s="8" t="s">
        <v>13</v>
      </c>
      <c r="O5" s="9">
        <v>45512.7</v>
      </c>
    </row>
    <row r="6" spans="1:15" ht="18" x14ac:dyDescent="0.45">
      <c r="A6" s="3" t="s">
        <v>8</v>
      </c>
      <c r="C6" s="4" t="s">
        <v>13</v>
      </c>
      <c r="D6">
        <v>3465</v>
      </c>
      <c r="E6">
        <v>1426.5</v>
      </c>
      <c r="F6">
        <v>1288500</v>
      </c>
      <c r="G6" s="5">
        <f t="shared" si="1"/>
        <v>1168231.1305420697</v>
      </c>
      <c r="H6" s="6">
        <f t="shared" si="0"/>
        <v>120268.86945793033</v>
      </c>
      <c r="I6" s="7"/>
      <c r="M6" s="3" t="s">
        <v>8</v>
      </c>
      <c r="N6" s="8" t="s">
        <v>14</v>
      </c>
      <c r="O6" s="9">
        <v>44963.3</v>
      </c>
    </row>
    <row r="7" spans="1:15" ht="18" x14ac:dyDescent="0.45">
      <c r="A7" s="3" t="s">
        <v>8</v>
      </c>
      <c r="C7" s="4" t="s">
        <v>14</v>
      </c>
      <c r="D7">
        <v>3492.5</v>
      </c>
      <c r="E7">
        <v>1430.75</v>
      </c>
      <c r="F7">
        <v>1298000</v>
      </c>
      <c r="G7" s="5">
        <f t="shared" si="1"/>
        <v>1180956.2664915761</v>
      </c>
      <c r="H7" s="6">
        <f t="shared" si="0"/>
        <v>117043.7335084239</v>
      </c>
      <c r="I7" s="7"/>
      <c r="M7" s="3" t="s">
        <v>8</v>
      </c>
      <c r="N7" s="8" t="s">
        <v>15</v>
      </c>
      <c r="O7" s="9">
        <v>44129</v>
      </c>
    </row>
    <row r="8" spans="1:15" ht="18" x14ac:dyDescent="0.45">
      <c r="A8" s="3" t="s">
        <v>8</v>
      </c>
      <c r="C8" s="4" t="s">
        <v>15</v>
      </c>
      <c r="D8">
        <v>3516.5</v>
      </c>
      <c r="E8">
        <v>1433.75</v>
      </c>
      <c r="F8">
        <v>1307500</v>
      </c>
      <c r="G8" s="5">
        <f t="shared" si="1"/>
        <v>1191519.9752576118</v>
      </c>
      <c r="H8" s="6">
        <f t="shared" si="0"/>
        <v>115980.02474238817</v>
      </c>
      <c r="I8" s="7"/>
      <c r="M8" s="3" t="s">
        <v>8</v>
      </c>
      <c r="N8" s="8" t="s">
        <v>16</v>
      </c>
      <c r="O8" s="9">
        <v>43864.3</v>
      </c>
    </row>
    <row r="9" spans="1:15" ht="18" x14ac:dyDescent="0.45">
      <c r="A9" s="3" t="s">
        <v>8</v>
      </c>
      <c r="C9" s="4" t="s">
        <v>16</v>
      </c>
      <c r="D9">
        <v>3495</v>
      </c>
      <c r="E9">
        <v>1410</v>
      </c>
      <c r="F9">
        <v>1291000</v>
      </c>
      <c r="G9" s="5">
        <f t="shared" si="1"/>
        <v>1164731.074655178</v>
      </c>
      <c r="H9" s="6">
        <f t="shared" si="0"/>
        <v>126268.925344822</v>
      </c>
      <c r="I9" s="7"/>
      <c r="M9" s="3" t="s">
        <v>8</v>
      </c>
      <c r="N9" s="8" t="s">
        <v>17</v>
      </c>
      <c r="O9" s="9">
        <v>43301</v>
      </c>
    </row>
    <row r="10" spans="1:15" ht="18" x14ac:dyDescent="0.45">
      <c r="A10" s="3" t="s">
        <v>8</v>
      </c>
      <c r="C10" s="4" t="s">
        <v>18</v>
      </c>
      <c r="D10">
        <v>3504</v>
      </c>
      <c r="E10">
        <v>1381</v>
      </c>
      <c r="F10">
        <v>1278500</v>
      </c>
      <c r="G10" s="5">
        <f t="shared" si="1"/>
        <v>1143803.4585988489</v>
      </c>
      <c r="H10" s="6">
        <f t="shared" si="0"/>
        <v>134696.5414011511</v>
      </c>
      <c r="I10" s="7"/>
      <c r="M10" s="3" t="s">
        <v>8</v>
      </c>
      <c r="N10" s="8" t="s">
        <v>19</v>
      </c>
      <c r="O10" s="9">
        <v>42795.5</v>
      </c>
    </row>
    <row r="11" spans="1:15" ht="18" x14ac:dyDescent="0.45">
      <c r="A11" s="3" t="s">
        <v>8</v>
      </c>
      <c r="C11" s="4" t="s">
        <v>20</v>
      </c>
      <c r="D11">
        <v>3500</v>
      </c>
      <c r="E11">
        <v>1368.75</v>
      </c>
      <c r="F11">
        <v>1306500</v>
      </c>
      <c r="G11" s="5">
        <f t="shared" si="1"/>
        <v>1132413.3624569976</v>
      </c>
      <c r="H11" s="6">
        <f t="shared" si="0"/>
        <v>174086.63754300238</v>
      </c>
      <c r="I11" s="7"/>
      <c r="M11" s="3" t="s">
        <v>8</v>
      </c>
      <c r="N11" s="8" t="s">
        <v>21</v>
      </c>
      <c r="O11" s="9">
        <v>43047.3</v>
      </c>
    </row>
    <row r="12" spans="1:15" ht="18" x14ac:dyDescent="0.45">
      <c r="A12" s="3" t="s">
        <v>8</v>
      </c>
      <c r="C12" s="4" t="s">
        <v>19</v>
      </c>
      <c r="D12">
        <v>3470</v>
      </c>
      <c r="E12">
        <v>1368.75</v>
      </c>
      <c r="F12">
        <v>1225000</v>
      </c>
      <c r="G12" s="5">
        <f t="shared" si="1"/>
        <v>1122749.8193502233</v>
      </c>
      <c r="H12" s="6">
        <f t="shared" si="0"/>
        <v>102250.18064977671</v>
      </c>
      <c r="I12" s="7"/>
      <c r="M12" s="3" t="s">
        <v>8</v>
      </c>
      <c r="N12" s="8" t="s">
        <v>22</v>
      </c>
      <c r="O12" s="9">
        <v>42855.7</v>
      </c>
    </row>
    <row r="13" spans="1:15" ht="18" x14ac:dyDescent="0.45">
      <c r="A13" s="3" t="s">
        <v>8</v>
      </c>
      <c r="C13" s="4" t="s">
        <v>21</v>
      </c>
      <c r="D13">
        <v>3456.5</v>
      </c>
      <c r="E13">
        <v>1354.75</v>
      </c>
      <c r="F13">
        <v>1179500</v>
      </c>
      <c r="G13" s="5">
        <f t="shared" si="1"/>
        <v>1107013.0115097417</v>
      </c>
      <c r="H13" s="6">
        <f t="shared" si="0"/>
        <v>72486.988490258344</v>
      </c>
      <c r="I13" s="7"/>
      <c r="M13" s="3" t="s">
        <v>23</v>
      </c>
      <c r="N13" s="8" t="s">
        <v>24</v>
      </c>
      <c r="O13" s="9">
        <v>42777.2</v>
      </c>
    </row>
    <row r="14" spans="1:15" ht="18" x14ac:dyDescent="0.45">
      <c r="A14" s="3" t="s">
        <v>8</v>
      </c>
      <c r="C14" s="4" t="s">
        <v>22</v>
      </c>
      <c r="D14">
        <v>3450</v>
      </c>
      <c r="E14">
        <v>1360.75</v>
      </c>
      <c r="F14">
        <v>1239000</v>
      </c>
      <c r="G14" s="5">
        <f t="shared" si="1"/>
        <v>1109812.1442867247</v>
      </c>
      <c r="H14" s="6">
        <f t="shared" si="0"/>
        <v>129187.85571327526</v>
      </c>
      <c r="I14" s="7"/>
      <c r="M14" s="3" t="s">
        <v>23</v>
      </c>
      <c r="N14" s="8" t="s">
        <v>25</v>
      </c>
      <c r="O14" s="9">
        <v>43485.2</v>
      </c>
    </row>
    <row r="15" spans="1:15" ht="18" x14ac:dyDescent="0.45">
      <c r="A15" s="3" t="s">
        <v>23</v>
      </c>
      <c r="C15" s="4" t="s">
        <v>24</v>
      </c>
      <c r="D15">
        <v>3500</v>
      </c>
      <c r="E15">
        <v>1408.5</v>
      </c>
      <c r="F15">
        <v>1300000</v>
      </c>
      <c r="G15" s="5">
        <f t="shared" si="1"/>
        <v>1165154.6820242419</v>
      </c>
      <c r="H15" s="6">
        <f t="shared" si="0"/>
        <v>134845.31797575811</v>
      </c>
      <c r="I15" s="7"/>
      <c r="M15" s="3" t="s">
        <v>23</v>
      </c>
      <c r="N15" s="8" t="s">
        <v>26</v>
      </c>
      <c r="O15" s="9">
        <v>43910.7</v>
      </c>
    </row>
    <row r="16" spans="1:15" ht="18" x14ac:dyDescent="0.45">
      <c r="A16" s="3" t="s">
        <v>23</v>
      </c>
      <c r="C16" s="4" t="s">
        <v>27</v>
      </c>
      <c r="D16">
        <v>3550</v>
      </c>
      <c r="E16">
        <v>1380.5</v>
      </c>
      <c r="F16">
        <v>1302500</v>
      </c>
      <c r="G16" s="5">
        <f t="shared" si="1"/>
        <v>1158335.7800694467</v>
      </c>
      <c r="H16" s="6">
        <f t="shared" si="0"/>
        <v>144164.21993055334</v>
      </c>
      <c r="I16" s="7"/>
      <c r="M16" s="3" t="s">
        <v>23</v>
      </c>
      <c r="N16" s="8" t="s">
        <v>28</v>
      </c>
      <c r="O16" s="9">
        <v>44107.4</v>
      </c>
    </row>
    <row r="17" spans="1:15" ht="18" x14ac:dyDescent="0.45">
      <c r="A17" s="3" t="s">
        <v>23</v>
      </c>
      <c r="C17" s="4" t="s">
        <v>25</v>
      </c>
      <c r="D17">
        <v>3550</v>
      </c>
      <c r="E17">
        <v>1390.25</v>
      </c>
      <c r="F17">
        <v>1307000</v>
      </c>
      <c r="G17" s="5">
        <f t="shared" si="1"/>
        <v>1166481.3967704077</v>
      </c>
      <c r="H17" s="6">
        <f t="shared" si="0"/>
        <v>140518.60322959232</v>
      </c>
      <c r="I17" s="7"/>
      <c r="M17" s="3" t="s">
        <v>23</v>
      </c>
      <c r="N17" s="8" t="s">
        <v>29</v>
      </c>
      <c r="O17" s="9">
        <v>44470.7</v>
      </c>
    </row>
    <row r="18" spans="1:15" ht="18" x14ac:dyDescent="0.45">
      <c r="A18" s="3" t="s">
        <v>23</v>
      </c>
      <c r="C18" s="4" t="s">
        <v>26</v>
      </c>
      <c r="D18">
        <v>3550</v>
      </c>
      <c r="E18">
        <v>1390.25</v>
      </c>
      <c r="F18">
        <v>1338000</v>
      </c>
      <c r="G18" s="5">
        <f t="shared" si="1"/>
        <v>1166481.3967704077</v>
      </c>
      <c r="H18" s="6">
        <f t="shared" si="0"/>
        <v>171518.60322959232</v>
      </c>
      <c r="I18" s="7"/>
      <c r="M18" s="3" t="s">
        <v>23</v>
      </c>
      <c r="N18" s="8" t="s">
        <v>30</v>
      </c>
      <c r="O18" s="9">
        <v>45162.2</v>
      </c>
    </row>
    <row r="19" spans="1:15" ht="18" x14ac:dyDescent="0.45">
      <c r="A19" s="3" t="s">
        <v>23</v>
      </c>
      <c r="C19" s="4" t="s">
        <v>28</v>
      </c>
      <c r="D19">
        <v>3600</v>
      </c>
      <c r="E19">
        <v>1390.25</v>
      </c>
      <c r="F19">
        <v>1327000</v>
      </c>
      <c r="G19" s="5">
        <f t="shared" si="1"/>
        <v>1182840.289682667</v>
      </c>
      <c r="H19" s="6">
        <f t="shared" si="0"/>
        <v>144159.710317333</v>
      </c>
      <c r="I19" s="7"/>
      <c r="M19" s="3" t="s">
        <v>23</v>
      </c>
      <c r="N19" s="8" t="s">
        <v>31</v>
      </c>
      <c r="O19" s="9">
        <v>44945.1</v>
      </c>
    </row>
    <row r="20" spans="1:15" ht="18" x14ac:dyDescent="0.45">
      <c r="A20" s="3" t="s">
        <v>23</v>
      </c>
      <c r="C20" s="4" t="s">
        <v>29</v>
      </c>
      <c r="D20">
        <v>3643.5</v>
      </c>
      <c r="E20">
        <v>1376.5</v>
      </c>
      <c r="F20">
        <v>1337000</v>
      </c>
      <c r="G20" s="5">
        <f t="shared" si="1"/>
        <v>1185282.562668392</v>
      </c>
      <c r="H20" s="6">
        <f t="shared" si="0"/>
        <v>151717.43733160803</v>
      </c>
      <c r="I20" s="7"/>
      <c r="M20" s="3" t="s">
        <v>23</v>
      </c>
      <c r="N20" s="8" t="s">
        <v>32</v>
      </c>
      <c r="O20" s="9">
        <v>45247.8</v>
      </c>
    </row>
    <row r="21" spans="1:15" ht="18" x14ac:dyDescent="0.45">
      <c r="A21" s="3" t="s">
        <v>23</v>
      </c>
      <c r="C21" s="4" t="s">
        <v>30</v>
      </c>
      <c r="D21">
        <v>3657.5</v>
      </c>
      <c r="E21">
        <v>1382.5</v>
      </c>
      <c r="F21">
        <v>1327500</v>
      </c>
      <c r="G21" s="5">
        <f t="shared" si="1"/>
        <v>1194982.2300702503</v>
      </c>
      <c r="H21" s="6">
        <f t="shared" si="0"/>
        <v>132517.76992974966</v>
      </c>
      <c r="I21" s="7"/>
      <c r="M21" s="3" t="s">
        <v>23</v>
      </c>
      <c r="N21" s="8" t="s">
        <v>33</v>
      </c>
      <c r="O21" s="9">
        <v>45590</v>
      </c>
    </row>
    <row r="22" spans="1:15" ht="18" x14ac:dyDescent="0.45">
      <c r="A22" s="3" t="s">
        <v>23</v>
      </c>
      <c r="C22" s="4" t="s">
        <v>34</v>
      </c>
      <c r="D22">
        <v>3612.5</v>
      </c>
      <c r="E22">
        <v>1413.5</v>
      </c>
      <c r="F22">
        <v>1315500</v>
      </c>
      <c r="G22" s="5">
        <f t="shared" si="1"/>
        <v>1206696.1505120082</v>
      </c>
      <c r="H22" s="6">
        <f t="shared" si="0"/>
        <v>108803.84948799177</v>
      </c>
      <c r="I22" s="7"/>
      <c r="M22" s="3" t="s">
        <v>23</v>
      </c>
      <c r="N22" s="8" t="s">
        <v>35</v>
      </c>
      <c r="O22" s="9">
        <v>45488.2</v>
      </c>
    </row>
    <row r="23" spans="1:15" ht="18" x14ac:dyDescent="0.45">
      <c r="A23" s="3" t="s">
        <v>23</v>
      </c>
      <c r="C23" s="4" t="s">
        <v>31</v>
      </c>
      <c r="D23">
        <v>3625</v>
      </c>
      <c r="E23">
        <v>1394.5</v>
      </c>
      <c r="F23">
        <v>1316500</v>
      </c>
      <c r="G23" s="5">
        <f t="shared" si="1"/>
        <v>1194645.4033774876</v>
      </c>
      <c r="H23" s="6">
        <f t="shared" si="0"/>
        <v>121854.59662251244</v>
      </c>
      <c r="I23" s="7"/>
      <c r="M23" s="3" t="s">
        <v>23</v>
      </c>
      <c r="N23" s="8" t="s">
        <v>36</v>
      </c>
      <c r="O23" s="9">
        <v>45199.1</v>
      </c>
    </row>
    <row r="24" spans="1:15" ht="18" x14ac:dyDescent="0.45">
      <c r="A24" s="3" t="s">
        <v>23</v>
      </c>
      <c r="C24" s="4" t="s">
        <v>32</v>
      </c>
      <c r="D24">
        <v>3622.5</v>
      </c>
      <c r="E24">
        <v>1394.5</v>
      </c>
      <c r="F24">
        <v>1305000</v>
      </c>
      <c r="G24" s="5">
        <f t="shared" si="1"/>
        <v>1193824.95827171</v>
      </c>
      <c r="H24" s="6">
        <f t="shared" si="0"/>
        <v>111175.04172829003</v>
      </c>
      <c r="I24" s="7"/>
      <c r="M24" s="3" t="s">
        <v>23</v>
      </c>
      <c r="N24" s="8" t="s">
        <v>37</v>
      </c>
      <c r="O24" s="9">
        <v>45206.5</v>
      </c>
    </row>
    <row r="25" spans="1:15" ht="18" x14ac:dyDescent="0.45">
      <c r="A25" s="3" t="s">
        <v>23</v>
      </c>
      <c r="C25" s="4" t="s">
        <v>33</v>
      </c>
      <c r="D25">
        <v>3619</v>
      </c>
      <c r="E25">
        <v>1402.5</v>
      </c>
      <c r="F25">
        <v>1299500</v>
      </c>
      <c r="G25" s="5">
        <f t="shared" si="1"/>
        <v>1199489.8243175899</v>
      </c>
      <c r="H25" s="6">
        <f t="shared" si="0"/>
        <v>100010.17568241013</v>
      </c>
      <c r="I25" s="7"/>
      <c r="M25" s="3" t="s">
        <v>23</v>
      </c>
      <c r="N25" s="8" t="s">
        <v>38</v>
      </c>
      <c r="O25" s="9">
        <v>45553.4</v>
      </c>
    </row>
    <row r="26" spans="1:15" ht="18" x14ac:dyDescent="0.45">
      <c r="A26" s="3" t="s">
        <v>23</v>
      </c>
      <c r="C26" s="4" t="s">
        <v>39</v>
      </c>
      <c r="D26">
        <v>3642.5</v>
      </c>
      <c r="E26">
        <v>1400</v>
      </c>
      <c r="F26">
        <v>1312000</v>
      </c>
      <c r="G26" s="5">
        <f t="shared" si="1"/>
        <v>1205103.210301257</v>
      </c>
      <c r="H26" s="6">
        <f t="shared" si="0"/>
        <v>106896.78969874303</v>
      </c>
      <c r="I26" s="7"/>
      <c r="M26" s="3" t="s">
        <v>23</v>
      </c>
      <c r="N26" s="8" t="s">
        <v>40</v>
      </c>
      <c r="O26" s="9">
        <v>45671.9</v>
      </c>
    </row>
    <row r="27" spans="1:15" ht="18" x14ac:dyDescent="0.45">
      <c r="A27" s="3" t="s">
        <v>23</v>
      </c>
      <c r="C27" s="4" t="s">
        <v>35</v>
      </c>
      <c r="D27">
        <v>3652.5</v>
      </c>
      <c r="E27">
        <v>1386</v>
      </c>
      <c r="F27">
        <v>1310000</v>
      </c>
      <c r="G27" s="5">
        <f t="shared" si="1"/>
        <v>1196363.954940038</v>
      </c>
      <c r="H27" s="6">
        <f t="shared" si="0"/>
        <v>113636.04505996197</v>
      </c>
      <c r="I27" s="7"/>
      <c r="M27" s="3" t="s">
        <v>23</v>
      </c>
      <c r="N27" s="8" t="s">
        <v>41</v>
      </c>
      <c r="O27" s="9">
        <v>46623</v>
      </c>
    </row>
    <row r="28" spans="1:15" ht="18" x14ac:dyDescent="0.45">
      <c r="A28" s="3" t="s">
        <v>23</v>
      </c>
      <c r="C28" s="4" t="s">
        <v>36</v>
      </c>
      <c r="D28">
        <v>3635</v>
      </c>
      <c r="E28">
        <v>1386</v>
      </c>
      <c r="F28">
        <v>1296500</v>
      </c>
      <c r="G28" s="5">
        <f t="shared" si="1"/>
        <v>1190655.8456418994</v>
      </c>
      <c r="H28" s="6">
        <f t="shared" si="0"/>
        <v>105844.15435810061</v>
      </c>
      <c r="I28" s="7"/>
      <c r="M28" s="3" t="s">
        <v>23</v>
      </c>
      <c r="N28" s="8" t="s">
        <v>42</v>
      </c>
      <c r="O28" s="9">
        <v>47817.9</v>
      </c>
    </row>
    <row r="29" spans="1:15" ht="18" x14ac:dyDescent="0.45">
      <c r="A29" s="3" t="s">
        <v>23</v>
      </c>
      <c r="C29" s="4" t="s">
        <v>37</v>
      </c>
      <c r="D29">
        <v>3605</v>
      </c>
      <c r="E29">
        <v>1383.25</v>
      </c>
      <c r="F29">
        <v>1283500</v>
      </c>
      <c r="G29" s="5">
        <f t="shared" si="1"/>
        <v>1178537.4389970419</v>
      </c>
      <c r="H29" s="6">
        <f t="shared" si="0"/>
        <v>104962.5610029581</v>
      </c>
      <c r="I29" s="7"/>
      <c r="J29" s="2">
        <f>(D29/D$29-1)*100+100</f>
        <v>100</v>
      </c>
      <c r="K29">
        <f>(E29/E$29-1)*100+100</f>
        <v>100</v>
      </c>
      <c r="L29">
        <f>(F29/F$29-1)*100+100</f>
        <v>100</v>
      </c>
      <c r="M29" s="3" t="s">
        <v>23</v>
      </c>
      <c r="N29" s="8" t="s">
        <v>43</v>
      </c>
      <c r="O29" s="9">
        <v>48333.3</v>
      </c>
    </row>
    <row r="30" spans="1:15" ht="18" x14ac:dyDescent="0.45">
      <c r="A30" s="3" t="s">
        <v>23</v>
      </c>
      <c r="C30" s="4" t="s">
        <v>38</v>
      </c>
      <c r="D30">
        <v>3580</v>
      </c>
      <c r="E30">
        <v>1374.25</v>
      </c>
      <c r="F30">
        <v>1257000</v>
      </c>
      <c r="G30" s="5">
        <f t="shared" si="1"/>
        <v>1162816.6046844355</v>
      </c>
      <c r="H30" s="6">
        <f t="shared" si="0"/>
        <v>94183.39531556447</v>
      </c>
      <c r="I30" s="7"/>
      <c r="J30" s="2">
        <f t="shared" ref="J30:L93" si="2">(D30/D$29-1)*100+100</f>
        <v>99.306518723994458</v>
      </c>
      <c r="K30">
        <f t="shared" si="2"/>
        <v>99.349358395084039</v>
      </c>
      <c r="L30">
        <f t="shared" si="2"/>
        <v>97.935333073626808</v>
      </c>
      <c r="M30" s="3" t="s">
        <v>23</v>
      </c>
      <c r="N30" s="8" t="s">
        <v>44</v>
      </c>
      <c r="O30" s="9">
        <v>48783</v>
      </c>
    </row>
    <row r="31" spans="1:15" ht="18" x14ac:dyDescent="0.45">
      <c r="A31" s="3" t="s">
        <v>23</v>
      </c>
      <c r="C31" s="4" t="s">
        <v>40</v>
      </c>
      <c r="D31">
        <v>3607.5</v>
      </c>
      <c r="E31">
        <v>1382.75</v>
      </c>
      <c r="F31">
        <v>1283000</v>
      </c>
      <c r="G31" s="5">
        <f t="shared" si="1"/>
        <v>1178926.7753532615</v>
      </c>
      <c r="H31" s="6">
        <f t="shared" si="0"/>
        <v>104073.2246467385</v>
      </c>
      <c r="I31" s="7"/>
      <c r="J31" s="2">
        <f t="shared" si="2"/>
        <v>100.06934812760055</v>
      </c>
      <c r="K31">
        <f t="shared" si="2"/>
        <v>99.963853244171332</v>
      </c>
      <c r="L31">
        <f t="shared" si="2"/>
        <v>99.961044020257106</v>
      </c>
      <c r="M31" s="3" t="s">
        <v>23</v>
      </c>
      <c r="N31" s="8" t="s">
        <v>45</v>
      </c>
      <c r="O31" s="9">
        <v>48916.7</v>
      </c>
    </row>
    <row r="32" spans="1:15" ht="18" x14ac:dyDescent="0.45">
      <c r="A32" s="3" t="s">
        <v>23</v>
      </c>
      <c r="C32" s="4" t="s">
        <v>46</v>
      </c>
      <c r="D32">
        <v>3630</v>
      </c>
      <c r="E32">
        <v>1385</v>
      </c>
      <c r="F32">
        <v>1308500</v>
      </c>
      <c r="G32" s="5">
        <f t="shared" si="1"/>
        <v>1188170.6824100569</v>
      </c>
      <c r="H32" s="6">
        <f t="shared" si="0"/>
        <v>120329.31758994306</v>
      </c>
      <c r="I32" s="7"/>
      <c r="J32" s="2">
        <f t="shared" si="2"/>
        <v>100.69348127600554</v>
      </c>
      <c r="K32">
        <f t="shared" si="2"/>
        <v>100.12651364540032</v>
      </c>
      <c r="L32">
        <f t="shared" si="2"/>
        <v>101.94779898714452</v>
      </c>
      <c r="M32" s="3" t="s">
        <v>47</v>
      </c>
      <c r="N32" s="8" t="s">
        <v>48</v>
      </c>
      <c r="O32" s="9">
        <v>48539.3</v>
      </c>
    </row>
    <row r="33" spans="1:15" ht="18" x14ac:dyDescent="0.45">
      <c r="A33" s="3" t="s">
        <v>23</v>
      </c>
      <c r="C33" s="4" t="s">
        <v>41</v>
      </c>
      <c r="D33">
        <v>3600</v>
      </c>
      <c r="E33">
        <v>1391.25</v>
      </c>
      <c r="F33">
        <v>1233000</v>
      </c>
      <c r="G33" s="5">
        <f t="shared" si="1"/>
        <v>1183687.5044207952</v>
      </c>
      <c r="H33" s="6">
        <f t="shared" si="0"/>
        <v>49312.495579204755</v>
      </c>
      <c r="I33" s="7"/>
      <c r="J33" s="2">
        <f t="shared" si="2"/>
        <v>99.861303744798889</v>
      </c>
      <c r="K33">
        <f t="shared" si="2"/>
        <v>100.57834809325863</v>
      </c>
      <c r="L33">
        <f t="shared" si="2"/>
        <v>96.065446045968059</v>
      </c>
      <c r="M33" s="3" t="s">
        <v>47</v>
      </c>
      <c r="N33" s="8" t="s">
        <v>49</v>
      </c>
      <c r="O33" s="9">
        <v>48631.1</v>
      </c>
    </row>
    <row r="34" spans="1:15" ht="18" x14ac:dyDescent="0.45">
      <c r="A34" s="3" t="s">
        <v>23</v>
      </c>
      <c r="C34" s="4" t="s">
        <v>42</v>
      </c>
      <c r="D34">
        <v>3550</v>
      </c>
      <c r="E34">
        <v>1391.25</v>
      </c>
      <c r="F34">
        <v>1352000</v>
      </c>
      <c r="G34" s="5">
        <f t="shared" si="1"/>
        <v>1167316.8446371732</v>
      </c>
      <c r="H34" s="6">
        <f t="shared" si="0"/>
        <v>184683.15536282677</v>
      </c>
      <c r="I34" s="7"/>
      <c r="J34" s="2">
        <f t="shared" si="2"/>
        <v>98.47434119278779</v>
      </c>
      <c r="K34">
        <f t="shared" si="2"/>
        <v>100.57834809325863</v>
      </c>
      <c r="L34">
        <f t="shared" si="2"/>
        <v>105.336969224776</v>
      </c>
      <c r="M34" s="3" t="s">
        <v>47</v>
      </c>
      <c r="N34" s="8" t="s">
        <v>50</v>
      </c>
      <c r="O34" s="9">
        <v>48634</v>
      </c>
    </row>
    <row r="35" spans="1:15" ht="18" x14ac:dyDescent="0.45">
      <c r="A35" s="3" t="s">
        <v>23</v>
      </c>
      <c r="C35" s="4" t="s">
        <v>43</v>
      </c>
      <c r="D35">
        <v>3455</v>
      </c>
      <c r="E35">
        <v>1384.75</v>
      </c>
      <c r="F35">
        <v>1240500</v>
      </c>
      <c r="G35" s="5">
        <f t="shared" si="1"/>
        <v>1130927.5007756483</v>
      </c>
      <c r="H35" s="6">
        <f t="shared" si="0"/>
        <v>109572.49922435172</v>
      </c>
      <c r="I35" s="7"/>
      <c r="J35" s="2">
        <f t="shared" si="2"/>
        <v>95.839112343966718</v>
      </c>
      <c r="K35">
        <f t="shared" si="2"/>
        <v>100.108440267486</v>
      </c>
      <c r="L35">
        <f t="shared" si="2"/>
        <v>96.649785742111419</v>
      </c>
      <c r="M35" s="3" t="s">
        <v>47</v>
      </c>
      <c r="N35" s="8" t="s">
        <v>51</v>
      </c>
      <c r="O35" s="9">
        <v>49427.4</v>
      </c>
    </row>
    <row r="36" spans="1:15" ht="18" x14ac:dyDescent="0.45">
      <c r="A36" s="3" t="s">
        <v>23</v>
      </c>
      <c r="C36" s="4" t="s">
        <v>44</v>
      </c>
      <c r="D36">
        <v>3414</v>
      </c>
      <c r="E36">
        <v>1366.75</v>
      </c>
      <c r="F36">
        <v>1249000</v>
      </c>
      <c r="G36" s="5">
        <f t="shared" si="1"/>
        <v>1103104.321597595</v>
      </c>
      <c r="H36" s="6">
        <f t="shared" si="0"/>
        <v>145895.678402405</v>
      </c>
      <c r="I36" s="7"/>
      <c r="J36" s="2">
        <f t="shared" si="2"/>
        <v>94.701803051317611</v>
      </c>
      <c r="K36">
        <f t="shared" si="2"/>
        <v>98.807157057654067</v>
      </c>
      <c r="L36">
        <f t="shared" si="2"/>
        <v>97.312037397740554</v>
      </c>
      <c r="M36" s="3" t="s">
        <v>47</v>
      </c>
      <c r="N36" s="8" t="s">
        <v>52</v>
      </c>
      <c r="O36" s="9">
        <v>50471.1</v>
      </c>
    </row>
    <row r="37" spans="1:15" ht="18" x14ac:dyDescent="0.45">
      <c r="A37" s="3" t="s">
        <v>23</v>
      </c>
      <c r="C37" s="4" t="s">
        <v>45</v>
      </c>
      <c r="D37">
        <v>3397.5</v>
      </c>
      <c r="E37">
        <v>1372.75</v>
      </c>
      <c r="F37">
        <v>1225000</v>
      </c>
      <c r="G37" s="5">
        <f t="shared" si="1"/>
        <v>1102594.4924786193</v>
      </c>
      <c r="H37" s="6">
        <f t="shared" si="0"/>
        <v>122405.50752138067</v>
      </c>
      <c r="I37" s="7"/>
      <c r="J37" s="2">
        <f t="shared" si="2"/>
        <v>94.24410540915396</v>
      </c>
      <c r="K37">
        <f t="shared" si="2"/>
        <v>99.24091812759805</v>
      </c>
      <c r="L37">
        <f t="shared" si="2"/>
        <v>95.442150370081819</v>
      </c>
      <c r="M37" s="3" t="s">
        <v>47</v>
      </c>
      <c r="N37" s="8" t="s">
        <v>53</v>
      </c>
      <c r="O37" s="9">
        <v>51321.3</v>
      </c>
    </row>
    <row r="38" spans="1:15" ht="18" x14ac:dyDescent="0.45">
      <c r="A38" s="3" t="s">
        <v>23</v>
      </c>
      <c r="C38" s="4" t="s">
        <v>54</v>
      </c>
      <c r="D38">
        <v>3350</v>
      </c>
      <c r="E38">
        <v>1292.5</v>
      </c>
      <c r="F38">
        <v>1171500</v>
      </c>
      <c r="G38" s="5">
        <f t="shared" si="1"/>
        <v>1023981.6428479566</v>
      </c>
      <c r="H38" s="6">
        <f t="shared" si="0"/>
        <v>147518.35715204338</v>
      </c>
      <c r="I38" s="7">
        <f>F38/F14-1</f>
        <v>-5.4479418886198561E-2</v>
      </c>
      <c r="J38" s="2">
        <f t="shared" si="2"/>
        <v>92.92649098474341</v>
      </c>
      <c r="K38">
        <f t="shared" si="2"/>
        <v>93.439363817097416</v>
      </c>
      <c r="L38">
        <f t="shared" si="2"/>
        <v>91.273860537592526</v>
      </c>
      <c r="M38" s="3" t="s">
        <v>47</v>
      </c>
      <c r="N38" s="8" t="s">
        <v>55</v>
      </c>
      <c r="O38" s="9">
        <v>52244.1</v>
      </c>
    </row>
    <row r="39" spans="1:15" ht="18" x14ac:dyDescent="0.45">
      <c r="A39" s="3" t="s">
        <v>47</v>
      </c>
      <c r="C39" s="4" t="s">
        <v>48</v>
      </c>
      <c r="D39">
        <v>3198.5</v>
      </c>
      <c r="E39">
        <v>1295.25</v>
      </c>
      <c r="F39">
        <v>1135500</v>
      </c>
      <c r="G39" s="5">
        <f t="shared" si="1"/>
        <v>979969.33729423198</v>
      </c>
      <c r="H39" s="6">
        <f t="shared" si="0"/>
        <v>155530.66270576802</v>
      </c>
      <c r="I39" s="7"/>
      <c r="J39" s="2">
        <f t="shared" si="2"/>
        <v>88.723994452149796</v>
      </c>
      <c r="K39">
        <f t="shared" si="2"/>
        <v>93.638170974155059</v>
      </c>
      <c r="L39">
        <f t="shared" si="2"/>
        <v>88.469029996104396</v>
      </c>
      <c r="M39" s="3" t="s">
        <v>47</v>
      </c>
      <c r="N39" s="8" t="s">
        <v>56</v>
      </c>
      <c r="O39" s="9">
        <v>51846.3</v>
      </c>
    </row>
    <row r="40" spans="1:15" ht="18" x14ac:dyDescent="0.45">
      <c r="A40" s="3" t="s">
        <v>47</v>
      </c>
      <c r="C40" s="4" t="s">
        <v>49</v>
      </c>
      <c r="D40">
        <v>3150</v>
      </c>
      <c r="E40">
        <v>1295.25</v>
      </c>
      <c r="F40">
        <v>1100000</v>
      </c>
      <c r="G40" s="5">
        <f t="shared" si="1"/>
        <v>965185.52836543089</v>
      </c>
      <c r="H40" s="6">
        <f t="shared" si="0"/>
        <v>134814.47163456911</v>
      </c>
      <c r="I40" s="7"/>
      <c r="J40" s="2">
        <f t="shared" si="2"/>
        <v>87.378640776699029</v>
      </c>
      <c r="K40">
        <f t="shared" si="2"/>
        <v>93.638170974155059</v>
      </c>
      <c r="L40">
        <f t="shared" si="2"/>
        <v>85.703155434359175</v>
      </c>
      <c r="M40" s="3" t="s">
        <v>47</v>
      </c>
      <c r="N40" s="8" t="s">
        <v>57</v>
      </c>
      <c r="O40" s="9">
        <v>52735.199999999997</v>
      </c>
    </row>
    <row r="41" spans="1:15" ht="18" x14ac:dyDescent="0.45">
      <c r="A41" s="3" t="s">
        <v>47</v>
      </c>
      <c r="C41" s="4" t="s">
        <v>50</v>
      </c>
      <c r="D41">
        <v>3150</v>
      </c>
      <c r="E41">
        <v>1279</v>
      </c>
      <c r="F41">
        <v>1086000</v>
      </c>
      <c r="G41" s="5">
        <f t="shared" si="1"/>
        <v>953139.1938076712</v>
      </c>
      <c r="H41" s="6">
        <f t="shared" si="0"/>
        <v>132860.8061923288</v>
      </c>
      <c r="I41" s="7"/>
      <c r="J41" s="2">
        <f t="shared" si="2"/>
        <v>87.378640776699029</v>
      </c>
      <c r="K41">
        <f t="shared" si="2"/>
        <v>92.463401409723474</v>
      </c>
      <c r="L41">
        <f t="shared" si="2"/>
        <v>84.61238800155823</v>
      </c>
      <c r="M41" s="3" t="s">
        <v>47</v>
      </c>
      <c r="N41" s="8" t="s">
        <v>58</v>
      </c>
      <c r="O41" s="9">
        <v>54289.7</v>
      </c>
    </row>
    <row r="42" spans="1:15" ht="18" x14ac:dyDescent="0.45">
      <c r="A42" s="3" t="s">
        <v>47</v>
      </c>
      <c r="C42" s="4" t="s">
        <v>51</v>
      </c>
      <c r="D42">
        <v>3242.5</v>
      </c>
      <c r="E42">
        <v>1236.25</v>
      </c>
      <c r="F42">
        <v>1075000</v>
      </c>
      <c r="G42" s="5">
        <f t="shared" si="1"/>
        <v>948359.63774595677</v>
      </c>
      <c r="H42" s="6">
        <f t="shared" si="0"/>
        <v>126640.36225404323</v>
      </c>
      <c r="I42" s="7"/>
      <c r="J42" s="2">
        <f t="shared" si="2"/>
        <v>89.944521497919567</v>
      </c>
      <c r="K42">
        <f t="shared" si="2"/>
        <v>89.372853786372673</v>
      </c>
      <c r="L42">
        <f t="shared" si="2"/>
        <v>83.755356447214638</v>
      </c>
      <c r="M42" s="3" t="s">
        <v>47</v>
      </c>
      <c r="N42" s="8" t="s">
        <v>59</v>
      </c>
      <c r="O42" s="9">
        <v>54768.6</v>
      </c>
    </row>
    <row r="43" spans="1:15" ht="18" x14ac:dyDescent="0.45">
      <c r="A43" s="3" t="s">
        <v>47</v>
      </c>
      <c r="C43" s="4" t="s">
        <v>60</v>
      </c>
      <c r="D43">
        <v>3340</v>
      </c>
      <c r="E43">
        <v>1232.75</v>
      </c>
      <c r="F43">
        <v>1099000</v>
      </c>
      <c r="G43" s="5">
        <f t="shared" si="1"/>
        <v>973974.79292994225</v>
      </c>
      <c r="H43" s="6">
        <f t="shared" si="0"/>
        <v>125025.20707005775</v>
      </c>
      <c r="I43" s="7"/>
      <c r="J43" s="2">
        <f t="shared" si="2"/>
        <v>92.649098474341201</v>
      </c>
      <c r="K43">
        <f t="shared" si="2"/>
        <v>89.119826495572013</v>
      </c>
      <c r="L43">
        <f t="shared" si="2"/>
        <v>85.625243474873386</v>
      </c>
      <c r="M43" s="3" t="s">
        <v>47</v>
      </c>
      <c r="N43" s="8" t="s">
        <v>61</v>
      </c>
      <c r="O43" s="9">
        <v>54616</v>
      </c>
    </row>
    <row r="44" spans="1:15" ht="18" x14ac:dyDescent="0.45">
      <c r="A44" s="3" t="s">
        <v>47</v>
      </c>
      <c r="C44" s="4" t="s">
        <v>52</v>
      </c>
      <c r="D44">
        <v>3325.5</v>
      </c>
      <c r="E44">
        <v>1192</v>
      </c>
      <c r="F44">
        <v>1100000</v>
      </c>
      <c r="G44" s="5">
        <f t="shared" si="1"/>
        <v>937876.62030029239</v>
      </c>
      <c r="H44" s="6">
        <f t="shared" si="0"/>
        <v>162123.37969970761</v>
      </c>
      <c r="I44" s="7"/>
      <c r="J44" s="2">
        <f t="shared" si="2"/>
        <v>92.246879334257969</v>
      </c>
      <c r="K44">
        <f t="shared" si="2"/>
        <v>86.173865895535869</v>
      </c>
      <c r="L44">
        <f t="shared" si="2"/>
        <v>85.703155434359175</v>
      </c>
      <c r="M44" s="3" t="s">
        <v>47</v>
      </c>
      <c r="N44" s="8" t="s">
        <v>62</v>
      </c>
      <c r="O44" s="9">
        <v>54534.2</v>
      </c>
    </row>
    <row r="45" spans="1:15" ht="18" x14ac:dyDescent="0.45">
      <c r="A45" s="3" t="s">
        <v>47</v>
      </c>
      <c r="C45" s="4" t="s">
        <v>53</v>
      </c>
      <c r="D45">
        <v>3325</v>
      </c>
      <c r="E45">
        <v>1192</v>
      </c>
      <c r="F45">
        <v>1103500</v>
      </c>
      <c r="G45" s="5">
        <f t="shared" si="1"/>
        <v>937736.3591936467</v>
      </c>
      <c r="H45" s="6">
        <f t="shared" si="0"/>
        <v>165763.6408063533</v>
      </c>
      <c r="I45" s="7"/>
      <c r="J45" s="2">
        <f t="shared" si="2"/>
        <v>92.233009708737868</v>
      </c>
      <c r="K45">
        <f t="shared" si="2"/>
        <v>86.173865895535869</v>
      </c>
      <c r="L45">
        <f t="shared" si="2"/>
        <v>85.975847292559408</v>
      </c>
      <c r="M45" s="3" t="s">
        <v>47</v>
      </c>
      <c r="N45" s="8" t="s">
        <v>63</v>
      </c>
      <c r="O45" s="9">
        <v>55069.7</v>
      </c>
    </row>
    <row r="46" spans="1:15" ht="18" x14ac:dyDescent="0.45">
      <c r="A46" s="3" t="s">
        <v>47</v>
      </c>
      <c r="C46" s="4" t="s">
        <v>55</v>
      </c>
      <c r="D46">
        <v>3371</v>
      </c>
      <c r="E46">
        <v>1242.75</v>
      </c>
      <c r="F46">
        <v>1138000</v>
      </c>
      <c r="G46" s="5">
        <f t="shared" si="1"/>
        <v>990901.49621981778</v>
      </c>
      <c r="H46" s="6">
        <f t="shared" si="0"/>
        <v>147098.50378018222</v>
      </c>
      <c r="I46" s="7"/>
      <c r="J46" s="2">
        <f t="shared" si="2"/>
        <v>93.509015256588071</v>
      </c>
      <c r="K46">
        <f t="shared" si="2"/>
        <v>89.84276161214531</v>
      </c>
      <c r="L46">
        <f t="shared" si="2"/>
        <v>88.663809894818854</v>
      </c>
      <c r="M46" s="3" t="s">
        <v>47</v>
      </c>
      <c r="N46" s="8" t="s">
        <v>64</v>
      </c>
      <c r="O46" s="9">
        <v>54744</v>
      </c>
    </row>
    <row r="47" spans="1:15" ht="18" x14ac:dyDescent="0.45">
      <c r="A47" s="3" t="s">
        <v>47</v>
      </c>
      <c r="C47" s="4" t="s">
        <v>56</v>
      </c>
      <c r="D47">
        <v>3367.5</v>
      </c>
      <c r="E47">
        <v>1252.5</v>
      </c>
      <c r="F47">
        <v>1148500</v>
      </c>
      <c r="G47" s="5">
        <f t="shared" si="1"/>
        <v>997604.72982911603</v>
      </c>
      <c r="H47" s="6">
        <f t="shared" si="0"/>
        <v>150895.27017088397</v>
      </c>
      <c r="I47" s="7"/>
      <c r="J47" s="2">
        <f t="shared" si="2"/>
        <v>93.411927877947292</v>
      </c>
      <c r="K47">
        <f t="shared" si="2"/>
        <v>90.547623350804258</v>
      </c>
      <c r="L47">
        <f t="shared" si="2"/>
        <v>89.481885469419552</v>
      </c>
      <c r="M47" s="3" t="s">
        <v>47</v>
      </c>
      <c r="N47" s="8" t="s">
        <v>65</v>
      </c>
      <c r="O47" s="9">
        <v>54298.7</v>
      </c>
    </row>
    <row r="48" spans="1:15" ht="18" x14ac:dyDescent="0.45">
      <c r="A48" s="3" t="s">
        <v>47</v>
      </c>
      <c r="C48" s="4" t="s">
        <v>57</v>
      </c>
      <c r="D48">
        <v>3350</v>
      </c>
      <c r="E48">
        <v>1250</v>
      </c>
      <c r="F48">
        <v>1138500</v>
      </c>
      <c r="G48" s="5">
        <f t="shared" si="1"/>
        <v>990475.47664212447</v>
      </c>
      <c r="H48" s="6">
        <f t="shared" si="0"/>
        <v>148024.52335787553</v>
      </c>
      <c r="I48" s="7"/>
      <c r="J48" s="2">
        <f t="shared" si="2"/>
        <v>92.92649098474341</v>
      </c>
      <c r="K48">
        <f t="shared" si="2"/>
        <v>90.366889571660948</v>
      </c>
      <c r="L48">
        <f t="shared" si="2"/>
        <v>88.702765874561734</v>
      </c>
      <c r="M48" s="3" t="s">
        <v>47</v>
      </c>
      <c r="N48" s="8" t="s">
        <v>66</v>
      </c>
      <c r="O48" s="9">
        <v>54509.3</v>
      </c>
    </row>
    <row r="49" spans="1:15" ht="18" x14ac:dyDescent="0.45">
      <c r="A49" s="3" t="s">
        <v>47</v>
      </c>
      <c r="C49" s="4" t="s">
        <v>67</v>
      </c>
      <c r="D49">
        <v>3346</v>
      </c>
      <c r="E49">
        <v>1250</v>
      </c>
      <c r="F49">
        <v>1136500</v>
      </c>
      <c r="G49" s="5">
        <f t="shared" si="1"/>
        <v>989298.78950583539</v>
      </c>
      <c r="H49" s="6">
        <f t="shared" si="0"/>
        <v>147201.21049416461</v>
      </c>
      <c r="I49" s="7"/>
      <c r="J49" s="2">
        <f t="shared" si="2"/>
        <v>92.815533980582515</v>
      </c>
      <c r="K49">
        <f t="shared" si="2"/>
        <v>90.366889571660948</v>
      </c>
      <c r="L49">
        <f t="shared" si="2"/>
        <v>88.546941955590185</v>
      </c>
      <c r="M49" s="3" t="s">
        <v>47</v>
      </c>
      <c r="N49" s="8" t="s">
        <v>68</v>
      </c>
      <c r="O49" s="9">
        <v>54235.9</v>
      </c>
    </row>
    <row r="50" spans="1:15" ht="18" x14ac:dyDescent="0.45">
      <c r="A50" s="3" t="s">
        <v>47</v>
      </c>
      <c r="C50" s="4" t="s">
        <v>58</v>
      </c>
      <c r="D50">
        <v>3320</v>
      </c>
      <c r="E50">
        <v>1212.75</v>
      </c>
      <c r="F50">
        <v>1116000</v>
      </c>
      <c r="G50" s="5">
        <f t="shared" si="1"/>
        <v>952546.14349098131</v>
      </c>
      <c r="H50" s="6">
        <f t="shared" si="0"/>
        <v>163453.85650901869</v>
      </c>
      <c r="I50" s="7"/>
      <c r="J50" s="2">
        <f t="shared" si="2"/>
        <v>92.094313453536756</v>
      </c>
      <c r="K50">
        <f t="shared" si="2"/>
        <v>87.673956262425449</v>
      </c>
      <c r="L50">
        <f t="shared" si="2"/>
        <v>86.949746786131669</v>
      </c>
      <c r="M50" s="3" t="s">
        <v>47</v>
      </c>
      <c r="N50" s="8" t="s">
        <v>69</v>
      </c>
      <c r="O50" s="9">
        <v>54433.599999999999</v>
      </c>
    </row>
    <row r="51" spans="1:15" ht="18" x14ac:dyDescent="0.45">
      <c r="A51" s="3" t="s">
        <v>47</v>
      </c>
      <c r="C51" s="4" t="s">
        <v>59</v>
      </c>
      <c r="D51">
        <v>3292.5</v>
      </c>
      <c r="E51">
        <v>1212.75</v>
      </c>
      <c r="F51">
        <v>1094000</v>
      </c>
      <c r="G51" s="5">
        <f t="shared" si="1"/>
        <v>944697.49320604105</v>
      </c>
      <c r="H51" s="6">
        <f t="shared" si="0"/>
        <v>149302.50679395895</v>
      </c>
      <c r="I51" s="7"/>
      <c r="J51" s="2">
        <f t="shared" si="2"/>
        <v>91.331484049930651</v>
      </c>
      <c r="K51">
        <f t="shared" si="2"/>
        <v>87.673956262425449</v>
      </c>
      <c r="L51">
        <f t="shared" si="2"/>
        <v>85.235683677444484</v>
      </c>
      <c r="M51" s="3" t="s">
        <v>47</v>
      </c>
      <c r="N51" s="8" t="s">
        <v>70</v>
      </c>
      <c r="O51" s="9">
        <v>54872.3</v>
      </c>
    </row>
    <row r="52" spans="1:15" ht="18" x14ac:dyDescent="0.45">
      <c r="A52" s="3" t="s">
        <v>47</v>
      </c>
      <c r="C52" s="4" t="s">
        <v>61</v>
      </c>
      <c r="D52">
        <v>3328</v>
      </c>
      <c r="E52">
        <v>1235.25</v>
      </c>
      <c r="F52">
        <v>1100500</v>
      </c>
      <c r="G52" s="5">
        <f t="shared" si="1"/>
        <v>972451.45376330242</v>
      </c>
      <c r="H52" s="6">
        <f t="shared" si="0"/>
        <v>128048.54623669758</v>
      </c>
      <c r="I52" s="7"/>
      <c r="J52" s="2">
        <f t="shared" si="2"/>
        <v>92.316227461858517</v>
      </c>
      <c r="K52">
        <f t="shared" si="2"/>
        <v>89.300560274715352</v>
      </c>
      <c r="L52">
        <f t="shared" si="2"/>
        <v>85.742111414102055</v>
      </c>
      <c r="M52" s="3" t="s">
        <v>47</v>
      </c>
      <c r="N52" s="8" t="s">
        <v>71</v>
      </c>
      <c r="O52" s="9">
        <v>55101</v>
      </c>
    </row>
    <row r="53" spans="1:15" ht="18" x14ac:dyDescent="0.45">
      <c r="A53" s="3" t="s">
        <v>47</v>
      </c>
      <c r="C53" s="4" t="s">
        <v>62</v>
      </c>
      <c r="D53">
        <v>3320</v>
      </c>
      <c r="E53">
        <v>1255.5</v>
      </c>
      <c r="F53">
        <v>1102000</v>
      </c>
      <c r="G53" s="5">
        <f t="shared" si="1"/>
        <v>985947.58454168413</v>
      </c>
      <c r="H53" s="6">
        <f t="shared" si="0"/>
        <v>116052.41545831587</v>
      </c>
      <c r="I53" s="7"/>
      <c r="J53" s="2">
        <f t="shared" si="2"/>
        <v>92.094313453536756</v>
      </c>
      <c r="K53">
        <f t="shared" si="2"/>
        <v>90.76450388577625</v>
      </c>
      <c r="L53">
        <f t="shared" si="2"/>
        <v>85.858979353330739</v>
      </c>
      <c r="M53" s="3" t="s">
        <v>47</v>
      </c>
      <c r="N53" s="8" t="s">
        <v>72</v>
      </c>
      <c r="O53" s="9">
        <v>55329.3</v>
      </c>
    </row>
    <row r="54" spans="1:15" ht="18" x14ac:dyDescent="0.45">
      <c r="A54" s="3" t="s">
        <v>47</v>
      </c>
      <c r="C54" s="4" t="s">
        <v>63</v>
      </c>
      <c r="D54">
        <v>3289</v>
      </c>
      <c r="E54">
        <v>1256</v>
      </c>
      <c r="F54">
        <v>1084500</v>
      </c>
      <c r="G54" s="5">
        <f t="shared" si="1"/>
        <v>977175.14660322131</v>
      </c>
      <c r="H54" s="6">
        <f t="shared" si="0"/>
        <v>107324.85339677869</v>
      </c>
      <c r="I54" s="7"/>
      <c r="J54" s="2">
        <f t="shared" si="2"/>
        <v>91.234396671289872</v>
      </c>
      <c r="K54">
        <f t="shared" si="2"/>
        <v>90.800650641604918</v>
      </c>
      <c r="L54">
        <f t="shared" si="2"/>
        <v>84.495520062329561</v>
      </c>
      <c r="M54" s="3" t="s">
        <v>73</v>
      </c>
      <c r="N54" s="8" t="s">
        <v>74</v>
      </c>
      <c r="O54" s="9">
        <v>55942.400000000001</v>
      </c>
    </row>
    <row r="55" spans="1:15" ht="18" x14ac:dyDescent="0.45">
      <c r="A55" s="3" t="s">
        <v>47</v>
      </c>
      <c r="C55" s="4" t="s">
        <v>75</v>
      </c>
      <c r="D55">
        <v>3303.5</v>
      </c>
      <c r="E55">
        <v>1285</v>
      </c>
      <c r="F55">
        <v>1110000</v>
      </c>
      <c r="G55" s="5">
        <f t="shared" si="1"/>
        <v>1004006.7903658809</v>
      </c>
      <c r="H55" s="6">
        <f t="shared" si="0"/>
        <v>105993.20963411906</v>
      </c>
      <c r="I55" s="7"/>
      <c r="J55" s="2">
        <f t="shared" si="2"/>
        <v>91.63661581137309</v>
      </c>
      <c r="K55">
        <f t="shared" si="2"/>
        <v>92.897162479667458</v>
      </c>
      <c r="L55">
        <f t="shared" si="2"/>
        <v>86.482275029216979</v>
      </c>
      <c r="M55" s="3" t="s">
        <v>73</v>
      </c>
      <c r="N55" s="8" t="s">
        <v>76</v>
      </c>
      <c r="O55" s="9">
        <v>56426.3</v>
      </c>
    </row>
    <row r="56" spans="1:15" ht="18" x14ac:dyDescent="0.45">
      <c r="A56" s="3" t="s">
        <v>47</v>
      </c>
      <c r="C56" s="4" t="s">
        <v>77</v>
      </c>
      <c r="D56">
        <v>3300</v>
      </c>
      <c r="E56">
        <v>1279.75</v>
      </c>
      <c r="F56">
        <v>1104000</v>
      </c>
      <c r="G56" s="5">
        <f t="shared" si="1"/>
        <v>998871.13935954729</v>
      </c>
      <c r="H56" s="6">
        <f t="shared" si="0"/>
        <v>105128.86064045271</v>
      </c>
      <c r="I56" s="7"/>
      <c r="J56" s="2">
        <f t="shared" si="2"/>
        <v>91.539528432732325</v>
      </c>
      <c r="K56">
        <f t="shared" si="2"/>
        <v>92.517621543466475</v>
      </c>
      <c r="L56">
        <f t="shared" si="2"/>
        <v>86.014803272302302</v>
      </c>
      <c r="M56" s="3" t="s">
        <v>73</v>
      </c>
      <c r="N56" s="8" t="s">
        <v>78</v>
      </c>
      <c r="O56" s="9">
        <v>56290.3</v>
      </c>
    </row>
    <row r="57" spans="1:15" ht="18" x14ac:dyDescent="0.45">
      <c r="A57" s="3" t="s">
        <v>47</v>
      </c>
      <c r="C57" s="4" t="s">
        <v>64</v>
      </c>
      <c r="D57">
        <v>3300</v>
      </c>
      <c r="E57">
        <v>1279.75</v>
      </c>
      <c r="F57">
        <v>1100000</v>
      </c>
      <c r="G57" s="5">
        <f t="shared" si="1"/>
        <v>998871.13935954729</v>
      </c>
      <c r="H57" s="6">
        <f t="shared" si="0"/>
        <v>101128.86064045271</v>
      </c>
      <c r="I57" s="7"/>
      <c r="J57" s="2">
        <f t="shared" si="2"/>
        <v>91.539528432732325</v>
      </c>
      <c r="K57">
        <f t="shared" si="2"/>
        <v>92.517621543466475</v>
      </c>
      <c r="L57">
        <f t="shared" si="2"/>
        <v>85.703155434359175</v>
      </c>
      <c r="M57" s="3" t="s">
        <v>73</v>
      </c>
      <c r="N57" s="8" t="s">
        <v>79</v>
      </c>
      <c r="O57" s="9">
        <v>56551.9</v>
      </c>
    </row>
    <row r="58" spans="1:15" ht="18" x14ac:dyDescent="0.45">
      <c r="A58" s="3" t="s">
        <v>47</v>
      </c>
      <c r="C58" s="4" t="s">
        <v>65</v>
      </c>
      <c r="D58">
        <v>3242.5</v>
      </c>
      <c r="E58">
        <v>1279.75</v>
      </c>
      <c r="F58">
        <v>1087500</v>
      </c>
      <c r="G58" s="5">
        <f t="shared" si="1"/>
        <v>981553.68768888852</v>
      </c>
      <c r="H58" s="6">
        <f t="shared" si="0"/>
        <v>105946.31231111148</v>
      </c>
      <c r="I58" s="7"/>
      <c r="J58" s="2">
        <f t="shared" si="2"/>
        <v>89.944521497919567</v>
      </c>
      <c r="K58">
        <f t="shared" si="2"/>
        <v>92.517621543466475</v>
      </c>
      <c r="L58">
        <f t="shared" si="2"/>
        <v>84.729255940786913</v>
      </c>
      <c r="M58" s="3" t="s">
        <v>73</v>
      </c>
      <c r="N58" s="8" t="s">
        <v>80</v>
      </c>
      <c r="O58" s="9">
        <v>56400.2</v>
      </c>
    </row>
    <row r="59" spans="1:15" ht="18" x14ac:dyDescent="0.45">
      <c r="A59" s="3" t="s">
        <v>47</v>
      </c>
      <c r="C59" s="4" t="s">
        <v>66</v>
      </c>
      <c r="D59">
        <v>3256.5</v>
      </c>
      <c r="E59">
        <v>1284.75</v>
      </c>
      <c r="F59">
        <v>1089000</v>
      </c>
      <c r="G59" s="5">
        <f t="shared" si="1"/>
        <v>989601.99236367864</v>
      </c>
      <c r="H59" s="6">
        <f t="shared" si="0"/>
        <v>99398.007636321359</v>
      </c>
      <c r="I59" s="7"/>
      <c r="J59" s="2">
        <f t="shared" si="2"/>
        <v>90.332871012482656</v>
      </c>
      <c r="K59">
        <f t="shared" si="2"/>
        <v>92.879089101753124</v>
      </c>
      <c r="L59">
        <f t="shared" si="2"/>
        <v>84.846123880015583</v>
      </c>
      <c r="M59" s="3" t="s">
        <v>73</v>
      </c>
      <c r="N59" s="8" t="s">
        <v>81</v>
      </c>
      <c r="O59" s="9">
        <v>57168.2</v>
      </c>
    </row>
    <row r="60" spans="1:15" ht="18" x14ac:dyDescent="0.45">
      <c r="A60" s="3" t="s">
        <v>47</v>
      </c>
      <c r="C60" s="4" t="s">
        <v>68</v>
      </c>
      <c r="D60">
        <v>3246.5</v>
      </c>
      <c r="E60">
        <v>1291.5</v>
      </c>
      <c r="F60">
        <v>1084500</v>
      </c>
      <c r="G60" s="5">
        <f t="shared" si="1"/>
        <v>991735.64973073313</v>
      </c>
      <c r="H60" s="6">
        <f t="shared" si="0"/>
        <v>92764.35026926687</v>
      </c>
      <c r="I60" s="7"/>
      <c r="J60" s="2">
        <f t="shared" si="2"/>
        <v>90.055478502080447</v>
      </c>
      <c r="K60">
        <f t="shared" si="2"/>
        <v>93.367070305440095</v>
      </c>
      <c r="L60">
        <f t="shared" si="2"/>
        <v>84.495520062329561</v>
      </c>
      <c r="M60" s="3" t="s">
        <v>73</v>
      </c>
      <c r="N60" s="8" t="s">
        <v>82</v>
      </c>
      <c r="O60" s="9">
        <v>57397.2</v>
      </c>
    </row>
    <row r="61" spans="1:15" ht="18" x14ac:dyDescent="0.45">
      <c r="A61" s="3" t="s">
        <v>47</v>
      </c>
      <c r="C61" s="4" t="s">
        <v>69</v>
      </c>
      <c r="D61">
        <v>3219</v>
      </c>
      <c r="E61">
        <v>1297.25</v>
      </c>
      <c r="F61">
        <v>1050000</v>
      </c>
      <c r="G61" s="5">
        <f t="shared" si="1"/>
        <v>987733.26610535965</v>
      </c>
      <c r="H61" s="6">
        <f t="shared" si="0"/>
        <v>62266.733894640347</v>
      </c>
      <c r="I61" s="7"/>
      <c r="J61" s="2">
        <f t="shared" si="2"/>
        <v>89.292649098474342</v>
      </c>
      <c r="K61">
        <f t="shared" si="2"/>
        <v>93.78275799746973</v>
      </c>
      <c r="L61">
        <f t="shared" si="2"/>
        <v>81.807557460070129</v>
      </c>
      <c r="M61" s="3" t="s">
        <v>73</v>
      </c>
      <c r="N61" s="8" t="s">
        <v>83</v>
      </c>
      <c r="O61" s="9">
        <v>57264.4</v>
      </c>
    </row>
    <row r="62" spans="1:15" ht="18" x14ac:dyDescent="0.45">
      <c r="A62" s="3" t="s">
        <v>47</v>
      </c>
      <c r="C62" s="4" t="s">
        <v>84</v>
      </c>
      <c r="D62">
        <v>3171.5</v>
      </c>
      <c r="E62">
        <v>1283.25</v>
      </c>
      <c r="F62">
        <v>1055000</v>
      </c>
      <c r="G62" s="5">
        <f t="shared" si="1"/>
        <v>962782.70381595008</v>
      </c>
      <c r="H62" s="6">
        <f t="shared" si="0"/>
        <v>92217.296184049919</v>
      </c>
      <c r="I62" s="7"/>
      <c r="J62" s="2">
        <f t="shared" si="2"/>
        <v>87.975034674063807</v>
      </c>
      <c r="K62">
        <f t="shared" si="2"/>
        <v>92.770648834267121</v>
      </c>
      <c r="L62">
        <f t="shared" si="2"/>
        <v>82.197117257499031</v>
      </c>
      <c r="M62" s="3" t="s">
        <v>73</v>
      </c>
      <c r="N62" s="8" t="s">
        <v>85</v>
      </c>
      <c r="O62" s="9">
        <v>57415.9</v>
      </c>
    </row>
    <row r="63" spans="1:15" ht="18" x14ac:dyDescent="0.45">
      <c r="A63" s="3" t="s">
        <v>47</v>
      </c>
      <c r="C63" s="4" t="s">
        <v>70</v>
      </c>
      <c r="D63">
        <v>3094.5</v>
      </c>
      <c r="E63">
        <v>1295.75</v>
      </c>
      <c r="F63">
        <v>1025000</v>
      </c>
      <c r="G63" s="5">
        <f t="shared" si="1"/>
        <v>948632.09965236462</v>
      </c>
      <c r="H63" s="6">
        <f t="shared" si="0"/>
        <v>76367.900347635383</v>
      </c>
      <c r="I63" s="7"/>
      <c r="J63" s="2">
        <f t="shared" si="2"/>
        <v>85.839112343966718</v>
      </c>
      <c r="K63">
        <f t="shared" si="2"/>
        <v>93.674317729983741</v>
      </c>
      <c r="L63">
        <f t="shared" si="2"/>
        <v>79.859758472925591</v>
      </c>
      <c r="M63" s="3" t="s">
        <v>73</v>
      </c>
      <c r="N63" s="8" t="s">
        <v>86</v>
      </c>
      <c r="O63" s="9">
        <v>57674.8</v>
      </c>
    </row>
    <row r="64" spans="1:15" ht="18" x14ac:dyDescent="0.45">
      <c r="A64" s="3" t="s">
        <v>47</v>
      </c>
      <c r="C64" s="4" t="s">
        <v>71</v>
      </c>
      <c r="D64">
        <v>3090</v>
      </c>
      <c r="E64">
        <v>1295.75</v>
      </c>
      <c r="F64">
        <v>1010000</v>
      </c>
      <c r="G64" s="5">
        <f t="shared" si="1"/>
        <v>947259.8765312027</v>
      </c>
      <c r="H64" s="6">
        <f t="shared" si="0"/>
        <v>62740.123468797305</v>
      </c>
      <c r="I64" s="7"/>
      <c r="J64" s="2">
        <f t="shared" si="2"/>
        <v>85.714285714285708</v>
      </c>
      <c r="K64">
        <f t="shared" si="2"/>
        <v>93.674317729983741</v>
      </c>
      <c r="L64">
        <f t="shared" si="2"/>
        <v>78.691079080638886</v>
      </c>
      <c r="M64" s="3" t="s">
        <v>73</v>
      </c>
      <c r="N64" s="8" t="s">
        <v>87</v>
      </c>
      <c r="O64" s="9">
        <v>58142.6</v>
      </c>
    </row>
    <row r="65" spans="1:15" ht="18" x14ac:dyDescent="0.45">
      <c r="A65" s="3" t="s">
        <v>47</v>
      </c>
      <c r="C65" s="4" t="s">
        <v>72</v>
      </c>
      <c r="D65">
        <v>3151</v>
      </c>
      <c r="E65">
        <v>1327</v>
      </c>
      <c r="F65">
        <v>1033000</v>
      </c>
      <c r="G65" s="5">
        <f t="shared" si="1"/>
        <v>989034.50557502476</v>
      </c>
      <c r="H65" s="6">
        <f t="shared" si="0"/>
        <v>43965.494424975244</v>
      </c>
      <c r="I65" s="7">
        <f>F65/F38-1</f>
        <v>-0.11822449850618866</v>
      </c>
      <c r="J65" s="2">
        <f t="shared" si="2"/>
        <v>87.406380027739246</v>
      </c>
      <c r="K65">
        <f t="shared" si="2"/>
        <v>95.933489969275257</v>
      </c>
      <c r="L65">
        <f t="shared" si="2"/>
        <v>80.483054148811846</v>
      </c>
      <c r="M65" s="3" t="s">
        <v>73</v>
      </c>
      <c r="N65" s="8" t="s">
        <v>88</v>
      </c>
      <c r="O65" s="9">
        <v>58889.9</v>
      </c>
    </row>
    <row r="66" spans="1:15" ht="18" x14ac:dyDescent="0.45">
      <c r="A66" s="3" t="s">
        <v>73</v>
      </c>
      <c r="C66" s="4" t="s">
        <v>74</v>
      </c>
      <c r="D66">
        <v>3112.5</v>
      </c>
      <c r="E66">
        <v>1333.5</v>
      </c>
      <c r="F66">
        <v>1028000</v>
      </c>
      <c r="G66" s="5">
        <f t="shared" si="1"/>
        <v>981772.40441034606</v>
      </c>
      <c r="H66" s="6">
        <f t="shared" ref="H66:H129" si="3">F:F-G:G</f>
        <v>46227.595589653938</v>
      </c>
      <c r="I66" s="7"/>
      <c r="J66" s="2">
        <f t="shared" si="2"/>
        <v>86.338418862690702</v>
      </c>
      <c r="K66">
        <f t="shared" si="2"/>
        <v>96.403397795047894</v>
      </c>
      <c r="L66">
        <f t="shared" si="2"/>
        <v>80.09349435138293</v>
      </c>
      <c r="M66" s="3" t="s">
        <v>73</v>
      </c>
      <c r="N66" s="8" t="s">
        <v>89</v>
      </c>
      <c r="O66" s="9">
        <v>59608.5</v>
      </c>
    </row>
    <row r="67" spans="1:15" ht="18" x14ac:dyDescent="0.45">
      <c r="A67" s="3" t="s">
        <v>73</v>
      </c>
      <c r="C67" s="4" t="s">
        <v>76</v>
      </c>
      <c r="D67">
        <v>3128</v>
      </c>
      <c r="E67">
        <v>1335</v>
      </c>
      <c r="F67">
        <v>1032500</v>
      </c>
      <c r="G67" s="5">
        <f t="shared" ref="G67:G130" si="4">E67/31.103*8.133*D67*0.9+5000</f>
        <v>987740.8557373886</v>
      </c>
      <c r="H67" s="6">
        <f t="shared" si="3"/>
        <v>44759.1442626114</v>
      </c>
      <c r="I67" s="7"/>
      <c r="J67" s="2">
        <f t="shared" si="2"/>
        <v>86.768377253814151</v>
      </c>
      <c r="K67">
        <f t="shared" si="2"/>
        <v>96.511838062533883</v>
      </c>
      <c r="L67">
        <f t="shared" si="2"/>
        <v>80.444098169068951</v>
      </c>
      <c r="M67" s="3" t="s">
        <v>73</v>
      </c>
      <c r="N67" s="8" t="s">
        <v>90</v>
      </c>
      <c r="O67" s="9">
        <v>59754.8</v>
      </c>
    </row>
    <row r="68" spans="1:15" ht="18" x14ac:dyDescent="0.45">
      <c r="A68" s="3" t="s">
        <v>73</v>
      </c>
      <c r="C68" s="4" t="s">
        <v>91</v>
      </c>
      <c r="D68">
        <v>3145</v>
      </c>
      <c r="E68">
        <v>1326</v>
      </c>
      <c r="F68">
        <v>1032000</v>
      </c>
      <c r="G68" s="5">
        <f t="shared" si="4"/>
        <v>986420.61277047207</v>
      </c>
      <c r="H68" s="6">
        <f t="shared" si="3"/>
        <v>45579.387229527929</v>
      </c>
      <c r="I68" s="7"/>
      <c r="J68" s="2">
        <f t="shared" si="2"/>
        <v>87.239944521497918</v>
      </c>
      <c r="K68">
        <f t="shared" si="2"/>
        <v>95.861196457617922</v>
      </c>
      <c r="L68">
        <f t="shared" si="2"/>
        <v>80.405142189326057</v>
      </c>
      <c r="M68" s="3" t="s">
        <v>73</v>
      </c>
      <c r="N68" s="8" t="s">
        <v>92</v>
      </c>
      <c r="O68" s="9">
        <v>59610.2</v>
      </c>
    </row>
    <row r="69" spans="1:15" ht="18" x14ac:dyDescent="0.45">
      <c r="A69" s="3" t="s">
        <v>73</v>
      </c>
      <c r="C69" s="4" t="s">
        <v>78</v>
      </c>
      <c r="D69">
        <v>3150</v>
      </c>
      <c r="E69">
        <v>1331</v>
      </c>
      <c r="F69">
        <v>1050000</v>
      </c>
      <c r="G69" s="5">
        <f t="shared" si="4"/>
        <v>991687.46439250209</v>
      </c>
      <c r="H69" s="6">
        <f t="shared" si="3"/>
        <v>58312.535607497906</v>
      </c>
      <c r="I69" s="7"/>
      <c r="J69" s="2">
        <f t="shared" si="2"/>
        <v>87.378640776699029</v>
      </c>
      <c r="K69">
        <f t="shared" si="2"/>
        <v>96.22266401590457</v>
      </c>
      <c r="L69">
        <f t="shared" si="2"/>
        <v>81.807557460070129</v>
      </c>
      <c r="M69" s="3" t="s">
        <v>73</v>
      </c>
      <c r="N69" s="8" t="s">
        <v>93</v>
      </c>
      <c r="O69" s="9">
        <v>60410.3</v>
      </c>
    </row>
    <row r="70" spans="1:15" ht="18" x14ac:dyDescent="0.45">
      <c r="A70" s="3" t="s">
        <v>73</v>
      </c>
      <c r="C70" s="4" t="s">
        <v>79</v>
      </c>
      <c r="D70">
        <v>3170.5</v>
      </c>
      <c r="E70">
        <v>1331</v>
      </c>
      <c r="F70">
        <v>1067500</v>
      </c>
      <c r="G70" s="5">
        <f t="shared" si="4"/>
        <v>998108.76376394555</v>
      </c>
      <c r="H70" s="6">
        <f t="shared" si="3"/>
        <v>69391.23623605445</v>
      </c>
      <c r="I70" s="7"/>
      <c r="J70" s="2">
        <f t="shared" si="2"/>
        <v>87.947295423023576</v>
      </c>
      <c r="K70">
        <f t="shared" si="2"/>
        <v>96.22266401590457</v>
      </c>
      <c r="L70">
        <f t="shared" si="2"/>
        <v>83.171016751071292</v>
      </c>
      <c r="M70" s="3" t="s">
        <v>73</v>
      </c>
      <c r="N70" s="8" t="s">
        <v>94</v>
      </c>
      <c r="O70" s="9">
        <v>59938.6</v>
      </c>
    </row>
    <row r="71" spans="1:15" ht="18" x14ac:dyDescent="0.45">
      <c r="A71" s="3" t="s">
        <v>73</v>
      </c>
      <c r="C71" s="4" t="s">
        <v>80</v>
      </c>
      <c r="D71">
        <v>3155</v>
      </c>
      <c r="E71">
        <v>1329.75</v>
      </c>
      <c r="F71">
        <v>1053000</v>
      </c>
      <c r="G71" s="5">
        <f t="shared" si="4"/>
        <v>992325.52299215505</v>
      </c>
      <c r="H71" s="6">
        <f t="shared" si="3"/>
        <v>60674.477007844951</v>
      </c>
      <c r="I71" s="7"/>
      <c r="J71" s="2">
        <f t="shared" si="2"/>
        <v>87.517337031900141</v>
      </c>
      <c r="K71">
        <f t="shared" si="2"/>
        <v>96.132297126332915</v>
      </c>
      <c r="L71">
        <f t="shared" si="2"/>
        <v>82.041293338527467</v>
      </c>
      <c r="M71" s="3" t="s">
        <v>73</v>
      </c>
      <c r="N71" s="8" t="s">
        <v>95</v>
      </c>
      <c r="O71" s="9">
        <v>60052.2</v>
      </c>
    </row>
    <row r="72" spans="1:15" ht="18" x14ac:dyDescent="0.45">
      <c r="A72" s="3" t="s">
        <v>73</v>
      </c>
      <c r="C72" s="4" t="s">
        <v>96</v>
      </c>
      <c r="D72">
        <v>3161</v>
      </c>
      <c r="E72">
        <v>1324.15</v>
      </c>
      <c r="F72">
        <v>1058000</v>
      </c>
      <c r="G72" s="5">
        <f t="shared" si="4"/>
        <v>990037.31365318457</v>
      </c>
      <c r="H72" s="6">
        <f t="shared" si="3"/>
        <v>67962.686346815433</v>
      </c>
      <c r="I72" s="7"/>
      <c r="J72" s="2">
        <f t="shared" si="2"/>
        <v>87.683772538141469</v>
      </c>
      <c r="K72">
        <f t="shared" si="2"/>
        <v>95.72745346105188</v>
      </c>
      <c r="L72">
        <f t="shared" si="2"/>
        <v>82.430853135956369</v>
      </c>
      <c r="M72" s="3" t="s">
        <v>73</v>
      </c>
      <c r="N72" s="8" t="s">
        <v>97</v>
      </c>
      <c r="O72" s="9">
        <v>59568</v>
      </c>
    </row>
    <row r="73" spans="1:15" ht="18" x14ac:dyDescent="0.45">
      <c r="A73" s="3" t="s">
        <v>73</v>
      </c>
      <c r="C73" s="4" t="s">
        <v>81</v>
      </c>
      <c r="D73">
        <v>3161</v>
      </c>
      <c r="E73">
        <v>1314.5</v>
      </c>
      <c r="F73">
        <v>1058000</v>
      </c>
      <c r="G73" s="5">
        <f t="shared" si="4"/>
        <v>982858.66314021149</v>
      </c>
      <c r="H73" s="6">
        <f t="shared" si="3"/>
        <v>75141.336859788513</v>
      </c>
      <c r="I73" s="7"/>
      <c r="J73" s="2">
        <f t="shared" si="2"/>
        <v>87.683772538141469</v>
      </c>
      <c r="K73">
        <f t="shared" si="2"/>
        <v>95.029821073558651</v>
      </c>
      <c r="L73">
        <f t="shared" si="2"/>
        <v>82.430853135956369</v>
      </c>
      <c r="M73" s="3" t="s">
        <v>73</v>
      </c>
      <c r="N73" s="8" t="s">
        <v>98</v>
      </c>
      <c r="O73" s="9">
        <v>59281.599999999999</v>
      </c>
    </row>
    <row r="74" spans="1:15" ht="18" x14ac:dyDescent="0.45">
      <c r="A74" s="3" t="s">
        <v>73</v>
      </c>
      <c r="C74" s="4" t="s">
        <v>99</v>
      </c>
      <c r="D74">
        <v>3164</v>
      </c>
      <c r="E74">
        <v>1315</v>
      </c>
      <c r="F74">
        <v>1056500</v>
      </c>
      <c r="G74" s="5">
        <f t="shared" si="4"/>
        <v>984159.02009452449</v>
      </c>
      <c r="H74" s="6">
        <f t="shared" si="3"/>
        <v>72340.979905475513</v>
      </c>
      <c r="I74" s="7"/>
      <c r="J74" s="2">
        <f t="shared" si="2"/>
        <v>87.766990291262132</v>
      </c>
      <c r="K74">
        <f t="shared" si="2"/>
        <v>95.065967829387304</v>
      </c>
      <c r="L74">
        <f t="shared" si="2"/>
        <v>82.3139851967277</v>
      </c>
      <c r="M74" s="3" t="s">
        <v>100</v>
      </c>
      <c r="N74" s="8" t="s">
        <v>101</v>
      </c>
      <c r="O74" s="9">
        <v>59552.800000000003</v>
      </c>
    </row>
    <row r="75" spans="1:15" ht="18" x14ac:dyDescent="0.45">
      <c r="A75" s="3" t="s">
        <v>73</v>
      </c>
      <c r="C75" s="4" t="s">
        <v>82</v>
      </c>
      <c r="D75">
        <v>3238</v>
      </c>
      <c r="E75">
        <v>1309.25</v>
      </c>
      <c r="F75">
        <v>1100000</v>
      </c>
      <c r="G75" s="5">
        <f t="shared" si="4"/>
        <v>1002678.0752515834</v>
      </c>
      <c r="H75" s="6">
        <f t="shared" si="3"/>
        <v>97321.924748416641</v>
      </c>
      <c r="I75" s="7"/>
      <c r="J75" s="2">
        <f t="shared" si="2"/>
        <v>89.819694868238557</v>
      </c>
      <c r="K75">
        <f t="shared" si="2"/>
        <v>94.650280137357669</v>
      </c>
      <c r="L75">
        <f t="shared" si="2"/>
        <v>85.703155434359175</v>
      </c>
      <c r="M75" s="3" t="s">
        <v>100</v>
      </c>
      <c r="N75" s="8" t="s">
        <v>102</v>
      </c>
      <c r="O75" s="9">
        <v>61163.5</v>
      </c>
    </row>
    <row r="76" spans="1:15" ht="18" x14ac:dyDescent="0.45">
      <c r="A76" s="3" t="s">
        <v>73</v>
      </c>
      <c r="C76" s="4" t="s">
        <v>83</v>
      </c>
      <c r="D76">
        <v>3245</v>
      </c>
      <c r="E76">
        <v>1309.25</v>
      </c>
      <c r="F76">
        <v>1085000</v>
      </c>
      <c r="G76" s="5">
        <f t="shared" si="4"/>
        <v>1004834.8839380444</v>
      </c>
      <c r="H76" s="6">
        <f t="shared" si="3"/>
        <v>80165.116061955574</v>
      </c>
      <c r="I76" s="7"/>
      <c r="J76" s="2">
        <f t="shared" si="2"/>
        <v>90.013869625520115</v>
      </c>
      <c r="K76">
        <f t="shared" si="2"/>
        <v>94.650280137357669</v>
      </c>
      <c r="L76">
        <f t="shared" si="2"/>
        <v>84.534476042072455</v>
      </c>
      <c r="M76" s="3" t="s">
        <v>100</v>
      </c>
      <c r="N76" s="8" t="s">
        <v>103</v>
      </c>
      <c r="O76" s="9">
        <v>60675.7</v>
      </c>
    </row>
    <row r="77" spans="1:15" ht="18" x14ac:dyDescent="0.45">
      <c r="A77" s="3" t="s">
        <v>73</v>
      </c>
      <c r="C77" s="4" t="s">
        <v>85</v>
      </c>
      <c r="D77">
        <v>3199</v>
      </c>
      <c r="E77">
        <v>1304.75</v>
      </c>
      <c r="F77">
        <v>1073000</v>
      </c>
      <c r="G77" s="5">
        <f t="shared" si="4"/>
        <v>987273.76977863861</v>
      </c>
      <c r="H77" s="6">
        <f t="shared" si="3"/>
        <v>85726.230221361388</v>
      </c>
      <c r="I77" s="7"/>
      <c r="J77" s="2">
        <f t="shared" si="2"/>
        <v>88.737864077669911</v>
      </c>
      <c r="K77">
        <f t="shared" si="2"/>
        <v>94.324959334899688</v>
      </c>
      <c r="L77">
        <f t="shared" si="2"/>
        <v>83.599532528243088</v>
      </c>
      <c r="M77" s="3" t="s">
        <v>100</v>
      </c>
      <c r="N77" s="8" t="s">
        <v>104</v>
      </c>
      <c r="O77" s="9">
        <v>60002.400000000001</v>
      </c>
    </row>
    <row r="78" spans="1:15" ht="18" x14ac:dyDescent="0.45">
      <c r="A78" s="3" t="s">
        <v>73</v>
      </c>
      <c r="C78" s="4" t="s">
        <v>86</v>
      </c>
      <c r="D78">
        <v>3190</v>
      </c>
      <c r="E78">
        <v>1280.5</v>
      </c>
      <c r="F78">
        <v>1059500</v>
      </c>
      <c r="G78" s="5">
        <f t="shared" si="4"/>
        <v>966305.1461756099</v>
      </c>
      <c r="H78" s="6">
        <f t="shared" si="3"/>
        <v>93194.853824390098</v>
      </c>
      <c r="I78" s="7"/>
      <c r="J78" s="2">
        <f t="shared" si="2"/>
        <v>88.488210818307905</v>
      </c>
      <c r="K78">
        <f t="shared" si="2"/>
        <v>92.571841677209463</v>
      </c>
      <c r="L78">
        <f t="shared" si="2"/>
        <v>82.547721075185052</v>
      </c>
      <c r="M78" s="3" t="s">
        <v>100</v>
      </c>
      <c r="N78" s="8" t="s">
        <v>105</v>
      </c>
      <c r="O78" s="9">
        <v>58727.3</v>
      </c>
    </row>
    <row r="79" spans="1:15" ht="18" x14ac:dyDescent="0.45">
      <c r="A79" s="3" t="s">
        <v>73</v>
      </c>
      <c r="C79" s="4" t="s">
        <v>87</v>
      </c>
      <c r="D79">
        <v>3215</v>
      </c>
      <c r="E79">
        <v>1282.5</v>
      </c>
      <c r="F79">
        <v>1067000</v>
      </c>
      <c r="G79" s="5">
        <f t="shared" si="4"/>
        <v>975352.10522296885</v>
      </c>
      <c r="H79" s="6">
        <f t="shared" si="3"/>
        <v>91647.89477703115</v>
      </c>
      <c r="I79" s="7"/>
      <c r="J79" s="2">
        <f t="shared" si="2"/>
        <v>89.181692094313462</v>
      </c>
      <c r="K79">
        <f t="shared" si="2"/>
        <v>92.716428700524119</v>
      </c>
      <c r="L79">
        <f t="shared" si="2"/>
        <v>83.132060771328398</v>
      </c>
      <c r="M79" s="3" t="s">
        <v>100</v>
      </c>
      <c r="N79" s="8" t="s">
        <v>106</v>
      </c>
      <c r="O79" s="9">
        <v>58561</v>
      </c>
    </row>
    <row r="80" spans="1:15" ht="18" x14ac:dyDescent="0.45">
      <c r="A80" s="3" t="s">
        <v>73</v>
      </c>
      <c r="C80" s="4" t="s">
        <v>107</v>
      </c>
      <c r="D80">
        <v>3209</v>
      </c>
      <c r="E80">
        <v>1298.25</v>
      </c>
      <c r="F80">
        <v>1070000</v>
      </c>
      <c r="G80" s="5">
        <f t="shared" si="4"/>
        <v>985435.54913432768</v>
      </c>
      <c r="H80" s="6">
        <f t="shared" si="3"/>
        <v>84564.450865672319</v>
      </c>
      <c r="I80" s="7"/>
      <c r="J80" s="2">
        <f t="shared" si="2"/>
        <v>89.01525658807212</v>
      </c>
      <c r="K80">
        <f t="shared" si="2"/>
        <v>93.855051509127051</v>
      </c>
      <c r="L80">
        <f t="shared" si="2"/>
        <v>83.365796649785736</v>
      </c>
      <c r="M80" s="3" t="s">
        <v>100</v>
      </c>
      <c r="N80" s="8" t="s">
        <v>108</v>
      </c>
      <c r="O80" s="9">
        <v>59057</v>
      </c>
    </row>
    <row r="81" spans="1:15" ht="18" x14ac:dyDescent="0.45">
      <c r="A81" s="3" t="s">
        <v>73</v>
      </c>
      <c r="C81" s="4" t="s">
        <v>88</v>
      </c>
      <c r="D81">
        <v>3205</v>
      </c>
      <c r="E81">
        <v>1309</v>
      </c>
      <c r="F81">
        <v>1073500</v>
      </c>
      <c r="G81" s="5">
        <f t="shared" si="4"/>
        <v>992321.69875896198</v>
      </c>
      <c r="H81" s="6">
        <f t="shared" si="3"/>
        <v>81178.301241038018</v>
      </c>
      <c r="I81" s="7"/>
      <c r="J81" s="2">
        <f t="shared" si="2"/>
        <v>88.904299583911239</v>
      </c>
      <c r="K81">
        <f t="shared" si="2"/>
        <v>94.632206759443335</v>
      </c>
      <c r="L81">
        <f t="shared" si="2"/>
        <v>83.638488507985983</v>
      </c>
      <c r="M81" s="3" t="s">
        <v>100</v>
      </c>
      <c r="N81" s="8" t="s">
        <v>109</v>
      </c>
      <c r="O81" s="9">
        <v>58962.9</v>
      </c>
    </row>
    <row r="82" spans="1:15" ht="18" x14ac:dyDescent="0.45">
      <c r="A82" s="3" t="s">
        <v>73</v>
      </c>
      <c r="C82" s="4" t="s">
        <v>89</v>
      </c>
      <c r="D82">
        <v>3219.5</v>
      </c>
      <c r="E82">
        <v>1341</v>
      </c>
      <c r="F82">
        <v>1084500</v>
      </c>
      <c r="G82" s="5">
        <f t="shared" si="4"/>
        <v>1021033.9239028388</v>
      </c>
      <c r="H82" s="6">
        <f t="shared" si="3"/>
        <v>63466.07609716116</v>
      </c>
      <c r="I82" s="7"/>
      <c r="J82" s="2">
        <f t="shared" si="2"/>
        <v>89.306518723994458</v>
      </c>
      <c r="K82">
        <f t="shared" si="2"/>
        <v>96.945599132477852</v>
      </c>
      <c r="L82">
        <f t="shared" si="2"/>
        <v>84.495520062329561</v>
      </c>
      <c r="M82" s="3" t="s">
        <v>100</v>
      </c>
      <c r="N82" s="8" t="s">
        <v>110</v>
      </c>
      <c r="O82" s="9">
        <v>58146.1</v>
      </c>
    </row>
    <row r="83" spans="1:15" ht="18" x14ac:dyDescent="0.45">
      <c r="A83" s="3" t="s">
        <v>73</v>
      </c>
      <c r="C83" s="4" t="s">
        <v>90</v>
      </c>
      <c r="D83">
        <v>3188</v>
      </c>
      <c r="E83">
        <v>1328.5</v>
      </c>
      <c r="F83">
        <v>1070000</v>
      </c>
      <c r="G83" s="5">
        <f t="shared" si="4"/>
        <v>1001714.7214931034</v>
      </c>
      <c r="H83" s="6">
        <f t="shared" si="3"/>
        <v>68285.278506896575</v>
      </c>
      <c r="I83" s="7"/>
      <c r="J83" s="2">
        <f t="shared" si="2"/>
        <v>88.432732316227458</v>
      </c>
      <c r="K83">
        <f t="shared" si="2"/>
        <v>96.041930236761246</v>
      </c>
      <c r="L83">
        <f t="shared" si="2"/>
        <v>83.365796649785736</v>
      </c>
      <c r="M83" s="3" t="s">
        <v>100</v>
      </c>
      <c r="N83" s="8" t="s">
        <v>111</v>
      </c>
      <c r="O83" s="9">
        <v>57491.6</v>
      </c>
    </row>
    <row r="84" spans="1:15" ht="18" x14ac:dyDescent="0.45">
      <c r="A84" s="3" t="s">
        <v>73</v>
      </c>
      <c r="C84" s="4" t="s">
        <v>92</v>
      </c>
      <c r="D84">
        <v>3180</v>
      </c>
      <c r="E84">
        <f>AVERAGE(E83,E85)</f>
        <v>1329.125</v>
      </c>
      <c r="F84">
        <v>1063000</v>
      </c>
      <c r="G84" s="5">
        <f t="shared" si="4"/>
        <v>999681.2884528822</v>
      </c>
      <c r="H84" s="6">
        <f t="shared" si="3"/>
        <v>63318.711547117797</v>
      </c>
      <c r="I84" s="7"/>
      <c r="J84" s="2">
        <f t="shared" si="2"/>
        <v>88.210818307905697</v>
      </c>
      <c r="K84">
        <f t="shared" si="2"/>
        <v>96.087113681547081</v>
      </c>
      <c r="L84">
        <f t="shared" si="2"/>
        <v>82.820412933385285</v>
      </c>
      <c r="M84" s="3" t="s">
        <v>100</v>
      </c>
      <c r="N84" s="8" t="s">
        <v>112</v>
      </c>
      <c r="O84" s="9">
        <v>57198.1</v>
      </c>
    </row>
    <row r="85" spans="1:15" ht="18" x14ac:dyDescent="0.45">
      <c r="A85" s="3" t="s">
        <v>73</v>
      </c>
      <c r="C85" s="4" t="s">
        <v>113</v>
      </c>
      <c r="D85">
        <v>3175</v>
      </c>
      <c r="E85">
        <v>1329.75</v>
      </c>
      <c r="F85">
        <v>1071500</v>
      </c>
      <c r="G85" s="5">
        <f t="shared" si="4"/>
        <v>998584.32187007682</v>
      </c>
      <c r="H85" s="6">
        <f t="shared" si="3"/>
        <v>72915.678129923181</v>
      </c>
      <c r="I85" s="7"/>
      <c r="J85" s="2">
        <f t="shared" si="2"/>
        <v>88.072122052704586</v>
      </c>
      <c r="K85">
        <f t="shared" si="2"/>
        <v>96.132297126332915</v>
      </c>
      <c r="L85">
        <f t="shared" si="2"/>
        <v>83.482664589014405</v>
      </c>
      <c r="M85" s="3" t="s">
        <v>100</v>
      </c>
      <c r="N85" s="8" t="s">
        <v>114</v>
      </c>
      <c r="O85" s="9">
        <v>57035.4</v>
      </c>
    </row>
    <row r="86" spans="1:15" ht="18" x14ac:dyDescent="0.45">
      <c r="A86" s="3" t="s">
        <v>73</v>
      </c>
      <c r="C86" s="4" t="s">
        <v>93</v>
      </c>
      <c r="D86">
        <v>3161.5</v>
      </c>
      <c r="E86">
        <v>1369.25</v>
      </c>
      <c r="F86">
        <v>1070000</v>
      </c>
      <c r="G86" s="5">
        <f t="shared" si="4"/>
        <v>1023748.3940403657</v>
      </c>
      <c r="H86" s="6">
        <f t="shared" si="3"/>
        <v>46251.605959634297</v>
      </c>
      <c r="I86" s="7"/>
      <c r="J86" s="2">
        <f t="shared" si="2"/>
        <v>87.697642163661584</v>
      </c>
      <c r="K86">
        <f t="shared" si="2"/>
        <v>98.987890836797405</v>
      </c>
      <c r="L86">
        <f t="shared" si="2"/>
        <v>83.365796649785736</v>
      </c>
      <c r="M86" s="3" t="s">
        <v>100</v>
      </c>
      <c r="N86" s="8" t="s">
        <v>115</v>
      </c>
      <c r="O86" s="9">
        <v>58190.400000000001</v>
      </c>
    </row>
    <row r="87" spans="1:15" ht="18" x14ac:dyDescent="0.45">
      <c r="A87" s="3" t="s">
        <v>73</v>
      </c>
      <c r="C87" s="4" t="s">
        <v>94</v>
      </c>
      <c r="D87">
        <v>3151.5</v>
      </c>
      <c r="E87">
        <v>1369.25</v>
      </c>
      <c r="F87">
        <v>1062000</v>
      </c>
      <c r="G87" s="5">
        <f t="shared" si="4"/>
        <v>1020526.036317638</v>
      </c>
      <c r="H87" s="6">
        <f t="shared" si="3"/>
        <v>41473.963682361995</v>
      </c>
      <c r="I87" s="7"/>
      <c r="J87" s="2">
        <f t="shared" si="2"/>
        <v>87.420249653259361</v>
      </c>
      <c r="K87">
        <f t="shared" si="2"/>
        <v>98.987890836797405</v>
      </c>
      <c r="L87">
        <f t="shared" si="2"/>
        <v>82.742500973899496</v>
      </c>
      <c r="M87" s="3" t="s">
        <v>100</v>
      </c>
      <c r="N87" s="8" t="s">
        <v>116</v>
      </c>
      <c r="O87" s="9">
        <v>59164.6</v>
      </c>
    </row>
    <row r="88" spans="1:15" ht="18" x14ac:dyDescent="0.45">
      <c r="A88" s="3" t="s">
        <v>73</v>
      </c>
      <c r="C88" s="4" t="s">
        <v>95</v>
      </c>
      <c r="D88">
        <v>3125</v>
      </c>
      <c r="E88">
        <v>1365</v>
      </c>
      <c r="F88">
        <v>1056500</v>
      </c>
      <c r="G88" s="5">
        <f t="shared" si="4"/>
        <v>1008861.2131466416</v>
      </c>
      <c r="H88" s="6">
        <f t="shared" si="3"/>
        <v>47638.786853358382</v>
      </c>
      <c r="I88" s="7"/>
      <c r="J88" s="2">
        <f t="shared" si="2"/>
        <v>86.685159500693473</v>
      </c>
      <c r="K88">
        <f t="shared" si="2"/>
        <v>98.680643412253758</v>
      </c>
      <c r="L88">
        <f t="shared" si="2"/>
        <v>82.3139851967277</v>
      </c>
      <c r="M88" s="3" t="s">
        <v>100</v>
      </c>
      <c r="N88" s="8" t="s">
        <v>117</v>
      </c>
      <c r="O88" s="9">
        <v>59117.4</v>
      </c>
    </row>
    <row r="89" spans="1:15" ht="18" x14ac:dyDescent="0.45">
      <c r="A89" s="3" t="s">
        <v>73</v>
      </c>
      <c r="C89" s="4" t="s">
        <v>97</v>
      </c>
      <c r="D89">
        <v>3136</v>
      </c>
      <c r="E89">
        <v>1372.5</v>
      </c>
      <c r="F89">
        <v>1029000</v>
      </c>
      <c r="G89" s="5">
        <f t="shared" si="4"/>
        <v>1017929.940906022</v>
      </c>
      <c r="H89" s="6">
        <f t="shared" si="3"/>
        <v>11070.059093978023</v>
      </c>
      <c r="I89" s="7"/>
      <c r="J89" s="2">
        <f t="shared" si="2"/>
        <v>86.990291262135926</v>
      </c>
      <c r="K89">
        <f t="shared" si="2"/>
        <v>99.222844749683716</v>
      </c>
      <c r="L89">
        <f t="shared" si="2"/>
        <v>80.171406310868718</v>
      </c>
      <c r="M89" s="3" t="s">
        <v>100</v>
      </c>
      <c r="N89" s="8" t="s">
        <v>118</v>
      </c>
      <c r="O89" s="9">
        <v>59401.5</v>
      </c>
    </row>
    <row r="90" spans="1:15" ht="18" x14ac:dyDescent="0.45">
      <c r="A90" s="3" t="s">
        <v>73</v>
      </c>
      <c r="C90" s="4" t="s">
        <v>98</v>
      </c>
      <c r="D90">
        <v>3073</v>
      </c>
      <c r="E90">
        <v>1363</v>
      </c>
      <c r="F90">
        <v>1015500</v>
      </c>
      <c r="G90" s="5">
        <f t="shared" si="4"/>
        <v>990710.57873195503</v>
      </c>
      <c r="H90" s="6">
        <f t="shared" si="3"/>
        <v>24789.421268044971</v>
      </c>
      <c r="I90" s="7"/>
      <c r="J90" s="2">
        <f t="shared" si="2"/>
        <v>85.242718446601941</v>
      </c>
      <c r="K90">
        <f t="shared" si="2"/>
        <v>98.536056388939102</v>
      </c>
      <c r="L90">
        <f t="shared" si="2"/>
        <v>79.119594857810668</v>
      </c>
      <c r="M90" s="3" t="s">
        <v>100</v>
      </c>
      <c r="N90" s="8" t="s">
        <v>119</v>
      </c>
      <c r="O90" s="9">
        <v>59347.7</v>
      </c>
    </row>
    <row r="91" spans="1:15" ht="18" x14ac:dyDescent="0.45">
      <c r="A91" s="3" t="s">
        <v>73</v>
      </c>
      <c r="C91" s="4" t="s">
        <v>120</v>
      </c>
      <c r="D91">
        <v>3103.5</v>
      </c>
      <c r="E91">
        <v>1375.5</v>
      </c>
      <c r="F91">
        <v>1030000</v>
      </c>
      <c r="G91" s="5">
        <f t="shared" si="4"/>
        <v>1009623.5299078868</v>
      </c>
      <c r="H91" s="6">
        <f t="shared" si="3"/>
        <v>20376.470092113246</v>
      </c>
      <c r="I91" s="7">
        <f>F91/F65-1</f>
        <v>-2.9041626331074433E-3</v>
      </c>
      <c r="J91" s="2">
        <f t="shared" si="2"/>
        <v>86.08876560332871</v>
      </c>
      <c r="K91">
        <f t="shared" si="2"/>
        <v>99.439725284655694</v>
      </c>
      <c r="L91">
        <f t="shared" si="2"/>
        <v>80.249318270354493</v>
      </c>
      <c r="M91" s="3" t="s">
        <v>100</v>
      </c>
      <c r="N91" s="8" t="s">
        <v>121</v>
      </c>
      <c r="O91" s="9">
        <v>60056.4</v>
      </c>
    </row>
    <row r="92" spans="1:15" ht="18" x14ac:dyDescent="0.45">
      <c r="A92" s="3" t="s">
        <v>100</v>
      </c>
      <c r="C92" s="4" t="s">
        <v>101</v>
      </c>
      <c r="D92">
        <v>3212</v>
      </c>
      <c r="E92">
        <v>1377.5</v>
      </c>
      <c r="F92">
        <v>1040000</v>
      </c>
      <c r="G92" s="5">
        <f t="shared" si="4"/>
        <v>1046257.5070250457</v>
      </c>
      <c r="H92" s="6">
        <f t="shared" si="3"/>
        <v>-6257.507025045692</v>
      </c>
      <c r="I92" s="7"/>
      <c r="J92" s="2">
        <f t="shared" si="2"/>
        <v>89.098474341192798</v>
      </c>
      <c r="K92">
        <f t="shared" si="2"/>
        <v>99.58431230797035</v>
      </c>
      <c r="L92">
        <f t="shared" si="2"/>
        <v>81.028437865212311</v>
      </c>
      <c r="M92" s="3" t="s">
        <v>100</v>
      </c>
      <c r="N92" s="8" t="s">
        <v>122</v>
      </c>
      <c r="O92" s="9">
        <v>60964.1</v>
      </c>
    </row>
    <row r="93" spans="1:15" ht="18" x14ac:dyDescent="0.45">
      <c r="A93" s="3" t="s">
        <v>100</v>
      </c>
      <c r="C93" s="4" t="s">
        <v>102</v>
      </c>
      <c r="D93">
        <v>3109.5</v>
      </c>
      <c r="E93">
        <v>1377.5</v>
      </c>
      <c r="F93">
        <v>1039000</v>
      </c>
      <c r="G93" s="5">
        <f t="shared" si="4"/>
        <v>1013029.3331551617</v>
      </c>
      <c r="H93" s="6">
        <f t="shared" si="3"/>
        <v>25970.666844838299</v>
      </c>
      <c r="I93" s="7"/>
      <c r="J93" s="2">
        <f t="shared" si="2"/>
        <v>86.255201109570038</v>
      </c>
      <c r="K93">
        <f t="shared" si="2"/>
        <v>99.58431230797035</v>
      </c>
      <c r="L93">
        <f t="shared" si="2"/>
        <v>80.950525905726536</v>
      </c>
      <c r="M93" s="3" t="s">
        <v>100</v>
      </c>
      <c r="N93" s="8" t="s">
        <v>123</v>
      </c>
      <c r="O93" s="9">
        <v>62053.2</v>
      </c>
    </row>
    <row r="94" spans="1:15" ht="18" x14ac:dyDescent="0.45">
      <c r="A94" s="3" t="s">
        <v>100</v>
      </c>
      <c r="C94" s="4" t="s">
        <v>103</v>
      </c>
      <c r="D94">
        <v>3118</v>
      </c>
      <c r="E94">
        <f>AVERAGE(E92,E95)</f>
        <v>1398.375</v>
      </c>
      <c r="F94">
        <v>1039000</v>
      </c>
      <c r="G94" s="5">
        <f t="shared" si="4"/>
        <v>1031102.5415562808</v>
      </c>
      <c r="H94" s="6">
        <f t="shared" si="3"/>
        <v>7897.4584437191952</v>
      </c>
      <c r="I94" s="7"/>
      <c r="J94" s="2">
        <f t="shared" ref="J94:L157" si="5">(D94/D$29-1)*100+100</f>
        <v>86.490984743411929</v>
      </c>
      <c r="K94">
        <f t="shared" si="5"/>
        <v>101.0934393638171</v>
      </c>
      <c r="L94">
        <f t="shared" si="5"/>
        <v>80.950525905726536</v>
      </c>
      <c r="M94" s="3" t="s">
        <v>100</v>
      </c>
      <c r="N94" s="8" t="s">
        <v>124</v>
      </c>
      <c r="O94" s="9">
        <v>61707.199999999997</v>
      </c>
    </row>
    <row r="95" spans="1:15" ht="18" x14ac:dyDescent="0.45">
      <c r="A95" s="3" t="s">
        <v>100</v>
      </c>
      <c r="C95" s="4" t="s">
        <v>104</v>
      </c>
      <c r="D95">
        <v>3148</v>
      </c>
      <c r="E95">
        <v>1419.25</v>
      </c>
      <c r="F95">
        <v>1057500</v>
      </c>
      <c r="G95" s="5">
        <f t="shared" si="4"/>
        <v>1056440.3221650643</v>
      </c>
      <c r="H95" s="6">
        <f t="shared" si="3"/>
        <v>1059.6778349357191</v>
      </c>
      <c r="I95" s="7"/>
      <c r="J95" s="2">
        <f t="shared" si="5"/>
        <v>87.323162274618582</v>
      </c>
      <c r="K95">
        <f t="shared" si="5"/>
        <v>102.60256641966383</v>
      </c>
      <c r="L95">
        <f t="shared" si="5"/>
        <v>82.391897156213474</v>
      </c>
      <c r="M95" s="3" t="s">
        <v>125</v>
      </c>
      <c r="N95" s="8" t="s">
        <v>126</v>
      </c>
      <c r="O95" s="9">
        <v>62904.800000000003</v>
      </c>
    </row>
    <row r="96" spans="1:15" ht="18" x14ac:dyDescent="0.45">
      <c r="A96" s="3" t="s">
        <v>100</v>
      </c>
      <c r="C96" s="4" t="s">
        <v>105</v>
      </c>
      <c r="D96">
        <v>3255</v>
      </c>
      <c r="E96">
        <v>1419.5</v>
      </c>
      <c r="F96">
        <v>1102000</v>
      </c>
      <c r="G96" s="5">
        <f t="shared" si="4"/>
        <v>1092370.1108655112</v>
      </c>
      <c r="H96" s="6">
        <f t="shared" si="3"/>
        <v>9629.889134488767</v>
      </c>
      <c r="I96" s="7"/>
      <c r="J96" s="2">
        <f t="shared" si="5"/>
        <v>90.291262135922338</v>
      </c>
      <c r="K96">
        <f t="shared" si="5"/>
        <v>102.62063979757816</v>
      </c>
      <c r="L96">
        <f t="shared" si="5"/>
        <v>85.858979353330739</v>
      </c>
      <c r="M96" s="3" t="s">
        <v>125</v>
      </c>
      <c r="N96" s="8" t="s">
        <v>127</v>
      </c>
      <c r="O96" s="9">
        <v>63010.2</v>
      </c>
    </row>
    <row r="97" spans="1:15" ht="18" x14ac:dyDescent="0.45">
      <c r="A97" s="3" t="s">
        <v>100</v>
      </c>
      <c r="C97" s="4" t="s">
        <v>128</v>
      </c>
      <c r="D97">
        <v>3227.5</v>
      </c>
      <c r="E97">
        <v>1407.75</v>
      </c>
      <c r="F97">
        <v>1090000</v>
      </c>
      <c r="G97" s="5">
        <f t="shared" si="4"/>
        <v>1074258.6895496415</v>
      </c>
      <c r="H97" s="6">
        <f t="shared" si="3"/>
        <v>15741.310450358549</v>
      </c>
      <c r="I97" s="7"/>
      <c r="J97" s="2">
        <f t="shared" si="5"/>
        <v>89.528432732316233</v>
      </c>
      <c r="K97">
        <f t="shared" si="5"/>
        <v>101.77119103560455</v>
      </c>
      <c r="L97">
        <f t="shared" si="5"/>
        <v>84.924035839501371</v>
      </c>
      <c r="M97" s="3" t="s">
        <v>125</v>
      </c>
      <c r="N97" s="8" t="s">
        <v>129</v>
      </c>
      <c r="O97" s="9">
        <v>63455.3</v>
      </c>
    </row>
    <row r="98" spans="1:15" ht="18" x14ac:dyDescent="0.45">
      <c r="A98" s="3" t="s">
        <v>100</v>
      </c>
      <c r="C98" s="4" t="s">
        <v>106</v>
      </c>
      <c r="D98">
        <v>3233</v>
      </c>
      <c r="E98">
        <v>1394.75</v>
      </c>
      <c r="F98">
        <v>1087500</v>
      </c>
      <c r="G98" s="5">
        <f t="shared" si="4"/>
        <v>1066189.8222671445</v>
      </c>
      <c r="H98" s="6">
        <f t="shared" si="3"/>
        <v>21310.177732855547</v>
      </c>
      <c r="I98" s="7"/>
      <c r="J98" s="2">
        <f t="shared" si="5"/>
        <v>89.680998613037445</v>
      </c>
      <c r="K98">
        <f t="shared" si="5"/>
        <v>100.83137538405929</v>
      </c>
      <c r="L98">
        <f t="shared" si="5"/>
        <v>84.729255940786913</v>
      </c>
      <c r="M98" s="3" t="s">
        <v>125</v>
      </c>
      <c r="N98" s="8" t="s">
        <v>130</v>
      </c>
      <c r="O98" s="9">
        <v>64695.4</v>
      </c>
    </row>
    <row r="99" spans="1:15" ht="18" x14ac:dyDescent="0.45">
      <c r="A99" s="3" t="s">
        <v>100</v>
      </c>
      <c r="C99" s="4" t="s">
        <v>108</v>
      </c>
      <c r="D99">
        <v>3225.5</v>
      </c>
      <c r="E99">
        <v>1394.75</v>
      </c>
      <c r="F99">
        <v>1086500</v>
      </c>
      <c r="G99" s="5">
        <f t="shared" si="4"/>
        <v>1063728.0456921356</v>
      </c>
      <c r="H99" s="6">
        <f t="shared" si="3"/>
        <v>22771.95430786442</v>
      </c>
      <c r="I99" s="7"/>
      <c r="J99" s="2">
        <f t="shared" si="5"/>
        <v>89.472954230235786</v>
      </c>
      <c r="K99">
        <f t="shared" si="5"/>
        <v>100.83137538405929</v>
      </c>
      <c r="L99">
        <f t="shared" si="5"/>
        <v>84.651343981301125</v>
      </c>
      <c r="M99" s="3" t="s">
        <v>125</v>
      </c>
      <c r="N99" s="8" t="s">
        <v>131</v>
      </c>
      <c r="O99" s="9">
        <v>65328.800000000003</v>
      </c>
    </row>
    <row r="100" spans="1:15" ht="18" x14ac:dyDescent="0.45">
      <c r="A100" s="3" t="s">
        <v>100</v>
      </c>
      <c r="C100" s="4" t="s">
        <v>109</v>
      </c>
      <c r="D100">
        <v>3243</v>
      </c>
      <c r="E100">
        <v>1399.5</v>
      </c>
      <c r="F100">
        <v>1095000</v>
      </c>
      <c r="G100" s="5">
        <f t="shared" si="4"/>
        <v>1073097.3875976591</v>
      </c>
      <c r="H100" s="6">
        <f t="shared" si="3"/>
        <v>21902.612402340863</v>
      </c>
      <c r="I100" s="7"/>
      <c r="J100" s="2">
        <f t="shared" si="5"/>
        <v>89.958391123439668</v>
      </c>
      <c r="K100">
        <f t="shared" si="5"/>
        <v>101.17476956443159</v>
      </c>
      <c r="L100">
        <f t="shared" si="5"/>
        <v>85.313595636930273</v>
      </c>
      <c r="M100" s="3" t="s">
        <v>125</v>
      </c>
      <c r="N100" s="8" t="s">
        <v>132</v>
      </c>
      <c r="O100" s="9">
        <v>65720</v>
      </c>
    </row>
    <row r="101" spans="1:15" ht="18" x14ac:dyDescent="0.45">
      <c r="A101" s="3" t="s">
        <v>100</v>
      </c>
      <c r="C101" s="4" t="s">
        <v>110</v>
      </c>
      <c r="D101">
        <v>3298</v>
      </c>
      <c r="E101">
        <v>1390</v>
      </c>
      <c r="F101">
        <v>1129500</v>
      </c>
      <c r="G101" s="5">
        <f t="shared" si="4"/>
        <v>1083838.540783847</v>
      </c>
      <c r="H101" s="6">
        <f t="shared" si="3"/>
        <v>45661.459216153016</v>
      </c>
      <c r="I101" s="7"/>
      <c r="J101" s="2">
        <f t="shared" si="5"/>
        <v>91.484049930651864</v>
      </c>
      <c r="K101">
        <f t="shared" si="5"/>
        <v>100.48798120368696</v>
      </c>
      <c r="L101">
        <f t="shared" si="5"/>
        <v>88.00155823918972</v>
      </c>
      <c r="M101" s="3" t="s">
        <v>125</v>
      </c>
      <c r="N101" s="8" t="s">
        <v>133</v>
      </c>
      <c r="O101" s="9">
        <v>66350</v>
      </c>
    </row>
    <row r="102" spans="1:15" ht="18" x14ac:dyDescent="0.45">
      <c r="A102" s="3" t="s">
        <v>100</v>
      </c>
      <c r="C102" s="4" t="s">
        <v>134</v>
      </c>
      <c r="D102">
        <v>3312</v>
      </c>
      <c r="E102">
        <v>1385</v>
      </c>
      <c r="F102">
        <v>1138500</v>
      </c>
      <c r="G102" s="5">
        <f t="shared" si="4"/>
        <v>1084521.0193228947</v>
      </c>
      <c r="H102" s="6">
        <f t="shared" si="3"/>
        <v>53978.980677105254</v>
      </c>
      <c r="I102" s="7"/>
      <c r="J102" s="2">
        <f t="shared" si="5"/>
        <v>91.872399445214981</v>
      </c>
      <c r="K102">
        <f t="shared" si="5"/>
        <v>100.12651364540032</v>
      </c>
      <c r="L102">
        <f t="shared" si="5"/>
        <v>88.702765874561734</v>
      </c>
      <c r="M102" s="3" t="s">
        <v>125</v>
      </c>
      <c r="N102" s="8" t="s">
        <v>135</v>
      </c>
      <c r="O102" s="9">
        <v>66506.3</v>
      </c>
    </row>
    <row r="103" spans="1:15" ht="18" x14ac:dyDescent="0.45">
      <c r="A103" s="3" t="s">
        <v>100</v>
      </c>
      <c r="C103" s="4" t="s">
        <v>111</v>
      </c>
      <c r="D103">
        <v>3275</v>
      </c>
      <c r="E103">
        <v>1387</v>
      </c>
      <c r="F103">
        <v>1123000</v>
      </c>
      <c r="G103" s="5">
        <f t="shared" si="4"/>
        <v>1074002.6130116065</v>
      </c>
      <c r="H103" s="6">
        <f t="shared" si="3"/>
        <v>48997.386988393497</v>
      </c>
      <c r="I103" s="7"/>
      <c r="J103" s="2">
        <f t="shared" si="5"/>
        <v>90.846047156726769</v>
      </c>
      <c r="K103">
        <f t="shared" si="5"/>
        <v>100.27110066871498</v>
      </c>
      <c r="L103">
        <f t="shared" si="5"/>
        <v>87.495130502532135</v>
      </c>
      <c r="M103" s="3" t="s">
        <v>125</v>
      </c>
      <c r="N103" s="8" t="s">
        <v>136</v>
      </c>
      <c r="O103" s="9">
        <v>66662.5</v>
      </c>
    </row>
    <row r="104" spans="1:15" ht="18" x14ac:dyDescent="0.45">
      <c r="A104" s="3" t="s">
        <v>100</v>
      </c>
      <c r="C104" s="4" t="s">
        <v>112</v>
      </c>
      <c r="D104">
        <v>3265</v>
      </c>
      <c r="E104">
        <v>1390</v>
      </c>
      <c r="F104">
        <v>1117250</v>
      </c>
      <c r="G104" s="5">
        <f t="shared" si="4"/>
        <v>1073043.6129955307</v>
      </c>
      <c r="H104" s="6">
        <f t="shared" si="3"/>
        <v>44206.387004469289</v>
      </c>
      <c r="I104" s="7"/>
      <c r="J104" s="2">
        <f t="shared" si="5"/>
        <v>90.568654646324546</v>
      </c>
      <c r="K104">
        <f t="shared" si="5"/>
        <v>100.48798120368696</v>
      </c>
      <c r="L104">
        <f t="shared" si="5"/>
        <v>87.047136735488891</v>
      </c>
      <c r="M104" s="3" t="s">
        <v>125</v>
      </c>
      <c r="N104" s="8" t="s">
        <v>137</v>
      </c>
      <c r="O104" s="9">
        <v>66997.7</v>
      </c>
    </row>
    <row r="105" spans="1:15" ht="18" x14ac:dyDescent="0.45">
      <c r="A105" s="3" t="s">
        <v>100</v>
      </c>
      <c r="C105" s="4" t="s">
        <v>114</v>
      </c>
      <c r="D105">
        <v>3270</v>
      </c>
      <c r="E105">
        <v>1358.25</v>
      </c>
      <c r="F105">
        <v>1115500</v>
      </c>
      <c r="G105" s="5">
        <f t="shared" si="4"/>
        <v>1050245.8880734977</v>
      </c>
      <c r="H105" s="6">
        <f t="shared" si="3"/>
        <v>65254.111926502315</v>
      </c>
      <c r="I105" s="7"/>
      <c r="J105" s="2">
        <f t="shared" si="5"/>
        <v>90.707350901525658</v>
      </c>
      <c r="K105">
        <f t="shared" si="5"/>
        <v>98.192662208566787</v>
      </c>
      <c r="L105">
        <f t="shared" si="5"/>
        <v>86.910790806388775</v>
      </c>
      <c r="M105" s="3" t="s">
        <v>125</v>
      </c>
      <c r="N105" s="8" t="s">
        <v>138</v>
      </c>
      <c r="O105" s="9">
        <v>67019</v>
      </c>
    </row>
    <row r="106" spans="1:15" ht="18" x14ac:dyDescent="0.45">
      <c r="A106" s="3" t="s">
        <v>100</v>
      </c>
      <c r="C106" s="4" t="s">
        <v>115</v>
      </c>
      <c r="D106">
        <v>3202</v>
      </c>
      <c r="E106">
        <v>1363.75</v>
      </c>
      <c r="F106">
        <v>1076500</v>
      </c>
      <c r="G106" s="5">
        <f t="shared" si="4"/>
        <v>1032654.4153859753</v>
      </c>
      <c r="H106" s="6">
        <f t="shared" si="3"/>
        <v>43845.58461402473</v>
      </c>
      <c r="I106" s="7"/>
      <c r="J106" s="2">
        <f t="shared" si="5"/>
        <v>88.821081830790575</v>
      </c>
      <c r="K106">
        <f t="shared" si="5"/>
        <v>98.590276522682089</v>
      </c>
      <c r="L106">
        <f t="shared" si="5"/>
        <v>83.872224386443321</v>
      </c>
      <c r="M106" s="3" t="s">
        <v>125</v>
      </c>
      <c r="N106" s="8" t="s">
        <v>139</v>
      </c>
      <c r="O106" s="9">
        <v>67505.3</v>
      </c>
    </row>
    <row r="107" spans="1:15" ht="18" x14ac:dyDescent="0.45">
      <c r="A107" s="3" t="s">
        <v>100</v>
      </c>
      <c r="C107" s="4" t="s">
        <v>116</v>
      </c>
      <c r="D107">
        <v>3166.5</v>
      </c>
      <c r="E107">
        <v>1328</v>
      </c>
      <c r="F107">
        <v>1057000</v>
      </c>
      <c r="G107" s="5">
        <f t="shared" si="4"/>
        <v>994620.23941098934</v>
      </c>
      <c r="H107" s="6">
        <f t="shared" si="3"/>
        <v>62379.760589010664</v>
      </c>
      <c r="I107" s="7"/>
      <c r="J107" s="2">
        <f t="shared" si="5"/>
        <v>87.836338418862695</v>
      </c>
      <c r="K107">
        <f t="shared" si="5"/>
        <v>96.005783480932578</v>
      </c>
      <c r="L107">
        <f t="shared" si="5"/>
        <v>82.35294117647058</v>
      </c>
      <c r="M107" s="3" t="s">
        <v>125</v>
      </c>
      <c r="N107" s="8" t="s">
        <v>140</v>
      </c>
      <c r="O107" s="9">
        <v>68461.5</v>
      </c>
    </row>
    <row r="108" spans="1:15" ht="18" x14ac:dyDescent="0.45">
      <c r="A108" s="3" t="s">
        <v>100</v>
      </c>
      <c r="C108" s="4" t="s">
        <v>141</v>
      </c>
      <c r="D108">
        <v>3161</v>
      </c>
      <c r="E108">
        <v>1318.5</v>
      </c>
      <c r="F108">
        <v>1035000</v>
      </c>
      <c r="G108" s="5">
        <f t="shared" si="4"/>
        <v>985834.26957045938</v>
      </c>
      <c r="H108" s="6">
        <f t="shared" si="3"/>
        <v>49165.730429540621</v>
      </c>
      <c r="I108" s="7"/>
      <c r="J108" s="2">
        <f t="shared" si="5"/>
        <v>87.683772538141469</v>
      </c>
      <c r="K108">
        <f t="shared" si="5"/>
        <v>95.318995120187964</v>
      </c>
      <c r="L108">
        <f t="shared" si="5"/>
        <v>80.638878067783395</v>
      </c>
      <c r="M108" s="3" t="s">
        <v>125</v>
      </c>
      <c r="N108" s="8" t="s">
        <v>142</v>
      </c>
      <c r="O108" s="9">
        <v>69703.5</v>
      </c>
    </row>
    <row r="109" spans="1:15" ht="18" x14ac:dyDescent="0.45">
      <c r="A109" s="3" t="s">
        <v>100</v>
      </c>
      <c r="C109" s="4" t="s">
        <v>117</v>
      </c>
      <c r="D109">
        <v>3163.5</v>
      </c>
      <c r="E109">
        <v>1318.5</v>
      </c>
      <c r="F109">
        <v>1016000</v>
      </c>
      <c r="G109" s="5">
        <f t="shared" si="4"/>
        <v>986610.00056505809</v>
      </c>
      <c r="H109" s="6">
        <f t="shared" si="3"/>
        <v>29389.999434941914</v>
      </c>
      <c r="I109" s="7"/>
      <c r="J109" s="2">
        <f t="shared" si="5"/>
        <v>87.753120665742017</v>
      </c>
      <c r="K109">
        <f t="shared" si="5"/>
        <v>95.318995120187964</v>
      </c>
      <c r="L109">
        <f t="shared" si="5"/>
        <v>79.158550837553562</v>
      </c>
      <c r="M109" s="3" t="s">
        <v>125</v>
      </c>
      <c r="N109" s="8" t="s">
        <v>143</v>
      </c>
      <c r="O109" s="9">
        <v>70951.5</v>
      </c>
    </row>
    <row r="110" spans="1:15" ht="18" x14ac:dyDescent="0.45">
      <c r="A110" s="3" t="s">
        <v>100</v>
      </c>
      <c r="C110" s="4" t="s">
        <v>118</v>
      </c>
      <c r="D110">
        <v>3156.5</v>
      </c>
      <c r="E110">
        <v>1324</v>
      </c>
      <c r="F110">
        <v>1012500</v>
      </c>
      <c r="G110" s="5">
        <f t="shared" si="4"/>
        <v>988523.58802044799</v>
      </c>
      <c r="H110" s="6">
        <f t="shared" si="3"/>
        <v>23976.411979552009</v>
      </c>
      <c r="I110" s="7"/>
      <c r="J110" s="2">
        <f t="shared" si="5"/>
        <v>87.558945908460473</v>
      </c>
      <c r="K110">
        <f t="shared" si="5"/>
        <v>95.716609434303265</v>
      </c>
      <c r="L110">
        <f t="shared" si="5"/>
        <v>78.88585897935333</v>
      </c>
      <c r="M110" s="3" t="s">
        <v>125</v>
      </c>
      <c r="N110" s="8" t="s">
        <v>144</v>
      </c>
      <c r="O110" s="9">
        <v>71471.8</v>
      </c>
    </row>
    <row r="111" spans="1:15" ht="18" x14ac:dyDescent="0.45">
      <c r="A111" s="3" t="s">
        <v>100</v>
      </c>
      <c r="C111" s="4" t="s">
        <v>119</v>
      </c>
      <c r="D111">
        <v>3086</v>
      </c>
      <c r="E111">
        <v>1312.25</v>
      </c>
      <c r="F111">
        <v>980500</v>
      </c>
      <c r="G111" s="5">
        <f t="shared" si="4"/>
        <v>958023.26910426631</v>
      </c>
      <c r="H111" s="6">
        <f t="shared" si="3"/>
        <v>22476.730895733694</v>
      </c>
      <c r="I111" s="7"/>
      <c r="J111" s="2">
        <f t="shared" si="5"/>
        <v>85.603328710124828</v>
      </c>
      <c r="K111">
        <f t="shared" si="5"/>
        <v>94.867160672329646</v>
      </c>
      <c r="L111">
        <f t="shared" si="5"/>
        <v>76.392676275808327</v>
      </c>
      <c r="M111" s="3" t="s">
        <v>125</v>
      </c>
      <c r="N111" s="8" t="s">
        <v>145</v>
      </c>
      <c r="O111" s="9">
        <v>72766.5</v>
      </c>
    </row>
    <row r="112" spans="1:15" ht="18" x14ac:dyDescent="0.45">
      <c r="A112" s="3" t="s">
        <v>100</v>
      </c>
      <c r="C112" s="4" t="s">
        <v>121</v>
      </c>
      <c r="D112">
        <v>3067.5</v>
      </c>
      <c r="E112">
        <v>1301</v>
      </c>
      <c r="F112">
        <v>978000</v>
      </c>
      <c r="G112" s="5">
        <f t="shared" si="4"/>
        <v>944188.723105488</v>
      </c>
      <c r="H112" s="6">
        <f t="shared" si="3"/>
        <v>33811.276894512004</v>
      </c>
      <c r="I112" s="7"/>
      <c r="J112" s="2">
        <f t="shared" si="5"/>
        <v>85.090152565880715</v>
      </c>
      <c r="K112">
        <f t="shared" si="5"/>
        <v>94.053858666184709</v>
      </c>
      <c r="L112">
        <f t="shared" si="5"/>
        <v>76.197896377093883</v>
      </c>
      <c r="M112" s="3" t="s">
        <v>125</v>
      </c>
      <c r="N112" s="8" t="s">
        <v>146</v>
      </c>
      <c r="O112" s="9">
        <v>74400.2</v>
      </c>
    </row>
    <row r="113" spans="1:15" ht="18" x14ac:dyDescent="0.45">
      <c r="A113" s="3" t="s">
        <v>100</v>
      </c>
      <c r="C113" s="4" t="s">
        <v>122</v>
      </c>
      <c r="D113">
        <v>3063.5</v>
      </c>
      <c r="E113">
        <v>1365.5</v>
      </c>
      <c r="F113">
        <v>967500</v>
      </c>
      <c r="G113" s="5">
        <f t="shared" si="4"/>
        <v>989465.70257611806</v>
      </c>
      <c r="H113" s="6">
        <f t="shared" si="3"/>
        <v>-21965.702576118056</v>
      </c>
      <c r="I113" s="7"/>
      <c r="J113" s="2">
        <f t="shared" si="5"/>
        <v>84.979195561719834</v>
      </c>
      <c r="K113">
        <f t="shared" si="5"/>
        <v>98.716790168082412</v>
      </c>
      <c r="L113">
        <f t="shared" si="5"/>
        <v>75.379820802493185</v>
      </c>
      <c r="M113" s="3" t="s">
        <v>125</v>
      </c>
      <c r="N113" s="8" t="s">
        <v>147</v>
      </c>
      <c r="O113" s="9">
        <v>73335.600000000006</v>
      </c>
    </row>
    <row r="114" spans="1:15" ht="18" x14ac:dyDescent="0.45">
      <c r="A114" s="3" t="s">
        <v>100</v>
      </c>
      <c r="C114" s="4" t="s">
        <v>148</v>
      </c>
      <c r="D114">
        <v>3065</v>
      </c>
      <c r="E114">
        <v>1349.25</v>
      </c>
      <c r="F114">
        <v>1004000</v>
      </c>
      <c r="G114" s="5">
        <f t="shared" si="4"/>
        <v>978226.45772513899</v>
      </c>
      <c r="H114" s="6">
        <f t="shared" si="3"/>
        <v>25773.542274861014</v>
      </c>
      <c r="I114" s="7"/>
      <c r="J114" s="2">
        <f t="shared" si="5"/>
        <v>85.020804438280166</v>
      </c>
      <c r="K114">
        <f t="shared" si="5"/>
        <v>97.542020603650826</v>
      </c>
      <c r="L114">
        <f t="shared" si="5"/>
        <v>78.223607323724195</v>
      </c>
      <c r="M114" s="3" t="s">
        <v>125</v>
      </c>
      <c r="N114" s="8" t="s">
        <v>149</v>
      </c>
      <c r="O114" s="9">
        <v>73636.100000000006</v>
      </c>
    </row>
    <row r="115" spans="1:15" ht="18" x14ac:dyDescent="0.45">
      <c r="A115" s="3" t="s">
        <v>100</v>
      </c>
      <c r="C115" s="4" t="s">
        <v>123</v>
      </c>
      <c r="D115">
        <v>3090.5</v>
      </c>
      <c r="E115">
        <v>1349.25</v>
      </c>
      <c r="F115">
        <v>930500</v>
      </c>
      <c r="G115" s="5">
        <f t="shared" si="4"/>
        <v>986323.44783019298</v>
      </c>
      <c r="H115" s="6">
        <f t="shared" si="3"/>
        <v>-55823.447830192978</v>
      </c>
      <c r="I115" s="7"/>
      <c r="J115" s="2">
        <f t="shared" si="5"/>
        <v>85.728155339805824</v>
      </c>
      <c r="K115">
        <f t="shared" si="5"/>
        <v>97.542020603650826</v>
      </c>
      <c r="L115">
        <f t="shared" si="5"/>
        <v>72.497078301519281</v>
      </c>
      <c r="M115" s="3" t="s">
        <v>125</v>
      </c>
      <c r="N115" s="8" t="s">
        <v>150</v>
      </c>
      <c r="O115" s="9">
        <v>72997.7</v>
      </c>
    </row>
    <row r="116" spans="1:15" ht="18" x14ac:dyDescent="0.45">
      <c r="A116" s="3" t="s">
        <v>100</v>
      </c>
      <c r="C116" s="4" t="s">
        <v>124</v>
      </c>
      <c r="D116">
        <v>3085</v>
      </c>
      <c r="E116">
        <v>1323</v>
      </c>
      <c r="F116">
        <v>926000</v>
      </c>
      <c r="G116" s="5">
        <f t="shared" si="4"/>
        <v>965519.11916856875</v>
      </c>
      <c r="H116" s="6">
        <f t="shared" si="3"/>
        <v>-39519.119168568752</v>
      </c>
      <c r="I116" s="7">
        <f>F116/F91-1</f>
        <v>-0.10097087378640779</v>
      </c>
      <c r="J116" s="2">
        <f t="shared" si="5"/>
        <v>85.575589459084597</v>
      </c>
      <c r="K116">
        <f t="shared" si="5"/>
        <v>95.644315922645944</v>
      </c>
      <c r="L116">
        <f t="shared" si="5"/>
        <v>72.146474483833259</v>
      </c>
      <c r="M116" s="3" t="s">
        <v>151</v>
      </c>
      <c r="N116" s="8" t="s">
        <v>152</v>
      </c>
      <c r="O116" s="9">
        <v>73030.7</v>
      </c>
    </row>
    <row r="117" spans="1:15" ht="18" x14ac:dyDescent="0.45">
      <c r="A117" s="3" t="s">
        <v>125</v>
      </c>
      <c r="C117" s="4" t="s">
        <v>126</v>
      </c>
      <c r="D117">
        <v>2925</v>
      </c>
      <c r="E117">
        <v>1314.25</v>
      </c>
      <c r="F117">
        <v>930000</v>
      </c>
      <c r="G117" s="5">
        <f t="shared" si="4"/>
        <v>909679.72528775339</v>
      </c>
      <c r="H117" s="6">
        <f t="shared" si="3"/>
        <v>20320.27471224661</v>
      </c>
      <c r="I117" s="7"/>
      <c r="J117" s="2">
        <f t="shared" si="5"/>
        <v>81.137309292649093</v>
      </c>
      <c r="K117">
        <f t="shared" si="5"/>
        <v>95.011747695644317</v>
      </c>
      <c r="L117">
        <f t="shared" si="5"/>
        <v>72.458122321776401</v>
      </c>
      <c r="M117" s="3" t="s">
        <v>151</v>
      </c>
      <c r="N117" s="8" t="s">
        <v>153</v>
      </c>
      <c r="O117" s="9">
        <v>73549.8</v>
      </c>
    </row>
    <row r="118" spans="1:15" ht="18" x14ac:dyDescent="0.45">
      <c r="A118" s="3" t="s">
        <v>125</v>
      </c>
      <c r="C118" s="4" t="s">
        <v>127</v>
      </c>
      <c r="D118">
        <v>2911</v>
      </c>
      <c r="E118">
        <v>1322.75</v>
      </c>
      <c r="F118">
        <v>920000</v>
      </c>
      <c r="G118" s="5">
        <f t="shared" si="4"/>
        <v>911172.70592627709</v>
      </c>
      <c r="H118" s="6">
        <f t="shared" si="3"/>
        <v>8827.2940737229073</v>
      </c>
      <c r="I118" s="7"/>
      <c r="J118" s="2">
        <f t="shared" si="5"/>
        <v>80.74895977808599</v>
      </c>
      <c r="K118">
        <f t="shared" si="5"/>
        <v>95.62624254473161</v>
      </c>
      <c r="L118">
        <f t="shared" si="5"/>
        <v>71.679002726918583</v>
      </c>
      <c r="M118" s="3" t="s">
        <v>151</v>
      </c>
      <c r="N118" s="8" t="s">
        <v>154</v>
      </c>
      <c r="O118" s="9">
        <v>72201</v>
      </c>
    </row>
    <row r="119" spans="1:15" ht="18" x14ac:dyDescent="0.45">
      <c r="A119" s="3" t="s">
        <v>125</v>
      </c>
      <c r="C119" s="4" t="s">
        <v>129</v>
      </c>
      <c r="D119">
        <v>3014.5</v>
      </c>
      <c r="E119">
        <v>1333</v>
      </c>
      <c r="F119">
        <v>974000</v>
      </c>
      <c r="G119" s="5">
        <f t="shared" si="4"/>
        <v>950663.09106677794</v>
      </c>
      <c r="H119" s="6">
        <f t="shared" si="3"/>
        <v>23336.908933222061</v>
      </c>
      <c r="I119" s="7"/>
      <c r="J119" s="2">
        <f t="shared" si="5"/>
        <v>83.619972260748966</v>
      </c>
      <c r="K119">
        <f t="shared" si="5"/>
        <v>96.367251039219227</v>
      </c>
      <c r="L119">
        <f t="shared" si="5"/>
        <v>75.886248539150756</v>
      </c>
      <c r="M119" s="3" t="s">
        <v>151</v>
      </c>
      <c r="N119" s="8" t="s">
        <v>155</v>
      </c>
      <c r="O119" s="9">
        <v>72215</v>
      </c>
    </row>
    <row r="120" spans="1:15" ht="18" x14ac:dyDescent="0.45">
      <c r="A120" s="3" t="s">
        <v>125</v>
      </c>
      <c r="C120" s="4" t="s">
        <v>156</v>
      </c>
      <c r="D120">
        <v>3044</v>
      </c>
      <c r="E120">
        <v>1341</v>
      </c>
      <c r="F120">
        <v>975000</v>
      </c>
      <c r="G120" s="5">
        <f t="shared" si="4"/>
        <v>965648.31941613345</v>
      </c>
      <c r="H120" s="6">
        <f t="shared" si="3"/>
        <v>9351.6805838665459</v>
      </c>
      <c r="I120" s="7"/>
      <c r="J120" s="2">
        <f t="shared" si="5"/>
        <v>84.438280166435504</v>
      </c>
      <c r="K120">
        <f t="shared" si="5"/>
        <v>96.945599132477852</v>
      </c>
      <c r="L120">
        <f t="shared" si="5"/>
        <v>75.964160498636545</v>
      </c>
      <c r="M120" s="3" t="s">
        <v>151</v>
      </c>
      <c r="N120" s="8" t="s">
        <v>157</v>
      </c>
      <c r="O120" s="9">
        <v>73167.399999999994</v>
      </c>
    </row>
    <row r="121" spans="1:15" ht="18" x14ac:dyDescent="0.45">
      <c r="A121" s="3" t="s">
        <v>125</v>
      </c>
      <c r="C121" s="4" t="s">
        <v>130</v>
      </c>
      <c r="D121">
        <v>2987.5</v>
      </c>
      <c r="E121">
        <v>1341</v>
      </c>
      <c r="F121">
        <v>957500</v>
      </c>
      <c r="G121" s="5">
        <f t="shared" si="4"/>
        <v>947817.62623380369</v>
      </c>
      <c r="H121" s="6">
        <f t="shared" si="3"/>
        <v>9682.3737661963096</v>
      </c>
      <c r="I121" s="7"/>
      <c r="J121" s="2">
        <f t="shared" si="5"/>
        <v>82.871012482662962</v>
      </c>
      <c r="K121">
        <f t="shared" si="5"/>
        <v>96.945599132477852</v>
      </c>
      <c r="L121">
        <f t="shared" si="5"/>
        <v>74.600701207635367</v>
      </c>
      <c r="M121" s="3" t="s">
        <v>151</v>
      </c>
      <c r="N121" s="8" t="s">
        <v>158</v>
      </c>
      <c r="O121" s="9">
        <v>73553.2</v>
      </c>
    </row>
    <row r="122" spans="1:15" ht="18" x14ac:dyDescent="0.45">
      <c r="A122" s="3" t="s">
        <v>125</v>
      </c>
      <c r="C122" s="4" t="s">
        <v>131</v>
      </c>
      <c r="D122">
        <v>3053.5</v>
      </c>
      <c r="E122">
        <v>1326.5</v>
      </c>
      <c r="F122">
        <v>989000</v>
      </c>
      <c r="G122" s="5">
        <f t="shared" si="4"/>
        <v>958226.65947577381</v>
      </c>
      <c r="H122" s="6">
        <f t="shared" si="3"/>
        <v>30773.340524226194</v>
      </c>
      <c r="I122" s="7"/>
      <c r="J122" s="2">
        <f t="shared" si="5"/>
        <v>84.701803051317611</v>
      </c>
      <c r="K122">
        <f t="shared" si="5"/>
        <v>95.89734321344659</v>
      </c>
      <c r="L122">
        <f t="shared" si="5"/>
        <v>77.054927931437476</v>
      </c>
      <c r="M122" s="3" t="s">
        <v>151</v>
      </c>
      <c r="N122" s="8" t="s">
        <v>159</v>
      </c>
      <c r="O122" s="9">
        <v>73504.800000000003</v>
      </c>
    </row>
    <row r="123" spans="1:15" ht="18" x14ac:dyDescent="0.45">
      <c r="A123" s="3" t="s">
        <v>125</v>
      </c>
      <c r="C123" s="4" t="s">
        <v>132</v>
      </c>
      <c r="D123">
        <v>3030</v>
      </c>
      <c r="E123">
        <v>1326.5</v>
      </c>
      <c r="F123">
        <v>976000</v>
      </c>
      <c r="G123" s="5">
        <f t="shared" si="4"/>
        <v>950890.5446902226</v>
      </c>
      <c r="H123" s="6">
        <f t="shared" si="3"/>
        <v>25109.455309777404</v>
      </c>
      <c r="I123" s="7"/>
      <c r="J123" s="2">
        <f t="shared" si="5"/>
        <v>84.049930651872401</v>
      </c>
      <c r="K123">
        <f t="shared" si="5"/>
        <v>95.89734321344659</v>
      </c>
      <c r="L123">
        <f t="shared" si="5"/>
        <v>76.04207245812232</v>
      </c>
      <c r="M123" s="3" t="s">
        <v>151</v>
      </c>
      <c r="N123" s="8" t="s">
        <v>160</v>
      </c>
      <c r="O123" s="9">
        <v>73766.2</v>
      </c>
    </row>
    <row r="124" spans="1:15" ht="18" x14ac:dyDescent="0.45">
      <c r="A124" s="3" t="s">
        <v>125</v>
      </c>
      <c r="C124" s="4" t="s">
        <v>133</v>
      </c>
      <c r="D124">
        <v>3040</v>
      </c>
      <c r="E124">
        <v>1290.75</v>
      </c>
      <c r="F124">
        <v>977000</v>
      </c>
      <c r="G124" s="5">
        <f t="shared" si="4"/>
        <v>928435.82406841766</v>
      </c>
      <c r="H124" s="6">
        <f t="shared" si="3"/>
        <v>48564.175931582344</v>
      </c>
      <c r="I124" s="7"/>
      <c r="J124" s="2">
        <f t="shared" si="5"/>
        <v>84.32732316227461</v>
      </c>
      <c r="K124">
        <f t="shared" si="5"/>
        <v>93.312850171697093</v>
      </c>
      <c r="L124">
        <f t="shared" si="5"/>
        <v>76.119984417608094</v>
      </c>
      <c r="M124" s="3" t="s">
        <v>151</v>
      </c>
      <c r="N124" s="8" t="s">
        <v>161</v>
      </c>
      <c r="O124" s="9">
        <v>73733.600000000006</v>
      </c>
    </row>
    <row r="125" spans="1:15" ht="18" x14ac:dyDescent="0.45">
      <c r="A125" s="3" t="s">
        <v>125</v>
      </c>
      <c r="C125" s="4" t="s">
        <v>135</v>
      </c>
      <c r="D125">
        <v>3045</v>
      </c>
      <c r="E125">
        <v>1306.25</v>
      </c>
      <c r="F125">
        <v>967500</v>
      </c>
      <c r="G125" s="5">
        <f t="shared" si="4"/>
        <v>941061.97121258383</v>
      </c>
      <c r="H125" s="6">
        <f t="shared" si="3"/>
        <v>26438.028787416173</v>
      </c>
      <c r="I125" s="7"/>
      <c r="J125" s="2">
        <f t="shared" si="5"/>
        <v>84.466019417475721</v>
      </c>
      <c r="K125">
        <f t="shared" si="5"/>
        <v>94.433399602385677</v>
      </c>
      <c r="L125">
        <f t="shared" si="5"/>
        <v>75.379820802493185</v>
      </c>
      <c r="M125" s="3" t="s">
        <v>151</v>
      </c>
      <c r="N125" s="8" t="s">
        <v>162</v>
      </c>
      <c r="O125" s="9">
        <v>74438.100000000006</v>
      </c>
    </row>
    <row r="126" spans="1:15" ht="18" x14ac:dyDescent="0.45">
      <c r="A126" s="3" t="s">
        <v>125</v>
      </c>
      <c r="C126" s="4" t="s">
        <v>163</v>
      </c>
      <c r="D126">
        <v>3025</v>
      </c>
      <c r="E126">
        <v>1316</v>
      </c>
      <c r="F126">
        <v>968000</v>
      </c>
      <c r="G126" s="5">
        <f t="shared" si="4"/>
        <v>941854.76417065854</v>
      </c>
      <c r="H126" s="6">
        <f t="shared" si="3"/>
        <v>26145.235829341458</v>
      </c>
      <c r="I126" s="7"/>
      <c r="J126" s="2">
        <f t="shared" si="5"/>
        <v>83.91123439667129</v>
      </c>
      <c r="K126">
        <f t="shared" si="5"/>
        <v>95.13826134104464</v>
      </c>
      <c r="L126">
        <f t="shared" si="5"/>
        <v>75.41877678223608</v>
      </c>
      <c r="M126" s="3" t="s">
        <v>151</v>
      </c>
      <c r="N126" s="8" t="s">
        <v>164</v>
      </c>
      <c r="O126" s="9">
        <v>75868.899999999994</v>
      </c>
    </row>
    <row r="127" spans="1:15" ht="18" x14ac:dyDescent="0.45">
      <c r="A127" s="3" t="s">
        <v>125</v>
      </c>
      <c r="C127" s="4" t="s">
        <v>136</v>
      </c>
      <c r="D127">
        <v>3041</v>
      </c>
      <c r="E127">
        <v>1309.75</v>
      </c>
      <c r="F127">
        <v>971500</v>
      </c>
      <c r="G127" s="5">
        <f t="shared" si="4"/>
        <v>942337.14706218045</v>
      </c>
      <c r="H127" s="6">
        <f t="shared" si="3"/>
        <v>29162.852937819553</v>
      </c>
      <c r="I127" s="7"/>
      <c r="J127" s="2">
        <f t="shared" si="5"/>
        <v>84.35506241331484</v>
      </c>
      <c r="K127">
        <f t="shared" si="5"/>
        <v>94.686426893186336</v>
      </c>
      <c r="L127">
        <f t="shared" si="5"/>
        <v>75.691468640436312</v>
      </c>
      <c r="M127" s="3" t="s">
        <v>151</v>
      </c>
      <c r="N127" s="8" t="s">
        <v>165</v>
      </c>
      <c r="O127" s="9">
        <v>76959.899999999994</v>
      </c>
    </row>
    <row r="128" spans="1:15" ht="18" x14ac:dyDescent="0.45">
      <c r="A128" s="3" t="s">
        <v>125</v>
      </c>
      <c r="C128" s="4" t="s">
        <v>137</v>
      </c>
      <c r="D128">
        <v>3067</v>
      </c>
      <c r="E128">
        <v>1309.75</v>
      </c>
      <c r="F128">
        <v>980000</v>
      </c>
      <c r="G128" s="5">
        <f t="shared" si="4"/>
        <v>950351.21014130476</v>
      </c>
      <c r="H128" s="6">
        <f t="shared" si="3"/>
        <v>29648.789858695236</v>
      </c>
      <c r="I128" s="7"/>
      <c r="J128" s="2">
        <f t="shared" si="5"/>
        <v>85.076282940360613</v>
      </c>
      <c r="K128">
        <f t="shared" si="5"/>
        <v>94.686426893186336</v>
      </c>
      <c r="L128">
        <f t="shared" si="5"/>
        <v>76.353720296065433</v>
      </c>
      <c r="M128" s="3" t="s">
        <v>151</v>
      </c>
      <c r="N128" s="8" t="s">
        <v>166</v>
      </c>
      <c r="O128" s="9">
        <v>77118.899999999994</v>
      </c>
    </row>
    <row r="129" spans="1:15" ht="18" x14ac:dyDescent="0.45">
      <c r="A129" s="3" t="s">
        <v>125</v>
      </c>
      <c r="C129" s="4" t="s">
        <v>138</v>
      </c>
      <c r="D129">
        <v>3039</v>
      </c>
      <c r="E129">
        <v>1323.5</v>
      </c>
      <c r="F129">
        <v>970000</v>
      </c>
      <c r="G129" s="5">
        <f t="shared" si="4"/>
        <v>951554.54924123047</v>
      </c>
      <c r="H129" s="6">
        <f t="shared" si="3"/>
        <v>18445.450758769526</v>
      </c>
      <c r="I129" s="7"/>
      <c r="J129" s="2">
        <f t="shared" si="5"/>
        <v>84.299583911234407</v>
      </c>
      <c r="K129">
        <f t="shared" si="5"/>
        <v>95.680462678474612</v>
      </c>
      <c r="L129">
        <f t="shared" si="5"/>
        <v>75.574600701207643</v>
      </c>
      <c r="M129" s="3" t="s">
        <v>151</v>
      </c>
      <c r="N129" s="8" t="s">
        <v>167</v>
      </c>
      <c r="O129" s="9">
        <v>76895.899999999994</v>
      </c>
    </row>
    <row r="130" spans="1:15" ht="18" x14ac:dyDescent="0.45">
      <c r="A130" s="3" t="s">
        <v>125</v>
      </c>
      <c r="C130" s="4" t="s">
        <v>139</v>
      </c>
      <c r="D130">
        <v>3039</v>
      </c>
      <c r="E130">
        <v>1329.5</v>
      </c>
      <c r="F130">
        <v>973500</v>
      </c>
      <c r="G130" s="5">
        <f t="shared" si="4"/>
        <v>955845.69188984972</v>
      </c>
      <c r="H130" s="6">
        <f t="shared" ref="H130:H193" si="6">F:F-G:G</f>
        <v>17654.308110150276</v>
      </c>
      <c r="I130" s="7"/>
      <c r="J130" s="2">
        <f t="shared" si="5"/>
        <v>84.299583911234407</v>
      </c>
      <c r="K130">
        <f t="shared" si="5"/>
        <v>96.114223748418581</v>
      </c>
      <c r="L130">
        <f t="shared" si="5"/>
        <v>75.847292559407862</v>
      </c>
      <c r="M130" s="3" t="s">
        <v>151</v>
      </c>
      <c r="N130" s="8" t="s">
        <v>168</v>
      </c>
      <c r="O130" s="9">
        <v>76932.899999999994</v>
      </c>
    </row>
    <row r="131" spans="1:15" ht="18" x14ac:dyDescent="0.45">
      <c r="A131" s="3" t="s">
        <v>125</v>
      </c>
      <c r="C131" s="4" t="s">
        <v>140</v>
      </c>
      <c r="D131">
        <v>3031</v>
      </c>
      <c r="E131">
        <v>1304</v>
      </c>
      <c r="F131">
        <v>962500</v>
      </c>
      <c r="G131" s="5">
        <f t="shared" ref="G131:G194" si="7">E131/31.103*8.133*D131*0.9+5000</f>
        <v>935153.29559206497</v>
      </c>
      <c r="H131" s="6">
        <f t="shared" si="6"/>
        <v>27346.704407935031</v>
      </c>
      <c r="I131" s="7"/>
      <c r="J131" s="2">
        <f t="shared" si="5"/>
        <v>84.077669902912618</v>
      </c>
      <c r="K131">
        <f t="shared" si="5"/>
        <v>94.270739201156701</v>
      </c>
      <c r="L131">
        <f t="shared" si="5"/>
        <v>74.990261005064269</v>
      </c>
      <c r="M131" s="3" t="s">
        <v>151</v>
      </c>
      <c r="N131" s="8" t="s">
        <v>169</v>
      </c>
      <c r="O131" s="9">
        <v>77673</v>
      </c>
    </row>
    <row r="132" spans="1:15" ht="18" x14ac:dyDescent="0.45">
      <c r="A132" s="3" t="s">
        <v>125</v>
      </c>
      <c r="C132" s="4" t="s">
        <v>170</v>
      </c>
      <c r="D132">
        <v>3030</v>
      </c>
      <c r="E132">
        <v>1298.5</v>
      </c>
      <c r="F132">
        <v>960000</v>
      </c>
      <c r="G132" s="5">
        <f t="shared" si="7"/>
        <v>930924.51736166922</v>
      </c>
      <c r="H132" s="6">
        <f t="shared" si="6"/>
        <v>29075.482638330781</v>
      </c>
      <c r="I132" s="7"/>
      <c r="J132" s="2">
        <f t="shared" si="5"/>
        <v>84.049930651872401</v>
      </c>
      <c r="K132">
        <f t="shared" si="5"/>
        <v>93.873124887041399</v>
      </c>
      <c r="L132">
        <f t="shared" si="5"/>
        <v>74.795481106349825</v>
      </c>
      <c r="M132" s="3" t="s">
        <v>151</v>
      </c>
      <c r="N132" s="8" t="s">
        <v>171</v>
      </c>
      <c r="O132" s="9">
        <v>77214.2</v>
      </c>
    </row>
    <row r="133" spans="1:15" ht="18" x14ac:dyDescent="0.45">
      <c r="A133" s="3" t="s">
        <v>125</v>
      </c>
      <c r="C133" s="4" t="s">
        <v>142</v>
      </c>
      <c r="D133">
        <v>3032</v>
      </c>
      <c r="E133">
        <v>1265.5</v>
      </c>
      <c r="F133">
        <v>940000</v>
      </c>
      <c r="G133" s="5">
        <f t="shared" si="7"/>
        <v>907988.7670385493</v>
      </c>
      <c r="H133" s="6">
        <f t="shared" si="6"/>
        <v>32011.232961450703</v>
      </c>
      <c r="I133" s="7"/>
      <c r="J133" s="2">
        <f t="shared" si="5"/>
        <v>84.105409153952849</v>
      </c>
      <c r="K133">
        <f t="shared" si="5"/>
        <v>91.487439002349532</v>
      </c>
      <c r="L133">
        <f t="shared" si="5"/>
        <v>73.237241916634204</v>
      </c>
      <c r="M133" s="3" t="s">
        <v>151</v>
      </c>
      <c r="N133" s="8" t="s">
        <v>172</v>
      </c>
      <c r="O133" s="9">
        <v>77328.100000000006</v>
      </c>
    </row>
    <row r="134" spans="1:15" ht="18" x14ac:dyDescent="0.45">
      <c r="A134" s="3" t="s">
        <v>125</v>
      </c>
      <c r="C134" s="4" t="s">
        <v>143</v>
      </c>
      <c r="D134">
        <v>3022.5</v>
      </c>
      <c r="E134">
        <v>1265.5</v>
      </c>
      <c r="F134">
        <v>931000</v>
      </c>
      <c r="G134" s="5">
        <f t="shared" si="7"/>
        <v>905159.48165369884</v>
      </c>
      <c r="H134" s="6">
        <f t="shared" si="6"/>
        <v>25840.518346301164</v>
      </c>
      <c r="I134" s="7"/>
      <c r="J134" s="2">
        <f t="shared" si="5"/>
        <v>83.841886269070727</v>
      </c>
      <c r="K134">
        <f t="shared" si="5"/>
        <v>91.487439002349532</v>
      </c>
      <c r="L134">
        <f t="shared" si="5"/>
        <v>72.536034281262175</v>
      </c>
      <c r="M134" s="3" t="s">
        <v>151</v>
      </c>
      <c r="N134" s="8" t="s">
        <v>173</v>
      </c>
      <c r="O134" s="9">
        <v>78142</v>
      </c>
    </row>
    <row r="135" spans="1:15" ht="18" x14ac:dyDescent="0.45">
      <c r="A135" s="3" t="s">
        <v>125</v>
      </c>
      <c r="C135" s="4" t="s">
        <v>144</v>
      </c>
      <c r="D135">
        <v>3019</v>
      </c>
      <c r="E135">
        <v>1285.5</v>
      </c>
      <c r="F135">
        <v>932500</v>
      </c>
      <c r="G135" s="5">
        <f t="shared" si="7"/>
        <v>918326.78721184435</v>
      </c>
      <c r="H135" s="6">
        <f t="shared" si="6"/>
        <v>14173.212788155652</v>
      </c>
      <c r="I135" s="7"/>
      <c r="J135" s="2">
        <f t="shared" si="5"/>
        <v>83.744798890429962</v>
      </c>
      <c r="K135">
        <f t="shared" si="5"/>
        <v>92.933309235496111</v>
      </c>
      <c r="L135">
        <f t="shared" si="5"/>
        <v>72.652902220490844</v>
      </c>
      <c r="M135" s="3" t="s">
        <v>151</v>
      </c>
      <c r="N135" s="8" t="s">
        <v>174</v>
      </c>
      <c r="O135" s="9">
        <v>78424.100000000006</v>
      </c>
    </row>
    <row r="136" spans="1:15" ht="18" x14ac:dyDescent="0.45">
      <c r="A136" s="3" t="s">
        <v>125</v>
      </c>
      <c r="C136" s="4" t="s">
        <v>145</v>
      </c>
      <c r="D136">
        <v>3028.5</v>
      </c>
      <c r="E136">
        <v>1270.5</v>
      </c>
      <c r="F136">
        <v>934500</v>
      </c>
      <c r="G136" s="5">
        <f t="shared" si="7"/>
        <v>910509.99573111907</v>
      </c>
      <c r="H136" s="6">
        <f t="shared" si="6"/>
        <v>23990.004268880934</v>
      </c>
      <c r="I136" s="7"/>
      <c r="J136" s="2">
        <f t="shared" si="5"/>
        <v>84.008321775312069</v>
      </c>
      <c r="K136">
        <f t="shared" si="5"/>
        <v>91.848906560636181</v>
      </c>
      <c r="L136">
        <f t="shared" si="5"/>
        <v>72.808726139462408</v>
      </c>
      <c r="M136" s="3" t="s">
        <v>175</v>
      </c>
      <c r="N136" s="8" t="s">
        <v>176</v>
      </c>
      <c r="O136" s="9">
        <v>78874.5</v>
      </c>
    </row>
    <row r="137" spans="1:15" ht="18" x14ac:dyDescent="0.45">
      <c r="A137" s="3" t="s">
        <v>125</v>
      </c>
      <c r="C137" s="4" t="s">
        <v>177</v>
      </c>
      <c r="D137">
        <v>3027</v>
      </c>
      <c r="E137">
        <v>1319.25</v>
      </c>
      <c r="F137">
        <v>944000</v>
      </c>
      <c r="G137" s="5">
        <f t="shared" si="7"/>
        <v>944789.36305420683</v>
      </c>
      <c r="H137" s="6">
        <f t="shared" si="6"/>
        <v>-789.36305420682766</v>
      </c>
      <c r="I137" s="7"/>
      <c r="J137" s="2">
        <f t="shared" si="5"/>
        <v>83.966712898751737</v>
      </c>
      <c r="K137">
        <f t="shared" si="5"/>
        <v>95.373215253930965</v>
      </c>
      <c r="L137">
        <f t="shared" si="5"/>
        <v>73.548889754577331</v>
      </c>
      <c r="M137" s="3" t="s">
        <v>175</v>
      </c>
      <c r="N137" s="8" t="s">
        <v>178</v>
      </c>
      <c r="O137" s="9">
        <v>80022.2</v>
      </c>
    </row>
    <row r="138" spans="1:15" ht="18" x14ac:dyDescent="0.45">
      <c r="A138" s="3" t="s">
        <v>125</v>
      </c>
      <c r="C138" s="4" t="s">
        <v>146</v>
      </c>
      <c r="D138">
        <v>3019.5</v>
      </c>
      <c r="E138">
        <v>1316.5</v>
      </c>
      <c r="F138">
        <v>955500</v>
      </c>
      <c r="G138" s="5">
        <f t="shared" si="7"/>
        <v>940506.69255296909</v>
      </c>
      <c r="H138" s="6">
        <f t="shared" si="6"/>
        <v>14993.307447030907</v>
      </c>
      <c r="I138" s="7"/>
      <c r="J138" s="2">
        <f t="shared" si="5"/>
        <v>83.758668515950077</v>
      </c>
      <c r="K138">
        <f t="shared" si="5"/>
        <v>95.174408096873307</v>
      </c>
      <c r="L138">
        <f t="shared" si="5"/>
        <v>74.444877288663818</v>
      </c>
      <c r="M138" s="3" t="s">
        <v>175</v>
      </c>
      <c r="N138" s="8" t="s">
        <v>179</v>
      </c>
      <c r="O138" s="9">
        <v>81186.8</v>
      </c>
    </row>
    <row r="139" spans="1:15" ht="18" x14ac:dyDescent="0.45">
      <c r="A139" s="3" t="s">
        <v>125</v>
      </c>
      <c r="C139" s="4" t="s">
        <v>147</v>
      </c>
      <c r="D139">
        <v>3008.5</v>
      </c>
      <c r="E139">
        <v>1316.5</v>
      </c>
      <c r="F139">
        <v>955000</v>
      </c>
      <c r="G139" s="5">
        <f t="shared" si="7"/>
        <v>937098.65360013489</v>
      </c>
      <c r="H139" s="6">
        <f t="shared" si="6"/>
        <v>17901.346399865113</v>
      </c>
      <c r="I139" s="7"/>
      <c r="J139" s="2">
        <f t="shared" si="5"/>
        <v>83.453536754507624</v>
      </c>
      <c r="K139">
        <f t="shared" si="5"/>
        <v>95.174408096873307</v>
      </c>
      <c r="L139">
        <f t="shared" si="5"/>
        <v>74.405921308920924</v>
      </c>
      <c r="M139" s="3" t="s">
        <v>175</v>
      </c>
      <c r="N139" s="8" t="s">
        <v>180</v>
      </c>
      <c r="O139" s="9">
        <v>81549.5</v>
      </c>
    </row>
    <row r="140" spans="1:15" ht="18" x14ac:dyDescent="0.45">
      <c r="A140" s="3" t="s">
        <v>125</v>
      </c>
      <c r="C140" s="4" t="s">
        <v>149</v>
      </c>
      <c r="D140">
        <v>2993.5</v>
      </c>
      <c r="E140">
        <v>1317.5</v>
      </c>
      <c r="F140">
        <v>952000</v>
      </c>
      <c r="G140" s="5">
        <f t="shared" si="7"/>
        <v>933155.81034385751</v>
      </c>
      <c r="H140" s="6">
        <f t="shared" si="6"/>
        <v>18844.189656142495</v>
      </c>
      <c r="I140" s="7"/>
      <c r="J140" s="2">
        <f t="shared" si="5"/>
        <v>83.037447988904304</v>
      </c>
      <c r="K140">
        <f t="shared" si="5"/>
        <v>95.246701608530643</v>
      </c>
      <c r="L140">
        <f t="shared" si="5"/>
        <v>74.172185430463571</v>
      </c>
      <c r="M140" s="3" t="s">
        <v>175</v>
      </c>
      <c r="N140" s="8" t="s">
        <v>181</v>
      </c>
      <c r="O140" s="9">
        <v>82129.8</v>
      </c>
    </row>
    <row r="141" spans="1:15" ht="18" x14ac:dyDescent="0.45">
      <c r="A141" s="3" t="s">
        <v>125</v>
      </c>
      <c r="C141" s="4" t="s">
        <v>150</v>
      </c>
      <c r="D141">
        <v>2997.5</v>
      </c>
      <c r="E141">
        <v>1333</v>
      </c>
      <c r="F141">
        <v>960000</v>
      </c>
      <c r="G141" s="5">
        <f t="shared" si="7"/>
        <v>945330.10962768854</v>
      </c>
      <c r="H141" s="6">
        <f t="shared" si="6"/>
        <v>14669.890372311464</v>
      </c>
      <c r="I141" s="7">
        <f>F141/F116-1</f>
        <v>3.6717062634989306E-2</v>
      </c>
      <c r="J141" s="2">
        <f t="shared" si="5"/>
        <v>83.148404993065185</v>
      </c>
      <c r="K141">
        <f t="shared" si="5"/>
        <v>96.367251039219227</v>
      </c>
      <c r="L141">
        <f t="shared" si="5"/>
        <v>74.795481106349825</v>
      </c>
      <c r="M141" s="3" t="s">
        <v>175</v>
      </c>
      <c r="N141" s="8" t="s">
        <v>182</v>
      </c>
      <c r="O141" s="9">
        <v>83572.5</v>
      </c>
    </row>
    <row r="142" spans="1:15" ht="18" x14ac:dyDescent="0.45">
      <c r="A142" s="3" t="s">
        <v>151</v>
      </c>
      <c r="C142" s="4" t="s">
        <v>152</v>
      </c>
      <c r="D142">
        <v>3000.5</v>
      </c>
      <c r="E142">
        <v>1331.25</v>
      </c>
      <c r="F142">
        <v>958000</v>
      </c>
      <c r="G142" s="5">
        <f t="shared" si="7"/>
        <v>945035.49658594013</v>
      </c>
      <c r="H142" s="6">
        <f t="shared" si="6"/>
        <v>12964.503414059873</v>
      </c>
      <c r="I142" s="7"/>
      <c r="J142" s="2">
        <f t="shared" si="5"/>
        <v>83.231622746185849</v>
      </c>
      <c r="K142">
        <f t="shared" si="5"/>
        <v>96.240737393818904</v>
      </c>
      <c r="L142">
        <f t="shared" si="5"/>
        <v>74.639657187378262</v>
      </c>
      <c r="M142" s="3" t="s">
        <v>175</v>
      </c>
      <c r="N142" s="8" t="s">
        <v>183</v>
      </c>
      <c r="O142" s="9">
        <v>84384.9</v>
      </c>
    </row>
    <row r="143" spans="1:15" ht="18" x14ac:dyDescent="0.45">
      <c r="A143" s="3" t="s">
        <v>151</v>
      </c>
      <c r="C143" s="4" t="s">
        <v>153</v>
      </c>
      <c r="D143">
        <v>3010.5</v>
      </c>
      <c r="E143">
        <v>1347.75</v>
      </c>
      <c r="F143">
        <v>967000</v>
      </c>
      <c r="G143" s="5">
        <f t="shared" si="7"/>
        <v>959858.40094484435</v>
      </c>
      <c r="H143" s="6">
        <f t="shared" si="6"/>
        <v>7141.5990551556461</v>
      </c>
      <c r="I143" s="7"/>
      <c r="J143" s="2">
        <f t="shared" si="5"/>
        <v>83.509015256588071</v>
      </c>
      <c r="K143">
        <f t="shared" si="5"/>
        <v>97.433580336164823</v>
      </c>
      <c r="L143">
        <f t="shared" si="5"/>
        <v>75.340864822750291</v>
      </c>
      <c r="M143" s="3" t="s">
        <v>175</v>
      </c>
      <c r="N143" s="8" t="s">
        <v>184</v>
      </c>
      <c r="O143" s="9">
        <v>83706.5</v>
      </c>
    </row>
    <row r="144" spans="1:15" ht="18" x14ac:dyDescent="0.45">
      <c r="A144" s="3" t="s">
        <v>151</v>
      </c>
      <c r="C144" s="4" t="s">
        <v>154</v>
      </c>
      <c r="D144">
        <v>3009.5</v>
      </c>
      <c r="E144">
        <v>1347.75</v>
      </c>
      <c r="F144">
        <v>965500</v>
      </c>
      <c r="G144" s="5">
        <f t="shared" si="7"/>
        <v>959541.22492725763</v>
      </c>
      <c r="H144" s="6">
        <f t="shared" si="6"/>
        <v>5958.77507274237</v>
      </c>
      <c r="I144" s="7"/>
      <c r="J144" s="2">
        <f t="shared" si="5"/>
        <v>83.481276005547855</v>
      </c>
      <c r="K144">
        <f t="shared" si="5"/>
        <v>97.433580336164823</v>
      </c>
      <c r="L144">
        <f t="shared" si="5"/>
        <v>75.223996883521608</v>
      </c>
      <c r="M144" s="3" t="s">
        <v>175</v>
      </c>
      <c r="N144" s="8" t="s">
        <v>185</v>
      </c>
      <c r="O144" s="9">
        <v>83775.600000000006</v>
      </c>
    </row>
    <row r="145" spans="1:15" ht="18" x14ac:dyDescent="0.45">
      <c r="A145" s="3" t="s">
        <v>151</v>
      </c>
      <c r="C145" s="4" t="s">
        <v>155</v>
      </c>
      <c r="D145">
        <v>3001</v>
      </c>
      <c r="E145">
        <v>1361</v>
      </c>
      <c r="F145">
        <v>962500</v>
      </c>
      <c r="G145" s="5">
        <f t="shared" si="7"/>
        <v>966203.00973217993</v>
      </c>
      <c r="H145" s="6">
        <f t="shared" si="6"/>
        <v>-3703.0097321799258</v>
      </c>
      <c r="I145" s="7"/>
      <c r="J145" s="2">
        <f t="shared" si="5"/>
        <v>83.245492371705964</v>
      </c>
      <c r="K145">
        <f t="shared" si="5"/>
        <v>98.391469365624445</v>
      </c>
      <c r="L145">
        <f t="shared" si="5"/>
        <v>74.990261005064269</v>
      </c>
      <c r="M145" s="3" t="s">
        <v>175</v>
      </c>
      <c r="N145" s="8" t="s">
        <v>186</v>
      </c>
      <c r="O145" s="9">
        <v>84211.4</v>
      </c>
    </row>
    <row r="146" spans="1:15" ht="18" x14ac:dyDescent="0.45">
      <c r="A146" s="3" t="s">
        <v>151</v>
      </c>
      <c r="C146" s="4" t="s">
        <v>157</v>
      </c>
      <c r="D146">
        <v>3002.5</v>
      </c>
      <c r="E146">
        <v>1349.25</v>
      </c>
      <c r="F146">
        <v>964500</v>
      </c>
      <c r="G146" s="5">
        <f t="shared" si="7"/>
        <v>958380.89374216297</v>
      </c>
      <c r="H146" s="6">
        <f t="shared" si="6"/>
        <v>6119.1062578370329</v>
      </c>
      <c r="I146" s="7"/>
      <c r="J146" s="2">
        <f t="shared" si="5"/>
        <v>83.287101248266296</v>
      </c>
      <c r="K146">
        <f t="shared" si="5"/>
        <v>97.542020603650826</v>
      </c>
      <c r="L146">
        <f t="shared" si="5"/>
        <v>75.146084924035847</v>
      </c>
      <c r="M146" s="3" t="s">
        <v>175</v>
      </c>
      <c r="N146" s="8" t="s">
        <v>187</v>
      </c>
      <c r="O146" s="9">
        <v>84659.4</v>
      </c>
    </row>
    <row r="147" spans="1:15" ht="18" x14ac:dyDescent="0.45">
      <c r="A147" s="3" t="s">
        <v>151</v>
      </c>
      <c r="C147" s="4" t="s">
        <v>158</v>
      </c>
      <c r="D147">
        <v>3002.5</v>
      </c>
      <c r="E147">
        <v>1354.75</v>
      </c>
      <c r="F147">
        <v>966500</v>
      </c>
      <c r="G147" s="5">
        <f t="shared" si="7"/>
        <v>962267.19718154171</v>
      </c>
      <c r="H147" s="6">
        <f t="shared" si="6"/>
        <v>4232.8028184582945</v>
      </c>
      <c r="I147" s="7"/>
      <c r="J147" s="2">
        <f t="shared" si="5"/>
        <v>83.287101248266296</v>
      </c>
      <c r="K147">
        <f t="shared" si="5"/>
        <v>97.939634917766128</v>
      </c>
      <c r="L147">
        <f t="shared" si="5"/>
        <v>75.301908843007396</v>
      </c>
      <c r="M147" s="3" t="s">
        <v>175</v>
      </c>
      <c r="N147" s="8" t="s">
        <v>188</v>
      </c>
      <c r="O147" s="9">
        <v>85149.9</v>
      </c>
    </row>
    <row r="148" spans="1:15" ht="18" x14ac:dyDescent="0.45">
      <c r="A148" s="3" t="s">
        <v>151</v>
      </c>
      <c r="C148" s="4" t="s">
        <v>189</v>
      </c>
      <c r="D148">
        <v>3001</v>
      </c>
      <c r="E148">
        <v>1324</v>
      </c>
      <c r="F148">
        <v>964500</v>
      </c>
      <c r="G148" s="5">
        <f t="shared" si="7"/>
        <v>940071.84782175336</v>
      </c>
      <c r="H148" s="6">
        <f t="shared" si="6"/>
        <v>24428.152178246644</v>
      </c>
      <c r="I148" s="7"/>
      <c r="J148" s="2">
        <f t="shared" si="5"/>
        <v>83.245492371705964</v>
      </c>
      <c r="K148">
        <f t="shared" si="5"/>
        <v>95.716609434303265</v>
      </c>
      <c r="L148">
        <f t="shared" si="5"/>
        <v>75.146084924035847</v>
      </c>
      <c r="M148" s="3" t="s">
        <v>175</v>
      </c>
      <c r="N148" s="8" t="s">
        <v>190</v>
      </c>
      <c r="O148" s="9">
        <v>85310.399999999994</v>
      </c>
    </row>
    <row r="149" spans="1:15" ht="18" x14ac:dyDescent="0.45">
      <c r="A149" s="3" t="s">
        <v>151</v>
      </c>
      <c r="C149" s="4" t="s">
        <v>191</v>
      </c>
      <c r="D149">
        <v>3002</v>
      </c>
      <c r="E149">
        <v>1306.75</v>
      </c>
      <c r="F149">
        <v>960000</v>
      </c>
      <c r="G149" s="5">
        <f t="shared" si="7"/>
        <v>928196.60357361007</v>
      </c>
      <c r="H149" s="6">
        <f t="shared" si="6"/>
        <v>31803.396426389925</v>
      </c>
      <c r="I149" s="7"/>
      <c r="J149" s="2">
        <f t="shared" si="5"/>
        <v>83.273231622746195</v>
      </c>
      <c r="K149">
        <f t="shared" si="5"/>
        <v>94.469546358214359</v>
      </c>
      <c r="L149">
        <f t="shared" si="5"/>
        <v>74.795481106349825</v>
      </c>
      <c r="M149" s="3" t="s">
        <v>175</v>
      </c>
      <c r="N149" s="8" t="s">
        <v>192</v>
      </c>
      <c r="O149" s="9">
        <v>85962.2</v>
      </c>
    </row>
    <row r="150" spans="1:15" ht="18" x14ac:dyDescent="0.45">
      <c r="A150" s="3" t="s">
        <v>151</v>
      </c>
      <c r="C150" s="4" t="s">
        <v>159</v>
      </c>
      <c r="D150">
        <v>3005.5</v>
      </c>
      <c r="E150">
        <v>1306.75</v>
      </c>
      <c r="F150">
        <v>954000</v>
      </c>
      <c r="G150" s="5">
        <f t="shared" si="7"/>
        <v>929272.9487143521</v>
      </c>
      <c r="H150" s="6">
        <f t="shared" si="6"/>
        <v>24727.051285647904</v>
      </c>
      <c r="I150" s="7"/>
      <c r="J150" s="2">
        <f t="shared" si="5"/>
        <v>83.37031900138696</v>
      </c>
      <c r="K150">
        <f t="shared" si="5"/>
        <v>94.469546358214359</v>
      </c>
      <c r="L150">
        <f t="shared" si="5"/>
        <v>74.328009349435149</v>
      </c>
      <c r="M150" s="3" t="s">
        <v>175</v>
      </c>
      <c r="N150" s="8" t="s">
        <v>193</v>
      </c>
      <c r="O150" s="9">
        <v>86511.2</v>
      </c>
    </row>
    <row r="151" spans="1:15" ht="18" x14ac:dyDescent="0.45">
      <c r="A151" s="3" t="s">
        <v>151</v>
      </c>
      <c r="C151" s="4" t="s">
        <v>160</v>
      </c>
      <c r="D151">
        <v>3020.5</v>
      </c>
      <c r="E151">
        <v>1306.75</v>
      </c>
      <c r="F151">
        <v>952000</v>
      </c>
      <c r="G151" s="5">
        <f t="shared" si="7"/>
        <v>933885.85646038945</v>
      </c>
      <c r="H151" s="6">
        <f t="shared" si="6"/>
        <v>18114.143539610552</v>
      </c>
      <c r="I151" s="7"/>
      <c r="J151" s="2">
        <f t="shared" si="5"/>
        <v>83.786407766990294</v>
      </c>
      <c r="K151">
        <f t="shared" si="5"/>
        <v>94.469546358214359</v>
      </c>
      <c r="L151">
        <f t="shared" si="5"/>
        <v>74.172185430463571</v>
      </c>
      <c r="M151" s="3" t="s">
        <v>175</v>
      </c>
      <c r="N151" s="8" t="s">
        <v>194</v>
      </c>
      <c r="O151" s="9">
        <v>85691.1</v>
      </c>
    </row>
    <row r="152" spans="1:15" ht="18" x14ac:dyDescent="0.45">
      <c r="A152" s="3" t="s">
        <v>151</v>
      </c>
      <c r="C152" s="4" t="s">
        <v>161</v>
      </c>
      <c r="D152">
        <v>3024</v>
      </c>
      <c r="E152">
        <v>1320.5</v>
      </c>
      <c r="F152">
        <v>952000</v>
      </c>
      <c r="G152" s="5">
        <f t="shared" si="7"/>
        <v>944747.53182651184</v>
      </c>
      <c r="H152" s="6">
        <f t="shared" si="6"/>
        <v>7252.4681734881597</v>
      </c>
      <c r="I152" s="7"/>
      <c r="J152" s="2">
        <f t="shared" si="5"/>
        <v>83.883495145631073</v>
      </c>
      <c r="K152">
        <f t="shared" si="5"/>
        <v>95.46358214350262</v>
      </c>
      <c r="L152">
        <f t="shared" si="5"/>
        <v>74.172185430463571</v>
      </c>
      <c r="M152" s="3" t="s">
        <v>175</v>
      </c>
      <c r="N152" s="8" t="s">
        <v>195</v>
      </c>
      <c r="O152" s="9">
        <v>87024.1</v>
      </c>
    </row>
    <row r="153" spans="1:15" ht="18" x14ac:dyDescent="0.45">
      <c r="A153" s="3" t="s">
        <v>151</v>
      </c>
      <c r="C153" s="4" t="s">
        <v>162</v>
      </c>
      <c r="D153">
        <v>3011.5</v>
      </c>
      <c r="E153">
        <v>1307.25</v>
      </c>
      <c r="F153">
        <v>949000</v>
      </c>
      <c r="G153" s="5">
        <f t="shared" si="7"/>
        <v>931472.47114386072</v>
      </c>
      <c r="H153" s="6">
        <f t="shared" si="6"/>
        <v>17527.528856139281</v>
      </c>
      <c r="I153" s="7"/>
      <c r="J153" s="2">
        <f t="shared" si="5"/>
        <v>83.536754507628302</v>
      </c>
      <c r="K153">
        <f t="shared" si="5"/>
        <v>94.505693114043012</v>
      </c>
      <c r="L153">
        <f t="shared" si="5"/>
        <v>73.938449552006233</v>
      </c>
      <c r="M153" s="3" t="s">
        <v>175</v>
      </c>
      <c r="N153" s="8" t="s">
        <v>196</v>
      </c>
      <c r="O153" s="9">
        <v>88112.5</v>
      </c>
    </row>
    <row r="154" spans="1:15" ht="18" x14ac:dyDescent="0.45">
      <c r="A154" s="3" t="s">
        <v>151</v>
      </c>
      <c r="C154" s="4" t="s">
        <v>164</v>
      </c>
      <c r="D154">
        <v>3061.5</v>
      </c>
      <c r="E154">
        <v>1319</v>
      </c>
      <c r="F154">
        <v>946000</v>
      </c>
      <c r="G154" s="5">
        <f t="shared" si="7"/>
        <v>955320.41875221021</v>
      </c>
      <c r="H154" s="6">
        <f t="shared" si="6"/>
        <v>-9320.4187522102147</v>
      </c>
      <c r="I154" s="7"/>
      <c r="J154" s="2">
        <f t="shared" si="5"/>
        <v>84.923717059639387</v>
      </c>
      <c r="K154">
        <f t="shared" si="5"/>
        <v>95.355141876016631</v>
      </c>
      <c r="L154">
        <f t="shared" si="5"/>
        <v>73.704713673548895</v>
      </c>
      <c r="M154" s="3" t="s">
        <v>175</v>
      </c>
      <c r="N154" s="8" t="s">
        <v>197</v>
      </c>
      <c r="O154" s="9">
        <v>87646.1</v>
      </c>
    </row>
    <row r="155" spans="1:15" ht="18" x14ac:dyDescent="0.45">
      <c r="A155" s="3" t="s">
        <v>151</v>
      </c>
      <c r="C155" s="4" t="s">
        <v>198</v>
      </c>
      <c r="D155">
        <v>3013.5</v>
      </c>
      <c r="E155">
        <v>1307.25</v>
      </c>
      <c r="F155">
        <v>947000</v>
      </c>
      <c r="G155" s="5">
        <f t="shared" si="7"/>
        <v>932087.76084742625</v>
      </c>
      <c r="H155" s="6">
        <f t="shared" si="6"/>
        <v>14912.239152573748</v>
      </c>
      <c r="I155" s="7"/>
      <c r="J155" s="2">
        <f t="shared" si="5"/>
        <v>83.592233009708735</v>
      </c>
      <c r="K155">
        <f t="shared" si="5"/>
        <v>94.505693114043012</v>
      </c>
      <c r="L155">
        <f t="shared" si="5"/>
        <v>73.782625633034669</v>
      </c>
      <c r="M155" s="3" t="s">
        <v>175</v>
      </c>
      <c r="N155" s="8" t="s">
        <v>199</v>
      </c>
      <c r="O155" s="9">
        <v>87726.2</v>
      </c>
    </row>
    <row r="156" spans="1:15" ht="18" x14ac:dyDescent="0.45">
      <c r="A156" s="3" t="s">
        <v>151</v>
      </c>
      <c r="C156" s="4" t="s">
        <v>200</v>
      </c>
      <c r="D156">
        <v>3006.5</v>
      </c>
      <c r="E156">
        <v>1285.5</v>
      </c>
      <c r="F156">
        <v>947000</v>
      </c>
      <c r="G156" s="5">
        <f t="shared" si="7"/>
        <v>914545.20892759529</v>
      </c>
      <c r="H156" s="6">
        <f t="shared" si="6"/>
        <v>32454.791072404711</v>
      </c>
      <c r="I156" s="7"/>
      <c r="J156" s="2">
        <f t="shared" si="5"/>
        <v>83.398058252427191</v>
      </c>
      <c r="K156">
        <f t="shared" si="5"/>
        <v>92.933309235496111</v>
      </c>
      <c r="L156">
        <f t="shared" si="5"/>
        <v>73.782625633034669</v>
      </c>
      <c r="M156" s="3" t="s">
        <v>201</v>
      </c>
      <c r="N156" s="8" t="s">
        <v>202</v>
      </c>
      <c r="O156" s="9">
        <v>87015.5</v>
      </c>
    </row>
    <row r="157" spans="1:15" ht="18" x14ac:dyDescent="0.45">
      <c r="A157" s="3" t="s">
        <v>151</v>
      </c>
      <c r="C157" s="4" t="s">
        <v>165</v>
      </c>
      <c r="D157">
        <v>2993.5</v>
      </c>
      <c r="E157">
        <v>1285.5</v>
      </c>
      <c r="F157">
        <v>932000</v>
      </c>
      <c r="G157" s="5">
        <f t="shared" si="7"/>
        <v>910612.36751197628</v>
      </c>
      <c r="H157" s="6">
        <f t="shared" si="6"/>
        <v>21387.632488023723</v>
      </c>
      <c r="I157" s="7"/>
      <c r="J157" s="2">
        <f t="shared" si="5"/>
        <v>83.037447988904304</v>
      </c>
      <c r="K157">
        <f t="shared" si="5"/>
        <v>92.933309235496111</v>
      </c>
      <c r="L157">
        <f t="shared" si="5"/>
        <v>72.61394624074795</v>
      </c>
      <c r="M157" s="3" t="s">
        <v>201</v>
      </c>
      <c r="N157" s="8" t="s">
        <v>203</v>
      </c>
      <c r="O157" s="9">
        <v>88113.7</v>
      </c>
    </row>
    <row r="158" spans="1:15" ht="18" x14ac:dyDescent="0.45">
      <c r="A158" s="3" t="s">
        <v>151</v>
      </c>
      <c r="C158" s="4" t="s">
        <v>166</v>
      </c>
      <c r="D158">
        <v>3005</v>
      </c>
      <c r="E158">
        <v>1285.5</v>
      </c>
      <c r="F158">
        <v>925000</v>
      </c>
      <c r="G158" s="5">
        <f t="shared" si="7"/>
        <v>914091.41953348543</v>
      </c>
      <c r="H158" s="6">
        <f t="shared" si="6"/>
        <v>10908.58046651457</v>
      </c>
      <c r="I158" s="7"/>
      <c r="J158" s="2">
        <f t="shared" ref="J158:L221" si="8">(D158/D$29-1)*100+100</f>
        <v>83.356449375866845</v>
      </c>
      <c r="K158">
        <f t="shared" si="8"/>
        <v>92.933309235496111</v>
      </c>
      <c r="L158">
        <f t="shared" si="8"/>
        <v>72.068562524347499</v>
      </c>
      <c r="M158" s="3" t="s">
        <v>201</v>
      </c>
      <c r="N158" s="8" t="s">
        <v>204</v>
      </c>
      <c r="O158" s="9">
        <v>88190.7</v>
      </c>
    </row>
    <row r="159" spans="1:15" ht="18" x14ac:dyDescent="0.45">
      <c r="A159" s="3" t="s">
        <v>151</v>
      </c>
      <c r="C159" s="4" t="s">
        <v>167</v>
      </c>
      <c r="D159">
        <v>3011</v>
      </c>
      <c r="E159">
        <v>1282.5</v>
      </c>
      <c r="F159">
        <v>929000</v>
      </c>
      <c r="G159" s="5">
        <f t="shared" si="7"/>
        <v>913780.77412950504</v>
      </c>
      <c r="H159" s="6">
        <f t="shared" si="6"/>
        <v>15219.225870494964</v>
      </c>
      <c r="I159" s="7"/>
      <c r="J159" s="2">
        <f t="shared" si="8"/>
        <v>83.522884882108187</v>
      </c>
      <c r="K159">
        <f t="shared" si="8"/>
        <v>92.716428700524119</v>
      </c>
      <c r="L159">
        <f t="shared" si="8"/>
        <v>72.380210362290612</v>
      </c>
      <c r="M159" s="3" t="s">
        <v>201</v>
      </c>
      <c r="N159" s="8" t="s">
        <v>205</v>
      </c>
      <c r="O159" s="9">
        <v>87691.7</v>
      </c>
    </row>
    <row r="160" spans="1:15" ht="18" x14ac:dyDescent="0.45">
      <c r="A160" s="3" t="s">
        <v>151</v>
      </c>
      <c r="C160" s="4" t="s">
        <v>168</v>
      </c>
      <c r="D160">
        <v>3009</v>
      </c>
      <c r="E160">
        <v>1281.25</v>
      </c>
      <c r="F160">
        <v>926000</v>
      </c>
      <c r="G160" s="5">
        <f t="shared" si="7"/>
        <v>912291.9707303152</v>
      </c>
      <c r="H160" s="6">
        <f t="shared" si="6"/>
        <v>13708.029269684805</v>
      </c>
      <c r="I160" s="7"/>
      <c r="J160" s="2">
        <f t="shared" si="8"/>
        <v>83.467406380027739</v>
      </c>
      <c r="K160">
        <f t="shared" si="8"/>
        <v>92.626061810952464</v>
      </c>
      <c r="L160">
        <f t="shared" si="8"/>
        <v>72.146474483833259</v>
      </c>
      <c r="M160" s="3" t="s">
        <v>201</v>
      </c>
      <c r="N160" s="8" t="s">
        <v>206</v>
      </c>
      <c r="O160" s="9">
        <v>87425.2</v>
      </c>
    </row>
    <row r="161" spans="1:15" ht="18" x14ac:dyDescent="0.45">
      <c r="A161" s="3" t="s">
        <v>151</v>
      </c>
      <c r="C161" s="4" t="s">
        <v>207</v>
      </c>
      <c r="D161">
        <v>3008</v>
      </c>
      <c r="E161">
        <v>1272.5</v>
      </c>
      <c r="F161">
        <v>925000</v>
      </c>
      <c r="G161" s="5">
        <f t="shared" si="7"/>
        <v>905796.36356621538</v>
      </c>
      <c r="H161" s="6">
        <f t="shared" si="6"/>
        <v>19203.636433784617</v>
      </c>
      <c r="I161" s="7"/>
      <c r="J161" s="2">
        <f t="shared" si="8"/>
        <v>83.439667128987509</v>
      </c>
      <c r="K161">
        <f t="shared" si="8"/>
        <v>91.993493583950837</v>
      </c>
      <c r="L161">
        <f t="shared" si="8"/>
        <v>72.068562524347499</v>
      </c>
      <c r="M161" s="3" t="s">
        <v>201</v>
      </c>
      <c r="N161" s="8" t="s">
        <v>208</v>
      </c>
      <c r="O161" s="9">
        <v>87451.9</v>
      </c>
    </row>
    <row r="162" spans="1:15" ht="18" x14ac:dyDescent="0.45">
      <c r="A162" s="3" t="s">
        <v>151</v>
      </c>
      <c r="C162" s="4" t="s">
        <v>209</v>
      </c>
      <c r="D162">
        <v>3008</v>
      </c>
      <c r="E162">
        <v>1286</v>
      </c>
      <c r="F162">
        <v>925000</v>
      </c>
      <c r="G162" s="5">
        <f t="shared" si="7"/>
        <v>915352.9458123009</v>
      </c>
      <c r="H162" s="6">
        <f t="shared" si="6"/>
        <v>9647.0541876991047</v>
      </c>
      <c r="I162" s="7"/>
      <c r="J162" s="2">
        <f t="shared" si="8"/>
        <v>83.439667128987509</v>
      </c>
      <c r="K162">
        <f t="shared" si="8"/>
        <v>92.969455991324779</v>
      </c>
      <c r="L162">
        <f t="shared" si="8"/>
        <v>72.068562524347499</v>
      </c>
      <c r="M162" s="3" t="s">
        <v>201</v>
      </c>
      <c r="N162" s="8" t="s">
        <v>210</v>
      </c>
      <c r="O162" s="9">
        <v>88177</v>
      </c>
    </row>
    <row r="163" spans="1:15" ht="18" x14ac:dyDescent="0.45">
      <c r="A163" s="3" t="s">
        <v>151</v>
      </c>
      <c r="C163" s="4" t="s">
        <v>211</v>
      </c>
      <c r="D163">
        <v>3008</v>
      </c>
      <c r="E163">
        <v>1287.25</v>
      </c>
      <c r="F163">
        <v>925000</v>
      </c>
      <c r="G163" s="5">
        <f t="shared" si="7"/>
        <v>916237.81453879038</v>
      </c>
      <c r="H163" s="6">
        <f t="shared" si="6"/>
        <v>8762.1854612096213</v>
      </c>
      <c r="I163" s="7"/>
      <c r="J163" s="2">
        <f t="shared" si="8"/>
        <v>83.439667128987509</v>
      </c>
      <c r="K163">
        <f t="shared" si="8"/>
        <v>93.059822880896434</v>
      </c>
      <c r="L163">
        <f t="shared" si="8"/>
        <v>72.068562524347499</v>
      </c>
      <c r="M163" s="3" t="s">
        <v>201</v>
      </c>
      <c r="N163" s="8" t="s">
        <v>212</v>
      </c>
      <c r="O163" s="9">
        <v>88926.7</v>
      </c>
    </row>
    <row r="164" spans="1:15" ht="18" x14ac:dyDescent="0.45">
      <c r="A164" s="3" t="s">
        <v>151</v>
      </c>
      <c r="C164" s="4" t="s">
        <v>169</v>
      </c>
      <c r="D164">
        <v>3010.5</v>
      </c>
      <c r="E164">
        <v>1287.25</v>
      </c>
      <c r="F164">
        <v>927000</v>
      </c>
      <c r="G164" s="5">
        <f t="shared" si="7"/>
        <v>916995.15979688452</v>
      </c>
      <c r="H164" s="6">
        <f t="shared" si="6"/>
        <v>10004.840203115484</v>
      </c>
      <c r="I164" s="7"/>
      <c r="J164" s="2">
        <f t="shared" si="8"/>
        <v>83.509015256588071</v>
      </c>
      <c r="K164">
        <f t="shared" si="8"/>
        <v>93.059822880896434</v>
      </c>
      <c r="L164">
        <f t="shared" si="8"/>
        <v>72.224386443319048</v>
      </c>
      <c r="M164" s="3" t="s">
        <v>201</v>
      </c>
      <c r="N164" s="8" t="s">
        <v>213</v>
      </c>
      <c r="O164" s="9">
        <v>89500.6</v>
      </c>
    </row>
    <row r="165" spans="1:15" ht="18" x14ac:dyDescent="0.45">
      <c r="A165" s="3" t="s">
        <v>151</v>
      </c>
      <c r="C165" s="4" t="s">
        <v>171</v>
      </c>
      <c r="D165">
        <v>3008</v>
      </c>
      <c r="E165">
        <v>1287.25</v>
      </c>
      <c r="F165">
        <v>927000</v>
      </c>
      <c r="G165" s="5">
        <f t="shared" si="7"/>
        <v>916237.81453879038</v>
      </c>
      <c r="H165" s="6">
        <f t="shared" si="6"/>
        <v>10762.185461209621</v>
      </c>
      <c r="I165" s="7"/>
      <c r="J165" s="2">
        <f t="shared" si="8"/>
        <v>83.439667128987509</v>
      </c>
      <c r="K165">
        <f t="shared" si="8"/>
        <v>93.059822880896434</v>
      </c>
      <c r="L165">
        <f t="shared" si="8"/>
        <v>72.224386443319048</v>
      </c>
      <c r="M165" s="3" t="s">
        <v>201</v>
      </c>
      <c r="N165" s="8" t="s">
        <v>214</v>
      </c>
      <c r="O165" s="9">
        <v>89355.7</v>
      </c>
    </row>
    <row r="166" spans="1:15" ht="18" x14ac:dyDescent="0.45">
      <c r="A166" s="3" t="s">
        <v>151</v>
      </c>
      <c r="C166" s="4" t="s">
        <v>172</v>
      </c>
      <c r="D166">
        <v>2999.5</v>
      </c>
      <c r="E166">
        <v>1283.5</v>
      </c>
      <c r="F166">
        <v>919000</v>
      </c>
      <c r="G166" s="5">
        <f t="shared" si="7"/>
        <v>911015.73586229607</v>
      </c>
      <c r="H166" s="6">
        <f t="shared" si="6"/>
        <v>7984.2641377039254</v>
      </c>
      <c r="I166" s="7"/>
      <c r="J166" s="2">
        <f t="shared" si="8"/>
        <v>83.203883495145632</v>
      </c>
      <c r="K166">
        <f t="shared" si="8"/>
        <v>92.788722212181455</v>
      </c>
      <c r="L166">
        <f t="shared" si="8"/>
        <v>71.601090767432794</v>
      </c>
      <c r="M166" s="3" t="s">
        <v>201</v>
      </c>
      <c r="N166" s="8" t="s">
        <v>215</v>
      </c>
      <c r="O166" s="9">
        <v>88749.3</v>
      </c>
    </row>
    <row r="167" spans="1:15" ht="18" x14ac:dyDescent="0.45">
      <c r="A167" s="3" t="s">
        <v>151</v>
      </c>
      <c r="C167" s="4" t="s">
        <v>173</v>
      </c>
      <c r="D167">
        <v>2995.5</v>
      </c>
      <c r="E167">
        <v>1275.75</v>
      </c>
      <c r="F167">
        <v>911000</v>
      </c>
      <c r="G167" s="5">
        <f t="shared" si="7"/>
        <v>904344.12571978569</v>
      </c>
      <c r="H167" s="6">
        <f t="shared" si="6"/>
        <v>6655.8742802143097</v>
      </c>
      <c r="I167" s="7"/>
      <c r="J167" s="2">
        <f t="shared" si="8"/>
        <v>83.092926490984738</v>
      </c>
      <c r="K167">
        <f t="shared" si="8"/>
        <v>92.228447496837163</v>
      </c>
      <c r="L167">
        <f t="shared" si="8"/>
        <v>70.97779509154654</v>
      </c>
      <c r="M167" s="3" t="s">
        <v>201</v>
      </c>
      <c r="N167" s="8" t="s">
        <v>216</v>
      </c>
      <c r="O167" s="9">
        <v>88069</v>
      </c>
    </row>
    <row r="168" spans="1:15" ht="18" x14ac:dyDescent="0.45">
      <c r="A168" s="3" t="s">
        <v>151</v>
      </c>
      <c r="C168" s="4" t="s">
        <v>174</v>
      </c>
      <c r="D168">
        <v>3004</v>
      </c>
      <c r="E168">
        <v>1257</v>
      </c>
      <c r="F168">
        <v>910000</v>
      </c>
      <c r="G168" s="5">
        <f t="shared" si="7"/>
        <v>893640.71477349452</v>
      </c>
      <c r="H168" s="6">
        <f t="shared" si="6"/>
        <v>16359.285226505483</v>
      </c>
      <c r="I168" s="7"/>
      <c r="J168" s="2">
        <f t="shared" si="8"/>
        <v>83.328710124826628</v>
      </c>
      <c r="K168">
        <f t="shared" si="8"/>
        <v>90.872944153262253</v>
      </c>
      <c r="L168">
        <f t="shared" si="8"/>
        <v>70.899883132060779</v>
      </c>
      <c r="M168" s="3" t="s">
        <v>201</v>
      </c>
      <c r="N168" s="8" t="s">
        <v>217</v>
      </c>
      <c r="O168" s="9">
        <v>87792.7</v>
      </c>
    </row>
    <row r="169" spans="1:15" ht="18" x14ac:dyDescent="0.45">
      <c r="A169" s="3" t="s">
        <v>151</v>
      </c>
      <c r="C169" s="4" t="s">
        <v>218</v>
      </c>
      <c r="D169">
        <v>3001.5</v>
      </c>
      <c r="E169">
        <v>1240</v>
      </c>
      <c r="F169">
        <v>903000</v>
      </c>
      <c r="G169" s="5">
        <f t="shared" si="7"/>
        <v>880892.95701379271</v>
      </c>
      <c r="H169" s="6">
        <f t="shared" si="6"/>
        <v>22107.042986207292</v>
      </c>
      <c r="I169" s="7">
        <f>F169/F141-1</f>
        <v>-5.9374999999999956E-2</v>
      </c>
      <c r="J169" s="2">
        <f t="shared" si="8"/>
        <v>83.25936199722608</v>
      </c>
      <c r="K169">
        <f t="shared" si="8"/>
        <v>89.643954455087652</v>
      </c>
      <c r="L169">
        <f t="shared" si="8"/>
        <v>70.3544994156603</v>
      </c>
      <c r="M169" s="3" t="s">
        <v>201</v>
      </c>
      <c r="N169" s="8" t="s">
        <v>219</v>
      </c>
      <c r="O169" s="9">
        <v>85404.1</v>
      </c>
    </row>
    <row r="170" spans="1:15" ht="18" x14ac:dyDescent="0.45">
      <c r="A170" s="3" t="s">
        <v>175</v>
      </c>
      <c r="C170" s="4" t="s">
        <v>220</v>
      </c>
      <c r="D170">
        <v>3002</v>
      </c>
      <c r="E170">
        <v>1246.25</v>
      </c>
      <c r="F170">
        <v>902000</v>
      </c>
      <c r="G170" s="5">
        <f t="shared" si="7"/>
        <v>885454.3846976175</v>
      </c>
      <c r="H170" s="6">
        <f t="shared" si="6"/>
        <v>16545.615302382503</v>
      </c>
      <c r="I170" s="7"/>
      <c r="J170" s="2">
        <f t="shared" si="8"/>
        <v>83.273231622746195</v>
      </c>
      <c r="K170">
        <f t="shared" si="8"/>
        <v>90.095788902945969</v>
      </c>
      <c r="L170">
        <f t="shared" si="8"/>
        <v>70.276587456174525</v>
      </c>
      <c r="M170" s="3" t="s">
        <v>201</v>
      </c>
      <c r="N170" s="8" t="s">
        <v>221</v>
      </c>
      <c r="O170" s="9">
        <v>87112.9</v>
      </c>
    </row>
    <row r="171" spans="1:15" ht="18" x14ac:dyDescent="0.45">
      <c r="A171" s="3" t="s">
        <v>175</v>
      </c>
      <c r="C171" s="4" t="s">
        <v>176</v>
      </c>
      <c r="D171">
        <v>2997</v>
      </c>
      <c r="E171">
        <v>1246.25</v>
      </c>
      <c r="F171">
        <v>891500</v>
      </c>
      <c r="G171" s="5">
        <f t="shared" si="7"/>
        <v>883987.93835401721</v>
      </c>
      <c r="H171" s="6">
        <f t="shared" si="6"/>
        <v>7512.061645982787</v>
      </c>
      <c r="I171" s="7"/>
      <c r="J171" s="2">
        <f t="shared" si="8"/>
        <v>83.134535367545084</v>
      </c>
      <c r="K171">
        <f t="shared" si="8"/>
        <v>90.095788902945969</v>
      </c>
      <c r="L171">
        <f t="shared" si="8"/>
        <v>69.458511881573827</v>
      </c>
      <c r="M171" s="3" t="s">
        <v>201</v>
      </c>
      <c r="N171" s="8" t="s">
        <v>222</v>
      </c>
      <c r="O171" s="9">
        <v>87102.6</v>
      </c>
    </row>
    <row r="172" spans="1:15" ht="18" x14ac:dyDescent="0.45">
      <c r="A172" s="3" t="s">
        <v>175</v>
      </c>
      <c r="C172" s="4" t="s">
        <v>178</v>
      </c>
      <c r="D172">
        <v>2945.5</v>
      </c>
      <c r="E172">
        <v>1246.25</v>
      </c>
      <c r="F172">
        <v>858000</v>
      </c>
      <c r="G172" s="5">
        <f t="shared" si="7"/>
        <v>868883.54101493419</v>
      </c>
      <c r="H172" s="6">
        <f t="shared" si="6"/>
        <v>-10883.541014934191</v>
      </c>
      <c r="I172" s="7"/>
      <c r="J172" s="2">
        <f t="shared" si="8"/>
        <v>81.705963938973639</v>
      </c>
      <c r="K172">
        <f t="shared" si="8"/>
        <v>90.095788902945969</v>
      </c>
      <c r="L172">
        <f t="shared" si="8"/>
        <v>66.848461238800155</v>
      </c>
      <c r="M172" s="3" t="s">
        <v>201</v>
      </c>
      <c r="N172" s="8" t="s">
        <v>223</v>
      </c>
      <c r="O172" s="9">
        <v>85700.6</v>
      </c>
    </row>
    <row r="173" spans="1:15" ht="18" x14ac:dyDescent="0.45">
      <c r="A173" s="3" t="s">
        <v>175</v>
      </c>
      <c r="C173" s="4" t="s">
        <v>179</v>
      </c>
      <c r="D173">
        <v>2893.5</v>
      </c>
      <c r="E173">
        <v>1243</v>
      </c>
      <c r="F173">
        <v>859500</v>
      </c>
      <c r="G173" s="5">
        <f t="shared" si="7"/>
        <v>851419.41529273684</v>
      </c>
      <c r="H173" s="6">
        <f t="shared" si="6"/>
        <v>8080.5847072631586</v>
      </c>
      <c r="I173" s="7"/>
      <c r="J173" s="2">
        <f t="shared" si="8"/>
        <v>80.263522884882107</v>
      </c>
      <c r="K173">
        <f t="shared" si="8"/>
        <v>89.860834990059644</v>
      </c>
      <c r="L173">
        <f t="shared" si="8"/>
        <v>66.965329178028838</v>
      </c>
      <c r="M173" s="3" t="s">
        <v>201</v>
      </c>
      <c r="N173" s="8" t="s">
        <v>224</v>
      </c>
      <c r="O173" s="9">
        <v>84973.2</v>
      </c>
    </row>
    <row r="174" spans="1:15" ht="18" x14ac:dyDescent="0.45">
      <c r="A174" s="3" t="s">
        <v>175</v>
      </c>
      <c r="C174" s="4" t="s">
        <v>180</v>
      </c>
      <c r="D174">
        <v>2939</v>
      </c>
      <c r="E174">
        <v>1247.5</v>
      </c>
      <c r="F174">
        <v>857500</v>
      </c>
      <c r="G174" s="5">
        <f t="shared" si="7"/>
        <v>867841.73164164217</v>
      </c>
      <c r="H174" s="6">
        <f t="shared" si="6"/>
        <v>-10341.731641642167</v>
      </c>
      <c r="I174" s="7"/>
      <c r="J174" s="2">
        <f t="shared" si="8"/>
        <v>81.52565880721221</v>
      </c>
      <c r="K174">
        <f t="shared" si="8"/>
        <v>90.186155792517624</v>
      </c>
      <c r="L174">
        <f t="shared" si="8"/>
        <v>66.809505259057261</v>
      </c>
      <c r="M174" s="3" t="s">
        <v>201</v>
      </c>
      <c r="N174" s="8" t="s">
        <v>225</v>
      </c>
      <c r="O174" s="9">
        <v>83641.5</v>
      </c>
    </row>
    <row r="175" spans="1:15" ht="18" x14ac:dyDescent="0.45">
      <c r="A175" s="3" t="s">
        <v>175</v>
      </c>
      <c r="C175" s="4" t="s">
        <v>181</v>
      </c>
      <c r="D175">
        <v>2964.5</v>
      </c>
      <c r="E175">
        <v>1245</v>
      </c>
      <c r="F175">
        <v>875500</v>
      </c>
      <c r="G175" s="5">
        <f t="shared" si="7"/>
        <v>873583.96486673306</v>
      </c>
      <c r="H175" s="6">
        <f t="shared" si="6"/>
        <v>1916.0351332669379</v>
      </c>
      <c r="I175" s="7"/>
      <c r="J175" s="2">
        <f t="shared" si="8"/>
        <v>82.233009708737853</v>
      </c>
      <c r="K175">
        <f t="shared" si="8"/>
        <v>90.0054220133743</v>
      </c>
      <c r="L175">
        <f t="shared" si="8"/>
        <v>68.211920529801333</v>
      </c>
      <c r="M175" s="3" t="s">
        <v>226</v>
      </c>
      <c r="N175" s="8" t="s">
        <v>227</v>
      </c>
      <c r="O175" s="9">
        <v>83252.399999999994</v>
      </c>
    </row>
    <row r="176" spans="1:15" ht="18" x14ac:dyDescent="0.45">
      <c r="A176" s="3" t="s">
        <v>175</v>
      </c>
      <c r="C176" s="4" t="s">
        <v>228</v>
      </c>
      <c r="D176">
        <v>2952.5</v>
      </c>
      <c r="E176">
        <v>1245</v>
      </c>
      <c r="F176">
        <v>861500</v>
      </c>
      <c r="G176" s="5">
        <f t="shared" si="7"/>
        <v>870068.02370350121</v>
      </c>
      <c r="H176" s="6">
        <f t="shared" si="6"/>
        <v>-8568.0237035012105</v>
      </c>
      <c r="I176" s="7"/>
      <c r="J176" s="2">
        <f t="shared" si="8"/>
        <v>81.900138696255198</v>
      </c>
      <c r="K176">
        <f t="shared" si="8"/>
        <v>90.0054220133743</v>
      </c>
      <c r="L176">
        <f t="shared" si="8"/>
        <v>67.121153097000388</v>
      </c>
      <c r="M176" s="3" t="s">
        <v>226</v>
      </c>
      <c r="N176" s="8" t="s">
        <v>229</v>
      </c>
      <c r="O176" s="9">
        <v>82028.800000000003</v>
      </c>
    </row>
    <row r="177" spans="1:15" ht="18" x14ac:dyDescent="0.45">
      <c r="A177" s="3" t="s">
        <v>175</v>
      </c>
      <c r="C177" s="4" t="s">
        <v>230</v>
      </c>
      <c r="D177">
        <v>2941.5</v>
      </c>
      <c r="E177">
        <v>1253</v>
      </c>
      <c r="F177">
        <v>856000</v>
      </c>
      <c r="G177" s="5">
        <f t="shared" si="7"/>
        <v>872383.03797543631</v>
      </c>
      <c r="H177" s="6">
        <f t="shared" si="6"/>
        <v>-16383.037975436309</v>
      </c>
      <c r="I177" s="7"/>
      <c r="J177" s="2">
        <f t="shared" si="8"/>
        <v>81.595006934812773</v>
      </c>
      <c r="K177">
        <f t="shared" si="8"/>
        <v>90.583770106632926</v>
      </c>
      <c r="L177">
        <f t="shared" si="8"/>
        <v>66.692637319828606</v>
      </c>
      <c r="M177" s="3" t="s">
        <v>226</v>
      </c>
      <c r="N177" s="8" t="s">
        <v>231</v>
      </c>
      <c r="O177" s="9">
        <v>82670.3</v>
      </c>
    </row>
    <row r="178" spans="1:15" ht="18" x14ac:dyDescent="0.45">
      <c r="A178" s="3" t="s">
        <v>175</v>
      </c>
      <c r="C178" s="4" t="s">
        <v>182</v>
      </c>
      <c r="D178">
        <v>2948</v>
      </c>
      <c r="E178">
        <v>1253</v>
      </c>
      <c r="F178">
        <v>863000</v>
      </c>
      <c r="G178" s="5">
        <f t="shared" si="7"/>
        <v>874299.74365173758</v>
      </c>
      <c r="H178" s="6">
        <f t="shared" si="6"/>
        <v>-11299.743651737575</v>
      </c>
      <c r="I178" s="7"/>
      <c r="J178" s="2">
        <f t="shared" si="8"/>
        <v>81.775312066574202</v>
      </c>
      <c r="K178">
        <f t="shared" si="8"/>
        <v>90.583770106632926</v>
      </c>
      <c r="L178">
        <f t="shared" si="8"/>
        <v>67.238021036229057</v>
      </c>
      <c r="M178" s="3" t="s">
        <v>226</v>
      </c>
      <c r="N178" s="8" t="s">
        <v>232</v>
      </c>
      <c r="O178" s="9">
        <v>81905.600000000006</v>
      </c>
    </row>
    <row r="179" spans="1:15" ht="18" x14ac:dyDescent="0.45">
      <c r="A179" s="3" t="s">
        <v>175</v>
      </c>
      <c r="C179" s="4" t="s">
        <v>183</v>
      </c>
      <c r="D179">
        <v>2949.5</v>
      </c>
      <c r="E179">
        <v>1253</v>
      </c>
      <c r="F179">
        <v>872000</v>
      </c>
      <c r="G179" s="5">
        <f t="shared" si="7"/>
        <v>874742.0603462687</v>
      </c>
      <c r="H179" s="6">
        <f t="shared" si="6"/>
        <v>-2742.0603462686995</v>
      </c>
      <c r="I179" s="7"/>
      <c r="J179" s="2">
        <f t="shared" si="8"/>
        <v>81.816920943134534</v>
      </c>
      <c r="K179">
        <f t="shared" si="8"/>
        <v>90.583770106632926</v>
      </c>
      <c r="L179">
        <f t="shared" si="8"/>
        <v>67.939228671601086</v>
      </c>
      <c r="M179" s="3" t="s">
        <v>226</v>
      </c>
      <c r="N179" s="8" t="s">
        <v>233</v>
      </c>
      <c r="O179" s="9">
        <v>80861.399999999994</v>
      </c>
    </row>
    <row r="180" spans="1:15" ht="18" x14ac:dyDescent="0.45">
      <c r="A180" s="3" t="s">
        <v>175</v>
      </c>
      <c r="C180" s="4" t="s">
        <v>184</v>
      </c>
      <c r="D180">
        <v>2947</v>
      </c>
      <c r="E180">
        <v>1229.5</v>
      </c>
      <c r="F180">
        <v>869000</v>
      </c>
      <c r="G180" s="5">
        <f t="shared" si="7"/>
        <v>857706.68999935698</v>
      </c>
      <c r="H180" s="6">
        <f t="shared" si="6"/>
        <v>11293.310000643018</v>
      </c>
      <c r="I180" s="7"/>
      <c r="J180" s="2">
        <f t="shared" si="8"/>
        <v>81.747572815533971</v>
      </c>
      <c r="K180">
        <f t="shared" si="8"/>
        <v>88.884872582685702</v>
      </c>
      <c r="L180">
        <f t="shared" si="8"/>
        <v>67.705492793143748</v>
      </c>
      <c r="M180" s="3" t="s">
        <v>226</v>
      </c>
      <c r="N180" s="8" t="s">
        <v>234</v>
      </c>
      <c r="O180" s="9">
        <v>81644.399999999994</v>
      </c>
    </row>
    <row r="181" spans="1:15" ht="18" x14ac:dyDescent="0.45">
      <c r="A181" s="3" t="s">
        <v>175</v>
      </c>
      <c r="C181" s="4" t="s">
        <v>185</v>
      </c>
      <c r="D181">
        <v>2937</v>
      </c>
      <c r="E181">
        <v>1217.25</v>
      </c>
      <c r="F181">
        <v>856000</v>
      </c>
      <c r="G181" s="5">
        <f t="shared" si="7"/>
        <v>846346.1875389833</v>
      </c>
      <c r="H181" s="6">
        <f t="shared" si="6"/>
        <v>9653.8124610166997</v>
      </c>
      <c r="I181" s="7"/>
      <c r="J181" s="2">
        <f t="shared" si="8"/>
        <v>81.470180305131748</v>
      </c>
      <c r="K181">
        <f t="shared" si="8"/>
        <v>87.999277064883429</v>
      </c>
      <c r="L181">
        <f t="shared" si="8"/>
        <v>66.692637319828606</v>
      </c>
      <c r="M181" s="3" t="s">
        <v>226</v>
      </c>
      <c r="N181" s="8" t="s">
        <v>235</v>
      </c>
      <c r="O181" s="9">
        <v>82797.7</v>
      </c>
    </row>
    <row r="182" spans="1:15" ht="18" x14ac:dyDescent="0.45">
      <c r="A182" s="3" t="s">
        <v>175</v>
      </c>
      <c r="C182" s="4" t="s">
        <v>186</v>
      </c>
      <c r="D182">
        <v>2946</v>
      </c>
      <c r="E182">
        <v>1227.5</v>
      </c>
      <c r="F182">
        <v>861500</v>
      </c>
      <c r="G182" s="5">
        <f t="shared" si="7"/>
        <v>856030.73451114038</v>
      </c>
      <c r="H182" s="6">
        <f t="shared" si="6"/>
        <v>5469.2654888596153</v>
      </c>
      <c r="I182" s="7"/>
      <c r="J182" s="2">
        <f t="shared" si="8"/>
        <v>81.719833564493769</v>
      </c>
      <c r="K182">
        <f t="shared" si="8"/>
        <v>88.740285559371046</v>
      </c>
      <c r="L182">
        <f t="shared" si="8"/>
        <v>67.121153097000388</v>
      </c>
      <c r="M182" s="3" t="s">
        <v>226</v>
      </c>
      <c r="N182" s="8" t="s">
        <v>236</v>
      </c>
      <c r="O182" s="9">
        <v>84164.7</v>
      </c>
    </row>
    <row r="183" spans="1:15" ht="18" x14ac:dyDescent="0.45">
      <c r="A183" s="3" t="s">
        <v>175</v>
      </c>
      <c r="C183" s="4" t="s">
        <v>237</v>
      </c>
      <c r="D183">
        <v>2946.5</v>
      </c>
      <c r="E183">
        <v>1222.5</v>
      </c>
      <c r="F183">
        <v>865500</v>
      </c>
      <c r="G183" s="5">
        <f t="shared" si="7"/>
        <v>852708.06421004399</v>
      </c>
      <c r="H183" s="6">
        <f t="shared" si="6"/>
        <v>12791.935789956013</v>
      </c>
      <c r="I183" s="7"/>
      <c r="J183" s="2">
        <f t="shared" si="8"/>
        <v>81.73370319001387</v>
      </c>
      <c r="K183">
        <f t="shared" si="8"/>
        <v>88.378818001084397</v>
      </c>
      <c r="L183">
        <f t="shared" si="8"/>
        <v>67.432800934943515</v>
      </c>
      <c r="M183" s="3" t="s">
        <v>226</v>
      </c>
      <c r="N183" s="8" t="s">
        <v>238</v>
      </c>
      <c r="O183" s="9">
        <v>83606.5</v>
      </c>
    </row>
    <row r="184" spans="1:15" ht="18" x14ac:dyDescent="0.45">
      <c r="A184" s="3" t="s">
        <v>175</v>
      </c>
      <c r="C184" s="4" t="s">
        <v>239</v>
      </c>
      <c r="D184">
        <v>2946</v>
      </c>
      <c r="E184">
        <v>1233</v>
      </c>
      <c r="F184">
        <v>859000</v>
      </c>
      <c r="G184" s="5">
        <f t="shared" si="7"/>
        <v>859843.90684499883</v>
      </c>
      <c r="H184" s="6">
        <f t="shared" si="6"/>
        <v>-843.90684499882627</v>
      </c>
      <c r="I184" s="7"/>
      <c r="J184" s="2">
        <f t="shared" si="8"/>
        <v>81.719833564493769</v>
      </c>
      <c r="K184">
        <f t="shared" si="8"/>
        <v>89.137899873486361</v>
      </c>
      <c r="L184">
        <f t="shared" si="8"/>
        <v>66.926373198285944</v>
      </c>
      <c r="M184" s="3" t="s">
        <v>226</v>
      </c>
      <c r="N184" s="8" t="s">
        <v>240</v>
      </c>
      <c r="O184" s="9">
        <v>83165</v>
      </c>
    </row>
    <row r="185" spans="1:15" ht="18" x14ac:dyDescent="0.45">
      <c r="A185" s="3" t="s">
        <v>175</v>
      </c>
      <c r="C185" s="4" t="s">
        <v>187</v>
      </c>
      <c r="D185">
        <v>2944.5</v>
      </c>
      <c r="E185">
        <v>1233</v>
      </c>
      <c r="F185">
        <v>861000</v>
      </c>
      <c r="G185" s="5">
        <f t="shared" si="7"/>
        <v>859408.65027328546</v>
      </c>
      <c r="H185" s="6">
        <f t="shared" si="6"/>
        <v>1591.3497267145431</v>
      </c>
      <c r="I185" s="7"/>
      <c r="J185" s="2">
        <f t="shared" si="8"/>
        <v>81.678224687933422</v>
      </c>
      <c r="K185">
        <f t="shared" si="8"/>
        <v>89.137899873486361</v>
      </c>
      <c r="L185">
        <f t="shared" si="8"/>
        <v>67.082197117257493</v>
      </c>
      <c r="M185" s="3" t="s">
        <v>226</v>
      </c>
      <c r="N185" s="8" t="s">
        <v>241</v>
      </c>
      <c r="O185" s="9">
        <v>83170.600000000006</v>
      </c>
    </row>
    <row r="186" spans="1:15" ht="18" x14ac:dyDescent="0.45">
      <c r="A186" s="3" t="s">
        <v>175</v>
      </c>
      <c r="C186" s="4" t="s">
        <v>188</v>
      </c>
      <c r="D186">
        <v>2939</v>
      </c>
      <c r="E186">
        <v>1233</v>
      </c>
      <c r="F186">
        <v>863000</v>
      </c>
      <c r="G186" s="5">
        <f t="shared" si="7"/>
        <v>857812.70951033651</v>
      </c>
      <c r="H186" s="6">
        <f t="shared" si="6"/>
        <v>5187.2904896634864</v>
      </c>
      <c r="I186" s="7"/>
      <c r="J186" s="2">
        <f t="shared" si="8"/>
        <v>81.52565880721221</v>
      </c>
      <c r="K186">
        <f t="shared" si="8"/>
        <v>89.137899873486361</v>
      </c>
      <c r="L186">
        <f t="shared" si="8"/>
        <v>67.238021036229057</v>
      </c>
      <c r="M186" s="3" t="s">
        <v>226</v>
      </c>
      <c r="N186" s="8" t="s">
        <v>242</v>
      </c>
      <c r="O186" s="9">
        <v>82214.3</v>
      </c>
    </row>
    <row r="187" spans="1:15" ht="18" x14ac:dyDescent="0.45">
      <c r="A187" s="3" t="s">
        <v>175</v>
      </c>
      <c r="C187" s="4" t="s">
        <v>190</v>
      </c>
      <c r="D187">
        <v>2940</v>
      </c>
      <c r="E187">
        <v>1237</v>
      </c>
      <c r="F187">
        <v>865000</v>
      </c>
      <c r="G187" s="5">
        <f t="shared" si="7"/>
        <v>860870.44870269753</v>
      </c>
      <c r="H187" s="6">
        <f t="shared" si="6"/>
        <v>4129.5512973024743</v>
      </c>
      <c r="I187" s="7"/>
      <c r="J187" s="2">
        <f t="shared" si="8"/>
        <v>81.553398058252426</v>
      </c>
      <c r="K187">
        <f t="shared" si="8"/>
        <v>89.427073920115674</v>
      </c>
      <c r="L187">
        <f t="shared" si="8"/>
        <v>67.39384495520062</v>
      </c>
      <c r="M187" s="3" t="s">
        <v>226</v>
      </c>
      <c r="N187" s="8" t="s">
        <v>243</v>
      </c>
      <c r="O187" s="9">
        <v>81066.8</v>
      </c>
    </row>
    <row r="188" spans="1:15" ht="18" x14ac:dyDescent="0.45">
      <c r="A188" s="3" t="s">
        <v>175</v>
      </c>
      <c r="C188" s="4" t="s">
        <v>192</v>
      </c>
      <c r="D188">
        <v>2940.5</v>
      </c>
      <c r="E188">
        <v>1266.25</v>
      </c>
      <c r="F188">
        <v>875000</v>
      </c>
      <c r="G188" s="5">
        <f t="shared" si="7"/>
        <v>881257.28876836621</v>
      </c>
      <c r="H188" s="6">
        <f t="shared" si="6"/>
        <v>-6257.288768366212</v>
      </c>
      <c r="I188" s="7"/>
      <c r="J188" s="2">
        <f t="shared" si="8"/>
        <v>81.567267683772542</v>
      </c>
      <c r="K188">
        <f t="shared" si="8"/>
        <v>91.541659136092534</v>
      </c>
      <c r="L188">
        <f t="shared" si="8"/>
        <v>68.172964550058438</v>
      </c>
      <c r="M188" s="3" t="s">
        <v>226</v>
      </c>
      <c r="N188" s="8" t="s">
        <v>244</v>
      </c>
      <c r="O188" s="9">
        <v>80949.5</v>
      </c>
    </row>
    <row r="189" spans="1:15" ht="18" x14ac:dyDescent="0.45">
      <c r="A189" s="3" t="s">
        <v>175</v>
      </c>
      <c r="C189" s="4" t="s">
        <v>193</v>
      </c>
      <c r="D189">
        <v>2939</v>
      </c>
      <c r="E189">
        <v>1260.75</v>
      </c>
      <c r="F189">
        <v>879500</v>
      </c>
      <c r="G189" s="5">
        <f t="shared" si="7"/>
        <v>877006.18289955938</v>
      </c>
      <c r="H189" s="6">
        <f t="shared" si="6"/>
        <v>2493.8171004406177</v>
      </c>
      <c r="I189" s="7"/>
      <c r="J189" s="2">
        <f t="shared" si="8"/>
        <v>81.52565880721221</v>
      </c>
      <c r="K189">
        <f t="shared" si="8"/>
        <v>91.144044821977232</v>
      </c>
      <c r="L189">
        <f t="shared" si="8"/>
        <v>68.523568367744446</v>
      </c>
      <c r="M189" s="3" t="s">
        <v>226</v>
      </c>
      <c r="N189" s="8" t="s">
        <v>245</v>
      </c>
      <c r="O189" s="9">
        <v>80240.3</v>
      </c>
    </row>
    <row r="190" spans="1:15" ht="18" x14ac:dyDescent="0.45">
      <c r="A190" s="3" t="s">
        <v>175</v>
      </c>
      <c r="C190" s="4" t="s">
        <v>246</v>
      </c>
      <c r="D190">
        <v>2927.5</v>
      </c>
      <c r="E190">
        <v>1225.25</v>
      </c>
      <c r="F190">
        <v>872000</v>
      </c>
      <c r="G190" s="5">
        <f t="shared" si="7"/>
        <v>849136.3774937304</v>
      </c>
      <c r="H190" s="6">
        <f t="shared" si="6"/>
        <v>22863.622506269603</v>
      </c>
      <c r="I190" s="7"/>
      <c r="J190" s="2">
        <f t="shared" si="8"/>
        <v>81.206657420249655</v>
      </c>
      <c r="K190">
        <f t="shared" si="8"/>
        <v>88.577625158142055</v>
      </c>
      <c r="L190">
        <f t="shared" si="8"/>
        <v>67.939228671601086</v>
      </c>
      <c r="M190" s="3" t="s">
        <v>226</v>
      </c>
      <c r="N190" s="8" t="s">
        <v>247</v>
      </c>
      <c r="O190" s="9">
        <v>79136.600000000006</v>
      </c>
    </row>
    <row r="191" spans="1:15" ht="18" x14ac:dyDescent="0.45">
      <c r="A191" s="3" t="s">
        <v>175</v>
      </c>
      <c r="C191" s="4" t="s">
        <v>248</v>
      </c>
      <c r="D191">
        <v>2932.5</v>
      </c>
      <c r="E191">
        <v>1232</v>
      </c>
      <c r="F191">
        <v>866500</v>
      </c>
      <c r="G191" s="5">
        <f t="shared" si="7"/>
        <v>855236.4706941453</v>
      </c>
      <c r="H191" s="6">
        <f t="shared" si="6"/>
        <v>11263.529305854696</v>
      </c>
      <c r="I191" s="7"/>
      <c r="J191" s="2">
        <f t="shared" si="8"/>
        <v>81.345353675450752</v>
      </c>
      <c r="K191">
        <f t="shared" si="8"/>
        <v>89.065606361829026</v>
      </c>
      <c r="L191">
        <f t="shared" si="8"/>
        <v>67.51071289442929</v>
      </c>
      <c r="M191" s="3" t="s">
        <v>226</v>
      </c>
      <c r="N191" s="8" t="s">
        <v>249</v>
      </c>
      <c r="O191" s="9">
        <v>79153.100000000006</v>
      </c>
    </row>
    <row r="192" spans="1:15" ht="18" x14ac:dyDescent="0.45">
      <c r="A192" s="3" t="s">
        <v>175</v>
      </c>
      <c r="C192" s="4" t="s">
        <v>194</v>
      </c>
      <c r="D192">
        <v>2950</v>
      </c>
      <c r="E192">
        <v>1232</v>
      </c>
      <c r="F192">
        <v>876000</v>
      </c>
      <c r="G192" s="5">
        <f t="shared" si="7"/>
        <v>860310.34562582383</v>
      </c>
      <c r="H192" s="6">
        <f t="shared" si="6"/>
        <v>15689.654374176171</v>
      </c>
      <c r="I192" s="7"/>
      <c r="J192" s="2">
        <f t="shared" si="8"/>
        <v>81.830790568654635</v>
      </c>
      <c r="K192">
        <f t="shared" si="8"/>
        <v>89.065606361829026</v>
      </c>
      <c r="L192">
        <f t="shared" si="8"/>
        <v>68.250876509544213</v>
      </c>
      <c r="M192" s="3" t="s">
        <v>226</v>
      </c>
      <c r="N192" s="8" t="s">
        <v>250</v>
      </c>
      <c r="O192" s="9">
        <v>79769.2</v>
      </c>
    </row>
    <row r="193" spans="1:15" ht="18" x14ac:dyDescent="0.45">
      <c r="A193" s="3" t="s">
        <v>175</v>
      </c>
      <c r="C193" s="4" t="s">
        <v>195</v>
      </c>
      <c r="D193">
        <v>2954</v>
      </c>
      <c r="E193">
        <v>1232</v>
      </c>
      <c r="F193">
        <v>878500</v>
      </c>
      <c r="G193" s="5">
        <f t="shared" si="7"/>
        <v>861470.08846735035</v>
      </c>
      <c r="H193" s="6">
        <f t="shared" si="6"/>
        <v>17029.911532649654</v>
      </c>
      <c r="I193" s="7"/>
      <c r="J193" s="2">
        <f t="shared" si="8"/>
        <v>81.94174757281553</v>
      </c>
      <c r="K193">
        <f t="shared" si="8"/>
        <v>89.065606361829026</v>
      </c>
      <c r="L193">
        <f t="shared" si="8"/>
        <v>68.445656408258671</v>
      </c>
      <c r="M193" s="3" t="s">
        <v>226</v>
      </c>
      <c r="N193" s="8" t="s">
        <v>251</v>
      </c>
      <c r="O193" s="9">
        <v>80603</v>
      </c>
    </row>
    <row r="194" spans="1:15" ht="18" x14ac:dyDescent="0.45">
      <c r="A194" s="3" t="s">
        <v>175</v>
      </c>
      <c r="C194" s="4" t="s">
        <v>196</v>
      </c>
      <c r="D194">
        <v>2942.5</v>
      </c>
      <c r="E194">
        <v>1234.75</v>
      </c>
      <c r="F194">
        <v>872500</v>
      </c>
      <c r="G194" s="5">
        <f t="shared" si="7"/>
        <v>860040.14884215349</v>
      </c>
      <c r="H194" s="6">
        <f t="shared" ref="H194:H257" si="9">F:F-G:G</f>
        <v>12459.851157846511</v>
      </c>
      <c r="I194" s="7"/>
      <c r="J194" s="2">
        <f t="shared" si="8"/>
        <v>81.622746185852975</v>
      </c>
      <c r="K194">
        <f t="shared" si="8"/>
        <v>89.26441351888667</v>
      </c>
      <c r="L194">
        <f t="shared" si="8"/>
        <v>67.97818465134398</v>
      </c>
      <c r="M194" s="3" t="s">
        <v>226</v>
      </c>
      <c r="N194" s="8" t="s">
        <v>252</v>
      </c>
      <c r="O194" s="9">
        <v>80435.7</v>
      </c>
    </row>
    <row r="195" spans="1:15" ht="18" x14ac:dyDescent="0.45">
      <c r="A195" s="3" t="s">
        <v>175</v>
      </c>
      <c r="C195" s="4" t="s">
        <v>197</v>
      </c>
      <c r="D195">
        <v>2937.5</v>
      </c>
      <c r="E195">
        <v>1231.75</v>
      </c>
      <c r="F195">
        <v>872000</v>
      </c>
      <c r="G195" s="5">
        <f t="shared" ref="G195:G258" si="10">E195/31.103*8.133*D195*0.9+5000</f>
        <v>856513.32332291082</v>
      </c>
      <c r="H195" s="6">
        <f t="shared" si="9"/>
        <v>15486.676677089185</v>
      </c>
      <c r="I195" s="7"/>
      <c r="J195" s="2">
        <f t="shared" si="8"/>
        <v>81.484049930651878</v>
      </c>
      <c r="K195">
        <f t="shared" si="8"/>
        <v>89.047532983914692</v>
      </c>
      <c r="L195">
        <f t="shared" si="8"/>
        <v>67.939228671601086</v>
      </c>
      <c r="M195" s="3" t="s">
        <v>226</v>
      </c>
      <c r="N195" s="8" t="s">
        <v>253</v>
      </c>
      <c r="O195" s="9">
        <v>80986.5</v>
      </c>
    </row>
    <row r="196" spans="1:15" ht="18" x14ac:dyDescent="0.45">
      <c r="A196" s="3" t="s">
        <v>175</v>
      </c>
      <c r="C196" s="4" t="s">
        <v>199</v>
      </c>
      <c r="D196">
        <v>2941.5</v>
      </c>
      <c r="E196">
        <v>1230.5</v>
      </c>
      <c r="F196">
        <v>872000</v>
      </c>
      <c r="G196" s="5">
        <f t="shared" si="10"/>
        <v>856807.52452416148</v>
      </c>
      <c r="H196" s="6">
        <f t="shared" si="9"/>
        <v>15192.475475838524</v>
      </c>
      <c r="I196" s="7"/>
      <c r="J196" s="2">
        <f t="shared" si="8"/>
        <v>81.595006934812773</v>
      </c>
      <c r="K196">
        <f t="shared" si="8"/>
        <v>88.957166094343037</v>
      </c>
      <c r="L196">
        <f t="shared" si="8"/>
        <v>67.939228671601086</v>
      </c>
      <c r="M196" s="3" t="s">
        <v>254</v>
      </c>
      <c r="N196" s="8" t="s">
        <v>255</v>
      </c>
      <c r="O196" s="9">
        <v>81325</v>
      </c>
    </row>
    <row r="197" spans="1:15" ht="18" x14ac:dyDescent="0.45">
      <c r="A197" s="3" t="s">
        <v>175</v>
      </c>
      <c r="C197" s="4" t="s">
        <v>256</v>
      </c>
      <c r="D197">
        <v>2942</v>
      </c>
      <c r="E197">
        <v>1196</v>
      </c>
      <c r="F197">
        <v>865500</v>
      </c>
      <c r="G197" s="5">
        <f t="shared" si="10"/>
        <v>833065.80234704027</v>
      </c>
      <c r="H197" s="6">
        <f t="shared" si="9"/>
        <v>32434.19765295973</v>
      </c>
      <c r="I197" s="7"/>
      <c r="J197" s="2">
        <f t="shared" si="8"/>
        <v>81.608876560332874</v>
      </c>
      <c r="K197">
        <f t="shared" si="8"/>
        <v>86.463039942165182</v>
      </c>
      <c r="L197">
        <f t="shared" si="8"/>
        <v>67.432800934943515</v>
      </c>
      <c r="M197" s="3" t="s">
        <v>254</v>
      </c>
      <c r="N197" s="8" t="s">
        <v>257</v>
      </c>
      <c r="O197" s="9">
        <v>81281.600000000006</v>
      </c>
    </row>
    <row r="198" spans="1:15" ht="18" x14ac:dyDescent="0.45">
      <c r="A198" s="3" t="s">
        <v>175</v>
      </c>
      <c r="C198" s="4" t="s">
        <v>258</v>
      </c>
      <c r="D198">
        <v>2945</v>
      </c>
      <c r="E198">
        <v>1195.25</v>
      </c>
      <c r="F198">
        <v>858000</v>
      </c>
      <c r="G198" s="5">
        <f t="shared" si="10"/>
        <v>833390.39149358578</v>
      </c>
      <c r="H198" s="6">
        <f t="shared" si="9"/>
        <v>24609.608506414224</v>
      </c>
      <c r="I198" s="7"/>
      <c r="J198" s="2">
        <f t="shared" si="8"/>
        <v>81.692094313453538</v>
      </c>
      <c r="K198">
        <f t="shared" si="8"/>
        <v>86.408819808422194</v>
      </c>
      <c r="L198">
        <f t="shared" si="8"/>
        <v>66.848461238800155</v>
      </c>
      <c r="M198" s="3" t="s">
        <v>254</v>
      </c>
      <c r="N198" s="8" t="s">
        <v>259</v>
      </c>
      <c r="O198" s="9">
        <v>80849.8</v>
      </c>
    </row>
    <row r="199" spans="1:15" ht="18" x14ac:dyDescent="0.45">
      <c r="A199" s="3" t="s">
        <v>175</v>
      </c>
      <c r="C199" s="4" t="s">
        <v>260</v>
      </c>
      <c r="D199">
        <v>2942</v>
      </c>
      <c r="E199">
        <v>1195.25</v>
      </c>
      <c r="F199">
        <v>854000</v>
      </c>
      <c r="G199" s="5">
        <f t="shared" si="10"/>
        <v>832546.5303137959</v>
      </c>
      <c r="H199" s="6">
        <f t="shared" si="9"/>
        <v>21453.469686204102</v>
      </c>
      <c r="I199" s="7">
        <f>F199/F170-1</f>
        <v>-5.3215077605321515E-2</v>
      </c>
      <c r="J199" s="2">
        <f t="shared" si="8"/>
        <v>81.608876560332874</v>
      </c>
      <c r="K199">
        <f t="shared" si="8"/>
        <v>86.408819808422194</v>
      </c>
      <c r="L199">
        <f t="shared" si="8"/>
        <v>66.536813400857028</v>
      </c>
      <c r="M199" s="3" t="s">
        <v>254</v>
      </c>
      <c r="N199" s="8" t="s">
        <v>261</v>
      </c>
      <c r="O199" s="9">
        <v>80087.399999999994</v>
      </c>
    </row>
    <row r="200" spans="1:15" ht="18" x14ac:dyDescent="0.45">
      <c r="A200" s="3" t="s">
        <v>201</v>
      </c>
      <c r="C200" s="4" t="s">
        <v>202</v>
      </c>
      <c r="D200">
        <v>2945.5</v>
      </c>
      <c r="E200">
        <v>1195.25</v>
      </c>
      <c r="F200">
        <v>853500</v>
      </c>
      <c r="G200" s="5">
        <f t="shared" si="10"/>
        <v>833531.03502355062</v>
      </c>
      <c r="H200" s="6">
        <f t="shared" si="9"/>
        <v>19968.964976449381</v>
      </c>
      <c r="I200" s="7"/>
      <c r="J200" s="2">
        <f t="shared" si="8"/>
        <v>81.705963938973639</v>
      </c>
      <c r="K200">
        <f t="shared" si="8"/>
        <v>86.408819808422194</v>
      </c>
      <c r="L200">
        <f t="shared" si="8"/>
        <v>66.497857421114134</v>
      </c>
      <c r="M200" s="3" t="s">
        <v>254</v>
      </c>
      <c r="N200" s="8" t="s">
        <v>262</v>
      </c>
      <c r="O200" s="9">
        <v>79785.5</v>
      </c>
    </row>
    <row r="201" spans="1:15" ht="18" x14ac:dyDescent="0.45">
      <c r="A201" s="3" t="s">
        <v>201</v>
      </c>
      <c r="C201" s="4" t="s">
        <v>263</v>
      </c>
      <c r="D201">
        <v>2951</v>
      </c>
      <c r="E201">
        <v>1199</v>
      </c>
      <c r="F201">
        <v>856000</v>
      </c>
      <c r="G201" s="5">
        <f t="shared" si="10"/>
        <v>837682.41665755701</v>
      </c>
      <c r="H201" s="6">
        <f t="shared" si="9"/>
        <v>18317.583342442987</v>
      </c>
      <c r="I201" s="7"/>
      <c r="J201" s="2">
        <f t="shared" si="8"/>
        <v>81.858529819694866</v>
      </c>
      <c r="K201">
        <f t="shared" si="8"/>
        <v>86.679920477137173</v>
      </c>
      <c r="L201">
        <f t="shared" si="8"/>
        <v>66.692637319828606</v>
      </c>
      <c r="M201" s="3" t="s">
        <v>254</v>
      </c>
      <c r="N201" s="8" t="s">
        <v>264</v>
      </c>
      <c r="O201" s="9">
        <v>80105</v>
      </c>
    </row>
    <row r="202" spans="1:15" ht="18" x14ac:dyDescent="0.45">
      <c r="A202" s="3" t="s">
        <v>201</v>
      </c>
      <c r="C202" s="4" t="s">
        <v>203</v>
      </c>
      <c r="D202">
        <v>2951</v>
      </c>
      <c r="E202">
        <f>AVERAGE(E201,E204)</f>
        <v>1202.875</v>
      </c>
      <c r="F202">
        <v>855000</v>
      </c>
      <c r="G202" s="5">
        <f t="shared" si="10"/>
        <v>840373.52955542866</v>
      </c>
      <c r="H202" s="6">
        <f t="shared" si="9"/>
        <v>14626.470444571343</v>
      </c>
      <c r="I202" s="7"/>
      <c r="J202" s="2">
        <f t="shared" si="8"/>
        <v>81.858529819694866</v>
      </c>
      <c r="K202">
        <f t="shared" si="8"/>
        <v>86.960057834809319</v>
      </c>
      <c r="L202">
        <f t="shared" si="8"/>
        <v>66.614725360342817</v>
      </c>
      <c r="M202" s="3" t="s">
        <v>254</v>
      </c>
      <c r="N202" s="8" t="s">
        <v>265</v>
      </c>
      <c r="O202" s="9">
        <v>79584.100000000006</v>
      </c>
    </row>
    <row r="203" spans="1:15" ht="18" x14ac:dyDescent="0.45">
      <c r="A203" s="3" t="s">
        <v>201</v>
      </c>
      <c r="C203" s="4" t="s">
        <v>204</v>
      </c>
      <c r="D203">
        <v>2963.5</v>
      </c>
      <c r="E203">
        <f>AVERAGE(E202,E205)</f>
        <v>1208.6875</v>
      </c>
      <c r="F203">
        <v>856000</v>
      </c>
      <c r="G203" s="5">
        <f t="shared" si="10"/>
        <v>847965.81648484466</v>
      </c>
      <c r="H203" s="6">
        <f t="shared" si="9"/>
        <v>8034.1835151553387</v>
      </c>
      <c r="I203" s="7"/>
      <c r="J203" s="2">
        <f t="shared" si="8"/>
        <v>82.205270457697651</v>
      </c>
      <c r="K203">
        <f t="shared" si="8"/>
        <v>87.380263871317553</v>
      </c>
      <c r="L203">
        <f t="shared" si="8"/>
        <v>66.692637319828606</v>
      </c>
      <c r="M203" s="3" t="s">
        <v>254</v>
      </c>
      <c r="N203" s="8" t="s">
        <v>266</v>
      </c>
      <c r="O203" s="9">
        <v>78518.8</v>
      </c>
    </row>
    <row r="204" spans="1:15" ht="18" x14ac:dyDescent="0.45">
      <c r="A204" s="3" t="s">
        <v>201</v>
      </c>
      <c r="C204" s="4" t="s">
        <v>267</v>
      </c>
      <c r="D204">
        <v>2983</v>
      </c>
      <c r="E204">
        <f>AVERAGE(E201,E205)</f>
        <v>1206.75</v>
      </c>
      <c r="F204">
        <v>861500</v>
      </c>
      <c r="G204" s="5">
        <f t="shared" si="10"/>
        <v>852152.43254428823</v>
      </c>
      <c r="H204" s="6">
        <f t="shared" si="9"/>
        <v>9347.5674557117745</v>
      </c>
      <c r="I204" s="7"/>
      <c r="J204" s="2">
        <f t="shared" si="8"/>
        <v>82.746185852981966</v>
      </c>
      <c r="K204">
        <f t="shared" si="8"/>
        <v>87.24019519248148</v>
      </c>
      <c r="L204">
        <f t="shared" si="8"/>
        <v>67.121153097000388</v>
      </c>
      <c r="M204" s="3" t="s">
        <v>254</v>
      </c>
      <c r="N204" s="8" t="s">
        <v>268</v>
      </c>
      <c r="O204" s="9">
        <v>78072.600000000006</v>
      </c>
    </row>
    <row r="205" spans="1:15" ht="18" x14ac:dyDescent="0.45">
      <c r="A205" s="3" t="s">
        <v>201</v>
      </c>
      <c r="C205" s="4" t="s">
        <v>269</v>
      </c>
      <c r="D205">
        <v>2988.5</v>
      </c>
      <c r="E205">
        <v>1214.5</v>
      </c>
      <c r="F205">
        <v>864000</v>
      </c>
      <c r="G205" s="5">
        <f t="shared" si="10"/>
        <v>859165.0172017169</v>
      </c>
      <c r="H205" s="6">
        <f t="shared" si="9"/>
        <v>4834.9827982831048</v>
      </c>
      <c r="I205" s="7"/>
      <c r="J205" s="2">
        <f t="shared" si="8"/>
        <v>82.898751733703193</v>
      </c>
      <c r="K205">
        <f t="shared" si="8"/>
        <v>87.800469907825772</v>
      </c>
      <c r="L205">
        <f t="shared" si="8"/>
        <v>67.315932995714846</v>
      </c>
      <c r="M205" s="3" t="s">
        <v>254</v>
      </c>
      <c r="N205" s="8" t="s">
        <v>270</v>
      </c>
      <c r="O205" s="9">
        <v>78447.199999999997</v>
      </c>
    </row>
    <row r="206" spans="1:15" ht="18" x14ac:dyDescent="0.45">
      <c r="A206" s="3" t="s">
        <v>201</v>
      </c>
      <c r="C206" s="4" t="s">
        <v>205</v>
      </c>
      <c r="D206">
        <v>2987.5</v>
      </c>
      <c r="E206">
        <v>1214.5</v>
      </c>
      <c r="F206">
        <v>869000</v>
      </c>
      <c r="G206" s="5">
        <f t="shared" si="10"/>
        <v>858879.19989631232</v>
      </c>
      <c r="H206" s="6">
        <f t="shared" si="9"/>
        <v>10120.800103687681</v>
      </c>
      <c r="I206" s="7"/>
      <c r="J206" s="2">
        <f t="shared" si="8"/>
        <v>82.871012482662962</v>
      </c>
      <c r="K206">
        <f t="shared" si="8"/>
        <v>87.800469907825772</v>
      </c>
      <c r="L206">
        <f t="shared" si="8"/>
        <v>67.705492793143748</v>
      </c>
      <c r="M206" s="3" t="s">
        <v>254</v>
      </c>
      <c r="N206" s="8" t="s">
        <v>271</v>
      </c>
      <c r="O206" s="9">
        <v>78231</v>
      </c>
    </row>
    <row r="207" spans="1:15" ht="18" x14ac:dyDescent="0.45">
      <c r="A207" s="3" t="s">
        <v>201</v>
      </c>
      <c r="C207" s="4" t="s">
        <v>206</v>
      </c>
      <c r="D207">
        <v>3003.5</v>
      </c>
      <c r="E207">
        <v>1214.5</v>
      </c>
      <c r="F207">
        <v>882000</v>
      </c>
      <c r="G207" s="5">
        <f t="shared" si="10"/>
        <v>863452.27678278636</v>
      </c>
      <c r="H207" s="6">
        <f t="shared" si="9"/>
        <v>18547.723217213643</v>
      </c>
      <c r="I207" s="7"/>
      <c r="J207" s="2">
        <f t="shared" si="8"/>
        <v>83.314840499306513</v>
      </c>
      <c r="K207">
        <f t="shared" si="8"/>
        <v>87.800469907825772</v>
      </c>
      <c r="L207">
        <f t="shared" si="8"/>
        <v>68.718348266458904</v>
      </c>
      <c r="M207" s="3" t="s">
        <v>254</v>
      </c>
      <c r="N207" s="8" t="s">
        <v>272</v>
      </c>
      <c r="O207" s="9">
        <v>77515.600000000006</v>
      </c>
    </row>
    <row r="208" spans="1:15" ht="18" x14ac:dyDescent="0.45">
      <c r="A208" s="3" t="s">
        <v>201</v>
      </c>
      <c r="C208" s="4" t="s">
        <v>208</v>
      </c>
      <c r="D208">
        <v>3006.5</v>
      </c>
      <c r="E208">
        <v>1204.5</v>
      </c>
      <c r="F208">
        <v>881000</v>
      </c>
      <c r="G208" s="5">
        <f t="shared" si="10"/>
        <v>857234.30894849368</v>
      </c>
      <c r="H208" s="6">
        <f t="shared" si="9"/>
        <v>23765.691051506321</v>
      </c>
      <c r="I208" s="7"/>
      <c r="J208" s="2">
        <f t="shared" si="8"/>
        <v>83.398058252427191</v>
      </c>
      <c r="K208">
        <f t="shared" si="8"/>
        <v>87.077534791252489</v>
      </c>
      <c r="L208">
        <f t="shared" si="8"/>
        <v>68.640436306973115</v>
      </c>
      <c r="M208" s="3" t="s">
        <v>254</v>
      </c>
      <c r="N208" s="8" t="s">
        <v>273</v>
      </c>
      <c r="O208" s="9">
        <v>77219.5</v>
      </c>
    </row>
    <row r="209" spans="1:15" ht="18" x14ac:dyDescent="0.45">
      <c r="A209" s="3" t="s">
        <v>201</v>
      </c>
      <c r="C209" s="4" t="s">
        <v>274</v>
      </c>
      <c r="D209">
        <v>2999.5</v>
      </c>
      <c r="E209">
        <f>AVERAGE(E208,E211)</f>
        <v>1214.75</v>
      </c>
      <c r="F209">
        <v>869250</v>
      </c>
      <c r="G209" s="5">
        <f t="shared" si="10"/>
        <v>862485.48121443263</v>
      </c>
      <c r="H209" s="6">
        <f t="shared" si="9"/>
        <v>6764.5187855673721</v>
      </c>
      <c r="I209" s="7"/>
      <c r="J209" s="2">
        <f t="shared" si="8"/>
        <v>83.203883495145632</v>
      </c>
      <c r="K209">
        <f t="shared" si="8"/>
        <v>87.818543285740105</v>
      </c>
      <c r="L209">
        <f t="shared" si="8"/>
        <v>67.724970783015195</v>
      </c>
      <c r="M209" s="3" t="s">
        <v>254</v>
      </c>
      <c r="N209" s="8" t="s">
        <v>275</v>
      </c>
      <c r="O209" s="9">
        <v>76582.7</v>
      </c>
    </row>
    <row r="210" spans="1:15" ht="18" x14ac:dyDescent="0.45">
      <c r="A210" s="3" t="s">
        <v>201</v>
      </c>
      <c r="C210" s="4" t="s">
        <v>210</v>
      </c>
      <c r="D210">
        <v>2993.5</v>
      </c>
      <c r="E210">
        <f>AVERAGE(E209,E212)</f>
        <v>1224.625</v>
      </c>
      <c r="F210">
        <v>864000</v>
      </c>
      <c r="G210" s="5">
        <f t="shared" si="10"/>
        <v>867726.98993726482</v>
      </c>
      <c r="H210" s="6">
        <f t="shared" si="9"/>
        <v>-3726.9899372648215</v>
      </c>
      <c r="I210" s="7"/>
      <c r="J210" s="2">
        <f t="shared" si="8"/>
        <v>83.037447988904304</v>
      </c>
      <c r="K210">
        <f t="shared" si="8"/>
        <v>88.532441713356221</v>
      </c>
      <c r="L210">
        <f t="shared" si="8"/>
        <v>67.315932995714846</v>
      </c>
      <c r="M210" s="3" t="s">
        <v>254</v>
      </c>
      <c r="N210" s="8" t="s">
        <v>276</v>
      </c>
      <c r="O210" s="9">
        <v>76583.399999999994</v>
      </c>
    </row>
    <row r="211" spans="1:15" ht="18" x14ac:dyDescent="0.45">
      <c r="A211" s="3" t="s">
        <v>201</v>
      </c>
      <c r="C211" s="4" t="s">
        <v>277</v>
      </c>
      <c r="D211">
        <v>2993</v>
      </c>
      <c r="E211">
        <v>1225</v>
      </c>
      <c r="F211">
        <v>868000</v>
      </c>
      <c r="G211" s="5">
        <f t="shared" si="10"/>
        <v>867847.02673375548</v>
      </c>
      <c r="H211" s="6">
        <f t="shared" si="9"/>
        <v>152.97326624451671</v>
      </c>
      <c r="I211" s="7"/>
      <c r="J211" s="2">
        <f t="shared" si="8"/>
        <v>83.023578363384189</v>
      </c>
      <c r="K211">
        <f t="shared" si="8"/>
        <v>88.559551780227736</v>
      </c>
      <c r="L211">
        <f t="shared" si="8"/>
        <v>67.627580833657959</v>
      </c>
      <c r="M211" s="3" t="s">
        <v>254</v>
      </c>
      <c r="N211" s="8" t="s">
        <v>278</v>
      </c>
      <c r="O211" s="9">
        <v>77191.3</v>
      </c>
    </row>
    <row r="212" spans="1:15" ht="18" x14ac:dyDescent="0.45">
      <c r="A212" s="3" t="s">
        <v>201</v>
      </c>
      <c r="C212" s="4" t="s">
        <v>279</v>
      </c>
      <c r="D212">
        <v>2995</v>
      </c>
      <c r="E212">
        <v>1234.5</v>
      </c>
      <c r="F212">
        <v>875500</v>
      </c>
      <c r="G212" s="5">
        <f t="shared" si="10"/>
        <v>875119.5415795903</v>
      </c>
      <c r="H212" s="6">
        <f t="shared" si="9"/>
        <v>380.45842040970456</v>
      </c>
      <c r="I212" s="7"/>
      <c r="J212" s="2">
        <f t="shared" si="8"/>
        <v>83.079056865464622</v>
      </c>
      <c r="K212">
        <f t="shared" si="8"/>
        <v>89.24634014097235</v>
      </c>
      <c r="L212">
        <f t="shared" si="8"/>
        <v>68.211920529801333</v>
      </c>
      <c r="M212" s="3" t="s">
        <v>254</v>
      </c>
      <c r="N212" s="8" t="s">
        <v>280</v>
      </c>
      <c r="O212" s="9">
        <v>77816.2</v>
      </c>
    </row>
    <row r="213" spans="1:15" ht="18" x14ac:dyDescent="0.45">
      <c r="A213" s="3" t="s">
        <v>201</v>
      </c>
      <c r="C213" s="4" t="s">
        <v>212</v>
      </c>
      <c r="D213">
        <v>2980.5</v>
      </c>
      <c r="E213">
        <v>1234.5</v>
      </c>
      <c r="F213">
        <v>876500</v>
      </c>
      <c r="G213" s="5">
        <f t="shared" si="10"/>
        <v>870906.94279731857</v>
      </c>
      <c r="H213" s="6">
        <f t="shared" si="9"/>
        <v>5593.0572026814334</v>
      </c>
      <c r="I213" s="7"/>
      <c r="J213" s="2">
        <f t="shared" si="8"/>
        <v>82.676837725381418</v>
      </c>
      <c r="K213">
        <f t="shared" si="8"/>
        <v>89.24634014097235</v>
      </c>
      <c r="L213">
        <f t="shared" si="8"/>
        <v>68.289832489287107</v>
      </c>
      <c r="M213" s="3" t="s">
        <v>254</v>
      </c>
      <c r="N213" s="8" t="s">
        <v>281</v>
      </c>
      <c r="O213" s="9">
        <v>78430.8</v>
      </c>
    </row>
    <row r="214" spans="1:15" ht="18" x14ac:dyDescent="0.45">
      <c r="A214" s="3" t="s">
        <v>201</v>
      </c>
      <c r="C214" s="4" t="s">
        <v>213</v>
      </c>
      <c r="D214">
        <v>2964.5</v>
      </c>
      <c r="E214">
        <v>1234.5</v>
      </c>
      <c r="F214">
        <v>875000</v>
      </c>
      <c r="G214" s="5">
        <f t="shared" si="10"/>
        <v>866258.55793412204</v>
      </c>
      <c r="H214" s="6">
        <f t="shared" si="9"/>
        <v>8741.4420658779563</v>
      </c>
      <c r="I214" s="7"/>
      <c r="J214" s="2">
        <f t="shared" si="8"/>
        <v>82.233009708737853</v>
      </c>
      <c r="K214">
        <f t="shared" si="8"/>
        <v>89.24634014097235</v>
      </c>
      <c r="L214">
        <f t="shared" si="8"/>
        <v>68.172964550058438</v>
      </c>
      <c r="M214" s="3" t="s">
        <v>254</v>
      </c>
      <c r="N214" s="8" t="s">
        <v>282</v>
      </c>
      <c r="O214" s="9">
        <v>78968.100000000006</v>
      </c>
    </row>
    <row r="215" spans="1:15" ht="18" x14ac:dyDescent="0.45">
      <c r="A215" s="3" t="s">
        <v>201</v>
      </c>
      <c r="C215" s="4" t="s">
        <v>214</v>
      </c>
      <c r="D215">
        <v>2973</v>
      </c>
      <c r="E215">
        <v>1246.25</v>
      </c>
      <c r="F215">
        <v>878500</v>
      </c>
      <c r="G215" s="5">
        <f t="shared" si="10"/>
        <v>876948.99590473576</v>
      </c>
      <c r="H215" s="6">
        <f t="shared" si="9"/>
        <v>1551.0040952642448</v>
      </c>
      <c r="I215" s="7"/>
      <c r="J215" s="2">
        <f t="shared" si="8"/>
        <v>82.468793342579744</v>
      </c>
      <c r="K215">
        <f t="shared" si="8"/>
        <v>90.095788902945969</v>
      </c>
      <c r="L215">
        <f t="shared" si="8"/>
        <v>68.445656408258671</v>
      </c>
      <c r="M215" s="3" t="s">
        <v>254</v>
      </c>
      <c r="N215" s="8" t="s">
        <v>283</v>
      </c>
      <c r="O215" s="9">
        <v>79015.399999999994</v>
      </c>
    </row>
    <row r="216" spans="1:15" ht="18" x14ac:dyDescent="0.45">
      <c r="A216" s="3" t="s">
        <v>201</v>
      </c>
      <c r="C216" s="4" t="s">
        <v>215</v>
      </c>
      <c r="D216">
        <v>2976.5</v>
      </c>
      <c r="E216">
        <v>1227.5</v>
      </c>
      <c r="F216">
        <v>878500</v>
      </c>
      <c r="G216" s="5">
        <f t="shared" si="10"/>
        <v>864841.47361588909</v>
      </c>
      <c r="H216" s="6">
        <f t="shared" si="9"/>
        <v>13658.526384110912</v>
      </c>
      <c r="I216" s="7"/>
      <c r="J216" s="2">
        <f t="shared" si="8"/>
        <v>82.565880721220537</v>
      </c>
      <c r="K216">
        <f t="shared" si="8"/>
        <v>88.740285559371046</v>
      </c>
      <c r="L216">
        <f t="shared" si="8"/>
        <v>68.445656408258671</v>
      </c>
      <c r="M216" s="3" t="s">
        <v>284</v>
      </c>
      <c r="N216" s="8" t="s">
        <v>285</v>
      </c>
      <c r="O216" s="9">
        <v>79013.5</v>
      </c>
    </row>
    <row r="217" spans="1:15" ht="18" x14ac:dyDescent="0.45">
      <c r="A217" s="3" t="s">
        <v>201</v>
      </c>
      <c r="C217" s="4" t="s">
        <v>216</v>
      </c>
      <c r="D217">
        <v>2985</v>
      </c>
      <c r="E217">
        <v>1221</v>
      </c>
      <c r="F217">
        <v>875500</v>
      </c>
      <c r="G217" s="5">
        <f t="shared" si="10"/>
        <v>862730.79106517043</v>
      </c>
      <c r="H217" s="6">
        <f t="shared" si="9"/>
        <v>12769.20893482957</v>
      </c>
      <c r="I217" s="7"/>
      <c r="J217" s="2">
        <f t="shared" si="8"/>
        <v>82.801664355062414</v>
      </c>
      <c r="K217">
        <f t="shared" si="8"/>
        <v>88.270377733598409</v>
      </c>
      <c r="L217">
        <f t="shared" si="8"/>
        <v>68.211920529801333</v>
      </c>
      <c r="M217" s="3" t="s">
        <v>284</v>
      </c>
      <c r="N217" s="8" t="s">
        <v>286</v>
      </c>
      <c r="O217" s="9">
        <v>78619.399999999994</v>
      </c>
    </row>
    <row r="218" spans="1:15" ht="18" x14ac:dyDescent="0.45">
      <c r="A218" s="3" t="s">
        <v>201</v>
      </c>
      <c r="C218" s="4" t="s">
        <v>287</v>
      </c>
      <c r="D218">
        <v>2984.5</v>
      </c>
      <c r="E218">
        <v>1226</v>
      </c>
      <c r="F218">
        <v>873500</v>
      </c>
      <c r="G218" s="5">
        <f t="shared" si="10"/>
        <v>866098.94032408425</v>
      </c>
      <c r="H218" s="6">
        <f t="shared" si="9"/>
        <v>7401.0596759157488</v>
      </c>
      <c r="I218" s="7"/>
      <c r="J218" s="2">
        <f t="shared" si="8"/>
        <v>82.787794729542313</v>
      </c>
      <c r="K218">
        <f t="shared" si="8"/>
        <v>88.631845291885057</v>
      </c>
      <c r="L218">
        <f t="shared" si="8"/>
        <v>68.056096610829769</v>
      </c>
      <c r="M218" s="3" t="s">
        <v>284</v>
      </c>
      <c r="N218" s="8" t="s">
        <v>288</v>
      </c>
      <c r="O218" s="9">
        <v>78239.7</v>
      </c>
    </row>
    <row r="219" spans="1:15" ht="18" x14ac:dyDescent="0.45">
      <c r="A219" s="3" t="s">
        <v>201</v>
      </c>
      <c r="C219" s="4" t="s">
        <v>289</v>
      </c>
      <c r="D219">
        <v>2980</v>
      </c>
      <c r="E219">
        <v>1244.25</v>
      </c>
      <c r="F219">
        <v>874000</v>
      </c>
      <c r="G219" s="5">
        <f t="shared" si="10"/>
        <v>877599.40971931955</v>
      </c>
      <c r="H219" s="6">
        <f t="shared" si="9"/>
        <v>-3599.4097193195485</v>
      </c>
      <c r="I219" s="7"/>
      <c r="J219" s="2">
        <f t="shared" si="8"/>
        <v>82.662968099861303</v>
      </c>
      <c r="K219">
        <f t="shared" si="8"/>
        <v>89.951201879631299</v>
      </c>
      <c r="L219">
        <f t="shared" si="8"/>
        <v>68.095052590572664</v>
      </c>
      <c r="M219" s="3" t="s">
        <v>284</v>
      </c>
      <c r="N219" s="8" t="s">
        <v>290</v>
      </c>
      <c r="O219" s="9">
        <v>78469.2</v>
      </c>
    </row>
    <row r="220" spans="1:15" ht="18" x14ac:dyDescent="0.45">
      <c r="A220" s="3" t="s">
        <v>201</v>
      </c>
      <c r="C220" s="4" t="s">
        <v>217</v>
      </c>
      <c r="D220">
        <v>2975.5</v>
      </c>
      <c r="E220">
        <v>1244.25</v>
      </c>
      <c r="F220">
        <v>878000</v>
      </c>
      <c r="G220" s="5">
        <f t="shared" si="10"/>
        <v>876281.7260469246</v>
      </c>
      <c r="H220" s="6">
        <f t="shared" si="9"/>
        <v>1718.2739530754043</v>
      </c>
      <c r="I220" s="7"/>
      <c r="J220" s="2">
        <f t="shared" si="8"/>
        <v>82.538141470180307</v>
      </c>
      <c r="K220">
        <f t="shared" si="8"/>
        <v>89.951201879631299</v>
      </c>
      <c r="L220">
        <f t="shared" si="8"/>
        <v>68.406700428515776</v>
      </c>
      <c r="M220" s="3" t="s">
        <v>284</v>
      </c>
      <c r="N220" s="8" t="s">
        <v>291</v>
      </c>
      <c r="O220" s="9">
        <v>78741.3</v>
      </c>
    </row>
    <row r="221" spans="1:15" ht="18" x14ac:dyDescent="0.45">
      <c r="A221" s="3" t="s">
        <v>201</v>
      </c>
      <c r="C221" s="4" t="s">
        <v>219</v>
      </c>
      <c r="D221">
        <v>2967.5</v>
      </c>
      <c r="E221">
        <v>1244.25</v>
      </c>
      <c r="F221">
        <v>877000</v>
      </c>
      <c r="G221" s="5">
        <f t="shared" si="10"/>
        <v>873939.17729600018</v>
      </c>
      <c r="H221" s="6">
        <f t="shared" si="9"/>
        <v>3060.8227039998164</v>
      </c>
      <c r="I221" s="7"/>
      <c r="J221" s="2">
        <f t="shared" si="8"/>
        <v>82.316227461858531</v>
      </c>
      <c r="K221">
        <f t="shared" si="8"/>
        <v>89.951201879631299</v>
      </c>
      <c r="L221">
        <f t="shared" si="8"/>
        <v>68.328788469030002</v>
      </c>
      <c r="M221" s="3" t="s">
        <v>284</v>
      </c>
      <c r="N221" s="8" t="s">
        <v>292</v>
      </c>
      <c r="O221" s="9">
        <v>78547.7</v>
      </c>
    </row>
    <row r="222" spans="1:15" ht="18" x14ac:dyDescent="0.45">
      <c r="A222" s="3" t="s">
        <v>201</v>
      </c>
      <c r="C222" s="4" t="s">
        <v>221</v>
      </c>
      <c r="D222">
        <v>2950.5</v>
      </c>
      <c r="E222">
        <v>1248</v>
      </c>
      <c r="F222">
        <v>869500</v>
      </c>
      <c r="G222" s="5">
        <f t="shared" si="10"/>
        <v>871565.12274700182</v>
      </c>
      <c r="H222" s="6">
        <f t="shared" si="9"/>
        <v>-2065.1227470018202</v>
      </c>
      <c r="I222" s="7"/>
      <c r="J222" s="2">
        <f t="shared" ref="J222:L285" si="11">(D222/D$29-1)*100+100</f>
        <v>81.844660194174764</v>
      </c>
      <c r="K222">
        <f t="shared" si="11"/>
        <v>90.222302548346292</v>
      </c>
      <c r="L222">
        <f t="shared" si="11"/>
        <v>67.744448772886642</v>
      </c>
      <c r="M222" s="3" t="s">
        <v>284</v>
      </c>
      <c r="N222" s="8" t="s">
        <v>293</v>
      </c>
      <c r="O222" s="9">
        <v>77634.7</v>
      </c>
    </row>
    <row r="223" spans="1:15" ht="18" x14ac:dyDescent="0.45">
      <c r="A223" s="3" t="s">
        <v>201</v>
      </c>
      <c r="C223" s="4" t="s">
        <v>222</v>
      </c>
      <c r="D223">
        <v>2957</v>
      </c>
      <c r="E223">
        <v>1251.5</v>
      </c>
      <c r="F223">
        <v>872000</v>
      </c>
      <c r="G223" s="5">
        <f t="shared" si="10"/>
        <v>875909.80466032203</v>
      </c>
      <c r="H223" s="6">
        <f t="shared" si="9"/>
        <v>-3909.8046603220282</v>
      </c>
      <c r="I223" s="7"/>
      <c r="J223" s="2">
        <f t="shared" si="11"/>
        <v>82.024965325936193</v>
      </c>
      <c r="K223">
        <f t="shared" si="11"/>
        <v>90.475329839146937</v>
      </c>
      <c r="L223">
        <f t="shared" si="11"/>
        <v>67.939228671601086</v>
      </c>
      <c r="M223" s="3" t="s">
        <v>284</v>
      </c>
      <c r="N223" s="8" t="s">
        <v>294</v>
      </c>
      <c r="O223" s="9">
        <v>77418.600000000006</v>
      </c>
    </row>
    <row r="224" spans="1:15" ht="18" x14ac:dyDescent="0.45">
      <c r="A224" s="3" t="s">
        <v>201</v>
      </c>
      <c r="C224" s="4" t="s">
        <v>223</v>
      </c>
      <c r="D224">
        <v>2953.5</v>
      </c>
      <c r="E224">
        <v>1236</v>
      </c>
      <c r="F224">
        <v>870000</v>
      </c>
      <c r="G224" s="5">
        <f t="shared" si="10"/>
        <v>864105.39697778341</v>
      </c>
      <c r="H224" s="6">
        <f t="shared" si="9"/>
        <v>5894.6030222165864</v>
      </c>
      <c r="I224" s="7"/>
      <c r="J224" s="2">
        <f t="shared" si="11"/>
        <v>81.927877947295428</v>
      </c>
      <c r="K224">
        <f t="shared" si="11"/>
        <v>89.354780408458339</v>
      </c>
      <c r="L224">
        <f t="shared" si="11"/>
        <v>67.783404752629536</v>
      </c>
      <c r="M224" s="3" t="s">
        <v>284</v>
      </c>
      <c r="N224" s="8" t="s">
        <v>295</v>
      </c>
      <c r="O224" s="9">
        <v>77817.5</v>
      </c>
    </row>
    <row r="225" spans="1:15" ht="18" x14ac:dyDescent="0.45">
      <c r="A225" s="3" t="s">
        <v>201</v>
      </c>
      <c r="C225" s="4" t="s">
        <v>296</v>
      </c>
      <c r="D225">
        <v>2957</v>
      </c>
      <c r="E225">
        <v>1241.5</v>
      </c>
      <c r="F225">
        <v>870000</v>
      </c>
      <c r="G225" s="5">
        <f t="shared" si="10"/>
        <v>868950.87693630822</v>
      </c>
      <c r="H225" s="6">
        <f t="shared" si="9"/>
        <v>1049.1230636917753</v>
      </c>
      <c r="I225" s="7"/>
      <c r="J225" s="2">
        <f t="shared" si="11"/>
        <v>82.024965325936193</v>
      </c>
      <c r="K225">
        <f t="shared" si="11"/>
        <v>89.752394722573655</v>
      </c>
      <c r="L225">
        <f t="shared" si="11"/>
        <v>67.783404752629536</v>
      </c>
      <c r="M225" s="3" t="s">
        <v>284</v>
      </c>
      <c r="N225" s="8" t="s">
        <v>297</v>
      </c>
      <c r="O225" s="9">
        <v>77423.899999999994</v>
      </c>
    </row>
    <row r="226" spans="1:15" ht="18" x14ac:dyDescent="0.45">
      <c r="A226" s="3" t="s">
        <v>201</v>
      </c>
      <c r="C226" s="4" t="s">
        <v>298</v>
      </c>
      <c r="D226">
        <v>2952</v>
      </c>
      <c r="E226">
        <v>1250</v>
      </c>
      <c r="F226">
        <v>868000</v>
      </c>
      <c r="G226" s="5">
        <f t="shared" si="10"/>
        <v>873395.10658135859</v>
      </c>
      <c r="H226" s="6">
        <f t="shared" si="9"/>
        <v>-5395.1065813585883</v>
      </c>
      <c r="I226" s="7"/>
      <c r="J226" s="2">
        <f t="shared" si="11"/>
        <v>81.886269070735082</v>
      </c>
      <c r="K226">
        <f t="shared" si="11"/>
        <v>90.366889571660948</v>
      </c>
      <c r="L226">
        <f t="shared" si="11"/>
        <v>67.627580833657959</v>
      </c>
      <c r="M226" s="3" t="s">
        <v>284</v>
      </c>
      <c r="N226" s="8" t="s">
        <v>299</v>
      </c>
      <c r="O226" s="9">
        <v>76501.8</v>
      </c>
    </row>
    <row r="227" spans="1:15" ht="18" x14ac:dyDescent="0.45">
      <c r="A227" s="3" t="s">
        <v>201</v>
      </c>
      <c r="C227" s="4" t="s">
        <v>224</v>
      </c>
      <c r="D227">
        <v>2938.5</v>
      </c>
      <c r="E227">
        <v>1250</v>
      </c>
      <c r="F227">
        <v>868000</v>
      </c>
      <c r="G227" s="5">
        <f t="shared" si="10"/>
        <v>869423.78749638295</v>
      </c>
      <c r="H227" s="6">
        <f t="shared" si="9"/>
        <v>-1423.7874963829527</v>
      </c>
      <c r="I227" s="7"/>
      <c r="J227" s="2">
        <f t="shared" si="11"/>
        <v>81.511789181692095</v>
      </c>
      <c r="K227">
        <f t="shared" si="11"/>
        <v>90.366889571660948</v>
      </c>
      <c r="L227">
        <f t="shared" si="11"/>
        <v>67.627580833657959</v>
      </c>
      <c r="M227" s="3" t="s">
        <v>284</v>
      </c>
      <c r="N227" s="8" t="s">
        <v>300</v>
      </c>
      <c r="O227" s="9">
        <v>74920.7</v>
      </c>
    </row>
    <row r="228" spans="1:15" ht="18" x14ac:dyDescent="0.45">
      <c r="A228" s="3" t="s">
        <v>201</v>
      </c>
      <c r="C228" s="4" t="s">
        <v>301</v>
      </c>
      <c r="D228">
        <v>2921.5</v>
      </c>
      <c r="E228">
        <v>1250</v>
      </c>
      <c r="F228">
        <v>859000</v>
      </c>
      <c r="G228" s="5">
        <f t="shared" si="10"/>
        <v>864422.86716715433</v>
      </c>
      <c r="H228" s="6">
        <f t="shared" si="9"/>
        <v>-5422.867167154327</v>
      </c>
      <c r="I228" s="7"/>
      <c r="J228" s="2">
        <f t="shared" si="11"/>
        <v>81.040221914008328</v>
      </c>
      <c r="K228">
        <f t="shared" si="11"/>
        <v>90.366889571660948</v>
      </c>
      <c r="L228">
        <f t="shared" si="11"/>
        <v>66.926373198285944</v>
      </c>
      <c r="M228" s="3" t="s">
        <v>284</v>
      </c>
      <c r="N228" s="8" t="s">
        <v>302</v>
      </c>
      <c r="O228" s="9">
        <v>73973.399999999994</v>
      </c>
    </row>
    <row r="229" spans="1:15" ht="18" x14ac:dyDescent="0.45">
      <c r="A229" s="3" t="s">
        <v>201</v>
      </c>
      <c r="C229" s="4" t="s">
        <v>225</v>
      </c>
      <c r="D229">
        <v>2932</v>
      </c>
      <c r="E229">
        <v>1255.75</v>
      </c>
      <c r="F229">
        <v>853000</v>
      </c>
      <c r="G229" s="5">
        <f t="shared" si="10"/>
        <v>871479.2245860527</v>
      </c>
      <c r="H229" s="6">
        <f t="shared" si="9"/>
        <v>-18479.224586052704</v>
      </c>
      <c r="I229" s="7">
        <f>F229/F199-1</f>
        <v>-1.1709601873536313E-3</v>
      </c>
      <c r="J229" s="2">
        <f t="shared" si="11"/>
        <v>81.331484049930651</v>
      </c>
      <c r="K229">
        <f t="shared" si="11"/>
        <v>90.782577263690584</v>
      </c>
      <c r="L229">
        <f t="shared" si="11"/>
        <v>66.458901441371253</v>
      </c>
      <c r="M229" s="3" t="s">
        <v>284</v>
      </c>
      <c r="N229" s="8" t="s">
        <v>303</v>
      </c>
      <c r="O229" s="9">
        <v>73847.600000000006</v>
      </c>
    </row>
    <row r="230" spans="1:15" ht="18" x14ac:dyDescent="0.45">
      <c r="A230" s="3" t="s">
        <v>226</v>
      </c>
      <c r="C230" s="4" t="s">
        <v>227</v>
      </c>
      <c r="D230">
        <v>2866</v>
      </c>
      <c r="E230">
        <v>1238</v>
      </c>
      <c r="F230">
        <v>855000</v>
      </c>
      <c r="G230" s="5">
        <f t="shared" si="10"/>
        <v>840002.60835289187</v>
      </c>
      <c r="H230" s="6">
        <f t="shared" si="9"/>
        <v>14997.391647108132</v>
      </c>
      <c r="I230" s="7"/>
      <c r="J230" s="2">
        <f t="shared" si="11"/>
        <v>79.500693481276016</v>
      </c>
      <c r="K230">
        <f t="shared" si="11"/>
        <v>89.49936743177301</v>
      </c>
      <c r="L230">
        <f t="shared" si="11"/>
        <v>66.614725360342817</v>
      </c>
      <c r="M230" s="3" t="s">
        <v>284</v>
      </c>
      <c r="N230" s="8" t="s">
        <v>304</v>
      </c>
      <c r="O230" s="9">
        <v>74161.2</v>
      </c>
    </row>
    <row r="231" spans="1:15" ht="18" x14ac:dyDescent="0.45">
      <c r="A231" s="3" t="s">
        <v>226</v>
      </c>
      <c r="C231" s="4" t="s">
        <v>229</v>
      </c>
      <c r="D231">
        <v>2941.5</v>
      </c>
      <c r="E231">
        <v>1241</v>
      </c>
      <c r="F231">
        <v>862500</v>
      </c>
      <c r="G231" s="5">
        <f t="shared" si="10"/>
        <v>864076.09746808978</v>
      </c>
      <c r="H231" s="6">
        <f t="shared" si="9"/>
        <v>-1576.097468089778</v>
      </c>
      <c r="I231" s="7"/>
      <c r="J231" s="2">
        <f t="shared" si="11"/>
        <v>81.595006934812773</v>
      </c>
      <c r="K231">
        <f t="shared" si="11"/>
        <v>89.716247966744987</v>
      </c>
      <c r="L231">
        <f t="shared" si="11"/>
        <v>67.199065056486177</v>
      </c>
      <c r="M231" s="3" t="s">
        <v>284</v>
      </c>
      <c r="N231" s="8" t="s">
        <v>305</v>
      </c>
      <c r="O231" s="9">
        <v>73637.8</v>
      </c>
    </row>
    <row r="232" spans="1:15" ht="18" x14ac:dyDescent="0.45">
      <c r="A232" s="3" t="s">
        <v>226</v>
      </c>
      <c r="C232" s="4" t="s">
        <v>306</v>
      </c>
      <c r="D232">
        <v>2941</v>
      </c>
      <c r="E232">
        <v>1263</v>
      </c>
      <c r="F232">
        <v>862500</v>
      </c>
      <c r="G232" s="5">
        <f t="shared" si="10"/>
        <v>879156.87281291187</v>
      </c>
      <c r="H232" s="6">
        <f t="shared" si="9"/>
        <v>-16656.872812911868</v>
      </c>
      <c r="I232" s="7"/>
      <c r="J232" s="2">
        <f t="shared" si="11"/>
        <v>81.581137309292643</v>
      </c>
      <c r="K232">
        <f t="shared" si="11"/>
        <v>91.306705223206222</v>
      </c>
      <c r="L232">
        <f t="shared" si="11"/>
        <v>67.199065056486177</v>
      </c>
      <c r="M232" s="3" t="s">
        <v>284</v>
      </c>
      <c r="N232" s="8" t="s">
        <v>307</v>
      </c>
      <c r="O232" s="9">
        <v>74160</v>
      </c>
    </row>
    <row r="233" spans="1:15" ht="18" x14ac:dyDescent="0.45">
      <c r="A233" s="3" t="s">
        <v>226</v>
      </c>
      <c r="C233" s="4" t="s">
        <v>308</v>
      </c>
      <c r="D233">
        <v>2944</v>
      </c>
      <c r="E233">
        <v>1267</v>
      </c>
      <c r="F233">
        <v>865500</v>
      </c>
      <c r="G233" s="5">
        <f t="shared" si="10"/>
        <v>882819.89986817981</v>
      </c>
      <c r="H233" s="6">
        <f t="shared" si="9"/>
        <v>-17319.899868179811</v>
      </c>
      <c r="I233" s="7"/>
      <c r="J233" s="2">
        <f t="shared" si="11"/>
        <v>81.664355062413321</v>
      </c>
      <c r="K233">
        <f t="shared" si="11"/>
        <v>91.595879269835535</v>
      </c>
      <c r="L233">
        <f t="shared" si="11"/>
        <v>67.432800934943515</v>
      </c>
      <c r="M233" s="3" t="s">
        <v>8</v>
      </c>
      <c r="N233" s="8" t="s">
        <v>309</v>
      </c>
      <c r="O233" s="9">
        <v>75035.3</v>
      </c>
    </row>
    <row r="234" spans="1:15" ht="18" x14ac:dyDescent="0.45">
      <c r="A234" s="3" t="s">
        <v>226</v>
      </c>
      <c r="C234" s="4" t="s">
        <v>231</v>
      </c>
      <c r="D234">
        <v>2952</v>
      </c>
      <c r="E234">
        <v>1267</v>
      </c>
      <c r="F234">
        <v>869000</v>
      </c>
      <c r="G234" s="5">
        <f t="shared" si="10"/>
        <v>885205.28003086499</v>
      </c>
      <c r="H234" s="6">
        <f t="shared" si="9"/>
        <v>-16205.280030864989</v>
      </c>
      <c r="I234" s="7"/>
      <c r="J234" s="2">
        <f t="shared" si="11"/>
        <v>81.886269070735082</v>
      </c>
      <c r="K234">
        <f t="shared" si="11"/>
        <v>91.595879269835535</v>
      </c>
      <c r="L234">
        <f t="shared" si="11"/>
        <v>67.705492793143748</v>
      </c>
      <c r="M234" s="3" t="s">
        <v>8</v>
      </c>
      <c r="N234" s="8" t="s">
        <v>310</v>
      </c>
      <c r="O234" s="9">
        <v>75735.199999999997</v>
      </c>
    </row>
    <row r="235" spans="1:15" ht="18" x14ac:dyDescent="0.45">
      <c r="A235" s="3" t="s">
        <v>226</v>
      </c>
      <c r="C235" s="4" t="s">
        <v>232</v>
      </c>
      <c r="D235">
        <v>2946.5</v>
      </c>
      <c r="E235">
        <v>1267</v>
      </c>
      <c r="F235">
        <v>877500</v>
      </c>
      <c r="G235" s="5">
        <f t="shared" si="10"/>
        <v>883565.33116901899</v>
      </c>
      <c r="H235" s="6">
        <f t="shared" si="9"/>
        <v>-6065.3311690189876</v>
      </c>
      <c r="I235" s="7"/>
      <c r="J235" s="2">
        <f t="shared" si="11"/>
        <v>81.73370319001387</v>
      </c>
      <c r="K235">
        <f t="shared" si="11"/>
        <v>91.595879269835535</v>
      </c>
      <c r="L235">
        <f t="shared" si="11"/>
        <v>68.367744448772882</v>
      </c>
      <c r="M235" s="3" t="s">
        <v>8</v>
      </c>
      <c r="N235" s="8" t="s">
        <v>311</v>
      </c>
      <c r="O235" s="9">
        <v>75980.5</v>
      </c>
    </row>
    <row r="236" spans="1:15" ht="18" x14ac:dyDescent="0.45">
      <c r="A236" s="3" t="s">
        <v>226</v>
      </c>
      <c r="C236" s="4" t="s">
        <v>233</v>
      </c>
      <c r="D236">
        <v>2944</v>
      </c>
      <c r="E236">
        <v>1260.5</v>
      </c>
      <c r="F236">
        <v>876000</v>
      </c>
      <c r="G236" s="5">
        <f t="shared" si="10"/>
        <v>878316.48286017415</v>
      </c>
      <c r="H236" s="6">
        <f t="shared" si="9"/>
        <v>-2316.4828601741465</v>
      </c>
      <c r="I236" s="7"/>
      <c r="J236" s="2">
        <f t="shared" si="11"/>
        <v>81.664355062413321</v>
      </c>
      <c r="K236">
        <f t="shared" si="11"/>
        <v>91.125971444062884</v>
      </c>
      <c r="L236">
        <f t="shared" si="11"/>
        <v>68.250876509544213</v>
      </c>
      <c r="M236" s="3" t="s">
        <v>8</v>
      </c>
      <c r="N236" s="8" t="s">
        <v>312</v>
      </c>
      <c r="O236" s="9">
        <v>77404.100000000006</v>
      </c>
    </row>
    <row r="237" spans="1:15" ht="18" x14ac:dyDescent="0.45">
      <c r="A237" s="3" t="s">
        <v>226</v>
      </c>
      <c r="C237" s="4" t="s">
        <v>234</v>
      </c>
      <c r="D237">
        <v>2947</v>
      </c>
      <c r="E237">
        <v>1251.25</v>
      </c>
      <c r="F237">
        <v>874000</v>
      </c>
      <c r="G237" s="5">
        <f t="shared" si="10"/>
        <v>872791.17190865811</v>
      </c>
      <c r="H237" s="6">
        <f t="shared" si="9"/>
        <v>1208.8280913418857</v>
      </c>
      <c r="I237" s="7"/>
      <c r="J237" s="2">
        <f t="shared" si="11"/>
        <v>81.747572815533971</v>
      </c>
      <c r="K237">
        <f t="shared" si="11"/>
        <v>90.457256461232603</v>
      </c>
      <c r="L237">
        <f t="shared" si="11"/>
        <v>68.095052590572664</v>
      </c>
      <c r="M237" s="3" t="s">
        <v>8</v>
      </c>
      <c r="N237" s="8" t="s">
        <v>313</v>
      </c>
      <c r="O237" s="9">
        <v>77923.600000000006</v>
      </c>
    </row>
    <row r="238" spans="1:15" ht="18" x14ac:dyDescent="0.45">
      <c r="A238" s="3" t="s">
        <v>226</v>
      </c>
      <c r="C238" s="4" t="s">
        <v>235</v>
      </c>
      <c r="D238">
        <v>2946</v>
      </c>
      <c r="E238">
        <v>1264</v>
      </c>
      <c r="F238">
        <v>875500</v>
      </c>
      <c r="G238" s="5">
        <f t="shared" si="10"/>
        <v>881336.33272674645</v>
      </c>
      <c r="H238" s="6">
        <f t="shared" si="9"/>
        <v>-5836.3327267464483</v>
      </c>
      <c r="I238" s="7"/>
      <c r="J238" s="2">
        <f t="shared" si="11"/>
        <v>81.719833564493769</v>
      </c>
      <c r="K238">
        <f t="shared" si="11"/>
        <v>91.378998734863544</v>
      </c>
      <c r="L238">
        <f t="shared" si="11"/>
        <v>68.211920529801333</v>
      </c>
      <c r="M238" s="3" t="s">
        <v>8</v>
      </c>
      <c r="N238" s="8" t="s">
        <v>314</v>
      </c>
      <c r="O238" s="9">
        <v>78131.100000000006</v>
      </c>
    </row>
    <row r="239" spans="1:15" ht="18" x14ac:dyDescent="0.45">
      <c r="A239" s="3" t="s">
        <v>226</v>
      </c>
      <c r="C239" s="4" t="s">
        <v>315</v>
      </c>
      <c r="D239">
        <v>2937.5</v>
      </c>
      <c r="E239">
        <v>1242.5</v>
      </c>
      <c r="F239">
        <v>873500</v>
      </c>
      <c r="G239" s="5">
        <f t="shared" si="10"/>
        <v>863944.8380180368</v>
      </c>
      <c r="H239" s="6">
        <f t="shared" si="9"/>
        <v>9555.1619819632033</v>
      </c>
      <c r="I239" s="7"/>
      <c r="J239" s="2">
        <f t="shared" si="11"/>
        <v>81.484049930651878</v>
      </c>
      <c r="K239">
        <f t="shared" si="11"/>
        <v>89.824688234230976</v>
      </c>
      <c r="L239">
        <f t="shared" si="11"/>
        <v>68.056096610829769</v>
      </c>
      <c r="M239" s="3" t="s">
        <v>8</v>
      </c>
      <c r="N239" s="8" t="s">
        <v>316</v>
      </c>
      <c r="O239" s="9">
        <v>78151.3</v>
      </c>
    </row>
    <row r="240" spans="1:15" ht="18" x14ac:dyDescent="0.45">
      <c r="A240" s="3" t="s">
        <v>226</v>
      </c>
      <c r="C240" s="4" t="s">
        <v>317</v>
      </c>
      <c r="D240">
        <v>2932</v>
      </c>
      <c r="E240">
        <v>1251</v>
      </c>
      <c r="F240">
        <v>869000</v>
      </c>
      <c r="G240" s="5">
        <f t="shared" si="10"/>
        <v>868201.68023663305</v>
      </c>
      <c r="H240" s="6">
        <f t="shared" si="9"/>
        <v>798.31976336694788</v>
      </c>
      <c r="I240" s="7"/>
      <c r="J240" s="2">
        <f t="shared" si="11"/>
        <v>81.331484049930651</v>
      </c>
      <c r="K240">
        <f t="shared" si="11"/>
        <v>90.439183083318269</v>
      </c>
      <c r="L240">
        <f t="shared" si="11"/>
        <v>67.705492793143748</v>
      </c>
      <c r="M240" s="3" t="s">
        <v>8</v>
      </c>
      <c r="N240" s="8" t="s">
        <v>318</v>
      </c>
      <c r="O240" s="9">
        <v>78164.3</v>
      </c>
    </row>
    <row r="241" spans="1:15" ht="18" x14ac:dyDescent="0.45">
      <c r="A241" s="3" t="s">
        <v>226</v>
      </c>
      <c r="C241" s="4" t="s">
        <v>236</v>
      </c>
      <c r="D241">
        <v>2938</v>
      </c>
      <c r="E241">
        <v>1251</v>
      </c>
      <c r="F241">
        <v>869000</v>
      </c>
      <c r="G241" s="5">
        <f t="shared" si="10"/>
        <v>869968.12296563026</v>
      </c>
      <c r="H241" s="6">
        <f t="shared" si="9"/>
        <v>-968.1229656302603</v>
      </c>
      <c r="I241" s="7"/>
      <c r="J241" s="2">
        <f t="shared" si="11"/>
        <v>81.497919556171979</v>
      </c>
      <c r="K241">
        <f t="shared" si="11"/>
        <v>90.439183083318269</v>
      </c>
      <c r="L241">
        <f t="shared" si="11"/>
        <v>67.705492793143748</v>
      </c>
      <c r="M241" s="3" t="s">
        <v>8</v>
      </c>
      <c r="N241" s="8" t="s">
        <v>319</v>
      </c>
      <c r="O241" s="9">
        <v>77939</v>
      </c>
    </row>
    <row r="242" spans="1:15" ht="18" x14ac:dyDescent="0.45">
      <c r="A242" s="3" t="s">
        <v>226</v>
      </c>
      <c r="C242" s="4" t="s">
        <v>238</v>
      </c>
      <c r="D242">
        <v>2942.5</v>
      </c>
      <c r="E242">
        <v>1251</v>
      </c>
      <c r="F242">
        <v>871500</v>
      </c>
      <c r="G242" s="5">
        <f t="shared" si="10"/>
        <v>871292.95501237817</v>
      </c>
      <c r="H242" s="6">
        <f t="shared" si="9"/>
        <v>207.04498762183357</v>
      </c>
      <c r="I242" s="7"/>
      <c r="J242" s="2">
        <f t="shared" si="11"/>
        <v>81.622746185852975</v>
      </c>
      <c r="K242">
        <f t="shared" si="11"/>
        <v>90.439183083318269</v>
      </c>
      <c r="L242">
        <f t="shared" si="11"/>
        <v>67.900272691858191</v>
      </c>
      <c r="M242" s="3" t="s">
        <v>8</v>
      </c>
      <c r="N242" s="8" t="s">
        <v>320</v>
      </c>
      <c r="O242" s="9">
        <v>77569.2</v>
      </c>
    </row>
    <row r="243" spans="1:15" ht="18" x14ac:dyDescent="0.45">
      <c r="A243" s="3" t="s">
        <v>226</v>
      </c>
      <c r="C243" s="4" t="s">
        <v>240</v>
      </c>
      <c r="D243">
        <v>2951</v>
      </c>
      <c r="E243">
        <v>1262</v>
      </c>
      <c r="F243">
        <v>873000</v>
      </c>
      <c r="G243" s="5">
        <f t="shared" si="10"/>
        <v>881434.70377134031</v>
      </c>
      <c r="H243" s="6">
        <f t="shared" si="9"/>
        <v>-8434.7037713403115</v>
      </c>
      <c r="I243" s="7"/>
      <c r="J243" s="2">
        <f t="shared" si="11"/>
        <v>81.858529819694866</v>
      </c>
      <c r="K243">
        <f t="shared" si="11"/>
        <v>91.234411711548887</v>
      </c>
      <c r="L243">
        <f t="shared" si="11"/>
        <v>68.017140631086875</v>
      </c>
      <c r="M243" s="3" t="s">
        <v>8</v>
      </c>
      <c r="N243" s="8" t="s">
        <v>321</v>
      </c>
      <c r="O243" s="9">
        <v>77763.8</v>
      </c>
    </row>
    <row r="244" spans="1:15" ht="18" x14ac:dyDescent="0.45">
      <c r="A244" s="3" t="s">
        <v>226</v>
      </c>
      <c r="C244" s="4" t="s">
        <v>241</v>
      </c>
      <c r="D244">
        <v>2950.5</v>
      </c>
      <c r="E244">
        <v>1250.25</v>
      </c>
      <c r="F244">
        <v>875000</v>
      </c>
      <c r="G244" s="5">
        <f t="shared" si="10"/>
        <v>873127.43967503123</v>
      </c>
      <c r="H244" s="6">
        <f t="shared" si="9"/>
        <v>1872.5603249687701</v>
      </c>
      <c r="I244" s="7"/>
      <c r="J244" s="2">
        <f t="shared" si="11"/>
        <v>81.844660194174764</v>
      </c>
      <c r="K244">
        <f t="shared" si="11"/>
        <v>90.384962949575282</v>
      </c>
      <c r="L244">
        <f t="shared" si="11"/>
        <v>68.172964550058438</v>
      </c>
      <c r="M244" s="3" t="s">
        <v>8</v>
      </c>
      <c r="N244" s="8" t="s">
        <v>322</v>
      </c>
      <c r="O244" s="9">
        <v>77717.3</v>
      </c>
    </row>
    <row r="245" spans="1:15" ht="18" x14ac:dyDescent="0.45">
      <c r="A245" s="3" t="s">
        <v>226</v>
      </c>
      <c r="C245" s="4" t="s">
        <v>242</v>
      </c>
      <c r="D245">
        <v>2948.5</v>
      </c>
      <c r="E245">
        <v>1254.5</v>
      </c>
      <c r="F245">
        <v>877000</v>
      </c>
      <c r="G245" s="5">
        <f t="shared" si="10"/>
        <v>875488.0211563193</v>
      </c>
      <c r="H245" s="6">
        <f t="shared" si="9"/>
        <v>1511.9788436806994</v>
      </c>
      <c r="I245" s="7"/>
      <c r="J245" s="2">
        <f t="shared" si="11"/>
        <v>81.789181692094317</v>
      </c>
      <c r="K245">
        <f t="shared" si="11"/>
        <v>90.692210374118915</v>
      </c>
      <c r="L245">
        <f t="shared" si="11"/>
        <v>68.328788469030002</v>
      </c>
      <c r="M245" s="3" t="s">
        <v>8</v>
      </c>
      <c r="N245" s="8" t="s">
        <v>323</v>
      </c>
      <c r="O245" s="9">
        <v>77752.399999999994</v>
      </c>
    </row>
    <row r="246" spans="1:15" ht="18" x14ac:dyDescent="0.45">
      <c r="A246" s="3" t="s">
        <v>226</v>
      </c>
      <c r="C246" s="4" t="s">
        <v>324</v>
      </c>
      <c r="D246">
        <v>2949</v>
      </c>
      <c r="E246">
        <v>1256.5</v>
      </c>
      <c r="F246">
        <v>878000</v>
      </c>
      <c r="G246" s="5">
        <f t="shared" si="10"/>
        <v>877023.65670353326</v>
      </c>
      <c r="H246" s="6">
        <f t="shared" si="9"/>
        <v>976.3432964667445</v>
      </c>
      <c r="I246" s="7"/>
      <c r="J246" s="2">
        <f t="shared" si="11"/>
        <v>81.803051317614432</v>
      </c>
      <c r="K246">
        <f t="shared" si="11"/>
        <v>90.836797397433571</v>
      </c>
      <c r="L246">
        <f t="shared" si="11"/>
        <v>68.406700428515776</v>
      </c>
      <c r="M246" s="3" t="s">
        <v>8</v>
      </c>
      <c r="N246" s="8" t="s">
        <v>325</v>
      </c>
      <c r="O246" s="9">
        <v>77931</v>
      </c>
    </row>
    <row r="247" spans="1:15" ht="18" x14ac:dyDescent="0.45">
      <c r="A247" s="3" t="s">
        <v>226</v>
      </c>
      <c r="C247" s="4" t="s">
        <v>326</v>
      </c>
      <c r="D247">
        <v>2953</v>
      </c>
      <c r="E247">
        <v>1259.25</v>
      </c>
      <c r="F247">
        <v>878000</v>
      </c>
      <c r="G247" s="5">
        <f t="shared" si="10"/>
        <v>880117.57902533503</v>
      </c>
      <c r="H247" s="6">
        <f t="shared" si="9"/>
        <v>-2117.5790253350278</v>
      </c>
      <c r="I247" s="7"/>
      <c r="J247" s="2">
        <f t="shared" si="11"/>
        <v>81.914008321775313</v>
      </c>
      <c r="K247">
        <f t="shared" si="11"/>
        <v>91.035604554491229</v>
      </c>
      <c r="L247">
        <f t="shared" si="11"/>
        <v>68.406700428515776</v>
      </c>
      <c r="M247" s="3" t="s">
        <v>8</v>
      </c>
      <c r="N247" s="10" t="s">
        <v>327</v>
      </c>
      <c r="O247" s="11">
        <v>77733.600000000006</v>
      </c>
    </row>
    <row r="248" spans="1:15" ht="18" x14ac:dyDescent="0.45">
      <c r="A248" s="3" t="s">
        <v>226</v>
      </c>
      <c r="C248" s="4" t="s">
        <v>243</v>
      </c>
      <c r="D248">
        <v>2956.5</v>
      </c>
      <c r="E248">
        <v>1259.25</v>
      </c>
      <c r="F248">
        <v>878000</v>
      </c>
      <c r="G248" s="5">
        <f t="shared" si="10"/>
        <v>881154.79931879544</v>
      </c>
      <c r="H248" s="6">
        <f t="shared" si="9"/>
        <v>-3154.7993187954416</v>
      </c>
      <c r="I248" s="7"/>
      <c r="J248" s="2">
        <f t="shared" si="11"/>
        <v>82.011095700416092</v>
      </c>
      <c r="K248">
        <f t="shared" si="11"/>
        <v>91.035604554491229</v>
      </c>
      <c r="L248">
        <f t="shared" si="11"/>
        <v>68.406700428515776</v>
      </c>
      <c r="M248" s="3" t="s">
        <v>8</v>
      </c>
      <c r="N248" s="10" t="s">
        <v>328</v>
      </c>
      <c r="O248" s="11">
        <v>77596.399999999994</v>
      </c>
    </row>
    <row r="249" spans="1:15" ht="18" x14ac:dyDescent="0.45">
      <c r="A249" s="3" t="s">
        <v>226</v>
      </c>
      <c r="C249" s="4" t="s">
        <v>244</v>
      </c>
      <c r="D249">
        <v>2949</v>
      </c>
      <c r="E249">
        <v>1259.25</v>
      </c>
      <c r="F249">
        <v>881500</v>
      </c>
      <c r="G249" s="5">
        <f t="shared" si="10"/>
        <v>878932.18440423743</v>
      </c>
      <c r="H249" s="6">
        <f t="shared" si="9"/>
        <v>2567.8155957625713</v>
      </c>
      <c r="I249" s="7"/>
      <c r="J249" s="2">
        <f t="shared" si="11"/>
        <v>81.803051317614432</v>
      </c>
      <c r="K249">
        <f t="shared" si="11"/>
        <v>91.035604554491229</v>
      </c>
      <c r="L249">
        <f t="shared" si="11"/>
        <v>68.679392286716009</v>
      </c>
      <c r="M249" s="3" t="s">
        <v>8</v>
      </c>
      <c r="N249" s="4" t="s">
        <v>329</v>
      </c>
      <c r="O249" s="11">
        <v>77610.240000000005</v>
      </c>
    </row>
    <row r="250" spans="1:15" ht="18" x14ac:dyDescent="0.45">
      <c r="A250" s="3" t="s">
        <v>226</v>
      </c>
      <c r="C250" s="4" t="s">
        <v>245</v>
      </c>
      <c r="D250">
        <v>2946.5</v>
      </c>
      <c r="E250">
        <v>1277</v>
      </c>
      <c r="F250">
        <v>884250</v>
      </c>
      <c r="G250" s="5">
        <f t="shared" si="10"/>
        <v>890499.54846317065</v>
      </c>
      <c r="H250" s="6">
        <f t="shared" si="9"/>
        <v>-6249.5484631706495</v>
      </c>
      <c r="I250" s="7"/>
      <c r="J250" s="2">
        <f t="shared" si="11"/>
        <v>81.73370319001387</v>
      </c>
      <c r="K250">
        <f t="shared" si="11"/>
        <v>92.318814386408818</v>
      </c>
      <c r="L250">
        <f t="shared" si="11"/>
        <v>68.893650175301914</v>
      </c>
      <c r="M250" s="3" t="s">
        <v>8</v>
      </c>
      <c r="N250" s="4" t="s">
        <v>330</v>
      </c>
      <c r="O250" s="11">
        <v>76895.259999999995</v>
      </c>
    </row>
    <row r="251" spans="1:15" ht="18" x14ac:dyDescent="0.45">
      <c r="A251" s="3" t="s">
        <v>226</v>
      </c>
      <c r="C251" s="4" t="s">
        <v>331</v>
      </c>
      <c r="D251">
        <v>2950</v>
      </c>
      <c r="E251">
        <v>1282</v>
      </c>
      <c r="F251">
        <v>889500</v>
      </c>
      <c r="G251" s="5">
        <f t="shared" si="10"/>
        <v>895022.61614635226</v>
      </c>
      <c r="H251" s="6">
        <f t="shared" si="9"/>
        <v>-5522.6161463522585</v>
      </c>
      <c r="I251" s="7"/>
      <c r="J251" s="2">
        <f t="shared" si="11"/>
        <v>81.830790568654635</v>
      </c>
      <c r="K251">
        <f t="shared" si="11"/>
        <v>92.680281944695466</v>
      </c>
      <c r="L251">
        <f t="shared" si="11"/>
        <v>69.302687962602263</v>
      </c>
      <c r="M251" s="3" t="s">
        <v>8</v>
      </c>
      <c r="N251" s="4" t="s">
        <v>332</v>
      </c>
      <c r="O251" s="11">
        <v>76987.5</v>
      </c>
    </row>
    <row r="252" spans="1:15" ht="18" x14ac:dyDescent="0.45">
      <c r="A252" s="3" t="s">
        <v>226</v>
      </c>
      <c r="C252" s="4" t="s">
        <v>247</v>
      </c>
      <c r="D252">
        <v>2952</v>
      </c>
      <c r="E252">
        <v>1289.5</v>
      </c>
      <c r="F252">
        <v>899500</v>
      </c>
      <c r="G252" s="5">
        <f t="shared" si="10"/>
        <v>900836.39194932953</v>
      </c>
      <c r="H252" s="6">
        <f t="shared" si="9"/>
        <v>-1336.3919493295252</v>
      </c>
      <c r="I252" s="7"/>
      <c r="J252" s="2">
        <f t="shared" si="11"/>
        <v>81.886269070735082</v>
      </c>
      <c r="K252">
        <f t="shared" si="11"/>
        <v>93.222483282125438</v>
      </c>
      <c r="L252">
        <f t="shared" si="11"/>
        <v>70.081807557460081</v>
      </c>
      <c r="M252" s="3" t="s">
        <v>8</v>
      </c>
      <c r="N252" s="4" t="s">
        <v>333</v>
      </c>
      <c r="O252" s="11">
        <v>76528.899999999994</v>
      </c>
    </row>
    <row r="253" spans="1:15" ht="18" x14ac:dyDescent="0.45">
      <c r="A253" s="3" t="s">
        <v>226</v>
      </c>
      <c r="C253" s="4" t="s">
        <v>334</v>
      </c>
      <c r="D253">
        <v>2950.5</v>
      </c>
      <c r="E253">
        <v>1296</v>
      </c>
      <c r="F253">
        <v>907500</v>
      </c>
      <c r="G253" s="5">
        <f t="shared" si="10"/>
        <v>904894.55054496345</v>
      </c>
      <c r="H253" s="6">
        <f t="shared" si="9"/>
        <v>2605.4494550365489</v>
      </c>
      <c r="I253" s="7"/>
      <c r="J253" s="2">
        <f t="shared" si="11"/>
        <v>81.844660194174764</v>
      </c>
      <c r="K253">
        <f t="shared" si="11"/>
        <v>93.692391107898061</v>
      </c>
      <c r="L253">
        <f t="shared" si="11"/>
        <v>70.705103233346321</v>
      </c>
      <c r="M253" s="3" t="s">
        <v>8</v>
      </c>
      <c r="N253" s="4" t="s">
        <v>335</v>
      </c>
      <c r="O253" s="11">
        <v>76634.399999999994</v>
      </c>
    </row>
    <row r="254" spans="1:15" ht="18" x14ac:dyDescent="0.45">
      <c r="A254" s="3" t="s">
        <v>226</v>
      </c>
      <c r="C254" s="4" t="s">
        <v>336</v>
      </c>
      <c r="D254">
        <v>2952</v>
      </c>
      <c r="E254">
        <v>1320</v>
      </c>
      <c r="F254">
        <v>920000</v>
      </c>
      <c r="G254" s="5">
        <f t="shared" si="10"/>
        <v>922025.23254991474</v>
      </c>
      <c r="H254" s="6">
        <f t="shared" si="9"/>
        <v>-2025.232549914741</v>
      </c>
      <c r="I254" s="7"/>
      <c r="J254" s="2">
        <f t="shared" si="11"/>
        <v>81.886269070735082</v>
      </c>
      <c r="K254">
        <f t="shared" si="11"/>
        <v>95.427435387673953</v>
      </c>
      <c r="L254">
        <f t="shared" si="11"/>
        <v>71.679002726918583</v>
      </c>
      <c r="M254" s="3" t="s">
        <v>8</v>
      </c>
      <c r="N254" s="4" t="s">
        <v>337</v>
      </c>
      <c r="O254" s="11">
        <v>76767.600000000006</v>
      </c>
    </row>
    <row r="255" spans="1:15" ht="18" x14ac:dyDescent="0.45">
      <c r="A255" s="3" t="s">
        <v>226</v>
      </c>
      <c r="C255" s="4" t="s">
        <v>249</v>
      </c>
      <c r="D255">
        <v>2956.5</v>
      </c>
      <c r="E255">
        <v>1320</v>
      </c>
      <c r="F255">
        <v>932000</v>
      </c>
      <c r="G255" s="5">
        <f t="shared" si="10"/>
        <v>923423.13686782622</v>
      </c>
      <c r="H255" s="6">
        <f t="shared" si="9"/>
        <v>8576.8631321737776</v>
      </c>
      <c r="I255" s="7"/>
      <c r="J255" s="2">
        <f t="shared" si="11"/>
        <v>82.011095700416092</v>
      </c>
      <c r="K255">
        <f t="shared" si="11"/>
        <v>95.427435387673953</v>
      </c>
      <c r="L255">
        <f t="shared" si="11"/>
        <v>72.61394624074795</v>
      </c>
      <c r="M255" s="3" t="s">
        <v>23</v>
      </c>
      <c r="N255" s="12" t="s">
        <v>338</v>
      </c>
      <c r="O255" s="11">
        <v>76703.899999999994</v>
      </c>
    </row>
    <row r="256" spans="1:15" ht="18" x14ac:dyDescent="0.45">
      <c r="A256" s="3" t="s">
        <v>226</v>
      </c>
      <c r="C256" s="4" t="s">
        <v>250</v>
      </c>
      <c r="D256">
        <v>2953.5</v>
      </c>
      <c r="E256">
        <v>1320</v>
      </c>
      <c r="F256">
        <v>932000</v>
      </c>
      <c r="G256" s="5">
        <f t="shared" si="10"/>
        <v>922491.20065588516</v>
      </c>
      <c r="H256" s="6">
        <f t="shared" si="9"/>
        <v>9508.7993441148428</v>
      </c>
      <c r="I256" s="7"/>
      <c r="J256" s="2">
        <f t="shared" si="11"/>
        <v>81.927877947295428</v>
      </c>
      <c r="K256">
        <f t="shared" si="11"/>
        <v>95.427435387673953</v>
      </c>
      <c r="L256">
        <f t="shared" si="11"/>
        <v>72.61394624074795</v>
      </c>
      <c r="M256" s="3" t="s">
        <v>23</v>
      </c>
      <c r="N256" s="12" t="s">
        <v>339</v>
      </c>
      <c r="O256" s="11">
        <v>76394.2</v>
      </c>
    </row>
    <row r="257" spans="1:15" ht="18" x14ac:dyDescent="0.45">
      <c r="A257" s="3" t="s">
        <v>226</v>
      </c>
      <c r="C257" s="4" t="s">
        <v>251</v>
      </c>
      <c r="D257">
        <v>2948.5</v>
      </c>
      <c r="E257">
        <v>1320</v>
      </c>
      <c r="F257">
        <v>938000</v>
      </c>
      <c r="G257" s="5">
        <f t="shared" si="10"/>
        <v>920937.97363598354</v>
      </c>
      <c r="H257" s="6">
        <f t="shared" si="9"/>
        <v>17062.026364016463</v>
      </c>
      <c r="I257" s="7"/>
      <c r="J257" s="2">
        <f t="shared" si="11"/>
        <v>81.789181692094317</v>
      </c>
      <c r="K257">
        <f t="shared" si="11"/>
        <v>95.427435387673953</v>
      </c>
      <c r="L257">
        <f t="shared" si="11"/>
        <v>73.081417997662641</v>
      </c>
      <c r="M257" s="3" t="s">
        <v>23</v>
      </c>
      <c r="N257" s="12" t="s">
        <v>340</v>
      </c>
      <c r="O257" s="11">
        <v>76212</v>
      </c>
    </row>
    <row r="258" spans="1:15" ht="18" x14ac:dyDescent="0.45">
      <c r="A258" s="3" t="s">
        <v>226</v>
      </c>
      <c r="C258" s="4" t="s">
        <v>252</v>
      </c>
      <c r="D258">
        <v>2953</v>
      </c>
      <c r="E258">
        <v>1320.75</v>
      </c>
      <c r="F258">
        <v>941000</v>
      </c>
      <c r="G258" s="5">
        <f t="shared" si="10"/>
        <v>922857.09152091423</v>
      </c>
      <c r="H258" s="6">
        <f t="shared" ref="H258:H321" si="12">F:F-G:G</f>
        <v>18142.908479085774</v>
      </c>
      <c r="I258" s="7"/>
      <c r="J258" s="2">
        <f t="shared" si="11"/>
        <v>81.914008321775313</v>
      </c>
      <c r="K258">
        <f t="shared" si="11"/>
        <v>95.481655521416954</v>
      </c>
      <c r="L258">
        <f t="shared" si="11"/>
        <v>73.315153876119979</v>
      </c>
      <c r="M258" s="3" t="s">
        <v>23</v>
      </c>
      <c r="N258" s="12" t="s">
        <v>341</v>
      </c>
      <c r="O258" s="11">
        <v>76067.8</v>
      </c>
    </row>
    <row r="259" spans="1:15" ht="18" x14ac:dyDescent="0.45">
      <c r="A259" s="3" t="s">
        <v>226</v>
      </c>
      <c r="C259" s="4" t="s">
        <v>253</v>
      </c>
      <c r="D259">
        <v>2951</v>
      </c>
      <c r="E259">
        <v>1320.5</v>
      </c>
      <c r="F259">
        <v>936500</v>
      </c>
      <c r="G259" s="5">
        <f t="shared" ref="G259:G322" si="13">E259/31.103*8.133*D259*0.9+5000</f>
        <v>922061.82751985337</v>
      </c>
      <c r="H259" s="6">
        <f t="shared" si="12"/>
        <v>14438.172480146633</v>
      </c>
      <c r="I259" s="7">
        <f>F259/F229-1</f>
        <v>9.7889800703399699E-2</v>
      </c>
      <c r="J259" s="2">
        <f t="shared" si="11"/>
        <v>81.858529819694866</v>
      </c>
      <c r="K259">
        <f t="shared" si="11"/>
        <v>95.46358214350262</v>
      </c>
      <c r="L259">
        <f t="shared" si="11"/>
        <v>72.964550058433971</v>
      </c>
      <c r="M259" s="3" t="s">
        <v>23</v>
      </c>
      <c r="N259" s="12" t="s">
        <v>342</v>
      </c>
      <c r="O259" s="11">
        <v>75687.100000000006</v>
      </c>
    </row>
    <row r="260" spans="1:15" ht="18" x14ac:dyDescent="0.45">
      <c r="A260" s="3" t="s">
        <v>254</v>
      </c>
      <c r="C260" s="4" t="s">
        <v>343</v>
      </c>
      <c r="D260">
        <v>2950</v>
      </c>
      <c r="E260">
        <v>1316.25</v>
      </c>
      <c r="F260">
        <v>935500</v>
      </c>
      <c r="G260" s="5">
        <f t="shared" si="13"/>
        <v>918800.52145291434</v>
      </c>
      <c r="H260" s="6">
        <f t="shared" si="12"/>
        <v>16699.478547085659</v>
      </c>
      <c r="I260" s="7"/>
      <c r="J260" s="2">
        <f t="shared" si="11"/>
        <v>81.830790568654635</v>
      </c>
      <c r="K260">
        <f t="shared" si="11"/>
        <v>95.156334718958973</v>
      </c>
      <c r="L260">
        <f t="shared" si="11"/>
        <v>72.886638098948183</v>
      </c>
      <c r="M260" s="3" t="s">
        <v>23</v>
      </c>
      <c r="N260" s="12" t="s">
        <v>344</v>
      </c>
      <c r="O260" s="11">
        <v>74543.399999999994</v>
      </c>
    </row>
    <row r="261" spans="1:15" ht="18" x14ac:dyDescent="0.45">
      <c r="A261" s="3" t="s">
        <v>254</v>
      </c>
      <c r="C261" s="4" t="s">
        <v>345</v>
      </c>
      <c r="D261">
        <v>2951.5</v>
      </c>
      <c r="E261">
        <v>1323.25</v>
      </c>
      <c r="F261">
        <v>935500</v>
      </c>
      <c r="G261" s="5">
        <f t="shared" si="13"/>
        <v>924127.3547017168</v>
      </c>
      <c r="H261" s="6">
        <f t="shared" si="12"/>
        <v>11372.645298283198</v>
      </c>
      <c r="I261" s="7"/>
      <c r="J261" s="2">
        <f t="shared" si="11"/>
        <v>81.872399445214981</v>
      </c>
      <c r="K261">
        <f t="shared" si="11"/>
        <v>95.662389300560278</v>
      </c>
      <c r="L261">
        <f t="shared" si="11"/>
        <v>72.886638098948183</v>
      </c>
      <c r="M261" s="3" t="s">
        <v>23</v>
      </c>
      <c r="N261" s="12" t="s">
        <v>346</v>
      </c>
      <c r="O261" s="11">
        <v>74735.899999999994</v>
      </c>
    </row>
    <row r="262" spans="1:15" ht="18" x14ac:dyDescent="0.45">
      <c r="A262" s="3" t="s">
        <v>254</v>
      </c>
      <c r="C262" s="4" t="s">
        <v>255</v>
      </c>
      <c r="D262">
        <v>2953</v>
      </c>
      <c r="E262">
        <v>1323.25</v>
      </c>
      <c r="F262">
        <v>940000</v>
      </c>
      <c r="G262" s="5">
        <f t="shared" si="13"/>
        <v>924594.47007764527</v>
      </c>
      <c r="H262" s="6">
        <f t="shared" si="12"/>
        <v>15405.529922354734</v>
      </c>
      <c r="I262" s="7"/>
      <c r="J262" s="2">
        <f t="shared" si="11"/>
        <v>81.914008321775313</v>
      </c>
      <c r="K262">
        <f t="shared" si="11"/>
        <v>95.662389300560278</v>
      </c>
      <c r="L262">
        <f t="shared" si="11"/>
        <v>73.237241916634204</v>
      </c>
      <c r="M262" s="3" t="s">
        <v>23</v>
      </c>
      <c r="N262" s="12" t="s">
        <v>347</v>
      </c>
      <c r="O262" s="11">
        <v>75102.8</v>
      </c>
    </row>
    <row r="263" spans="1:15" ht="18" x14ac:dyDescent="0.45">
      <c r="A263" s="3" t="s">
        <v>254</v>
      </c>
      <c r="C263" s="4" t="s">
        <v>257</v>
      </c>
      <c r="D263">
        <v>2957.5</v>
      </c>
      <c r="E263">
        <v>1323.25</v>
      </c>
      <c r="F263">
        <v>942500</v>
      </c>
      <c r="G263" s="5">
        <f t="shared" si="13"/>
        <v>925995.81620543031</v>
      </c>
      <c r="H263" s="6">
        <f t="shared" si="12"/>
        <v>16504.18379456969</v>
      </c>
      <c r="I263" s="7"/>
      <c r="J263" s="2">
        <f t="shared" si="11"/>
        <v>82.038834951456309</v>
      </c>
      <c r="K263">
        <f t="shared" si="11"/>
        <v>95.662389300560278</v>
      </c>
      <c r="L263">
        <f t="shared" si="11"/>
        <v>73.432021815348662</v>
      </c>
      <c r="M263" s="3" t="s">
        <v>23</v>
      </c>
      <c r="N263" s="12" t="s">
        <v>348</v>
      </c>
      <c r="O263" s="11">
        <v>75329.5</v>
      </c>
    </row>
    <row r="264" spans="1:15" ht="18" x14ac:dyDescent="0.45">
      <c r="A264" s="3" t="s">
        <v>254</v>
      </c>
      <c r="C264" s="4" t="s">
        <v>259</v>
      </c>
      <c r="D264">
        <v>2971.5</v>
      </c>
      <c r="E264">
        <v>1334.75</v>
      </c>
      <c r="F264">
        <v>954500</v>
      </c>
      <c r="G264" s="5">
        <f t="shared" si="13"/>
        <v>938397.569112706</v>
      </c>
      <c r="H264" s="6">
        <f t="shared" si="12"/>
        <v>16102.430887294002</v>
      </c>
      <c r="I264" s="7"/>
      <c r="J264" s="2">
        <f t="shared" si="11"/>
        <v>82.427184466019412</v>
      </c>
      <c r="K264">
        <f t="shared" si="11"/>
        <v>96.493764684619549</v>
      </c>
      <c r="L264">
        <f t="shared" si="11"/>
        <v>74.366965329178029</v>
      </c>
      <c r="M264" s="3" t="s">
        <v>23</v>
      </c>
      <c r="N264" s="12" t="s">
        <v>349</v>
      </c>
      <c r="O264" s="11">
        <v>75353.5</v>
      </c>
    </row>
    <row r="265" spans="1:15" ht="18" x14ac:dyDescent="0.45">
      <c r="A265" s="3" t="s">
        <v>254</v>
      </c>
      <c r="C265" s="4" t="s">
        <v>261</v>
      </c>
      <c r="D265">
        <v>2998</v>
      </c>
      <c r="E265">
        <v>1339</v>
      </c>
      <c r="F265">
        <v>979500</v>
      </c>
      <c r="G265" s="5">
        <f t="shared" si="13"/>
        <v>949720.21166446945</v>
      </c>
      <c r="H265" s="6">
        <f t="shared" si="12"/>
        <v>29779.788335530553</v>
      </c>
      <c r="I265" s="7"/>
      <c r="J265" s="2">
        <f t="shared" si="11"/>
        <v>83.1622746185853</v>
      </c>
      <c r="K265">
        <f t="shared" si="11"/>
        <v>96.801012109163196</v>
      </c>
      <c r="L265">
        <f t="shared" si="11"/>
        <v>76.314764316322567</v>
      </c>
      <c r="M265" s="3" t="s">
        <v>23</v>
      </c>
      <c r="N265" s="12" t="s">
        <v>350</v>
      </c>
      <c r="O265" s="11">
        <v>75240.5</v>
      </c>
    </row>
    <row r="266" spans="1:15" ht="18" x14ac:dyDescent="0.45">
      <c r="A266" s="3" t="s">
        <v>254</v>
      </c>
      <c r="C266" s="4" t="s">
        <v>262</v>
      </c>
      <c r="D266">
        <v>2987.5</v>
      </c>
      <c r="E266">
        <v>1331.75</v>
      </c>
      <c r="F266">
        <v>974500</v>
      </c>
      <c r="G266" s="5">
        <f t="shared" si="13"/>
        <v>941314.22351742582</v>
      </c>
      <c r="H266" s="6">
        <f t="shared" si="12"/>
        <v>33185.776482574176</v>
      </c>
      <c r="I266" s="7"/>
      <c r="J266" s="2">
        <f t="shared" si="11"/>
        <v>82.871012482662962</v>
      </c>
      <c r="K266">
        <f t="shared" si="11"/>
        <v>96.276884149647572</v>
      </c>
      <c r="L266">
        <f t="shared" si="11"/>
        <v>75.925204518893651</v>
      </c>
      <c r="M266" s="3" t="s">
        <v>23</v>
      </c>
      <c r="N266" s="12" t="s">
        <v>351</v>
      </c>
      <c r="O266" s="11">
        <v>74836.7</v>
      </c>
    </row>
    <row r="267" spans="1:15" ht="18" x14ac:dyDescent="0.45">
      <c r="A267" s="3" t="s">
        <v>254</v>
      </c>
      <c r="C267" s="4" t="s">
        <v>352</v>
      </c>
      <c r="D267">
        <v>2992.5</v>
      </c>
      <c r="E267">
        <v>1332.25</v>
      </c>
      <c r="F267">
        <v>963500</v>
      </c>
      <c r="G267" s="5">
        <f t="shared" si="13"/>
        <v>943233.40023671335</v>
      </c>
      <c r="H267" s="6">
        <f t="shared" si="12"/>
        <v>20266.599763286649</v>
      </c>
      <c r="I267" s="7"/>
      <c r="J267" s="2">
        <f t="shared" si="11"/>
        <v>83.009708737864074</v>
      </c>
      <c r="K267">
        <f t="shared" si="11"/>
        <v>96.313030905476239</v>
      </c>
      <c r="L267">
        <f t="shared" si="11"/>
        <v>75.068172964550058</v>
      </c>
      <c r="M267" s="3" t="s">
        <v>23</v>
      </c>
      <c r="N267" s="12" t="s">
        <v>353</v>
      </c>
      <c r="O267" s="11">
        <v>74499.100000000006</v>
      </c>
    </row>
    <row r="268" spans="1:15" ht="18" x14ac:dyDescent="0.45">
      <c r="A268" s="3" t="s">
        <v>254</v>
      </c>
      <c r="C268" s="4" t="s">
        <v>354</v>
      </c>
      <c r="D268">
        <v>3003</v>
      </c>
      <c r="E268">
        <v>1326.5</v>
      </c>
      <c r="F268">
        <v>965000</v>
      </c>
      <c r="G268" s="5">
        <f t="shared" si="13"/>
        <v>942461.81706427014</v>
      </c>
      <c r="H268" s="6">
        <f t="shared" si="12"/>
        <v>22538.182935729856</v>
      </c>
      <c r="I268" s="7"/>
      <c r="J268" s="2">
        <f t="shared" si="11"/>
        <v>83.300970873786412</v>
      </c>
      <c r="K268">
        <f t="shared" si="11"/>
        <v>95.89734321344659</v>
      </c>
      <c r="L268">
        <f t="shared" si="11"/>
        <v>75.185040903778741</v>
      </c>
      <c r="M268" s="3" t="s">
        <v>23</v>
      </c>
      <c r="N268" s="12" t="s">
        <v>355</v>
      </c>
      <c r="O268" s="11">
        <v>73516</v>
      </c>
    </row>
    <row r="269" spans="1:15" ht="18" x14ac:dyDescent="0.45">
      <c r="A269" s="3" t="s">
        <v>254</v>
      </c>
      <c r="C269" s="4" t="s">
        <v>264</v>
      </c>
      <c r="D269">
        <v>3021</v>
      </c>
      <c r="E269">
        <v>1326.5</v>
      </c>
      <c r="F269">
        <v>967500</v>
      </c>
      <c r="G269" s="5">
        <f t="shared" si="13"/>
        <v>948080.96881490515</v>
      </c>
      <c r="H269" s="6">
        <f t="shared" si="12"/>
        <v>19419.031185094849</v>
      </c>
      <c r="I269" s="7"/>
      <c r="J269" s="2">
        <f t="shared" si="11"/>
        <v>83.800277392510395</v>
      </c>
      <c r="K269">
        <f t="shared" si="11"/>
        <v>95.89734321344659</v>
      </c>
      <c r="L269">
        <f t="shared" si="11"/>
        <v>75.379820802493185</v>
      </c>
      <c r="M269" s="3" t="s">
        <v>23</v>
      </c>
      <c r="N269" s="12" t="s">
        <v>356</v>
      </c>
      <c r="O269" s="11">
        <v>72631.8</v>
      </c>
    </row>
    <row r="270" spans="1:15" ht="18" x14ac:dyDescent="0.45">
      <c r="A270" s="3" t="s">
        <v>254</v>
      </c>
      <c r="C270" s="4" t="s">
        <v>265</v>
      </c>
      <c r="D270">
        <v>3044</v>
      </c>
      <c r="E270">
        <v>1326.5</v>
      </c>
      <c r="F270">
        <v>973000</v>
      </c>
      <c r="G270" s="5">
        <f t="shared" si="13"/>
        <v>955260.99605182768</v>
      </c>
      <c r="H270" s="6">
        <f t="shared" si="12"/>
        <v>17739.003948172322</v>
      </c>
      <c r="I270" s="7"/>
      <c r="J270" s="2">
        <f t="shared" si="11"/>
        <v>84.438280166435504</v>
      </c>
      <c r="K270">
        <f t="shared" si="11"/>
        <v>95.89734321344659</v>
      </c>
      <c r="L270">
        <f t="shared" si="11"/>
        <v>75.808336579664982</v>
      </c>
      <c r="M270" s="3" t="s">
        <v>23</v>
      </c>
      <c r="N270" s="12" t="s">
        <v>357</v>
      </c>
      <c r="O270" s="11">
        <v>72748.800000000003</v>
      </c>
    </row>
    <row r="271" spans="1:15" ht="18" x14ac:dyDescent="0.45">
      <c r="A271" s="3" t="s">
        <v>254</v>
      </c>
      <c r="C271" s="4" t="s">
        <v>266</v>
      </c>
      <c r="D271">
        <v>3091</v>
      </c>
      <c r="E271">
        <v>1349.5</v>
      </c>
      <c r="F271">
        <v>991000</v>
      </c>
      <c r="G271" s="5">
        <f t="shared" si="13"/>
        <v>986664.06933897047</v>
      </c>
      <c r="H271" s="6">
        <f t="shared" si="12"/>
        <v>4335.9306610295316</v>
      </c>
      <c r="I271" s="7"/>
      <c r="J271" s="2">
        <f t="shared" si="11"/>
        <v>85.742024965325939</v>
      </c>
      <c r="K271">
        <f t="shared" si="11"/>
        <v>97.56009398156516</v>
      </c>
      <c r="L271">
        <f t="shared" si="11"/>
        <v>77.210751850409039</v>
      </c>
      <c r="M271" s="3" t="s">
        <v>23</v>
      </c>
      <c r="N271" s="12" t="s">
        <v>358</v>
      </c>
      <c r="O271" s="11">
        <v>72638</v>
      </c>
    </row>
    <row r="272" spans="1:15" ht="18" x14ac:dyDescent="0.45">
      <c r="A272" s="3" t="s">
        <v>254</v>
      </c>
      <c r="C272" s="4" t="s">
        <v>268</v>
      </c>
      <c r="D272">
        <v>3082.5</v>
      </c>
      <c r="E272">
        <v>1334.75</v>
      </c>
      <c r="F272">
        <v>984000</v>
      </c>
      <c r="G272" s="5">
        <f t="shared" si="13"/>
        <v>973264.51515729981</v>
      </c>
      <c r="H272" s="6">
        <f t="shared" si="12"/>
        <v>10735.484842700185</v>
      </c>
      <c r="I272" s="7"/>
      <c r="J272" s="2">
        <f t="shared" si="11"/>
        <v>85.506241331484048</v>
      </c>
      <c r="K272">
        <f t="shared" si="11"/>
        <v>96.493764684619549</v>
      </c>
      <c r="L272">
        <f t="shared" si="11"/>
        <v>76.665368134008574</v>
      </c>
      <c r="M272" s="3" t="s">
        <v>23</v>
      </c>
      <c r="N272" s="12" t="s">
        <v>359</v>
      </c>
      <c r="O272" s="11">
        <v>72873.100000000006</v>
      </c>
    </row>
    <row r="273" spans="1:15" ht="18" x14ac:dyDescent="0.45">
      <c r="A273" s="3" t="s">
        <v>254</v>
      </c>
      <c r="C273" s="4" t="s">
        <v>270</v>
      </c>
      <c r="D273">
        <v>3065</v>
      </c>
      <c r="E273">
        <v>1337</v>
      </c>
      <c r="F273">
        <v>977000</v>
      </c>
      <c r="G273" s="5">
        <f t="shared" si="13"/>
        <v>969390.41984695988</v>
      </c>
      <c r="H273" s="6">
        <f t="shared" si="12"/>
        <v>7609.5801530401222</v>
      </c>
      <c r="I273" s="7"/>
      <c r="J273" s="2">
        <f t="shared" si="11"/>
        <v>85.020804438280166</v>
      </c>
      <c r="K273">
        <f t="shared" si="11"/>
        <v>96.656425085848539</v>
      </c>
      <c r="L273">
        <f t="shared" si="11"/>
        <v>76.119984417608094</v>
      </c>
      <c r="M273" s="3" t="s">
        <v>23</v>
      </c>
      <c r="N273" s="12" t="s">
        <v>360</v>
      </c>
      <c r="O273" s="11">
        <v>72969</v>
      </c>
    </row>
    <row r="274" spans="1:15" ht="18" x14ac:dyDescent="0.45">
      <c r="A274" s="3" t="s">
        <v>254</v>
      </c>
      <c r="C274" s="4" t="s">
        <v>361</v>
      </c>
      <c r="D274">
        <v>3050.5</v>
      </c>
      <c r="E274">
        <v>1345.25</v>
      </c>
      <c r="F274">
        <v>977500</v>
      </c>
      <c r="G274" s="5">
        <f t="shared" si="13"/>
        <v>970750.69959368871</v>
      </c>
      <c r="H274" s="6">
        <f t="shared" si="12"/>
        <v>6749.3004063112894</v>
      </c>
      <c r="I274" s="7"/>
      <c r="J274" s="2">
        <f t="shared" si="11"/>
        <v>84.618585298196948</v>
      </c>
      <c r="K274">
        <f t="shared" si="11"/>
        <v>97.252846557021513</v>
      </c>
      <c r="L274">
        <f t="shared" si="11"/>
        <v>76.158940397350989</v>
      </c>
      <c r="M274" s="3" t="s">
        <v>47</v>
      </c>
      <c r="N274" s="12" t="s">
        <v>362</v>
      </c>
      <c r="O274" s="11">
        <v>72900.800000000003</v>
      </c>
    </row>
    <row r="275" spans="1:15" ht="18" x14ac:dyDescent="0.45">
      <c r="A275" s="3" t="s">
        <v>254</v>
      </c>
      <c r="C275" s="4" t="s">
        <v>363</v>
      </c>
      <c r="D275">
        <v>3050</v>
      </c>
      <c r="E275">
        <v>1335.25</v>
      </c>
      <c r="F275">
        <v>979000</v>
      </c>
      <c r="G275" s="5">
        <f t="shared" si="13"/>
        <v>963414.61422531586</v>
      </c>
      <c r="H275" s="6">
        <f t="shared" si="12"/>
        <v>15585.385774684139</v>
      </c>
      <c r="I275" s="7"/>
      <c r="J275" s="2">
        <f t="shared" si="11"/>
        <v>84.604715672676832</v>
      </c>
      <c r="K275">
        <f t="shared" si="11"/>
        <v>96.529911440448217</v>
      </c>
      <c r="L275">
        <f t="shared" si="11"/>
        <v>76.275808336579672</v>
      </c>
      <c r="M275" s="3" t="s">
        <v>47</v>
      </c>
      <c r="N275" s="12" t="s">
        <v>364</v>
      </c>
      <c r="O275" s="11">
        <v>72544.899999999994</v>
      </c>
    </row>
    <row r="276" spans="1:15" ht="18" x14ac:dyDescent="0.45">
      <c r="A276" s="3" t="s">
        <v>254</v>
      </c>
      <c r="C276" s="4" t="s">
        <v>271</v>
      </c>
      <c r="D276">
        <v>3031</v>
      </c>
      <c r="E276">
        <v>1335.25</v>
      </c>
      <c r="F276">
        <v>969000</v>
      </c>
      <c r="G276" s="5">
        <f t="shared" si="13"/>
        <v>957444.16253014188</v>
      </c>
      <c r="H276" s="6">
        <f t="shared" si="12"/>
        <v>11555.837469858117</v>
      </c>
      <c r="I276" s="7"/>
      <c r="J276" s="2">
        <f t="shared" si="11"/>
        <v>84.077669902912618</v>
      </c>
      <c r="K276">
        <f t="shared" si="11"/>
        <v>96.529911440448217</v>
      </c>
      <c r="L276">
        <f t="shared" si="11"/>
        <v>75.496688741721854</v>
      </c>
      <c r="M276" s="3" t="s">
        <v>47</v>
      </c>
      <c r="N276" s="12" t="s">
        <v>365</v>
      </c>
      <c r="O276" s="11">
        <v>72344.399999999994</v>
      </c>
    </row>
    <row r="277" spans="1:15" ht="18" x14ac:dyDescent="0.45">
      <c r="A277" s="3" t="s">
        <v>254</v>
      </c>
      <c r="C277" s="4" t="s">
        <v>272</v>
      </c>
      <c r="D277">
        <v>3019</v>
      </c>
      <c r="E277">
        <v>1335.25</v>
      </c>
      <c r="F277">
        <v>969000</v>
      </c>
      <c r="G277" s="5">
        <f t="shared" si="13"/>
        <v>953673.35093318962</v>
      </c>
      <c r="H277" s="6">
        <f t="shared" si="12"/>
        <v>15326.64906681038</v>
      </c>
      <c r="I277" s="7"/>
      <c r="J277" s="2">
        <f t="shared" si="11"/>
        <v>83.744798890429962</v>
      </c>
      <c r="K277">
        <f t="shared" si="11"/>
        <v>96.529911440448217</v>
      </c>
      <c r="L277">
        <f t="shared" si="11"/>
        <v>75.496688741721854</v>
      </c>
      <c r="M277" s="3" t="s">
        <v>47</v>
      </c>
      <c r="N277" s="12" t="s">
        <v>366</v>
      </c>
      <c r="O277" s="11">
        <v>72249.899999999994</v>
      </c>
    </row>
    <row r="278" spans="1:15" ht="18" x14ac:dyDescent="0.45">
      <c r="A278" s="3" t="s">
        <v>254</v>
      </c>
      <c r="C278" s="4" t="s">
        <v>273</v>
      </c>
      <c r="D278">
        <v>3055</v>
      </c>
      <c r="E278">
        <v>1344</v>
      </c>
      <c r="F278">
        <v>970000</v>
      </c>
      <c r="G278" s="5">
        <f t="shared" si="13"/>
        <v>971276.64932643133</v>
      </c>
      <c r="H278" s="6">
        <f t="shared" si="12"/>
        <v>-1276.6493264313322</v>
      </c>
      <c r="I278" s="7"/>
      <c r="J278" s="2">
        <f t="shared" si="11"/>
        <v>84.743411927877943</v>
      </c>
      <c r="K278">
        <f t="shared" si="11"/>
        <v>97.162479667449844</v>
      </c>
      <c r="L278">
        <f t="shared" si="11"/>
        <v>75.574600701207643</v>
      </c>
      <c r="M278" s="3" t="s">
        <v>47</v>
      </c>
      <c r="N278" s="12" t="s">
        <v>367</v>
      </c>
      <c r="O278" s="11">
        <v>71662</v>
      </c>
    </row>
    <row r="279" spans="1:15" ht="18" x14ac:dyDescent="0.45">
      <c r="A279" s="3" t="s">
        <v>254</v>
      </c>
      <c r="C279" s="4" t="s">
        <v>275</v>
      </c>
      <c r="D279">
        <v>3069</v>
      </c>
      <c r="E279">
        <v>1346.25</v>
      </c>
      <c r="F279">
        <v>981500</v>
      </c>
      <c r="G279" s="5">
        <f t="shared" si="13"/>
        <v>977329.82212728646</v>
      </c>
      <c r="H279" s="6">
        <f t="shared" si="12"/>
        <v>4170.1778727135388</v>
      </c>
      <c r="I279" s="7"/>
      <c r="J279" s="2">
        <f t="shared" si="11"/>
        <v>85.131761442441061</v>
      </c>
      <c r="K279">
        <f t="shared" si="11"/>
        <v>97.325140068678834</v>
      </c>
      <c r="L279">
        <f t="shared" si="11"/>
        <v>76.470588235294116</v>
      </c>
      <c r="M279" s="3" t="s">
        <v>47</v>
      </c>
      <c r="N279" s="12" t="s">
        <v>368</v>
      </c>
      <c r="O279" s="11">
        <v>70970.3</v>
      </c>
    </row>
    <row r="280" spans="1:15" ht="18" x14ac:dyDescent="0.45">
      <c r="A280" s="3" t="s">
        <v>254</v>
      </c>
      <c r="C280" s="4" t="s">
        <v>276</v>
      </c>
      <c r="D280">
        <v>3047.5</v>
      </c>
      <c r="E280">
        <v>1366</v>
      </c>
      <c r="F280">
        <v>981500</v>
      </c>
      <c r="G280" s="5">
        <f t="shared" si="13"/>
        <v>984682.64587017323</v>
      </c>
      <c r="H280" s="6">
        <f t="shared" si="12"/>
        <v>-3182.6458701732336</v>
      </c>
      <c r="I280" s="7"/>
      <c r="J280" s="2">
        <f t="shared" si="11"/>
        <v>84.535367545076284</v>
      </c>
      <c r="K280">
        <f t="shared" si="11"/>
        <v>98.752936923911079</v>
      </c>
      <c r="L280">
        <f t="shared" si="11"/>
        <v>76.470588235294116</v>
      </c>
      <c r="M280" s="3" t="s">
        <v>47</v>
      </c>
      <c r="N280" s="12" t="s">
        <v>369</v>
      </c>
      <c r="O280" s="11">
        <v>70341.5</v>
      </c>
    </row>
    <row r="281" spans="1:15" ht="18" x14ac:dyDescent="0.45">
      <c r="A281" s="3" t="s">
        <v>254</v>
      </c>
      <c r="C281" s="4" t="s">
        <v>370</v>
      </c>
      <c r="D281">
        <v>3034.5</v>
      </c>
      <c r="E281">
        <v>1368.75</v>
      </c>
      <c r="F281">
        <v>977750</v>
      </c>
      <c r="G281" s="5">
        <f t="shared" si="13"/>
        <v>982467.38525021693</v>
      </c>
      <c r="H281" s="6">
        <f t="shared" si="12"/>
        <v>-4717.385250216932</v>
      </c>
      <c r="I281" s="7"/>
      <c r="J281" s="2">
        <f t="shared" si="11"/>
        <v>84.174757281553397</v>
      </c>
      <c r="K281">
        <f t="shared" si="11"/>
        <v>98.951744080968723</v>
      </c>
      <c r="L281">
        <f t="shared" si="11"/>
        <v>76.178418387222436</v>
      </c>
      <c r="M281" s="3" t="s">
        <v>47</v>
      </c>
      <c r="N281" s="12" t="s">
        <v>371</v>
      </c>
      <c r="O281" s="11">
        <v>70423</v>
      </c>
    </row>
    <row r="282" spans="1:15" ht="18" x14ac:dyDescent="0.45">
      <c r="A282" s="3" t="s">
        <v>254</v>
      </c>
      <c r="C282" s="4" t="s">
        <v>372</v>
      </c>
      <c r="D282">
        <v>3037.5</v>
      </c>
      <c r="E282">
        <v>1385</v>
      </c>
      <c r="F282">
        <v>979500</v>
      </c>
      <c r="G282" s="5">
        <f t="shared" si="13"/>
        <v>995049.84788444836</v>
      </c>
      <c r="H282" s="6">
        <f t="shared" si="12"/>
        <v>-15549.847884448362</v>
      </c>
      <c r="I282" s="7"/>
      <c r="J282" s="2">
        <f t="shared" si="11"/>
        <v>84.257975034674061</v>
      </c>
      <c r="K282">
        <f t="shared" si="11"/>
        <v>100.12651364540032</v>
      </c>
      <c r="L282">
        <f t="shared" si="11"/>
        <v>76.314764316322567</v>
      </c>
      <c r="M282" s="3" t="s">
        <v>47</v>
      </c>
      <c r="N282" s="12" t="s">
        <v>373</v>
      </c>
      <c r="O282" s="11">
        <v>70876.600000000006</v>
      </c>
    </row>
    <row r="283" spans="1:15" ht="18" x14ac:dyDescent="0.45">
      <c r="A283" s="3" t="s">
        <v>254</v>
      </c>
      <c r="C283" s="4" t="s">
        <v>278</v>
      </c>
      <c r="D283">
        <v>3021.5</v>
      </c>
      <c r="E283">
        <v>1385</v>
      </c>
      <c r="F283">
        <v>980000</v>
      </c>
      <c r="G283" s="5">
        <f t="shared" si="13"/>
        <v>989834.77049641509</v>
      </c>
      <c r="H283" s="6">
        <f t="shared" si="12"/>
        <v>-9834.7704964150907</v>
      </c>
      <c r="I283" s="7"/>
      <c r="J283" s="2">
        <f t="shared" si="11"/>
        <v>83.814147018030525</v>
      </c>
      <c r="K283">
        <f t="shared" si="11"/>
        <v>100.12651364540032</v>
      </c>
      <c r="L283">
        <f t="shared" si="11"/>
        <v>76.353720296065433</v>
      </c>
      <c r="M283" s="3" t="s">
        <v>47</v>
      </c>
      <c r="N283" s="12" t="s">
        <v>374</v>
      </c>
      <c r="O283" s="11">
        <v>72162.2</v>
      </c>
    </row>
    <row r="284" spans="1:15" ht="18" x14ac:dyDescent="0.45">
      <c r="A284" s="3" t="s">
        <v>254</v>
      </c>
      <c r="C284" s="4" t="s">
        <v>280</v>
      </c>
      <c r="D284">
        <v>3001.5</v>
      </c>
      <c r="E284">
        <v>1385</v>
      </c>
      <c r="F284">
        <v>975500</v>
      </c>
      <c r="G284" s="5">
        <f t="shared" si="13"/>
        <v>983315.9237613735</v>
      </c>
      <c r="H284" s="6">
        <f t="shared" si="12"/>
        <v>-7815.9237613735022</v>
      </c>
      <c r="I284" s="7"/>
      <c r="J284" s="2">
        <f t="shared" si="11"/>
        <v>83.25936199722608</v>
      </c>
      <c r="K284">
        <f t="shared" si="11"/>
        <v>100.12651364540032</v>
      </c>
      <c r="L284">
        <f t="shared" si="11"/>
        <v>76.003116478379425</v>
      </c>
      <c r="M284" s="3" t="s">
        <v>47</v>
      </c>
      <c r="N284" s="12" t="s">
        <v>375</v>
      </c>
      <c r="O284" s="11">
        <v>71960.2</v>
      </c>
    </row>
    <row r="285" spans="1:15" ht="18" x14ac:dyDescent="0.45">
      <c r="A285" s="3" t="s">
        <v>254</v>
      </c>
      <c r="C285" s="4" t="s">
        <v>281</v>
      </c>
      <c r="D285">
        <v>3008</v>
      </c>
      <c r="E285">
        <v>1378.5</v>
      </c>
      <c r="F285">
        <v>974500</v>
      </c>
      <c r="G285" s="5">
        <f t="shared" si="13"/>
        <v>980833.23157251696</v>
      </c>
      <c r="H285" s="6">
        <f t="shared" si="12"/>
        <v>-6333.231572516961</v>
      </c>
      <c r="I285" s="7"/>
      <c r="J285" s="2">
        <f t="shared" si="11"/>
        <v>83.439667128987509</v>
      </c>
      <c r="K285">
        <f t="shared" si="11"/>
        <v>99.656605819627686</v>
      </c>
      <c r="L285">
        <f t="shared" si="11"/>
        <v>75.925204518893651</v>
      </c>
      <c r="M285" s="3" t="s">
        <v>47</v>
      </c>
      <c r="N285" s="12" t="s">
        <v>376</v>
      </c>
      <c r="O285" s="11">
        <v>71916.600000000006</v>
      </c>
    </row>
    <row r="286" spans="1:15" ht="18" x14ac:dyDescent="0.45">
      <c r="A286" s="3" t="s">
        <v>254</v>
      </c>
      <c r="C286" s="4" t="s">
        <v>282</v>
      </c>
      <c r="D286">
        <v>3004</v>
      </c>
      <c r="E286">
        <v>1355.75</v>
      </c>
      <c r="F286">
        <v>960500</v>
      </c>
      <c r="G286" s="5">
        <f t="shared" si="13"/>
        <v>963452.38588239055</v>
      </c>
      <c r="H286" s="6">
        <f t="shared" si="12"/>
        <v>-2952.3858823905466</v>
      </c>
      <c r="I286" s="7"/>
      <c r="J286" s="2">
        <f t="shared" ref="J286:L349" si="14">(D286/D$29-1)*100+100</f>
        <v>83.328710124826628</v>
      </c>
      <c r="K286">
        <f t="shared" si="14"/>
        <v>98.011928429423449</v>
      </c>
      <c r="L286">
        <f t="shared" si="14"/>
        <v>74.83443708609272</v>
      </c>
      <c r="M286" s="3" t="s">
        <v>47</v>
      </c>
      <c r="N286" s="12" t="s">
        <v>377</v>
      </c>
      <c r="O286" s="11">
        <v>73025</v>
      </c>
    </row>
    <row r="287" spans="1:15" ht="18" x14ac:dyDescent="0.45">
      <c r="A287" s="3" t="s">
        <v>254</v>
      </c>
      <c r="C287" s="4" t="s">
        <v>283</v>
      </c>
      <c r="D287">
        <v>3005</v>
      </c>
      <c r="E287">
        <v>1338</v>
      </c>
      <c r="F287">
        <v>952500</v>
      </c>
      <c r="G287" s="5">
        <f t="shared" si="13"/>
        <v>951218.84040124738</v>
      </c>
      <c r="H287" s="6">
        <f t="shared" si="12"/>
        <v>1281.1595987526234</v>
      </c>
      <c r="I287" s="7"/>
      <c r="J287" s="2">
        <f t="shared" si="14"/>
        <v>83.356449375866845</v>
      </c>
      <c r="K287">
        <f t="shared" si="14"/>
        <v>96.728718597505875</v>
      </c>
      <c r="L287">
        <f t="shared" si="14"/>
        <v>74.211141410206466</v>
      </c>
      <c r="M287" s="3" t="s">
        <v>47</v>
      </c>
      <c r="N287" s="12" t="s">
        <v>378</v>
      </c>
      <c r="O287" s="11">
        <v>73416.399999999994</v>
      </c>
    </row>
    <row r="288" spans="1:15" ht="18" x14ac:dyDescent="0.45">
      <c r="A288" s="3" t="s">
        <v>254</v>
      </c>
      <c r="C288" s="4" t="s">
        <v>379</v>
      </c>
      <c r="D288">
        <v>3015</v>
      </c>
      <c r="E288">
        <v>1327</v>
      </c>
      <c r="F288">
        <v>953000</v>
      </c>
      <c r="G288" s="5">
        <f t="shared" si="13"/>
        <v>946562.68940295139</v>
      </c>
      <c r="H288" s="6">
        <f t="shared" si="12"/>
        <v>6437.3105970486067</v>
      </c>
      <c r="I288" s="7">
        <f>F288/F259-1</f>
        <v>1.7618793379604814E-2</v>
      </c>
      <c r="J288" s="2">
        <f t="shared" si="14"/>
        <v>83.633841886269067</v>
      </c>
      <c r="K288">
        <f t="shared" si="14"/>
        <v>95.933489969275257</v>
      </c>
      <c r="L288">
        <f t="shared" si="14"/>
        <v>74.25009738994936</v>
      </c>
      <c r="M288" s="3" t="s">
        <v>47</v>
      </c>
      <c r="N288" s="12" t="s">
        <v>380</v>
      </c>
      <c r="O288" s="11">
        <v>73555.899999999994</v>
      </c>
    </row>
    <row r="289" spans="1:15" ht="18" x14ac:dyDescent="0.45">
      <c r="A289" s="3" t="s">
        <v>284</v>
      </c>
      <c r="C289" s="4" t="s">
        <v>381</v>
      </c>
      <c r="D289">
        <v>3018</v>
      </c>
      <c r="E289">
        <v>1336</v>
      </c>
      <c r="F289">
        <v>954000</v>
      </c>
      <c r="G289" s="5">
        <f t="shared" si="13"/>
        <v>953891.80290004169</v>
      </c>
      <c r="H289" s="6">
        <f t="shared" si="12"/>
        <v>108.19709995831363</v>
      </c>
      <c r="I289" s="7"/>
      <c r="J289" s="2">
        <f t="shared" si="14"/>
        <v>83.717059639389731</v>
      </c>
      <c r="K289">
        <f t="shared" si="14"/>
        <v>96.584131574191218</v>
      </c>
      <c r="L289">
        <f t="shared" si="14"/>
        <v>74.328009349435149</v>
      </c>
      <c r="M289" s="3" t="s">
        <v>47</v>
      </c>
      <c r="N289" s="12" t="s">
        <v>382</v>
      </c>
      <c r="O289" s="11">
        <v>73226.2</v>
      </c>
    </row>
    <row r="290" spans="1:15" ht="18" x14ac:dyDescent="0.45">
      <c r="A290" s="3" t="s">
        <v>284</v>
      </c>
      <c r="C290" s="4" t="s">
        <v>383</v>
      </c>
      <c r="D290">
        <v>3022.5</v>
      </c>
      <c r="E290">
        <v>1313.5</v>
      </c>
      <c r="F290">
        <v>951000</v>
      </c>
      <c r="G290" s="5">
        <f t="shared" si="13"/>
        <v>939302.23560026346</v>
      </c>
      <c r="H290" s="6">
        <f t="shared" si="12"/>
        <v>11697.764399736538</v>
      </c>
      <c r="I290" s="7"/>
      <c r="J290" s="2">
        <f t="shared" si="14"/>
        <v>83.841886269070727</v>
      </c>
      <c r="K290">
        <f t="shared" si="14"/>
        <v>94.957527561901315</v>
      </c>
      <c r="L290">
        <f t="shared" si="14"/>
        <v>74.094273470977797</v>
      </c>
      <c r="M290" s="3" t="s">
        <v>47</v>
      </c>
      <c r="N290" s="12" t="s">
        <v>384</v>
      </c>
      <c r="O290" s="11">
        <v>73347.399999999994</v>
      </c>
    </row>
    <row r="291" spans="1:15" ht="18" x14ac:dyDescent="0.45">
      <c r="A291" s="3" t="s">
        <v>284</v>
      </c>
      <c r="C291" s="4" t="s">
        <v>385</v>
      </c>
      <c r="D291">
        <v>3040.5</v>
      </c>
      <c r="E291">
        <v>1304</v>
      </c>
      <c r="F291">
        <v>951500</v>
      </c>
      <c r="G291" s="5">
        <f t="shared" si="13"/>
        <v>938068.65564093483</v>
      </c>
      <c r="H291" s="6">
        <f t="shared" si="12"/>
        <v>13431.344359065173</v>
      </c>
      <c r="I291" s="7"/>
      <c r="J291" s="2">
        <f t="shared" si="14"/>
        <v>84.341192787794725</v>
      </c>
      <c r="K291">
        <f t="shared" si="14"/>
        <v>94.270739201156701</v>
      </c>
      <c r="L291">
        <f t="shared" si="14"/>
        <v>74.133229450720677</v>
      </c>
      <c r="M291" s="3" t="s">
        <v>47</v>
      </c>
      <c r="N291" s="12" t="s">
        <v>386</v>
      </c>
      <c r="O291" s="11">
        <v>73457.899999999994</v>
      </c>
    </row>
    <row r="292" spans="1:15" ht="18" x14ac:dyDescent="0.45">
      <c r="A292" s="3" t="s">
        <v>284</v>
      </c>
      <c r="C292" s="4" t="s">
        <v>387</v>
      </c>
      <c r="D292">
        <v>3056.5</v>
      </c>
      <c r="E292">
        <v>1296</v>
      </c>
      <c r="F292">
        <v>952000</v>
      </c>
      <c r="G292" s="5">
        <f t="shared" si="13"/>
        <v>937224.26495193387</v>
      </c>
      <c r="H292" s="6">
        <f t="shared" si="12"/>
        <v>14775.735048066126</v>
      </c>
      <c r="I292" s="7"/>
      <c r="J292" s="2">
        <f t="shared" si="14"/>
        <v>84.78502080443829</v>
      </c>
      <c r="K292">
        <f t="shared" si="14"/>
        <v>93.692391107898061</v>
      </c>
      <c r="L292">
        <f t="shared" si="14"/>
        <v>74.172185430463571</v>
      </c>
      <c r="M292" s="3" t="s">
        <v>47</v>
      </c>
      <c r="N292" s="12" t="s">
        <v>388</v>
      </c>
      <c r="O292" s="11">
        <v>73754.2</v>
      </c>
    </row>
    <row r="293" spans="1:15" ht="18" x14ac:dyDescent="0.45">
      <c r="A293" s="3" t="s">
        <v>284</v>
      </c>
      <c r="C293" s="4" t="s">
        <v>389</v>
      </c>
      <c r="D293">
        <v>3057</v>
      </c>
      <c r="E293">
        <v>1294.75</v>
      </c>
      <c r="F293">
        <v>950000</v>
      </c>
      <c r="G293" s="5">
        <f t="shared" si="13"/>
        <v>936477.48046088789</v>
      </c>
      <c r="H293" s="6">
        <f t="shared" si="12"/>
        <v>13522.519539112109</v>
      </c>
      <c r="I293" s="7"/>
      <c r="J293" s="2">
        <f t="shared" si="14"/>
        <v>84.798890429958391</v>
      </c>
      <c r="K293">
        <f t="shared" si="14"/>
        <v>93.602024218326406</v>
      </c>
      <c r="L293">
        <f t="shared" si="14"/>
        <v>74.016361511492008</v>
      </c>
      <c r="M293" s="3" t="s">
        <v>47</v>
      </c>
      <c r="N293" s="12" t="s">
        <v>390</v>
      </c>
      <c r="O293" s="11">
        <v>73750.2</v>
      </c>
    </row>
    <row r="294" spans="1:15" ht="18" x14ac:dyDescent="0.45">
      <c r="A294" s="3" t="s">
        <v>284</v>
      </c>
      <c r="C294" s="4" t="s">
        <v>391</v>
      </c>
      <c r="D294">
        <v>3052.5</v>
      </c>
      <c r="E294">
        <v>1294.75</v>
      </c>
      <c r="F294">
        <v>948000</v>
      </c>
      <c r="G294" s="5">
        <f t="shared" si="13"/>
        <v>935106.3163581487</v>
      </c>
      <c r="H294" s="6">
        <f t="shared" si="12"/>
        <v>12893.683641851298</v>
      </c>
      <c r="I294" s="7"/>
      <c r="J294" s="2">
        <f t="shared" si="14"/>
        <v>84.674063800277395</v>
      </c>
      <c r="K294">
        <f t="shared" si="14"/>
        <v>93.602024218326406</v>
      </c>
      <c r="L294">
        <f t="shared" si="14"/>
        <v>73.860537592520444</v>
      </c>
      <c r="M294" s="3" t="s">
        <v>47</v>
      </c>
      <c r="N294" s="12" t="s">
        <v>392</v>
      </c>
      <c r="O294" s="11">
        <v>73890.5</v>
      </c>
    </row>
    <row r="295" spans="1:15" ht="18" x14ac:dyDescent="0.45">
      <c r="A295" s="3" t="s">
        <v>284</v>
      </c>
      <c r="C295" s="4" t="s">
        <v>393</v>
      </c>
      <c r="D295">
        <v>3045.5</v>
      </c>
      <c r="E295">
        <v>1294.75</v>
      </c>
      <c r="F295">
        <v>945500</v>
      </c>
      <c r="G295" s="5">
        <f t="shared" si="13"/>
        <v>932973.39442055428</v>
      </c>
      <c r="H295" s="6">
        <f t="shared" si="12"/>
        <v>12526.605579445721</v>
      </c>
      <c r="I295" s="7"/>
      <c r="J295" s="2">
        <f t="shared" si="14"/>
        <v>84.479889042995836</v>
      </c>
      <c r="K295">
        <f t="shared" si="14"/>
        <v>93.602024218326406</v>
      </c>
      <c r="L295">
        <f t="shared" si="14"/>
        <v>73.665757693806</v>
      </c>
      <c r="M295" s="3" t="s">
        <v>47</v>
      </c>
      <c r="N295" s="12" t="s">
        <v>394</v>
      </c>
      <c r="O295" s="11">
        <v>74526.100000000006</v>
      </c>
    </row>
    <row r="296" spans="1:15" ht="18" x14ac:dyDescent="0.45">
      <c r="A296" s="3" t="s">
        <v>284</v>
      </c>
      <c r="C296" s="4" t="s">
        <v>395</v>
      </c>
      <c r="D296">
        <v>3051</v>
      </c>
      <c r="E296">
        <v>1291.75</v>
      </c>
      <c r="F296">
        <v>944000</v>
      </c>
      <c r="G296" s="5">
        <f t="shared" si="13"/>
        <v>932495.2181855446</v>
      </c>
      <c r="H296" s="6">
        <f t="shared" si="12"/>
        <v>11504.781814455404</v>
      </c>
      <c r="I296" s="7"/>
      <c r="J296" s="2">
        <f t="shared" si="14"/>
        <v>84.632454923717063</v>
      </c>
      <c r="K296">
        <f t="shared" si="14"/>
        <v>93.385143683354414</v>
      </c>
      <c r="L296">
        <f t="shared" si="14"/>
        <v>73.548889754577331</v>
      </c>
      <c r="M296" s="3" t="s">
        <v>73</v>
      </c>
      <c r="N296" s="12" t="s">
        <v>396</v>
      </c>
      <c r="O296" s="11">
        <v>74841.600000000006</v>
      </c>
    </row>
    <row r="297" spans="1:15" ht="18" x14ac:dyDescent="0.45">
      <c r="A297" s="3" t="s">
        <v>284</v>
      </c>
      <c r="C297" s="4" t="s">
        <v>397</v>
      </c>
      <c r="D297">
        <v>3061.5</v>
      </c>
      <c r="E297">
        <v>1284</v>
      </c>
      <c r="F297">
        <v>942000</v>
      </c>
      <c r="G297" s="5">
        <f t="shared" si="13"/>
        <v>930103.42507796653</v>
      </c>
      <c r="H297" s="6">
        <f t="shared" si="12"/>
        <v>11896.574922033469</v>
      </c>
      <c r="I297" s="7"/>
      <c r="J297" s="2">
        <f t="shared" si="14"/>
        <v>84.923717059639387</v>
      </c>
      <c r="K297">
        <f t="shared" si="14"/>
        <v>92.824868968010122</v>
      </c>
      <c r="L297">
        <f t="shared" si="14"/>
        <v>73.393065835605768</v>
      </c>
      <c r="M297" s="3" t="s">
        <v>73</v>
      </c>
      <c r="N297" s="12" t="s">
        <v>398</v>
      </c>
      <c r="O297" s="11">
        <v>74840.3</v>
      </c>
    </row>
    <row r="298" spans="1:15" ht="18" x14ac:dyDescent="0.45">
      <c r="A298" s="3" t="s">
        <v>284</v>
      </c>
      <c r="C298" s="4" t="s">
        <v>399</v>
      </c>
      <c r="D298">
        <v>3060.5</v>
      </c>
      <c r="E298">
        <v>1297.25</v>
      </c>
      <c r="F298">
        <v>942000</v>
      </c>
      <c r="G298" s="5">
        <f t="shared" si="13"/>
        <v>939344.56691999151</v>
      </c>
      <c r="H298" s="6">
        <f t="shared" si="12"/>
        <v>2655.4330800084863</v>
      </c>
      <c r="I298" s="7"/>
      <c r="J298" s="2">
        <f t="shared" si="14"/>
        <v>84.89597780859917</v>
      </c>
      <c r="K298">
        <f t="shared" si="14"/>
        <v>93.78275799746973</v>
      </c>
      <c r="L298">
        <f t="shared" si="14"/>
        <v>73.393065835605768</v>
      </c>
      <c r="M298" s="3" t="s">
        <v>73</v>
      </c>
      <c r="N298" s="12" t="s">
        <v>400</v>
      </c>
      <c r="O298" s="11">
        <v>74848</v>
      </c>
    </row>
    <row r="299" spans="1:15" ht="18" x14ac:dyDescent="0.45">
      <c r="A299" s="3" t="s">
        <v>284</v>
      </c>
      <c r="C299" s="4" t="s">
        <v>401</v>
      </c>
      <c r="D299">
        <v>3053</v>
      </c>
      <c r="E299">
        <v>1297.25</v>
      </c>
      <c r="F299">
        <v>946000</v>
      </c>
      <c r="G299" s="5">
        <f t="shared" si="13"/>
        <v>937054.88083866495</v>
      </c>
      <c r="H299" s="6">
        <f t="shared" si="12"/>
        <v>8945.1191613350529</v>
      </c>
      <c r="I299" s="7"/>
      <c r="J299" s="2">
        <f t="shared" si="14"/>
        <v>84.687933425797496</v>
      </c>
      <c r="K299">
        <f t="shared" si="14"/>
        <v>93.78275799746973</v>
      </c>
      <c r="L299">
        <f t="shared" si="14"/>
        <v>73.704713673548895</v>
      </c>
      <c r="M299" s="3" t="s">
        <v>73</v>
      </c>
      <c r="N299" s="12" t="s">
        <v>402</v>
      </c>
      <c r="O299" s="11">
        <v>74997.600000000006</v>
      </c>
    </row>
    <row r="300" spans="1:15" ht="18" x14ac:dyDescent="0.45">
      <c r="A300" s="3" t="s">
        <v>284</v>
      </c>
      <c r="C300" s="4" t="s">
        <v>293</v>
      </c>
      <c r="D300">
        <v>3040</v>
      </c>
      <c r="E300">
        <v>1297.25</v>
      </c>
      <c r="F300">
        <v>944250</v>
      </c>
      <c r="G300" s="5">
        <f t="shared" si="13"/>
        <v>933086.09163103229</v>
      </c>
      <c r="H300" s="6">
        <f t="shared" si="12"/>
        <v>11163.908368967706</v>
      </c>
      <c r="I300" s="7"/>
      <c r="J300" s="2">
        <f t="shared" si="14"/>
        <v>84.32732316227461</v>
      </c>
      <c r="K300">
        <f t="shared" si="14"/>
        <v>93.78275799746973</v>
      </c>
      <c r="L300">
        <f t="shared" si="14"/>
        <v>73.568367744448778</v>
      </c>
      <c r="M300" s="3" t="s">
        <v>73</v>
      </c>
      <c r="N300" s="12" t="s">
        <v>403</v>
      </c>
      <c r="O300" s="11">
        <v>74841</v>
      </c>
    </row>
    <row r="301" spans="1:15" ht="18" x14ac:dyDescent="0.45">
      <c r="A301" s="3" t="s">
        <v>284</v>
      </c>
      <c r="C301" s="4" t="s">
        <v>294</v>
      </c>
      <c r="D301">
        <v>3050.5</v>
      </c>
      <c r="E301">
        <v>1299</v>
      </c>
      <c r="F301">
        <v>943250</v>
      </c>
      <c r="G301" s="5">
        <f t="shared" si="13"/>
        <v>937547.97158312681</v>
      </c>
      <c r="H301" s="6">
        <f t="shared" si="12"/>
        <v>5702.0284168731887</v>
      </c>
      <c r="I301" s="7"/>
      <c r="J301" s="2">
        <f t="shared" si="14"/>
        <v>84.618585298196948</v>
      </c>
      <c r="K301">
        <f t="shared" si="14"/>
        <v>93.909271642870053</v>
      </c>
      <c r="L301">
        <f t="shared" si="14"/>
        <v>73.49045578496299</v>
      </c>
      <c r="M301" s="3" t="s">
        <v>73</v>
      </c>
      <c r="N301" s="12" t="s">
        <v>404</v>
      </c>
      <c r="O301" s="11">
        <v>74637.399999999994</v>
      </c>
    </row>
    <row r="302" spans="1:15" ht="18" x14ac:dyDescent="0.45">
      <c r="A302" s="3" t="s">
        <v>284</v>
      </c>
      <c r="C302" s="4" t="s">
        <v>295</v>
      </c>
      <c r="D302">
        <v>3070.5</v>
      </c>
      <c r="E302">
        <v>1309.5</v>
      </c>
      <c r="F302">
        <v>956000</v>
      </c>
      <c r="G302" s="5">
        <f t="shared" si="13"/>
        <v>951249.37543243403</v>
      </c>
      <c r="H302" s="6">
        <f t="shared" si="12"/>
        <v>4750.6245675659738</v>
      </c>
      <c r="I302" s="7"/>
      <c r="J302" s="2">
        <f t="shared" si="14"/>
        <v>85.173370319001378</v>
      </c>
      <c r="K302">
        <f t="shared" si="14"/>
        <v>94.668353515272003</v>
      </c>
      <c r="L302">
        <f t="shared" si="14"/>
        <v>74.483833268406698</v>
      </c>
      <c r="M302" s="3" t="s">
        <v>73</v>
      </c>
      <c r="N302" s="12" t="s">
        <v>405</v>
      </c>
      <c r="O302" s="11">
        <v>74709.2</v>
      </c>
    </row>
    <row r="303" spans="1:15" ht="18" x14ac:dyDescent="0.45">
      <c r="A303" s="3" t="s">
        <v>284</v>
      </c>
      <c r="C303" s="4" t="s">
        <v>297</v>
      </c>
      <c r="D303">
        <v>3097</v>
      </c>
      <c r="E303">
        <v>1301.75</v>
      </c>
      <c r="F303">
        <v>969500</v>
      </c>
      <c r="G303" s="5">
        <f t="shared" si="13"/>
        <v>953767.48590409278</v>
      </c>
      <c r="H303" s="6">
        <f t="shared" si="12"/>
        <v>15732.514095907216</v>
      </c>
      <c r="I303" s="7"/>
      <c r="J303" s="2">
        <f t="shared" si="14"/>
        <v>85.908460471567267</v>
      </c>
      <c r="K303">
        <f t="shared" si="14"/>
        <v>94.108078799927711</v>
      </c>
      <c r="L303">
        <f t="shared" si="14"/>
        <v>75.535644721464749</v>
      </c>
      <c r="M303" s="3" t="s">
        <v>73</v>
      </c>
      <c r="N303" s="12" t="s">
        <v>406</v>
      </c>
      <c r="O303" s="11">
        <v>74697.5</v>
      </c>
    </row>
    <row r="304" spans="1:15" ht="18" x14ac:dyDescent="0.45">
      <c r="A304" s="3" t="s">
        <v>284</v>
      </c>
      <c r="C304" s="4" t="s">
        <v>407</v>
      </c>
      <c r="D304">
        <v>3077</v>
      </c>
      <c r="E304">
        <v>1320.5</v>
      </c>
      <c r="F304">
        <v>968000</v>
      </c>
      <c r="G304" s="5">
        <f t="shared" si="13"/>
        <v>961217.97467929125</v>
      </c>
      <c r="H304" s="6">
        <f t="shared" si="12"/>
        <v>6782.0253207087517</v>
      </c>
      <c r="I304" s="7"/>
      <c r="J304" s="2">
        <f t="shared" si="14"/>
        <v>85.353675450762836</v>
      </c>
      <c r="K304">
        <f t="shared" si="14"/>
        <v>95.46358214350262</v>
      </c>
      <c r="L304">
        <f t="shared" si="14"/>
        <v>75.41877678223608</v>
      </c>
      <c r="M304" s="3" t="s">
        <v>73</v>
      </c>
      <c r="N304" s="12" t="s">
        <v>408</v>
      </c>
      <c r="O304" s="11">
        <v>74613.8</v>
      </c>
    </row>
    <row r="305" spans="1:15" ht="18" x14ac:dyDescent="0.45">
      <c r="A305" s="3" t="s">
        <v>284</v>
      </c>
      <c r="C305" s="4" t="s">
        <v>409</v>
      </c>
      <c r="D305">
        <v>3080</v>
      </c>
      <c r="E305">
        <v>1318</v>
      </c>
      <c r="F305">
        <v>970000</v>
      </c>
      <c r="G305" s="5">
        <f t="shared" si="13"/>
        <v>960338.16570748785</v>
      </c>
      <c r="H305" s="6">
        <f t="shared" si="12"/>
        <v>9661.8342925121542</v>
      </c>
      <c r="I305" s="7"/>
      <c r="J305" s="2">
        <f t="shared" si="14"/>
        <v>85.436893203883486</v>
      </c>
      <c r="K305">
        <f t="shared" si="14"/>
        <v>95.282848364359296</v>
      </c>
      <c r="L305">
        <f t="shared" si="14"/>
        <v>75.574600701207643</v>
      </c>
      <c r="M305" s="3" t="s">
        <v>73</v>
      </c>
      <c r="N305" s="12" t="s">
        <v>410</v>
      </c>
      <c r="O305" s="11">
        <v>74398.600000000006</v>
      </c>
    </row>
    <row r="306" spans="1:15" ht="18" x14ac:dyDescent="0.45">
      <c r="A306" s="3" t="s">
        <v>284</v>
      </c>
      <c r="C306" s="4" t="s">
        <v>299</v>
      </c>
      <c r="D306">
        <v>3092.5</v>
      </c>
      <c r="E306">
        <v>1318</v>
      </c>
      <c r="F306">
        <v>968500</v>
      </c>
      <c r="G306" s="5">
        <f t="shared" si="13"/>
        <v>964215.34982156055</v>
      </c>
      <c r="H306" s="6">
        <f t="shared" si="12"/>
        <v>4284.6501784394495</v>
      </c>
      <c r="I306" s="7"/>
      <c r="J306" s="2">
        <f t="shared" si="14"/>
        <v>85.783633841886257</v>
      </c>
      <c r="K306">
        <f t="shared" si="14"/>
        <v>95.282848364359296</v>
      </c>
      <c r="L306">
        <f t="shared" si="14"/>
        <v>75.457732761978974</v>
      </c>
      <c r="M306" s="3" t="s">
        <v>73</v>
      </c>
      <c r="N306" s="12" t="s">
        <v>411</v>
      </c>
      <c r="O306" s="11">
        <v>74398.899999999994</v>
      </c>
    </row>
    <row r="307" spans="1:15" ht="18" x14ac:dyDescent="0.45">
      <c r="A307" s="3" t="s">
        <v>284</v>
      </c>
      <c r="C307" s="4" t="s">
        <v>300</v>
      </c>
      <c r="D307">
        <v>3070</v>
      </c>
      <c r="E307">
        <v>1318</v>
      </c>
      <c r="F307">
        <v>977500</v>
      </c>
      <c r="G307" s="5">
        <f t="shared" si="13"/>
        <v>957236.41841622989</v>
      </c>
      <c r="H307" s="6">
        <f t="shared" si="12"/>
        <v>20263.581583770108</v>
      </c>
      <c r="I307" s="7"/>
      <c r="J307" s="2">
        <f t="shared" si="14"/>
        <v>85.159500693481277</v>
      </c>
      <c r="K307">
        <f t="shared" si="14"/>
        <v>95.282848364359296</v>
      </c>
      <c r="L307">
        <f t="shared" si="14"/>
        <v>76.158940397350989</v>
      </c>
      <c r="M307" s="3" t="s">
        <v>73</v>
      </c>
      <c r="N307" s="12" t="s">
        <v>412</v>
      </c>
      <c r="O307" s="11">
        <v>74547.600000000006</v>
      </c>
    </row>
    <row r="308" spans="1:15" ht="18" x14ac:dyDescent="0.45">
      <c r="A308" s="3" t="s">
        <v>284</v>
      </c>
      <c r="C308" s="4" t="s">
        <v>302</v>
      </c>
      <c r="D308">
        <v>3127</v>
      </c>
      <c r="E308">
        <v>1325.75</v>
      </c>
      <c r="F308">
        <v>981500</v>
      </c>
      <c r="G308" s="5">
        <f t="shared" si="13"/>
        <v>980619.60402292374</v>
      </c>
      <c r="H308" s="6">
        <f t="shared" si="12"/>
        <v>880.39597707625944</v>
      </c>
      <c r="I308" s="7"/>
      <c r="J308" s="2">
        <f t="shared" si="14"/>
        <v>86.740638002773935</v>
      </c>
      <c r="K308">
        <f t="shared" si="14"/>
        <v>95.843123079703602</v>
      </c>
      <c r="L308">
        <f t="shared" si="14"/>
        <v>76.470588235294116</v>
      </c>
      <c r="M308" s="3" t="s">
        <v>73</v>
      </c>
      <c r="N308" s="12" t="s">
        <v>413</v>
      </c>
      <c r="O308" s="11">
        <v>74455.100000000006</v>
      </c>
    </row>
    <row r="309" spans="1:15" ht="18" x14ac:dyDescent="0.45">
      <c r="A309" s="3" t="s">
        <v>284</v>
      </c>
      <c r="C309" s="4" t="s">
        <v>303</v>
      </c>
      <c r="D309">
        <v>3145.5</v>
      </c>
      <c r="E309">
        <v>1298</v>
      </c>
      <c r="F309">
        <v>983000</v>
      </c>
      <c r="G309" s="5">
        <f t="shared" si="13"/>
        <v>965849.53291643888</v>
      </c>
      <c r="H309" s="6">
        <f t="shared" si="12"/>
        <v>17150.467083561118</v>
      </c>
      <c r="I309" s="7"/>
      <c r="J309" s="2">
        <f t="shared" si="14"/>
        <v>87.253814147018034</v>
      </c>
      <c r="K309">
        <f t="shared" si="14"/>
        <v>93.836978131212717</v>
      </c>
      <c r="L309">
        <f t="shared" si="14"/>
        <v>76.587456174522799</v>
      </c>
      <c r="M309" s="3" t="s">
        <v>73</v>
      </c>
      <c r="N309" s="12" t="s">
        <v>414</v>
      </c>
      <c r="O309" s="11">
        <v>74363</v>
      </c>
    </row>
    <row r="310" spans="1:15" ht="18" x14ac:dyDescent="0.45">
      <c r="A310" s="3" t="s">
        <v>284</v>
      </c>
      <c r="C310" s="4" t="s">
        <v>304</v>
      </c>
      <c r="D310">
        <v>3179</v>
      </c>
      <c r="E310">
        <v>1301.5</v>
      </c>
      <c r="F310">
        <v>981500</v>
      </c>
      <c r="G310" s="5">
        <f t="shared" si="13"/>
        <v>978701.19215027476</v>
      </c>
      <c r="H310" s="6">
        <f t="shared" si="12"/>
        <v>2798.8078497252427</v>
      </c>
      <c r="I310" s="7"/>
      <c r="J310" s="2">
        <f t="shared" si="14"/>
        <v>88.183079056865466</v>
      </c>
      <c r="K310">
        <f t="shared" si="14"/>
        <v>94.090005422013377</v>
      </c>
      <c r="L310">
        <f t="shared" si="14"/>
        <v>76.470588235294116</v>
      </c>
      <c r="M310" s="3" t="s">
        <v>73</v>
      </c>
      <c r="N310" s="12" t="s">
        <v>415</v>
      </c>
      <c r="O310" s="11">
        <v>74051</v>
      </c>
    </row>
    <row r="311" spans="1:15" ht="18" x14ac:dyDescent="0.45">
      <c r="A311" s="3" t="s">
        <v>284</v>
      </c>
      <c r="C311" s="4" t="s">
        <v>416</v>
      </c>
      <c r="D311">
        <v>3167.5</v>
      </c>
      <c r="E311">
        <v>1299</v>
      </c>
      <c r="F311">
        <v>977500</v>
      </c>
      <c r="G311" s="5">
        <f t="shared" si="13"/>
        <v>973315.25979005219</v>
      </c>
      <c r="H311" s="6">
        <f t="shared" si="12"/>
        <v>4184.7402099478059</v>
      </c>
      <c r="I311" s="7"/>
      <c r="J311" s="2">
        <f t="shared" si="14"/>
        <v>87.864077669902912</v>
      </c>
      <c r="K311">
        <f t="shared" si="14"/>
        <v>93.909271642870053</v>
      </c>
      <c r="L311">
        <f t="shared" si="14"/>
        <v>76.158940397350989</v>
      </c>
      <c r="M311" s="3" t="s">
        <v>73</v>
      </c>
      <c r="N311" s="12" t="s">
        <v>417</v>
      </c>
      <c r="O311" s="11">
        <v>73952.600000000006</v>
      </c>
    </row>
    <row r="312" spans="1:15" ht="18" x14ac:dyDescent="0.45">
      <c r="A312" s="3" t="s">
        <v>284</v>
      </c>
      <c r="C312" s="4" t="s">
        <v>418</v>
      </c>
      <c r="D312">
        <v>3164.5</v>
      </c>
      <c r="E312">
        <v>1299</v>
      </c>
      <c r="F312">
        <v>976000</v>
      </c>
      <c r="G312" s="5">
        <f t="shared" si="13"/>
        <v>972398.14983602834</v>
      </c>
      <c r="H312" s="6">
        <f t="shared" si="12"/>
        <v>3601.850163971656</v>
      </c>
      <c r="I312" s="7"/>
      <c r="J312" s="2">
        <f t="shared" si="14"/>
        <v>87.780859916782248</v>
      </c>
      <c r="K312">
        <f t="shared" si="14"/>
        <v>93.909271642870053</v>
      </c>
      <c r="L312">
        <f t="shared" si="14"/>
        <v>76.04207245812232</v>
      </c>
      <c r="M312" s="3" t="s">
        <v>73</v>
      </c>
      <c r="N312" s="12" t="s">
        <v>419</v>
      </c>
      <c r="O312" s="11">
        <v>73906.8</v>
      </c>
    </row>
    <row r="313" spans="1:15" ht="18" x14ac:dyDescent="0.45">
      <c r="A313" s="3" t="s">
        <v>284</v>
      </c>
      <c r="C313" s="4" t="s">
        <v>305</v>
      </c>
      <c r="D313">
        <v>3177.5</v>
      </c>
      <c r="E313">
        <v>1299</v>
      </c>
      <c r="F313">
        <v>978500</v>
      </c>
      <c r="G313" s="5">
        <f t="shared" si="13"/>
        <v>976372.29297013127</v>
      </c>
      <c r="H313" s="6">
        <f t="shared" si="12"/>
        <v>2127.7070298687322</v>
      </c>
      <c r="I313" s="7"/>
      <c r="J313" s="2">
        <f t="shared" si="14"/>
        <v>88.141470180305134</v>
      </c>
      <c r="K313">
        <f t="shared" si="14"/>
        <v>93.909271642870053</v>
      </c>
      <c r="L313">
        <f t="shared" si="14"/>
        <v>76.236852356836778</v>
      </c>
      <c r="M313" s="3" t="s">
        <v>73</v>
      </c>
      <c r="N313" s="12" t="s">
        <v>420</v>
      </c>
      <c r="O313" s="11">
        <v>73902.600000000006</v>
      </c>
    </row>
    <row r="314" spans="1:15" ht="18" x14ac:dyDescent="0.45">
      <c r="A314" s="3" t="s">
        <v>284</v>
      </c>
      <c r="C314" s="4" t="s">
        <v>307</v>
      </c>
      <c r="D314">
        <v>3195.5</v>
      </c>
      <c r="E314">
        <v>1299</v>
      </c>
      <c r="F314">
        <v>980500</v>
      </c>
      <c r="G314" s="5">
        <f t="shared" si="13"/>
        <v>981874.95269427367</v>
      </c>
      <c r="H314" s="6">
        <f t="shared" si="12"/>
        <v>-1374.9526942736702</v>
      </c>
      <c r="I314" s="7">
        <f>F314/F288-1</f>
        <v>2.8856243441762963E-2</v>
      </c>
      <c r="J314" s="2">
        <f t="shared" si="14"/>
        <v>88.640776699029118</v>
      </c>
      <c r="K314">
        <f t="shared" si="14"/>
        <v>93.909271642870053</v>
      </c>
      <c r="L314">
        <f t="shared" si="14"/>
        <v>76.392676275808327</v>
      </c>
      <c r="M314" s="3" t="s">
        <v>73</v>
      </c>
      <c r="N314" s="12" t="s">
        <v>421</v>
      </c>
      <c r="O314" s="11">
        <v>73905.7</v>
      </c>
    </row>
    <row r="315" spans="1:15" ht="18" x14ac:dyDescent="0.45">
      <c r="A315" s="3" t="s">
        <v>8</v>
      </c>
      <c r="C315" s="4" t="s">
        <v>309</v>
      </c>
      <c r="D315">
        <v>3217.5</v>
      </c>
      <c r="E315">
        <f>AVERAGE(E311,E316)</f>
        <v>1292.875</v>
      </c>
      <c r="F315">
        <v>978500</v>
      </c>
      <c r="G315" s="5">
        <f t="shared" si="13"/>
        <v>983962.58688571036</v>
      </c>
      <c r="H315" s="6">
        <f t="shared" si="12"/>
        <v>-5462.5868857103633</v>
      </c>
      <c r="I315" s="7"/>
      <c r="J315" s="2">
        <f t="shared" si="14"/>
        <v>89.25104022191401</v>
      </c>
      <c r="K315">
        <f t="shared" si="14"/>
        <v>93.466473883968916</v>
      </c>
      <c r="L315">
        <f t="shared" si="14"/>
        <v>76.236852356836778</v>
      </c>
      <c r="M315" s="3" t="s">
        <v>100</v>
      </c>
      <c r="N315" s="12" t="s">
        <v>422</v>
      </c>
      <c r="O315" s="11">
        <v>73868</v>
      </c>
    </row>
    <row r="316" spans="1:15" ht="18" x14ac:dyDescent="0.45">
      <c r="A316" s="3" t="s">
        <v>8</v>
      </c>
      <c r="C316" s="4" t="s">
        <v>310</v>
      </c>
      <c r="D316">
        <v>3274</v>
      </c>
      <c r="E316">
        <v>1286.75</v>
      </c>
      <c r="F316">
        <v>991000</v>
      </c>
      <c r="G316" s="5">
        <f t="shared" si="13"/>
        <v>996434.10263157857</v>
      </c>
      <c r="H316" s="6">
        <f t="shared" si="12"/>
        <v>-5434.1026315785712</v>
      </c>
      <c r="I316" s="7"/>
      <c r="J316" s="2">
        <f t="shared" si="14"/>
        <v>90.818307905686538</v>
      </c>
      <c r="K316">
        <f t="shared" si="14"/>
        <v>93.02367612506778</v>
      </c>
      <c r="L316">
        <f t="shared" si="14"/>
        <v>77.210751850409039</v>
      </c>
      <c r="M316" s="3" t="s">
        <v>100</v>
      </c>
      <c r="N316" s="12" t="s">
        <v>423</v>
      </c>
      <c r="O316" s="11">
        <v>73529.5</v>
      </c>
    </row>
    <row r="317" spans="1:15" ht="18" x14ac:dyDescent="0.45">
      <c r="A317" s="3" t="s">
        <v>8</v>
      </c>
      <c r="C317" s="4" t="s">
        <v>311</v>
      </c>
      <c r="D317">
        <v>3307.5</v>
      </c>
      <c r="E317">
        <v>1285.25</v>
      </c>
      <c r="F317">
        <v>998000</v>
      </c>
      <c r="G317" s="5">
        <f t="shared" si="13"/>
        <v>1005411.0193771501</v>
      </c>
      <c r="H317" s="6">
        <f t="shared" si="12"/>
        <v>-7411.0193771501072</v>
      </c>
      <c r="I317" s="7"/>
      <c r="J317" s="2">
        <f t="shared" si="14"/>
        <v>91.747572815533985</v>
      </c>
      <c r="K317">
        <f t="shared" si="14"/>
        <v>92.915235857581777</v>
      </c>
      <c r="L317">
        <f t="shared" si="14"/>
        <v>77.756135566809505</v>
      </c>
      <c r="M317" s="3" t="s">
        <v>100</v>
      </c>
      <c r="N317" s="12" t="s">
        <v>424</v>
      </c>
      <c r="O317" s="11">
        <v>73499.899999999994</v>
      </c>
    </row>
    <row r="318" spans="1:15" ht="18" x14ac:dyDescent="0.45">
      <c r="A318" s="3" t="s">
        <v>8</v>
      </c>
      <c r="C318" s="4" t="s">
        <v>425</v>
      </c>
      <c r="D318">
        <v>3240</v>
      </c>
      <c r="E318">
        <v>1291.5</v>
      </c>
      <c r="F318">
        <v>991500</v>
      </c>
      <c r="G318" s="5">
        <f t="shared" si="13"/>
        <v>989760.05086326052</v>
      </c>
      <c r="H318" s="6">
        <f t="shared" si="12"/>
        <v>1739.9491367394803</v>
      </c>
      <c r="I318" s="7"/>
      <c r="J318" s="2">
        <f t="shared" si="14"/>
        <v>89.875173370319004</v>
      </c>
      <c r="K318">
        <f t="shared" si="14"/>
        <v>93.367070305440095</v>
      </c>
      <c r="L318">
        <f t="shared" si="14"/>
        <v>77.24970783015192</v>
      </c>
      <c r="M318" s="3" t="s">
        <v>100</v>
      </c>
      <c r="N318" s="12" t="s">
        <v>426</v>
      </c>
      <c r="O318" s="11">
        <v>73540.899999999994</v>
      </c>
    </row>
    <row r="319" spans="1:15" ht="18" x14ac:dyDescent="0.45">
      <c r="A319" s="3" t="s">
        <v>8</v>
      </c>
      <c r="C319" s="4" t="s">
        <v>427</v>
      </c>
      <c r="D319">
        <v>3250</v>
      </c>
      <c r="E319">
        <v>1301.25</v>
      </c>
      <c r="F319">
        <v>992500</v>
      </c>
      <c r="G319" s="5">
        <f t="shared" si="13"/>
        <v>1000256.6884625276</v>
      </c>
      <c r="H319" s="6">
        <f t="shared" si="12"/>
        <v>-7756.6884625275852</v>
      </c>
      <c r="I319" s="7"/>
      <c r="J319" s="2">
        <f t="shared" si="14"/>
        <v>90.152565880721227</v>
      </c>
      <c r="K319">
        <f t="shared" si="14"/>
        <v>94.071932044099043</v>
      </c>
      <c r="L319">
        <f t="shared" si="14"/>
        <v>77.327619789637708</v>
      </c>
      <c r="M319" s="3" t="s">
        <v>100</v>
      </c>
      <c r="N319" s="12" t="s">
        <v>428</v>
      </c>
      <c r="O319" s="11">
        <v>73312.2</v>
      </c>
    </row>
    <row r="320" spans="1:15" ht="18" x14ac:dyDescent="0.45">
      <c r="A320" s="3" t="s">
        <v>8</v>
      </c>
      <c r="C320" s="4" t="s">
        <v>312</v>
      </c>
      <c r="D320">
        <v>3258</v>
      </c>
      <c r="E320">
        <v>1301.25</v>
      </c>
      <c r="F320">
        <v>1002500</v>
      </c>
      <c r="G320" s="5">
        <f t="shared" si="13"/>
        <v>1002706.5510802814</v>
      </c>
      <c r="H320" s="6">
        <f t="shared" si="12"/>
        <v>-206.55108028138056</v>
      </c>
      <c r="I320" s="7"/>
      <c r="J320" s="2">
        <f t="shared" si="14"/>
        <v>90.374479889042988</v>
      </c>
      <c r="K320">
        <f t="shared" si="14"/>
        <v>94.071932044099043</v>
      </c>
      <c r="L320">
        <f t="shared" si="14"/>
        <v>78.106739384495512</v>
      </c>
      <c r="M320" s="3" t="s">
        <v>100</v>
      </c>
      <c r="N320" s="12" t="s">
        <v>429</v>
      </c>
      <c r="O320" s="11">
        <v>72941.8</v>
      </c>
    </row>
    <row r="321" spans="1:15" ht="18" x14ac:dyDescent="0.45">
      <c r="A321" s="3" t="s">
        <v>8</v>
      </c>
      <c r="C321" s="4" t="s">
        <v>313</v>
      </c>
      <c r="D321">
        <v>3287.5</v>
      </c>
      <c r="E321">
        <v>1301.25</v>
      </c>
      <c r="F321">
        <v>1026000</v>
      </c>
      <c r="G321" s="5">
        <f t="shared" si="13"/>
        <v>1011740.4194832491</v>
      </c>
      <c r="H321" s="6">
        <f t="shared" si="12"/>
        <v>14259.580516750924</v>
      </c>
      <c r="I321" s="7"/>
      <c r="J321" s="2">
        <f t="shared" si="14"/>
        <v>91.192787794729554</v>
      </c>
      <c r="K321">
        <f t="shared" si="14"/>
        <v>94.071932044099043</v>
      </c>
      <c r="L321">
        <f t="shared" si="14"/>
        <v>79.93767043241138</v>
      </c>
      <c r="M321" s="3" t="s">
        <v>100</v>
      </c>
      <c r="N321" s="12" t="s">
        <v>430</v>
      </c>
      <c r="O321" s="11">
        <v>72778.399999999994</v>
      </c>
    </row>
    <row r="322" spans="1:15" ht="18" x14ac:dyDescent="0.45">
      <c r="A322" s="3" t="s">
        <v>8</v>
      </c>
      <c r="C322" s="4" t="s">
        <v>314</v>
      </c>
      <c r="D322">
        <v>3314</v>
      </c>
      <c r="E322">
        <v>1299</v>
      </c>
      <c r="F322">
        <v>1029000</v>
      </c>
      <c r="G322" s="5">
        <f t="shared" si="13"/>
        <v>1018100.7958782108</v>
      </c>
      <c r="H322" s="6">
        <f t="shared" ref="H322:H385" si="15">F:F-G:G</f>
        <v>10899.204121789197</v>
      </c>
      <c r="I322" s="7"/>
      <c r="J322" s="2">
        <f t="shared" si="14"/>
        <v>91.927877947295428</v>
      </c>
      <c r="K322">
        <f t="shared" si="14"/>
        <v>93.909271642870053</v>
      </c>
      <c r="L322">
        <f t="shared" si="14"/>
        <v>80.171406310868718</v>
      </c>
      <c r="M322" s="3" t="s">
        <v>100</v>
      </c>
      <c r="N322" s="12" t="s">
        <v>431</v>
      </c>
      <c r="O322" s="11">
        <v>72339.8</v>
      </c>
    </row>
    <row r="323" spans="1:15" ht="18" x14ac:dyDescent="0.45">
      <c r="A323" s="3" t="s">
        <v>8</v>
      </c>
      <c r="C323" s="4" t="s">
        <v>316</v>
      </c>
      <c r="D323">
        <v>3274</v>
      </c>
      <c r="E323">
        <v>1297.75</v>
      </c>
      <c r="F323">
        <v>1014500</v>
      </c>
      <c r="G323" s="5">
        <f t="shared" ref="G323:G386" si="16">E323/31.103*8.133*D323*0.9+5000</f>
        <v>1004909.544736842</v>
      </c>
      <c r="H323" s="6">
        <f t="shared" si="15"/>
        <v>9590.4552631579572</v>
      </c>
      <c r="I323" s="7"/>
      <c r="J323" s="2">
        <f t="shared" si="14"/>
        <v>90.818307905686538</v>
      </c>
      <c r="K323">
        <f t="shared" si="14"/>
        <v>93.818904753298398</v>
      </c>
      <c r="L323">
        <f t="shared" si="14"/>
        <v>79.041682898324893</v>
      </c>
      <c r="M323" s="3" t="s">
        <v>100</v>
      </c>
      <c r="N323" s="12" t="s">
        <v>432</v>
      </c>
      <c r="O323" s="11">
        <v>72232.399999999994</v>
      </c>
    </row>
    <row r="324" spans="1:15" ht="18" x14ac:dyDescent="0.45">
      <c r="A324" s="3" t="s">
        <v>8</v>
      </c>
      <c r="C324" s="4" t="s">
        <v>318</v>
      </c>
      <c r="D324">
        <v>3290</v>
      </c>
      <c r="E324">
        <v>1288.5</v>
      </c>
      <c r="F324">
        <v>1015000</v>
      </c>
      <c r="G324" s="5">
        <f t="shared" si="16"/>
        <v>1002634.1848213997</v>
      </c>
      <c r="H324" s="6">
        <f t="shared" si="15"/>
        <v>12365.815178600256</v>
      </c>
      <c r="I324" s="7"/>
      <c r="J324" s="2">
        <f t="shared" si="14"/>
        <v>91.262135922330103</v>
      </c>
      <c r="K324">
        <f t="shared" si="14"/>
        <v>93.150189770468103</v>
      </c>
      <c r="L324">
        <f t="shared" si="14"/>
        <v>79.080638878067788</v>
      </c>
      <c r="M324" s="3" t="s">
        <v>100</v>
      </c>
      <c r="N324" s="12" t="s">
        <v>433</v>
      </c>
      <c r="O324" s="11">
        <v>72121.5</v>
      </c>
    </row>
    <row r="325" spans="1:15" ht="18" x14ac:dyDescent="0.45">
      <c r="A325" s="3" t="s">
        <v>8</v>
      </c>
      <c r="C325" s="4" t="s">
        <v>434</v>
      </c>
      <c r="D325">
        <v>3297</v>
      </c>
      <c r="E325">
        <v>1278.5</v>
      </c>
      <c r="F325">
        <v>1010500</v>
      </c>
      <c r="G325" s="5">
        <f t="shared" si="16"/>
        <v>996997.73576986114</v>
      </c>
      <c r="H325" s="6">
        <f t="shared" si="15"/>
        <v>13502.264230138855</v>
      </c>
      <c r="I325" s="7"/>
      <c r="J325" s="2">
        <f t="shared" si="14"/>
        <v>91.456310679611647</v>
      </c>
      <c r="K325">
        <f t="shared" si="14"/>
        <v>92.427254653894806</v>
      </c>
      <c r="L325">
        <f t="shared" si="14"/>
        <v>78.730035060381766</v>
      </c>
      <c r="M325" s="3" t="s">
        <v>100</v>
      </c>
      <c r="N325" s="12" t="s">
        <v>435</v>
      </c>
      <c r="O325" s="11">
        <v>71822.399999999994</v>
      </c>
    </row>
    <row r="326" spans="1:15" ht="18" x14ac:dyDescent="0.45">
      <c r="A326" s="3" t="s">
        <v>8</v>
      </c>
      <c r="C326" s="4" t="s">
        <v>436</v>
      </c>
      <c r="D326">
        <v>3307.5</v>
      </c>
      <c r="E326">
        <v>1281.25</v>
      </c>
      <c r="F326">
        <v>1012500</v>
      </c>
      <c r="G326" s="5">
        <f t="shared" si="16"/>
        <v>1002297.505214529</v>
      </c>
      <c r="H326" s="6">
        <f t="shared" si="15"/>
        <v>10202.494785471004</v>
      </c>
      <c r="I326" s="7"/>
      <c r="J326" s="2">
        <f t="shared" si="14"/>
        <v>91.747572815533985</v>
      </c>
      <c r="K326">
        <f t="shared" si="14"/>
        <v>92.626061810952464</v>
      </c>
      <c r="L326">
        <f t="shared" si="14"/>
        <v>78.88585897935333</v>
      </c>
      <c r="M326" s="3" t="s">
        <v>100</v>
      </c>
      <c r="N326" s="12" t="s">
        <v>437</v>
      </c>
      <c r="O326" s="11">
        <v>71665.399999999994</v>
      </c>
    </row>
    <row r="327" spans="1:15" ht="18" x14ac:dyDescent="0.45">
      <c r="A327" s="3" t="s">
        <v>8</v>
      </c>
      <c r="B327" s="3" t="s">
        <v>438</v>
      </c>
      <c r="C327" s="4" t="s">
        <v>319</v>
      </c>
      <c r="D327">
        <v>3319</v>
      </c>
      <c r="E327">
        <v>1281.25</v>
      </c>
      <c r="F327">
        <v>1020750</v>
      </c>
      <c r="G327" s="5">
        <f t="shared" si="16"/>
        <v>1005765.0551192808</v>
      </c>
      <c r="H327" s="6">
        <f t="shared" si="15"/>
        <v>14984.94488071918</v>
      </c>
      <c r="I327" s="7"/>
      <c r="J327" s="2">
        <f t="shared" si="14"/>
        <v>92.066574202496525</v>
      </c>
      <c r="K327">
        <f t="shared" si="14"/>
        <v>92.626061810952464</v>
      </c>
      <c r="L327">
        <f t="shared" si="14"/>
        <v>79.528632645111017</v>
      </c>
      <c r="M327" s="3" t="s">
        <v>100</v>
      </c>
      <c r="N327" s="12" t="s">
        <v>439</v>
      </c>
      <c r="O327" s="11">
        <v>71815.199999999997</v>
      </c>
    </row>
    <row r="328" spans="1:15" ht="18" x14ac:dyDescent="0.45">
      <c r="A328" s="3" t="s">
        <v>8</v>
      </c>
      <c r="B328" s="3" t="s">
        <v>440</v>
      </c>
      <c r="C328" s="4" t="s">
        <v>320</v>
      </c>
      <c r="D328">
        <v>3298.5</v>
      </c>
      <c r="E328">
        <v>1281.25</v>
      </c>
      <c r="F328">
        <v>1017000</v>
      </c>
      <c r="G328" s="5">
        <f t="shared" si="16"/>
        <v>999583.77050646208</v>
      </c>
      <c r="H328" s="6">
        <f t="shared" si="15"/>
        <v>17416.229493537918</v>
      </c>
      <c r="I328" s="7"/>
      <c r="J328" s="2">
        <f t="shared" si="14"/>
        <v>91.497919556171979</v>
      </c>
      <c r="K328">
        <f t="shared" si="14"/>
        <v>92.626061810952464</v>
      </c>
      <c r="L328">
        <f t="shared" si="14"/>
        <v>79.236462797039337</v>
      </c>
      <c r="M328" s="3" t="s">
        <v>100</v>
      </c>
      <c r="N328" s="12" t="s">
        <v>441</v>
      </c>
      <c r="O328" s="11">
        <v>71930.100000000006</v>
      </c>
    </row>
    <row r="329" spans="1:15" ht="18" x14ac:dyDescent="0.45">
      <c r="A329" s="3" t="s">
        <v>8</v>
      </c>
      <c r="B329" s="3" t="s">
        <v>442</v>
      </c>
      <c r="C329" s="4" t="s">
        <v>321</v>
      </c>
      <c r="D329">
        <v>3293</v>
      </c>
      <c r="E329">
        <f>AVERAGE(E326,E330)</f>
        <v>1293.75</v>
      </c>
      <c r="F329">
        <v>1017000</v>
      </c>
      <c r="G329" s="5">
        <f t="shared" si="16"/>
        <v>1007612.453923255</v>
      </c>
      <c r="H329" s="6">
        <f t="shared" si="15"/>
        <v>9387.5460767450277</v>
      </c>
      <c r="I329" s="7"/>
      <c r="J329" s="2">
        <f t="shared" si="14"/>
        <v>91.345353675450752</v>
      </c>
      <c r="K329">
        <f t="shared" si="14"/>
        <v>93.529730706669085</v>
      </c>
      <c r="L329">
        <f t="shared" si="14"/>
        <v>79.236462797039337</v>
      </c>
      <c r="M329" s="3" t="s">
        <v>100</v>
      </c>
      <c r="N329" s="12" t="s">
        <v>443</v>
      </c>
      <c r="O329" s="11">
        <v>71925.399999999994</v>
      </c>
    </row>
    <row r="330" spans="1:15" ht="18" x14ac:dyDescent="0.45">
      <c r="A330" s="3" t="s">
        <v>8</v>
      </c>
      <c r="B330" s="3" t="s">
        <v>444</v>
      </c>
      <c r="C330" s="4" t="s">
        <v>322</v>
      </c>
      <c r="D330">
        <v>3304</v>
      </c>
      <c r="E330">
        <v>1306.25</v>
      </c>
      <c r="F330">
        <v>1014500</v>
      </c>
      <c r="G330" s="5">
        <f t="shared" si="16"/>
        <v>1020681.0354306658</v>
      </c>
      <c r="H330" s="6">
        <f t="shared" si="15"/>
        <v>-6181.0354306658264</v>
      </c>
      <c r="I330" s="7"/>
      <c r="J330" s="2">
        <f t="shared" si="14"/>
        <v>91.650485436893206</v>
      </c>
      <c r="K330">
        <f t="shared" si="14"/>
        <v>94.433399602385677</v>
      </c>
      <c r="L330">
        <f t="shared" si="14"/>
        <v>79.041682898324893</v>
      </c>
      <c r="M330" s="3" t="s">
        <v>100</v>
      </c>
      <c r="N330" s="12" t="s">
        <v>445</v>
      </c>
      <c r="O330" s="11">
        <v>71486</v>
      </c>
    </row>
    <row r="331" spans="1:15" ht="18" x14ac:dyDescent="0.45">
      <c r="A331" s="3" t="s">
        <v>8</v>
      </c>
      <c r="B331" s="3" t="s">
        <v>446</v>
      </c>
      <c r="C331" s="4" t="s">
        <v>323</v>
      </c>
      <c r="D331">
        <v>3293.5</v>
      </c>
      <c r="E331">
        <v>1296</v>
      </c>
      <c r="F331">
        <v>1005500</v>
      </c>
      <c r="G331" s="5">
        <f t="shared" si="16"/>
        <v>1009508.626409028</v>
      </c>
      <c r="H331" s="6">
        <f t="shared" si="15"/>
        <v>-4008.6264090279583</v>
      </c>
      <c r="I331" s="7"/>
      <c r="J331" s="2">
        <f t="shared" si="14"/>
        <v>91.359223300970868</v>
      </c>
      <c r="K331">
        <f t="shared" si="14"/>
        <v>93.692391107898061</v>
      </c>
      <c r="L331">
        <f t="shared" si="14"/>
        <v>78.34047526295285</v>
      </c>
      <c r="M331" s="3" t="s">
        <v>100</v>
      </c>
      <c r="N331" s="12" t="s">
        <v>447</v>
      </c>
      <c r="O331" s="11">
        <v>71386.7</v>
      </c>
    </row>
    <row r="332" spans="1:15" ht="18" x14ac:dyDescent="0.45">
      <c r="A332" s="3" t="s">
        <v>8</v>
      </c>
      <c r="B332" s="3" t="s">
        <v>448</v>
      </c>
      <c r="C332" s="4" t="s">
        <v>449</v>
      </c>
      <c r="D332">
        <v>3285.5</v>
      </c>
      <c r="E332">
        <v>1287</v>
      </c>
      <c r="F332">
        <v>995000</v>
      </c>
      <c r="G332" s="5">
        <f t="shared" si="16"/>
        <v>1000109.8379079186</v>
      </c>
      <c r="H332" s="6">
        <f t="shared" si="15"/>
        <v>-5109.8379079186125</v>
      </c>
      <c r="I332" s="7"/>
      <c r="J332" s="2">
        <f t="shared" si="14"/>
        <v>91.137309292649093</v>
      </c>
      <c r="K332">
        <f t="shared" si="14"/>
        <v>93.0417495029821</v>
      </c>
      <c r="L332">
        <f t="shared" si="14"/>
        <v>77.522399688352166</v>
      </c>
      <c r="M332" s="3" t="s">
        <v>100</v>
      </c>
      <c r="N332" s="12" t="s">
        <v>450</v>
      </c>
      <c r="O332" s="11">
        <v>71402.3</v>
      </c>
    </row>
    <row r="333" spans="1:15" ht="18" x14ac:dyDescent="0.45">
      <c r="A333" s="3" t="s">
        <v>8</v>
      </c>
      <c r="B333" s="3" t="s">
        <v>438</v>
      </c>
      <c r="C333" s="4" t="s">
        <v>325</v>
      </c>
      <c r="D333">
        <v>3287.5</v>
      </c>
      <c r="E333">
        <v>1291.25</v>
      </c>
      <c r="F333">
        <v>990000</v>
      </c>
      <c r="G333" s="5">
        <f t="shared" si="16"/>
        <v>1004003.7015621482</v>
      </c>
      <c r="H333" s="6">
        <f t="shared" si="15"/>
        <v>-14003.70156214817</v>
      </c>
      <c r="I333" s="7"/>
      <c r="J333" s="2">
        <f t="shared" si="14"/>
        <v>91.192787794729554</v>
      </c>
      <c r="K333">
        <f t="shared" si="14"/>
        <v>93.348996927525747</v>
      </c>
      <c r="L333">
        <f t="shared" si="14"/>
        <v>77.13283989092325</v>
      </c>
      <c r="M333" s="3" t="s">
        <v>100</v>
      </c>
      <c r="N333" s="12" t="s">
        <v>451</v>
      </c>
      <c r="O333" s="11">
        <v>71408.3</v>
      </c>
    </row>
    <row r="334" spans="1:15" ht="18" x14ac:dyDescent="0.45">
      <c r="A334" s="3" t="s">
        <v>8</v>
      </c>
      <c r="B334" s="3" t="s">
        <v>440</v>
      </c>
      <c r="C334" s="4" t="s">
        <v>327</v>
      </c>
      <c r="D334">
        <v>3249.5</v>
      </c>
      <c r="E334">
        <v>1291.25</v>
      </c>
      <c r="F334">
        <v>972750</v>
      </c>
      <c r="G334" s="5">
        <f t="shared" si="16"/>
        <v>992456.28235017508</v>
      </c>
      <c r="H334" s="6">
        <f t="shared" si="15"/>
        <v>-19706.282350175083</v>
      </c>
      <c r="I334" s="7"/>
      <c r="J334" s="2">
        <f t="shared" si="14"/>
        <v>90.138696255201111</v>
      </c>
      <c r="K334">
        <f t="shared" si="14"/>
        <v>93.348996927525747</v>
      </c>
      <c r="L334">
        <f t="shared" si="14"/>
        <v>75.788858589793534</v>
      </c>
      <c r="M334" s="3" t="s">
        <v>100</v>
      </c>
      <c r="N334" s="12" t="s">
        <v>452</v>
      </c>
      <c r="O334" s="11">
        <v>71443.600000000006</v>
      </c>
    </row>
    <row r="335" spans="1:15" ht="18" x14ac:dyDescent="0.45">
      <c r="A335" s="3" t="s">
        <v>8</v>
      </c>
      <c r="B335" s="3" t="s">
        <v>442</v>
      </c>
      <c r="C335" s="4" t="s">
        <v>328</v>
      </c>
      <c r="D335">
        <v>3245</v>
      </c>
      <c r="E335">
        <v>1296.2</v>
      </c>
      <c r="F335">
        <v>976500</v>
      </c>
      <c r="G335" s="5">
        <f t="shared" si="16"/>
        <v>994868.99107160082</v>
      </c>
      <c r="H335" s="6">
        <f t="shared" si="15"/>
        <v>-18368.991071600816</v>
      </c>
      <c r="I335" s="7"/>
      <c r="J335" s="2">
        <f t="shared" si="14"/>
        <v>90.013869625520115</v>
      </c>
      <c r="K335">
        <f t="shared" si="14"/>
        <v>93.706849810229528</v>
      </c>
      <c r="L335">
        <f t="shared" si="14"/>
        <v>76.081028437865214</v>
      </c>
      <c r="M335" s="3" t="s">
        <v>100</v>
      </c>
      <c r="N335" s="12" t="s">
        <v>453</v>
      </c>
      <c r="O335" s="11">
        <v>71445</v>
      </c>
    </row>
    <row r="336" spans="1:15" ht="18" x14ac:dyDescent="0.45">
      <c r="A336" s="3" t="s">
        <v>8</v>
      </c>
      <c r="B336" s="3" t="s">
        <v>446</v>
      </c>
      <c r="C336" s="4" t="s">
        <v>329</v>
      </c>
      <c r="D336">
        <v>3247.5</v>
      </c>
      <c r="E336">
        <v>1305.7</v>
      </c>
      <c r="F336">
        <v>985500</v>
      </c>
      <c r="G336" s="5">
        <f t="shared" si="16"/>
        <v>1002892.0558073176</v>
      </c>
      <c r="H336" s="6">
        <f t="shared" si="15"/>
        <v>-17392.055807317607</v>
      </c>
      <c r="I336" s="7"/>
      <c r="J336" s="2">
        <f t="shared" si="14"/>
        <v>90.083217753120664</v>
      </c>
      <c r="K336">
        <f t="shared" si="14"/>
        <v>94.393638170974157</v>
      </c>
      <c r="L336">
        <f t="shared" si="14"/>
        <v>76.782236073237243</v>
      </c>
      <c r="M336" s="3" t="s">
        <v>100</v>
      </c>
      <c r="N336" s="12" t="s">
        <v>454</v>
      </c>
      <c r="O336" s="11">
        <v>71545.3</v>
      </c>
    </row>
    <row r="337" spans="1:15" ht="18" x14ac:dyDescent="0.45">
      <c r="A337" s="3" t="s">
        <v>8</v>
      </c>
      <c r="B337" s="3" t="s">
        <v>448</v>
      </c>
      <c r="C337" s="4" t="s">
        <v>455</v>
      </c>
      <c r="D337">
        <v>3245</v>
      </c>
      <c r="E337">
        <v>1296.4000000000001</v>
      </c>
      <c r="F337">
        <v>985500</v>
      </c>
      <c r="G337" s="5">
        <f t="shared" si="16"/>
        <v>995021.72506189102</v>
      </c>
      <c r="H337" s="6">
        <f t="shared" si="15"/>
        <v>-9521.7250618910184</v>
      </c>
      <c r="I337" s="7"/>
      <c r="J337" s="2">
        <f t="shared" si="14"/>
        <v>90.013869625520115</v>
      </c>
      <c r="K337">
        <f t="shared" si="14"/>
        <v>93.721308512561009</v>
      </c>
      <c r="L337">
        <f t="shared" si="14"/>
        <v>76.782236073237243</v>
      </c>
      <c r="M337" s="3" t="s">
        <v>100</v>
      </c>
      <c r="N337" s="12" t="s">
        <v>456</v>
      </c>
      <c r="O337" s="11">
        <v>71685.8</v>
      </c>
    </row>
    <row r="338" spans="1:15" ht="18" x14ac:dyDescent="0.45">
      <c r="A338" s="3" t="s">
        <v>8</v>
      </c>
      <c r="B338" s="3" t="s">
        <v>438</v>
      </c>
      <c r="C338" s="4" t="s">
        <v>330</v>
      </c>
      <c r="D338">
        <v>3300</v>
      </c>
      <c r="E338">
        <v>1292.7</v>
      </c>
      <c r="F338">
        <v>995000</v>
      </c>
      <c r="G338" s="5">
        <f t="shared" si="16"/>
        <v>1008928.2843134102</v>
      </c>
      <c r="H338" s="6">
        <f t="shared" si="15"/>
        <v>-13928.284313410171</v>
      </c>
      <c r="I338" s="7"/>
      <c r="J338" s="2">
        <f t="shared" si="14"/>
        <v>91.539528432732325</v>
      </c>
      <c r="K338">
        <f t="shared" si="14"/>
        <v>93.453822519428883</v>
      </c>
      <c r="L338">
        <f t="shared" si="14"/>
        <v>77.522399688352166</v>
      </c>
      <c r="M338" s="3" t="s">
        <v>125</v>
      </c>
      <c r="N338" s="12" t="s">
        <v>457</v>
      </c>
      <c r="O338" s="11">
        <v>71726.5</v>
      </c>
    </row>
    <row r="339" spans="1:15" ht="18" x14ac:dyDescent="0.45">
      <c r="A339" s="3" t="s">
        <v>8</v>
      </c>
      <c r="B339" s="3" t="s">
        <v>440</v>
      </c>
      <c r="C339" s="4" t="s">
        <v>332</v>
      </c>
      <c r="D339">
        <v>3280</v>
      </c>
      <c r="E339">
        <v>1292.7</v>
      </c>
      <c r="F339">
        <v>985000</v>
      </c>
      <c r="G339" s="5">
        <f t="shared" si="16"/>
        <v>1002843.8704690867</v>
      </c>
      <c r="H339" s="6">
        <f t="shared" si="15"/>
        <v>-17843.870469086687</v>
      </c>
      <c r="I339" s="7"/>
      <c r="J339" s="2">
        <f t="shared" si="14"/>
        <v>90.98474341192788</v>
      </c>
      <c r="K339">
        <f t="shared" si="14"/>
        <v>93.453822519428883</v>
      </c>
      <c r="L339">
        <f t="shared" si="14"/>
        <v>76.743280093494349</v>
      </c>
      <c r="M339" s="3" t="s">
        <v>125</v>
      </c>
      <c r="N339" s="12" t="s">
        <v>458</v>
      </c>
      <c r="O339" s="11">
        <v>71788.100000000006</v>
      </c>
    </row>
    <row r="340" spans="1:15" ht="18" x14ac:dyDescent="0.45">
      <c r="A340" s="3" t="s">
        <v>8</v>
      </c>
      <c r="B340" s="3" t="s">
        <v>442</v>
      </c>
      <c r="C340" s="4" t="s">
        <v>333</v>
      </c>
      <c r="D340">
        <v>3280</v>
      </c>
      <c r="E340">
        <v>1299.4000000000001</v>
      </c>
      <c r="F340">
        <v>988000</v>
      </c>
      <c r="G340" s="5">
        <f t="shared" si="16"/>
        <v>1008015.6457705044</v>
      </c>
      <c r="H340" s="6">
        <f t="shared" si="15"/>
        <v>-20015.645770504372</v>
      </c>
      <c r="I340" s="7"/>
      <c r="J340" s="2">
        <f t="shared" si="14"/>
        <v>90.98474341192788</v>
      </c>
      <c r="K340">
        <f t="shared" si="14"/>
        <v>93.938189047533001</v>
      </c>
      <c r="L340">
        <f t="shared" si="14"/>
        <v>76.977015971951687</v>
      </c>
      <c r="M340" s="3" t="s">
        <v>125</v>
      </c>
      <c r="N340" s="12" t="s">
        <v>459</v>
      </c>
      <c r="O340" s="11">
        <v>71702.2</v>
      </c>
    </row>
    <row r="341" spans="1:15" ht="18" x14ac:dyDescent="0.45">
      <c r="A341" s="3" t="s">
        <v>8</v>
      </c>
      <c r="B341" s="3" t="s">
        <v>444</v>
      </c>
      <c r="C341" s="4" t="s">
        <v>335</v>
      </c>
      <c r="D341">
        <v>3280</v>
      </c>
      <c r="E341">
        <v>1290.5999999999999</v>
      </c>
      <c r="F341">
        <v>985500</v>
      </c>
      <c r="G341" s="5">
        <f t="shared" si="16"/>
        <v>1001222.8662701345</v>
      </c>
      <c r="H341" s="6">
        <f t="shared" si="15"/>
        <v>-15722.866270134458</v>
      </c>
      <c r="I341" s="7"/>
      <c r="J341" s="2">
        <f t="shared" si="14"/>
        <v>90.98474341192788</v>
      </c>
      <c r="K341">
        <f t="shared" si="14"/>
        <v>93.302006144948479</v>
      </c>
      <c r="L341">
        <f t="shared" si="14"/>
        <v>76.782236073237243</v>
      </c>
      <c r="M341" s="3" t="s">
        <v>125</v>
      </c>
      <c r="N341" s="12" t="s">
        <v>460</v>
      </c>
      <c r="O341" s="11">
        <v>71643.7</v>
      </c>
    </row>
    <row r="342" spans="1:15" ht="18" x14ac:dyDescent="0.45">
      <c r="A342" s="3" t="s">
        <v>8</v>
      </c>
      <c r="B342" s="3" t="s">
        <v>446</v>
      </c>
      <c r="C342" s="13" t="s">
        <v>337</v>
      </c>
      <c r="D342">
        <v>3295</v>
      </c>
      <c r="E342">
        <v>1292.8</v>
      </c>
      <c r="F342">
        <v>993000</v>
      </c>
      <c r="G342" s="5">
        <f t="shared" si="16"/>
        <v>1007484.7245346106</v>
      </c>
      <c r="H342" s="6">
        <f t="shared" si="15"/>
        <v>-14484.724534610636</v>
      </c>
      <c r="I342" s="7">
        <f>F342/F314-1</f>
        <v>1.2748597654258065E-2</v>
      </c>
      <c r="J342" s="2">
        <f t="shared" si="14"/>
        <v>91.400832177531214</v>
      </c>
      <c r="K342">
        <f t="shared" si="14"/>
        <v>93.461051870594616</v>
      </c>
      <c r="L342">
        <f t="shared" si="14"/>
        <v>77.366575769380603</v>
      </c>
      <c r="M342" s="3" t="s">
        <v>125</v>
      </c>
      <c r="N342" s="12" t="s">
        <v>461</v>
      </c>
      <c r="O342" s="11">
        <v>71675.199999999997</v>
      </c>
    </row>
    <row r="343" spans="1:15" ht="18" x14ac:dyDescent="0.45">
      <c r="A343" s="3" t="s">
        <v>23</v>
      </c>
      <c r="B343" s="3" t="s">
        <v>448</v>
      </c>
      <c r="C343" s="12" t="s">
        <v>462</v>
      </c>
      <c r="D343">
        <v>3290</v>
      </c>
      <c r="E343">
        <v>1293.7</v>
      </c>
      <c r="F343">
        <v>990000</v>
      </c>
      <c r="G343" s="5">
        <f t="shared" si="16"/>
        <v>1006660.3375269267</v>
      </c>
      <c r="H343" s="6">
        <f t="shared" si="15"/>
        <v>-16660.337526926654</v>
      </c>
      <c r="I343" s="14"/>
      <c r="J343" s="2">
        <f t="shared" si="14"/>
        <v>91.262135922330103</v>
      </c>
      <c r="K343">
        <f t="shared" si="14"/>
        <v>93.526116031086218</v>
      </c>
      <c r="L343">
        <f t="shared" si="14"/>
        <v>77.13283989092325</v>
      </c>
      <c r="M343" s="3" t="s">
        <v>125</v>
      </c>
      <c r="N343" s="12" t="s">
        <v>463</v>
      </c>
      <c r="O343" s="11">
        <v>71664</v>
      </c>
    </row>
    <row r="344" spans="1:15" ht="18" x14ac:dyDescent="0.45">
      <c r="A344" s="3" t="s">
        <v>23</v>
      </c>
      <c r="B344" s="3" t="s">
        <v>438</v>
      </c>
      <c r="C344" s="12" t="s">
        <v>338</v>
      </c>
      <c r="D344">
        <v>3275</v>
      </c>
      <c r="E344">
        <v>1292.9000000000001</v>
      </c>
      <c r="F344">
        <v>986000</v>
      </c>
      <c r="G344" s="5">
        <f t="shared" si="16"/>
        <v>1001476.9130228594</v>
      </c>
      <c r="H344" s="6">
        <f t="shared" si="15"/>
        <v>-15476.913022859371</v>
      </c>
      <c r="I344" s="14"/>
      <c r="J344" s="2">
        <f t="shared" si="14"/>
        <v>90.846047156726769</v>
      </c>
      <c r="K344">
        <f t="shared" si="14"/>
        <v>93.46828122176035</v>
      </c>
      <c r="L344">
        <f t="shared" si="14"/>
        <v>76.821192052980138</v>
      </c>
      <c r="M344" s="3" t="s">
        <v>125</v>
      </c>
      <c r="N344" s="12" t="s">
        <v>464</v>
      </c>
      <c r="O344" s="11">
        <v>71640.5</v>
      </c>
    </row>
    <row r="345" spans="1:15" ht="18" x14ac:dyDescent="0.45">
      <c r="A345" s="3" t="s">
        <v>23</v>
      </c>
      <c r="B345" s="3" t="s">
        <v>440</v>
      </c>
      <c r="C345" s="12" t="s">
        <v>339</v>
      </c>
      <c r="D345">
        <v>3275</v>
      </c>
      <c r="E345">
        <v>1292.9000000000001</v>
      </c>
      <c r="F345">
        <v>986000</v>
      </c>
      <c r="G345" s="5">
        <f t="shared" si="16"/>
        <v>1001476.9130228594</v>
      </c>
      <c r="H345" s="6">
        <f t="shared" si="15"/>
        <v>-15476.913022859371</v>
      </c>
      <c r="I345" s="14"/>
      <c r="J345" s="2">
        <f t="shared" si="14"/>
        <v>90.846047156726769</v>
      </c>
      <c r="K345">
        <f t="shared" si="14"/>
        <v>93.46828122176035</v>
      </c>
      <c r="L345">
        <f t="shared" si="14"/>
        <v>76.821192052980138</v>
      </c>
      <c r="M345" s="3" t="s">
        <v>125</v>
      </c>
      <c r="N345" s="12" t="s">
        <v>465</v>
      </c>
      <c r="O345" s="11">
        <v>71670.100000000006</v>
      </c>
    </row>
    <row r="346" spans="1:15" ht="18" x14ac:dyDescent="0.45">
      <c r="A346" s="3" t="s">
        <v>23</v>
      </c>
      <c r="B346" s="3" t="s">
        <v>442</v>
      </c>
      <c r="C346" s="12" t="s">
        <v>340</v>
      </c>
      <c r="D346">
        <v>3280</v>
      </c>
      <c r="E346">
        <v>1282.4000000000001</v>
      </c>
      <c r="F346">
        <v>985000</v>
      </c>
      <c r="G346" s="5">
        <f t="shared" si="16"/>
        <v>994893.23082660825</v>
      </c>
      <c r="H346" s="6">
        <f t="shared" si="15"/>
        <v>-9893.2308266082546</v>
      </c>
      <c r="I346" s="14"/>
      <c r="J346" s="2">
        <f t="shared" si="14"/>
        <v>90.98474341192788</v>
      </c>
      <c r="K346">
        <f t="shared" si="14"/>
        <v>92.709199349358414</v>
      </c>
      <c r="L346">
        <f t="shared" si="14"/>
        <v>76.743280093494349</v>
      </c>
      <c r="M346" s="3" t="s">
        <v>125</v>
      </c>
      <c r="N346" s="12" t="s">
        <v>466</v>
      </c>
      <c r="O346" s="11">
        <v>71821.5</v>
      </c>
    </row>
    <row r="347" spans="1:15" ht="18" x14ac:dyDescent="0.45">
      <c r="A347" s="3" t="s">
        <v>23</v>
      </c>
      <c r="B347" s="3" t="s">
        <v>446</v>
      </c>
      <c r="C347" s="12" t="s">
        <v>341</v>
      </c>
      <c r="D347">
        <v>3270</v>
      </c>
      <c r="E347">
        <v>1266</v>
      </c>
      <c r="F347">
        <v>970000</v>
      </c>
      <c r="G347" s="5">
        <f t="shared" si="16"/>
        <v>979254.58811047161</v>
      </c>
      <c r="H347" s="6">
        <f t="shared" si="15"/>
        <v>-9254.58811047161</v>
      </c>
      <c r="I347" s="14"/>
      <c r="J347" s="2">
        <f t="shared" si="14"/>
        <v>90.707350901525658</v>
      </c>
      <c r="K347">
        <f t="shared" si="14"/>
        <v>91.5235857581782</v>
      </c>
      <c r="L347">
        <f t="shared" si="14"/>
        <v>75.574600701207643</v>
      </c>
      <c r="M347" s="3" t="s">
        <v>125</v>
      </c>
      <c r="N347" s="12" t="s">
        <v>467</v>
      </c>
      <c r="O347" s="11">
        <v>71718.8</v>
      </c>
    </row>
    <row r="348" spans="1:15" ht="18" x14ac:dyDescent="0.45">
      <c r="A348" s="3" t="s">
        <v>23</v>
      </c>
      <c r="B348" s="3" t="s">
        <v>448</v>
      </c>
      <c r="C348" s="12" t="s">
        <v>468</v>
      </c>
      <c r="D348">
        <v>3275</v>
      </c>
      <c r="E348">
        <v>1255.9000000000001</v>
      </c>
      <c r="F348">
        <v>962000</v>
      </c>
      <c r="G348" s="5">
        <f t="shared" si="16"/>
        <v>972959.90027489315</v>
      </c>
      <c r="H348" s="6">
        <f t="shared" si="15"/>
        <v>-10959.900274893153</v>
      </c>
      <c r="I348" s="14"/>
      <c r="J348" s="2">
        <f t="shared" si="14"/>
        <v>90.846047156726769</v>
      </c>
      <c r="K348">
        <f t="shared" si="14"/>
        <v>90.793421290439198</v>
      </c>
      <c r="L348">
        <f t="shared" si="14"/>
        <v>74.951305025321389</v>
      </c>
      <c r="M348" s="3" t="s">
        <v>125</v>
      </c>
      <c r="N348" s="12" t="s">
        <v>469</v>
      </c>
      <c r="O348" s="11">
        <v>71783.7</v>
      </c>
    </row>
    <row r="349" spans="1:15" ht="18" x14ac:dyDescent="0.45">
      <c r="A349" s="3" t="s">
        <v>23</v>
      </c>
      <c r="B349" s="3" t="s">
        <v>438</v>
      </c>
      <c r="C349" s="12" t="s">
        <v>342</v>
      </c>
      <c r="D349">
        <v>3275</v>
      </c>
      <c r="E349">
        <v>1251.3</v>
      </c>
      <c r="F349">
        <v>958500</v>
      </c>
      <c r="G349" s="5">
        <f t="shared" si="16"/>
        <v>969414.54193325387</v>
      </c>
      <c r="H349" s="6">
        <f t="shared" si="15"/>
        <v>-10914.541933253873</v>
      </c>
      <c r="I349" s="14"/>
      <c r="J349" s="2">
        <f t="shared" si="14"/>
        <v>90.846047156726769</v>
      </c>
      <c r="K349">
        <f t="shared" si="14"/>
        <v>90.46087113681547</v>
      </c>
      <c r="L349">
        <f t="shared" si="14"/>
        <v>74.678613167121156</v>
      </c>
      <c r="M349" s="3" t="s">
        <v>125</v>
      </c>
      <c r="N349" s="12" t="s">
        <v>470</v>
      </c>
      <c r="O349" s="11">
        <v>71771.7</v>
      </c>
    </row>
    <row r="350" spans="1:15" ht="18" x14ac:dyDescent="0.45">
      <c r="A350" s="3" t="s">
        <v>23</v>
      </c>
      <c r="B350" s="3" t="s">
        <v>440</v>
      </c>
      <c r="C350" s="12" t="s">
        <v>344</v>
      </c>
      <c r="D350">
        <v>3278</v>
      </c>
      <c r="E350">
        <v>1251.3</v>
      </c>
      <c r="F350">
        <v>959500</v>
      </c>
      <c r="G350" s="5">
        <f t="shared" si="16"/>
        <v>970297.97510143695</v>
      </c>
      <c r="H350" s="6">
        <f t="shared" si="15"/>
        <v>-10797.975101436954</v>
      </c>
      <c r="I350" s="14"/>
      <c r="J350" s="2">
        <f t="shared" ref="J350:L413" si="17">(D350/D$29-1)*100+100</f>
        <v>90.929264909847433</v>
      </c>
      <c r="K350">
        <f t="shared" si="17"/>
        <v>90.46087113681547</v>
      </c>
      <c r="L350">
        <f t="shared" si="17"/>
        <v>74.756525126606931</v>
      </c>
      <c r="M350" s="3" t="s">
        <v>125</v>
      </c>
      <c r="N350" s="12" t="s">
        <v>471</v>
      </c>
      <c r="O350" s="11">
        <v>71791.5</v>
      </c>
    </row>
    <row r="351" spans="1:15" ht="18" x14ac:dyDescent="0.45">
      <c r="A351" s="3" t="s">
        <v>23</v>
      </c>
      <c r="B351" s="3" t="s">
        <v>442</v>
      </c>
      <c r="C351" s="12" t="s">
        <v>346</v>
      </c>
      <c r="D351">
        <v>3280</v>
      </c>
      <c r="E351">
        <v>1245.0999999999999</v>
      </c>
      <c r="F351">
        <v>953000</v>
      </c>
      <c r="G351" s="5">
        <f t="shared" si="16"/>
        <v>966101.1086261773</v>
      </c>
      <c r="H351" s="6">
        <f t="shared" si="15"/>
        <v>-13101.108626177302</v>
      </c>
      <c r="I351" s="14"/>
      <c r="J351" s="2">
        <f t="shared" si="17"/>
        <v>90.98474341192788</v>
      </c>
      <c r="K351">
        <f t="shared" si="17"/>
        <v>90.012651364540034</v>
      </c>
      <c r="L351">
        <f t="shared" si="17"/>
        <v>74.25009738994936</v>
      </c>
      <c r="M351" s="3" t="s">
        <v>125</v>
      </c>
      <c r="N351" s="12" t="s">
        <v>472</v>
      </c>
      <c r="O351" s="11">
        <v>71893.100000000006</v>
      </c>
    </row>
    <row r="352" spans="1:15" ht="18" x14ac:dyDescent="0.45">
      <c r="A352" s="3" t="s">
        <v>23</v>
      </c>
      <c r="B352" s="3" t="s">
        <v>444</v>
      </c>
      <c r="C352" s="12" t="s">
        <v>347</v>
      </c>
      <c r="D352">
        <v>3280</v>
      </c>
      <c r="E352">
        <v>1244.7</v>
      </c>
      <c r="F352">
        <v>957000</v>
      </c>
      <c r="G352" s="5">
        <f t="shared" si="16"/>
        <v>965792.34592161502</v>
      </c>
      <c r="H352" s="6">
        <f t="shared" si="15"/>
        <v>-8792.3459216150222</v>
      </c>
      <c r="I352" s="14"/>
      <c r="J352" s="2">
        <f t="shared" si="17"/>
        <v>90.98474341192788</v>
      </c>
      <c r="K352">
        <f t="shared" si="17"/>
        <v>89.9837339598771</v>
      </c>
      <c r="L352">
        <f t="shared" si="17"/>
        <v>74.561745227892487</v>
      </c>
      <c r="M352" s="3" t="s">
        <v>125</v>
      </c>
      <c r="N352" s="12" t="s">
        <v>473</v>
      </c>
      <c r="O352" s="11">
        <v>71978.600000000006</v>
      </c>
    </row>
    <row r="353" spans="1:15" ht="18" x14ac:dyDescent="0.45">
      <c r="A353" s="3" t="s">
        <v>23</v>
      </c>
      <c r="B353" s="3" t="s">
        <v>438</v>
      </c>
      <c r="C353" s="12" t="s">
        <v>348</v>
      </c>
      <c r="D353">
        <v>3275</v>
      </c>
      <c r="E353">
        <v>1252.3</v>
      </c>
      <c r="F353">
        <v>956500</v>
      </c>
      <c r="G353" s="5">
        <f t="shared" si="16"/>
        <v>970185.27200752322</v>
      </c>
      <c r="H353" s="6">
        <f t="shared" si="15"/>
        <v>-13685.272007523221</v>
      </c>
      <c r="I353" s="14"/>
      <c r="J353" s="2">
        <f t="shared" si="17"/>
        <v>90.846047156726769</v>
      </c>
      <c r="K353">
        <f t="shared" si="17"/>
        <v>90.533164648472791</v>
      </c>
      <c r="L353">
        <f t="shared" si="17"/>
        <v>74.522789248149593</v>
      </c>
      <c r="M353" s="3" t="s">
        <v>125</v>
      </c>
      <c r="N353" s="12" t="s">
        <v>474</v>
      </c>
      <c r="O353" s="11">
        <v>72016.5</v>
      </c>
    </row>
    <row r="354" spans="1:15" ht="18" x14ac:dyDescent="0.45">
      <c r="A354" s="3" t="s">
        <v>23</v>
      </c>
      <c r="B354" s="3" t="s">
        <v>440</v>
      </c>
      <c r="C354" s="12" t="s">
        <v>349</v>
      </c>
      <c r="D354">
        <v>3245</v>
      </c>
      <c r="E354">
        <v>1252.3</v>
      </c>
      <c r="F354">
        <v>946000</v>
      </c>
      <c r="G354" s="5">
        <f t="shared" si="16"/>
        <v>961343.88020287419</v>
      </c>
      <c r="H354" s="6">
        <f t="shared" si="15"/>
        <v>-15343.880202874192</v>
      </c>
      <c r="I354" s="14"/>
      <c r="J354" s="2">
        <f t="shared" si="17"/>
        <v>90.013869625520115</v>
      </c>
      <c r="K354">
        <f t="shared" si="17"/>
        <v>90.533164648472791</v>
      </c>
      <c r="L354">
        <f t="shared" si="17"/>
        <v>73.704713673548895</v>
      </c>
      <c r="M354" s="3" t="s">
        <v>125</v>
      </c>
      <c r="N354" s="12" t="s">
        <v>475</v>
      </c>
      <c r="O354" s="11">
        <v>72281</v>
      </c>
    </row>
    <row r="355" spans="1:15" ht="18" x14ac:dyDescent="0.45">
      <c r="A355" s="3" t="s">
        <v>23</v>
      </c>
      <c r="B355" s="3" t="s">
        <v>442</v>
      </c>
      <c r="C355" s="12" t="s">
        <v>350</v>
      </c>
      <c r="D355">
        <v>3250</v>
      </c>
      <c r="E355">
        <v>1254.4000000000001</v>
      </c>
      <c r="F355">
        <v>951000</v>
      </c>
      <c r="G355" s="5">
        <f t="shared" si="16"/>
        <v>964423.62344468362</v>
      </c>
      <c r="H355" s="6">
        <f t="shared" si="15"/>
        <v>-13423.623444683617</v>
      </c>
      <c r="I355" s="14"/>
      <c r="J355" s="2">
        <f t="shared" si="17"/>
        <v>90.152565880721227</v>
      </c>
      <c r="K355">
        <f t="shared" si="17"/>
        <v>90.684981022953195</v>
      </c>
      <c r="L355">
        <f t="shared" si="17"/>
        <v>74.094273470977797</v>
      </c>
      <c r="M355" s="3" t="s">
        <v>125</v>
      </c>
      <c r="N355" s="12" t="s">
        <v>476</v>
      </c>
      <c r="O355" s="11">
        <v>73548.3</v>
      </c>
    </row>
    <row r="356" spans="1:15" ht="18" x14ac:dyDescent="0.45">
      <c r="A356" s="3" t="s">
        <v>23</v>
      </c>
      <c r="B356" s="3" t="s">
        <v>444</v>
      </c>
      <c r="C356" s="12" t="s">
        <v>351</v>
      </c>
      <c r="D356">
        <v>3230</v>
      </c>
      <c r="E356">
        <v>1252.3</v>
      </c>
      <c r="F356">
        <v>939000</v>
      </c>
      <c r="G356" s="5">
        <f t="shared" si="16"/>
        <v>956923.18430054979</v>
      </c>
      <c r="H356" s="6">
        <f t="shared" si="15"/>
        <v>-17923.184300549794</v>
      </c>
      <c r="I356" s="14"/>
      <c r="J356" s="2">
        <f t="shared" si="17"/>
        <v>89.597780859916782</v>
      </c>
      <c r="K356">
        <f t="shared" si="17"/>
        <v>90.533164648472791</v>
      </c>
      <c r="L356">
        <f t="shared" si="17"/>
        <v>73.159329957148429</v>
      </c>
      <c r="M356" s="3" t="s">
        <v>125</v>
      </c>
      <c r="N356" s="12" t="s">
        <v>477</v>
      </c>
      <c r="O356" s="11">
        <v>74109.100000000006</v>
      </c>
    </row>
    <row r="357" spans="1:15" ht="18" x14ac:dyDescent="0.45">
      <c r="A357" s="3" t="s">
        <v>23</v>
      </c>
      <c r="B357" s="3" t="s">
        <v>446</v>
      </c>
      <c r="C357" s="12" t="s">
        <v>353</v>
      </c>
      <c r="D357">
        <v>3250</v>
      </c>
      <c r="E357">
        <v>1261.5999999999999</v>
      </c>
      <c r="F357">
        <v>951000</v>
      </c>
      <c r="G357" s="5">
        <f t="shared" si="16"/>
        <v>969930.5192425166</v>
      </c>
      <c r="H357" s="6">
        <f t="shared" si="15"/>
        <v>-18930.519242516602</v>
      </c>
      <c r="I357" s="14"/>
      <c r="J357" s="2">
        <f t="shared" si="17"/>
        <v>90.152565880721227</v>
      </c>
      <c r="K357">
        <f t="shared" si="17"/>
        <v>91.205494306885953</v>
      </c>
      <c r="L357">
        <f t="shared" si="17"/>
        <v>74.094273470977797</v>
      </c>
      <c r="M357" s="3" t="s">
        <v>125</v>
      </c>
      <c r="N357" s="12" t="s">
        <v>478</v>
      </c>
      <c r="O357" s="11">
        <v>74132.800000000003</v>
      </c>
    </row>
    <row r="358" spans="1:15" ht="18" x14ac:dyDescent="0.45">
      <c r="A358" s="3" t="s">
        <v>23</v>
      </c>
      <c r="B358" s="3" t="s">
        <v>448</v>
      </c>
      <c r="C358" s="12" t="s">
        <v>479</v>
      </c>
      <c r="D358">
        <v>3250</v>
      </c>
      <c r="E358">
        <v>1273.0999999999999</v>
      </c>
      <c r="F358">
        <v>960000</v>
      </c>
      <c r="G358" s="5">
        <f t="shared" si="16"/>
        <v>978726.25558627758</v>
      </c>
      <c r="H358" s="6">
        <f t="shared" si="15"/>
        <v>-18726.255586277577</v>
      </c>
      <c r="I358" s="14"/>
      <c r="J358" s="2">
        <f t="shared" si="17"/>
        <v>90.152565880721227</v>
      </c>
      <c r="K358">
        <f t="shared" si="17"/>
        <v>92.036869690945238</v>
      </c>
      <c r="L358">
        <f t="shared" si="17"/>
        <v>74.795481106349825</v>
      </c>
      <c r="M358" s="3" t="s">
        <v>151</v>
      </c>
      <c r="N358" s="12" t="s">
        <v>480</v>
      </c>
      <c r="O358" s="11">
        <v>74152</v>
      </c>
    </row>
    <row r="359" spans="1:15" ht="18" x14ac:dyDescent="0.45">
      <c r="A359" s="3" t="s">
        <v>23</v>
      </c>
      <c r="B359" s="3" t="s">
        <v>438</v>
      </c>
      <c r="C359" s="12" t="s">
        <v>355</v>
      </c>
      <c r="D359">
        <v>3240</v>
      </c>
      <c r="E359">
        <v>1275.9000000000001</v>
      </c>
      <c r="F359">
        <v>965000</v>
      </c>
      <c r="G359" s="5">
        <f t="shared" si="16"/>
        <v>977865.15593994153</v>
      </c>
      <c r="H359" s="6">
        <f t="shared" si="15"/>
        <v>-12865.155939941527</v>
      </c>
      <c r="I359" s="14"/>
      <c r="J359" s="2">
        <f t="shared" si="17"/>
        <v>89.875173370319004</v>
      </c>
      <c r="K359">
        <f t="shared" si="17"/>
        <v>92.239291523585763</v>
      </c>
      <c r="L359">
        <f t="shared" si="17"/>
        <v>75.185040903778741</v>
      </c>
      <c r="M359" s="3" t="s">
        <v>151</v>
      </c>
      <c r="N359" s="12" t="s">
        <v>481</v>
      </c>
      <c r="O359" s="11">
        <v>73940.800000000003</v>
      </c>
    </row>
    <row r="360" spans="1:15" ht="18" x14ac:dyDescent="0.45">
      <c r="A360" s="3" t="s">
        <v>23</v>
      </c>
      <c r="B360" s="3" t="s">
        <v>440</v>
      </c>
      <c r="C360" s="12" t="s">
        <v>356</v>
      </c>
      <c r="D360">
        <v>3220</v>
      </c>
      <c r="E360">
        <v>1275.9000000000001</v>
      </c>
      <c r="F360">
        <v>959000</v>
      </c>
      <c r="G360" s="5">
        <f t="shared" si="16"/>
        <v>971859.81547117641</v>
      </c>
      <c r="H360" s="6">
        <f t="shared" si="15"/>
        <v>-12859.815471176407</v>
      </c>
      <c r="I360" s="14"/>
      <c r="J360" s="2">
        <f t="shared" si="17"/>
        <v>89.320388349514573</v>
      </c>
      <c r="K360">
        <f t="shared" si="17"/>
        <v>92.239291523585763</v>
      </c>
      <c r="L360">
        <f t="shared" si="17"/>
        <v>74.717569146864051</v>
      </c>
      <c r="M360" s="3" t="s">
        <v>151</v>
      </c>
      <c r="N360" s="12" t="s">
        <v>482</v>
      </c>
      <c r="O360" s="11">
        <v>73958.899999999994</v>
      </c>
    </row>
    <row r="361" spans="1:15" ht="18" x14ac:dyDescent="0.45">
      <c r="A361" s="3" t="s">
        <v>23</v>
      </c>
      <c r="B361" s="3" t="s">
        <v>442</v>
      </c>
      <c r="C361" s="12" t="s">
        <v>357</v>
      </c>
      <c r="D361">
        <v>3205</v>
      </c>
      <c r="E361">
        <v>1279.2</v>
      </c>
      <c r="F361">
        <v>955500</v>
      </c>
      <c r="G361" s="5">
        <f t="shared" si="16"/>
        <v>969844.85641899484</v>
      </c>
      <c r="H361" s="6">
        <f t="shared" si="15"/>
        <v>-14344.856418994837</v>
      </c>
      <c r="I361" s="14"/>
      <c r="J361" s="2">
        <f t="shared" si="17"/>
        <v>88.904299583911239</v>
      </c>
      <c r="K361">
        <f t="shared" si="17"/>
        <v>92.477860112054941</v>
      </c>
      <c r="L361">
        <f t="shared" si="17"/>
        <v>74.444877288663818</v>
      </c>
      <c r="M361" s="3" t="s">
        <v>151</v>
      </c>
      <c r="N361" s="12" t="s">
        <v>483</v>
      </c>
      <c r="O361" s="11">
        <v>73967.8</v>
      </c>
    </row>
    <row r="362" spans="1:15" ht="18" x14ac:dyDescent="0.45">
      <c r="A362" s="3" t="s">
        <v>23</v>
      </c>
      <c r="B362" s="3" t="s">
        <v>444</v>
      </c>
      <c r="C362" s="12" t="s">
        <v>358</v>
      </c>
      <c r="D362">
        <v>3200</v>
      </c>
      <c r="E362">
        <v>1264.4000000000001</v>
      </c>
      <c r="F362">
        <v>942000</v>
      </c>
      <c r="G362" s="5">
        <f t="shared" si="16"/>
        <v>957194.0576793236</v>
      </c>
      <c r="H362" s="6">
        <f t="shared" si="15"/>
        <v>-15194.057679323596</v>
      </c>
      <c r="I362" s="14"/>
      <c r="J362" s="2">
        <f t="shared" si="17"/>
        <v>88.765603328710128</v>
      </c>
      <c r="K362">
        <f t="shared" si="17"/>
        <v>91.407916139526478</v>
      </c>
      <c r="L362">
        <f t="shared" si="17"/>
        <v>73.393065835605768</v>
      </c>
      <c r="M362" s="3" t="s">
        <v>151</v>
      </c>
      <c r="N362" s="12" t="s">
        <v>484</v>
      </c>
      <c r="O362" s="11">
        <v>74151.100000000006</v>
      </c>
    </row>
    <row r="363" spans="1:15" ht="18" x14ac:dyDescent="0.45">
      <c r="A363" s="3" t="s">
        <v>23</v>
      </c>
      <c r="B363" s="3" t="s">
        <v>446</v>
      </c>
      <c r="C363" s="12" t="s">
        <v>359</v>
      </c>
      <c r="D363">
        <v>3210</v>
      </c>
      <c r="E363">
        <v>1270.0999999999999</v>
      </c>
      <c r="F363">
        <v>950000</v>
      </c>
      <c r="G363" s="5">
        <f t="shared" si="16"/>
        <v>964475.63301610749</v>
      </c>
      <c r="H363" s="6">
        <f t="shared" si="15"/>
        <v>-14475.633016107487</v>
      </c>
      <c r="I363" s="14"/>
      <c r="J363" s="2">
        <f t="shared" si="17"/>
        <v>89.042995839112351</v>
      </c>
      <c r="K363">
        <f t="shared" si="17"/>
        <v>91.819989155973246</v>
      </c>
      <c r="L363">
        <f t="shared" si="17"/>
        <v>74.016361511492008</v>
      </c>
      <c r="M363" s="3" t="s">
        <v>151</v>
      </c>
      <c r="N363" s="12" t="s">
        <v>485</v>
      </c>
      <c r="O363" s="11">
        <v>75028</v>
      </c>
    </row>
    <row r="364" spans="1:15" ht="18" x14ac:dyDescent="0.45">
      <c r="A364" s="3" t="s">
        <v>23</v>
      </c>
      <c r="B364" s="3" t="s">
        <v>448</v>
      </c>
      <c r="C364" s="12" t="s">
        <v>486</v>
      </c>
      <c r="D364">
        <v>3200</v>
      </c>
      <c r="E364">
        <v>1320.3</v>
      </c>
      <c r="F364">
        <v>953000</v>
      </c>
      <c r="G364" s="5">
        <f t="shared" si="16"/>
        <v>999291.21666720242</v>
      </c>
      <c r="H364" s="6">
        <f t="shared" si="15"/>
        <v>-46291.216667202418</v>
      </c>
      <c r="I364" s="14"/>
      <c r="J364" s="2">
        <f t="shared" si="17"/>
        <v>88.765603328710128</v>
      </c>
      <c r="K364">
        <f t="shared" si="17"/>
        <v>95.449123441171139</v>
      </c>
      <c r="L364">
        <f t="shared" si="17"/>
        <v>74.25009738994936</v>
      </c>
      <c r="M364" s="3" t="s">
        <v>151</v>
      </c>
      <c r="N364" s="12" t="s">
        <v>487</v>
      </c>
      <c r="O364" s="11">
        <v>75368.600000000006</v>
      </c>
    </row>
    <row r="365" spans="1:15" ht="18" x14ac:dyDescent="0.45">
      <c r="A365" s="3" t="s">
        <v>23</v>
      </c>
      <c r="B365" s="3" t="s">
        <v>438</v>
      </c>
      <c r="C365" s="12" t="s">
        <v>360</v>
      </c>
      <c r="D365">
        <v>3220</v>
      </c>
      <c r="E365">
        <v>1314.7</v>
      </c>
      <c r="F365">
        <v>977000</v>
      </c>
      <c r="G365" s="5">
        <f t="shared" si="16"/>
        <v>1001261.9322830592</v>
      </c>
      <c r="H365" s="6">
        <f t="shared" si="15"/>
        <v>-24261.932283059228</v>
      </c>
      <c r="I365" s="14">
        <f>F365/F342-1</f>
        <v>-1.6112789526686822E-2</v>
      </c>
      <c r="J365" s="2">
        <f t="shared" si="17"/>
        <v>89.320388349514573</v>
      </c>
      <c r="K365">
        <f t="shared" si="17"/>
        <v>95.044279775890118</v>
      </c>
      <c r="L365">
        <f t="shared" si="17"/>
        <v>76.119984417608094</v>
      </c>
      <c r="M365" s="3" t="s">
        <v>151</v>
      </c>
      <c r="N365" s="12" t="s">
        <v>488</v>
      </c>
      <c r="O365" s="11">
        <v>76166.600000000006</v>
      </c>
    </row>
    <row r="366" spans="1:15" ht="18" x14ac:dyDescent="0.45">
      <c r="A366" s="3" t="s">
        <v>47</v>
      </c>
      <c r="B366" s="3" t="s">
        <v>440</v>
      </c>
      <c r="C366" s="12" t="s">
        <v>362</v>
      </c>
      <c r="D366">
        <v>3190</v>
      </c>
      <c r="E366">
        <v>1314.7</v>
      </c>
      <c r="F366">
        <v>974000</v>
      </c>
      <c r="G366" s="5">
        <f t="shared" si="16"/>
        <v>991979.98881458351</v>
      </c>
      <c r="H366" s="6">
        <f t="shared" si="15"/>
        <v>-17979.988814583514</v>
      </c>
      <c r="I366" s="14"/>
      <c r="J366" s="2">
        <f t="shared" si="17"/>
        <v>88.488210818307905</v>
      </c>
      <c r="K366">
        <f t="shared" si="17"/>
        <v>95.044279775890118</v>
      </c>
      <c r="L366">
        <f t="shared" si="17"/>
        <v>75.886248539150756</v>
      </c>
      <c r="M366" s="3" t="s">
        <v>151</v>
      </c>
      <c r="N366" s="12" t="s">
        <v>489</v>
      </c>
      <c r="O366" s="11">
        <v>76420.5</v>
      </c>
    </row>
    <row r="367" spans="1:15" ht="18" x14ac:dyDescent="0.45">
      <c r="A367" s="3" t="s">
        <v>47</v>
      </c>
      <c r="B367" s="3" t="s">
        <v>442</v>
      </c>
      <c r="C367" s="12" t="s">
        <v>364</v>
      </c>
      <c r="D367">
        <v>3185</v>
      </c>
      <c r="E367">
        <v>1311.2</v>
      </c>
      <c r="F367">
        <v>970500</v>
      </c>
      <c r="G367" s="5">
        <f t="shared" si="16"/>
        <v>987809.57426614792</v>
      </c>
      <c r="H367" s="6">
        <f t="shared" si="15"/>
        <v>-17309.574266147916</v>
      </c>
      <c r="I367" s="14"/>
      <c r="J367" s="2">
        <f t="shared" si="17"/>
        <v>88.349514563106794</v>
      </c>
      <c r="K367">
        <f t="shared" si="17"/>
        <v>94.791252485089458</v>
      </c>
      <c r="L367">
        <f t="shared" si="17"/>
        <v>75.613556680950524</v>
      </c>
      <c r="M367" s="3" t="s">
        <v>151</v>
      </c>
      <c r="N367" s="12" t="s">
        <v>490</v>
      </c>
      <c r="O367" s="11">
        <v>76553.399999999994</v>
      </c>
    </row>
    <row r="368" spans="1:15" ht="18" x14ac:dyDescent="0.45">
      <c r="A368" s="3" t="s">
        <v>47</v>
      </c>
      <c r="B368" s="3" t="s">
        <v>444</v>
      </c>
      <c r="C368" s="12" t="s">
        <v>365</v>
      </c>
      <c r="D368">
        <v>3165</v>
      </c>
      <c r="E368">
        <v>1322</v>
      </c>
      <c r="F368">
        <v>970000</v>
      </c>
      <c r="G368" s="5">
        <f t="shared" si="16"/>
        <v>989682.38951226557</v>
      </c>
      <c r="H368" s="6">
        <f t="shared" si="15"/>
        <v>-19682.389512265567</v>
      </c>
      <c r="I368" s="14"/>
      <c r="J368" s="2">
        <f t="shared" si="17"/>
        <v>87.794729542302363</v>
      </c>
      <c r="K368">
        <f t="shared" si="17"/>
        <v>95.572022410988609</v>
      </c>
      <c r="L368">
        <f t="shared" si="17"/>
        <v>75.574600701207643</v>
      </c>
      <c r="M368" s="3" t="s">
        <v>151</v>
      </c>
      <c r="N368" s="12" t="s">
        <v>491</v>
      </c>
      <c r="O368" s="11">
        <v>76560.800000000003</v>
      </c>
    </row>
    <row r="369" spans="1:15" ht="18" x14ac:dyDescent="0.45">
      <c r="A369" s="3" t="s">
        <v>47</v>
      </c>
      <c r="B369" s="3" t="s">
        <v>446</v>
      </c>
      <c r="C369" s="12" t="s">
        <v>366</v>
      </c>
      <c r="D369">
        <v>3170</v>
      </c>
      <c r="E369">
        <v>1312.3</v>
      </c>
      <c r="F369">
        <v>967000</v>
      </c>
      <c r="G369" s="5">
        <f t="shared" si="16"/>
        <v>984001.57935568911</v>
      </c>
      <c r="H369" s="6">
        <f t="shared" si="15"/>
        <v>-17001.579355689115</v>
      </c>
      <c r="I369" s="14"/>
      <c r="J369" s="2">
        <f t="shared" si="17"/>
        <v>87.933425797503475</v>
      </c>
      <c r="K369">
        <f t="shared" si="17"/>
        <v>94.870775347912513</v>
      </c>
      <c r="L369">
        <f t="shared" si="17"/>
        <v>75.340864822750291</v>
      </c>
      <c r="M369" s="3" t="s">
        <v>151</v>
      </c>
      <c r="N369" s="12" t="s">
        <v>492</v>
      </c>
      <c r="O369" s="11">
        <v>76708</v>
      </c>
    </row>
    <row r="370" spans="1:15" ht="18" x14ac:dyDescent="0.45">
      <c r="A370" s="3" t="s">
        <v>47</v>
      </c>
      <c r="B370" s="3" t="s">
        <v>448</v>
      </c>
      <c r="C370" s="12" t="s">
        <v>493</v>
      </c>
      <c r="D370">
        <v>3170</v>
      </c>
      <c r="E370">
        <v>1316.9</v>
      </c>
      <c r="F370">
        <v>965500</v>
      </c>
      <c r="G370" s="5">
        <f t="shared" si="16"/>
        <v>987433.26971996285</v>
      </c>
      <c r="H370" s="6">
        <f t="shared" si="15"/>
        <v>-21933.269719962846</v>
      </c>
      <c r="I370" s="14"/>
      <c r="J370" s="2">
        <f t="shared" si="17"/>
        <v>87.933425797503475</v>
      </c>
      <c r="K370">
        <f t="shared" si="17"/>
        <v>95.203325501536241</v>
      </c>
      <c r="L370">
        <f t="shared" si="17"/>
        <v>75.223996883521608</v>
      </c>
      <c r="M370" s="3" t="s">
        <v>151</v>
      </c>
      <c r="N370" s="12" t="s">
        <v>494</v>
      </c>
      <c r="O370" s="11">
        <v>76589.399999999994</v>
      </c>
    </row>
    <row r="371" spans="1:15" ht="18" x14ac:dyDescent="0.45">
      <c r="A371" s="3" t="s">
        <v>47</v>
      </c>
      <c r="B371" s="3" t="s">
        <v>438</v>
      </c>
      <c r="C371" s="12" t="s">
        <v>367</v>
      </c>
      <c r="D371">
        <v>3165</v>
      </c>
      <c r="E371">
        <v>1315.1</v>
      </c>
      <c r="F371">
        <v>966000</v>
      </c>
      <c r="G371" s="5">
        <f t="shared" si="16"/>
        <v>984542.97310709546</v>
      </c>
      <c r="H371" s="6">
        <f t="shared" si="15"/>
        <v>-18542.973107095459</v>
      </c>
      <c r="I371" s="14"/>
      <c r="J371" s="2">
        <f t="shared" si="17"/>
        <v>87.794729542302363</v>
      </c>
      <c r="K371">
        <f t="shared" si="17"/>
        <v>95.073197180553038</v>
      </c>
      <c r="L371">
        <f t="shared" si="17"/>
        <v>75.262952863264502</v>
      </c>
      <c r="M371" s="3" t="s">
        <v>151</v>
      </c>
      <c r="N371" s="12" t="s">
        <v>495</v>
      </c>
      <c r="O371" s="11">
        <v>75946.5</v>
      </c>
    </row>
    <row r="372" spans="1:15" ht="18" x14ac:dyDescent="0.45">
      <c r="A372" s="3" t="s">
        <v>47</v>
      </c>
      <c r="B372" s="3" t="s">
        <v>440</v>
      </c>
      <c r="C372" s="12" t="s">
        <v>368</v>
      </c>
      <c r="D372">
        <v>3130</v>
      </c>
      <c r="E372">
        <v>1315.1</v>
      </c>
      <c r="F372">
        <v>952000</v>
      </c>
      <c r="G372" s="5">
        <f t="shared" si="16"/>
        <v>973710.74433655909</v>
      </c>
      <c r="H372" s="6">
        <f t="shared" si="15"/>
        <v>-21710.744336559088</v>
      </c>
      <c r="I372" s="14"/>
      <c r="J372" s="2">
        <f t="shared" si="17"/>
        <v>86.823855755894584</v>
      </c>
      <c r="K372">
        <f t="shared" si="17"/>
        <v>95.073197180553038</v>
      </c>
      <c r="L372">
        <f t="shared" si="17"/>
        <v>74.172185430463571</v>
      </c>
      <c r="M372" s="3" t="s">
        <v>151</v>
      </c>
      <c r="N372" s="12" t="s">
        <v>496</v>
      </c>
      <c r="O372" s="11">
        <v>75930.8</v>
      </c>
    </row>
    <row r="373" spans="1:15" ht="18" x14ac:dyDescent="0.45">
      <c r="A373" s="3" t="s">
        <v>47</v>
      </c>
      <c r="B373" s="3" t="s">
        <v>442</v>
      </c>
      <c r="C373" s="12" t="s">
        <v>369</v>
      </c>
      <c r="D373">
        <v>3100</v>
      </c>
      <c r="E373">
        <v>1312.4</v>
      </c>
      <c r="F373">
        <v>944000</v>
      </c>
      <c r="G373" s="5">
        <f t="shared" si="16"/>
        <v>962456.20255280822</v>
      </c>
      <c r="H373" s="6">
        <f t="shared" si="15"/>
        <v>-18456.202552808216</v>
      </c>
      <c r="I373" s="14"/>
      <c r="J373" s="2">
        <f t="shared" si="17"/>
        <v>85.991678224687931</v>
      </c>
      <c r="K373">
        <f t="shared" si="17"/>
        <v>94.878004699078261</v>
      </c>
      <c r="L373">
        <f t="shared" si="17"/>
        <v>73.548889754577331</v>
      </c>
      <c r="M373" s="3" t="s">
        <v>151</v>
      </c>
      <c r="N373" s="12" t="s">
        <v>497</v>
      </c>
      <c r="O373" s="11">
        <v>75965.899999999994</v>
      </c>
    </row>
    <row r="374" spans="1:15" ht="18" x14ac:dyDescent="0.45">
      <c r="A374" s="3" t="s">
        <v>47</v>
      </c>
      <c r="B374" s="3" t="s">
        <v>444</v>
      </c>
      <c r="C374" s="12" t="s">
        <v>371</v>
      </c>
      <c r="D374">
        <v>3105</v>
      </c>
      <c r="E374">
        <v>1325</v>
      </c>
      <c r="F374">
        <v>956000</v>
      </c>
      <c r="G374" s="5">
        <f t="shared" si="16"/>
        <v>973207.5929170819</v>
      </c>
      <c r="H374" s="6">
        <f t="shared" si="15"/>
        <v>-17207.5929170819</v>
      </c>
      <c r="I374" s="14"/>
      <c r="J374" s="2">
        <f t="shared" si="17"/>
        <v>86.130374479889042</v>
      </c>
      <c r="K374">
        <f t="shared" si="17"/>
        <v>95.788902945960601</v>
      </c>
      <c r="L374">
        <f t="shared" si="17"/>
        <v>74.483833268406698</v>
      </c>
      <c r="M374" s="3" t="s">
        <v>151</v>
      </c>
      <c r="N374" s="12" t="s">
        <v>498</v>
      </c>
      <c r="O374" s="11">
        <v>75409.399999999994</v>
      </c>
    </row>
    <row r="375" spans="1:15" ht="18" x14ac:dyDescent="0.45">
      <c r="A375" s="3" t="s">
        <v>47</v>
      </c>
      <c r="B375" s="3" t="s">
        <v>446</v>
      </c>
      <c r="C375" s="12" t="s">
        <v>373</v>
      </c>
      <c r="D375">
        <v>3145</v>
      </c>
      <c r="E375">
        <v>1326.3</v>
      </c>
      <c r="F375">
        <v>963000</v>
      </c>
      <c r="G375" s="5">
        <f t="shared" si="16"/>
        <v>986642.65363308985</v>
      </c>
      <c r="H375" s="6">
        <f t="shared" si="15"/>
        <v>-23642.653633089853</v>
      </c>
      <c r="I375" s="14"/>
      <c r="J375" s="2">
        <f t="shared" si="17"/>
        <v>87.239944521497918</v>
      </c>
      <c r="K375">
        <f t="shared" si="17"/>
        <v>95.882884511115122</v>
      </c>
      <c r="L375">
        <f t="shared" si="17"/>
        <v>75.029216984807164</v>
      </c>
      <c r="M375" s="3" t="s">
        <v>151</v>
      </c>
      <c r="N375" s="12" t="s">
        <v>499</v>
      </c>
      <c r="O375" s="11">
        <v>75248.399999999994</v>
      </c>
    </row>
    <row r="376" spans="1:15" ht="18" x14ac:dyDescent="0.45">
      <c r="A376" s="3" t="s">
        <v>47</v>
      </c>
      <c r="B376" s="3" t="s">
        <v>448</v>
      </c>
      <c r="C376" s="12" t="s">
        <v>500</v>
      </c>
      <c r="D376">
        <v>3145</v>
      </c>
      <c r="E376">
        <v>1319.6</v>
      </c>
      <c r="F376">
        <v>959000</v>
      </c>
      <c r="G376" s="5">
        <f t="shared" si="16"/>
        <v>981683.74103462661</v>
      </c>
      <c r="H376" s="6">
        <f t="shared" si="15"/>
        <v>-22683.741034626612</v>
      </c>
      <c r="I376" s="14"/>
      <c r="J376" s="2">
        <f t="shared" si="17"/>
        <v>87.239944521497918</v>
      </c>
      <c r="K376">
        <f t="shared" si="17"/>
        <v>95.398517983011018</v>
      </c>
      <c r="L376">
        <f t="shared" si="17"/>
        <v>74.717569146864051</v>
      </c>
      <c r="M376" s="3" t="s">
        <v>175</v>
      </c>
      <c r="N376" s="12" t="s">
        <v>501</v>
      </c>
      <c r="O376" s="11">
        <v>75042.7</v>
      </c>
    </row>
    <row r="377" spans="1:15" ht="18" x14ac:dyDescent="0.45">
      <c r="A377" s="3" t="s">
        <v>47</v>
      </c>
      <c r="B377" s="3" t="s">
        <v>438</v>
      </c>
      <c r="C377" s="12" t="s">
        <v>374</v>
      </c>
      <c r="D377">
        <v>3115</v>
      </c>
      <c r="E377">
        <v>1320.5</v>
      </c>
      <c r="F377">
        <v>957000</v>
      </c>
      <c r="G377" s="5">
        <f t="shared" si="16"/>
        <v>973026.97144166147</v>
      </c>
      <c r="H377" s="6">
        <f t="shared" si="15"/>
        <v>-16026.971441661473</v>
      </c>
      <c r="I377" s="14"/>
      <c r="J377" s="2">
        <f t="shared" si="17"/>
        <v>86.407766990291265</v>
      </c>
      <c r="K377">
        <f t="shared" si="17"/>
        <v>95.46358214350262</v>
      </c>
      <c r="L377">
        <f t="shared" si="17"/>
        <v>74.561745227892487</v>
      </c>
      <c r="M377" s="3" t="s">
        <v>175</v>
      </c>
      <c r="N377" s="12" t="s">
        <v>502</v>
      </c>
      <c r="O377" s="11">
        <v>75389.600000000006</v>
      </c>
    </row>
    <row r="378" spans="1:15" ht="18" x14ac:dyDescent="0.45">
      <c r="A378" s="3" t="s">
        <v>47</v>
      </c>
      <c r="B378" s="3" t="s">
        <v>440</v>
      </c>
      <c r="C378" s="12" t="s">
        <v>375</v>
      </c>
      <c r="D378">
        <v>3095</v>
      </c>
      <c r="E378">
        <v>1320.5</v>
      </c>
      <c r="F378">
        <v>953000</v>
      </c>
      <c r="G378" s="5">
        <f t="shared" si="16"/>
        <v>966811.70998778241</v>
      </c>
      <c r="H378" s="6">
        <f t="shared" si="15"/>
        <v>-13811.709987782408</v>
      </c>
      <c r="I378" s="14"/>
      <c r="J378" s="2">
        <f t="shared" si="17"/>
        <v>85.852981969486819</v>
      </c>
      <c r="K378">
        <f t="shared" si="17"/>
        <v>95.46358214350262</v>
      </c>
      <c r="L378">
        <f t="shared" si="17"/>
        <v>74.25009738994936</v>
      </c>
      <c r="M378" s="3" t="s">
        <v>175</v>
      </c>
      <c r="N378" s="12" t="s">
        <v>503</v>
      </c>
      <c r="O378" s="11">
        <v>75949</v>
      </c>
    </row>
    <row r="379" spans="1:15" ht="18" x14ac:dyDescent="0.45">
      <c r="A379" s="3" t="s">
        <v>47</v>
      </c>
      <c r="B379" s="3" t="s">
        <v>442</v>
      </c>
      <c r="C379" s="12" t="s">
        <v>376</v>
      </c>
      <c r="D379">
        <v>3105</v>
      </c>
      <c r="E379">
        <v>1313</v>
      </c>
      <c r="F379">
        <v>948000</v>
      </c>
      <c r="G379" s="5">
        <f t="shared" si="16"/>
        <v>964438.92037745542</v>
      </c>
      <c r="H379" s="6">
        <f t="shared" si="15"/>
        <v>-16438.920377455419</v>
      </c>
      <c r="I379" s="14"/>
      <c r="J379" s="2">
        <f t="shared" si="17"/>
        <v>86.130374479889042</v>
      </c>
      <c r="K379">
        <f t="shared" si="17"/>
        <v>94.921380806072648</v>
      </c>
      <c r="L379">
        <f t="shared" si="17"/>
        <v>73.860537592520444</v>
      </c>
      <c r="M379" s="3" t="s">
        <v>175</v>
      </c>
      <c r="N379" s="12" t="s">
        <v>504</v>
      </c>
      <c r="O379" s="11">
        <v>74740.899999999994</v>
      </c>
    </row>
    <row r="380" spans="1:15" ht="18" x14ac:dyDescent="0.45">
      <c r="A380" s="3" t="s">
        <v>47</v>
      </c>
      <c r="B380" s="3" t="s">
        <v>444</v>
      </c>
      <c r="C380" s="12" t="s">
        <v>377</v>
      </c>
      <c r="D380">
        <v>3140</v>
      </c>
      <c r="E380">
        <v>1318</v>
      </c>
      <c r="F380">
        <v>958000</v>
      </c>
      <c r="G380" s="5">
        <f t="shared" si="16"/>
        <v>978948.64945503639</v>
      </c>
      <c r="H380" s="6">
        <f t="shared" si="15"/>
        <v>-20948.649455036386</v>
      </c>
      <c r="I380" s="14"/>
      <c r="J380" s="2">
        <f t="shared" si="17"/>
        <v>87.101248266296807</v>
      </c>
      <c r="K380">
        <f t="shared" si="17"/>
        <v>95.282848364359296</v>
      </c>
      <c r="L380">
        <f t="shared" si="17"/>
        <v>74.639657187378262</v>
      </c>
      <c r="M380" s="3" t="s">
        <v>175</v>
      </c>
      <c r="N380" s="12" t="s">
        <v>505</v>
      </c>
      <c r="O380" s="11">
        <v>74076.100000000006</v>
      </c>
    </row>
    <row r="381" spans="1:15" ht="18" x14ac:dyDescent="0.45">
      <c r="A381" s="3" t="s">
        <v>47</v>
      </c>
      <c r="B381" s="3" t="s">
        <v>446</v>
      </c>
      <c r="C381" s="12" t="s">
        <v>378</v>
      </c>
      <c r="D381">
        <v>3120</v>
      </c>
      <c r="E381">
        <v>1322</v>
      </c>
      <c r="F381">
        <v>956000</v>
      </c>
      <c r="G381" s="5">
        <f t="shared" si="16"/>
        <v>975682.16596469772</v>
      </c>
      <c r="H381" s="6">
        <f t="shared" si="15"/>
        <v>-19682.16596469772</v>
      </c>
      <c r="I381" s="14"/>
      <c r="J381" s="2">
        <f t="shared" si="17"/>
        <v>86.546463245492362</v>
      </c>
      <c r="K381">
        <f t="shared" si="17"/>
        <v>95.572022410988609</v>
      </c>
      <c r="L381">
        <f t="shared" si="17"/>
        <v>74.483833268406698</v>
      </c>
      <c r="M381" s="3" t="s">
        <v>175</v>
      </c>
      <c r="N381" s="12" t="s">
        <v>506</v>
      </c>
      <c r="O381" s="11">
        <v>73245.100000000006</v>
      </c>
    </row>
    <row r="382" spans="1:15" ht="18" x14ac:dyDescent="0.45">
      <c r="A382" s="3" t="s">
        <v>47</v>
      </c>
      <c r="B382" s="3" t="s">
        <v>448</v>
      </c>
      <c r="C382" s="12" t="s">
        <v>507</v>
      </c>
      <c r="D382">
        <v>3115</v>
      </c>
      <c r="E382">
        <v>1335</v>
      </c>
      <c r="F382">
        <v>964500</v>
      </c>
      <c r="G382" s="5">
        <f t="shared" si="16"/>
        <v>983656.57468732912</v>
      </c>
      <c r="H382" s="6">
        <f t="shared" si="15"/>
        <v>-19156.574687329121</v>
      </c>
      <c r="I382" s="14"/>
      <c r="J382" s="2">
        <f t="shared" si="17"/>
        <v>86.407766990291265</v>
      </c>
      <c r="K382">
        <f t="shared" si="17"/>
        <v>96.511838062533883</v>
      </c>
      <c r="L382">
        <f t="shared" si="17"/>
        <v>75.146084924035847</v>
      </c>
      <c r="M382" s="3" t="s">
        <v>175</v>
      </c>
      <c r="N382" s="12" t="s">
        <v>508</v>
      </c>
      <c r="O382" s="11">
        <v>72189.5</v>
      </c>
    </row>
    <row r="383" spans="1:15" ht="18" x14ac:dyDescent="0.45">
      <c r="A383" s="3" t="s">
        <v>47</v>
      </c>
      <c r="B383" s="3" t="s">
        <v>438</v>
      </c>
      <c r="C383" s="12" t="s">
        <v>380</v>
      </c>
      <c r="D383">
        <v>3110</v>
      </c>
      <c r="E383">
        <v>1339</v>
      </c>
      <c r="F383">
        <v>963500</v>
      </c>
      <c r="G383" s="5">
        <f t="shared" si="16"/>
        <v>985013.29495547048</v>
      </c>
      <c r="H383" s="6">
        <f t="shared" si="15"/>
        <v>-21513.294955470483</v>
      </c>
      <c r="I383" s="14"/>
      <c r="J383" s="2">
        <f t="shared" si="17"/>
        <v>86.269070735090153</v>
      </c>
      <c r="K383">
        <f t="shared" si="17"/>
        <v>96.801012109163196</v>
      </c>
      <c r="L383">
        <f t="shared" si="17"/>
        <v>75.068172964550058</v>
      </c>
      <c r="M383" s="3" t="s">
        <v>175</v>
      </c>
      <c r="N383" s="12" t="s">
        <v>509</v>
      </c>
      <c r="O383" s="11">
        <v>72120.7</v>
      </c>
    </row>
    <row r="384" spans="1:15" ht="18" x14ac:dyDescent="0.45">
      <c r="A384" s="3" t="s">
        <v>47</v>
      </c>
      <c r="B384" s="3" t="s">
        <v>440</v>
      </c>
      <c r="C384" s="12" t="s">
        <v>382</v>
      </c>
      <c r="D384">
        <v>3130</v>
      </c>
      <c r="E384">
        <v>1339</v>
      </c>
      <c r="F384">
        <v>965500</v>
      </c>
      <c r="G384" s="5">
        <f t="shared" si="16"/>
        <v>991315.63125743484</v>
      </c>
      <c r="H384" s="6">
        <f t="shared" si="15"/>
        <v>-25815.631257434841</v>
      </c>
      <c r="I384" s="14"/>
      <c r="J384" s="2">
        <f t="shared" si="17"/>
        <v>86.823855755894584</v>
      </c>
      <c r="K384">
        <f t="shared" si="17"/>
        <v>96.801012109163196</v>
      </c>
      <c r="L384">
        <f t="shared" si="17"/>
        <v>75.223996883521608</v>
      </c>
      <c r="M384" s="3" t="s">
        <v>175</v>
      </c>
      <c r="N384" s="12" t="s">
        <v>510</v>
      </c>
      <c r="O384" s="11">
        <v>72258.5</v>
      </c>
    </row>
    <row r="385" spans="1:15" ht="18" x14ac:dyDescent="0.45">
      <c r="A385" s="3" t="s">
        <v>47</v>
      </c>
      <c r="B385" s="3" t="s">
        <v>442</v>
      </c>
      <c r="C385" s="12" t="s">
        <v>384</v>
      </c>
      <c r="D385">
        <v>3130</v>
      </c>
      <c r="E385">
        <v>1306.8</v>
      </c>
      <c r="F385">
        <v>964000</v>
      </c>
      <c r="G385" s="5">
        <f t="shared" si="16"/>
        <v>967596.91331382818</v>
      </c>
      <c r="H385" s="6">
        <f t="shared" si="15"/>
        <v>-3596.9133138281759</v>
      </c>
      <c r="I385" s="14"/>
      <c r="J385" s="2">
        <f t="shared" si="17"/>
        <v>86.823855755894584</v>
      </c>
      <c r="K385">
        <f t="shared" si="17"/>
        <v>94.473161033797211</v>
      </c>
      <c r="L385">
        <f t="shared" si="17"/>
        <v>75.107128944292953</v>
      </c>
      <c r="M385" s="3" t="s">
        <v>175</v>
      </c>
      <c r="N385" s="12" t="s">
        <v>511</v>
      </c>
      <c r="O385" s="11">
        <v>71860.2</v>
      </c>
    </row>
    <row r="386" spans="1:15" ht="18" x14ac:dyDescent="0.45">
      <c r="A386" s="3" t="s">
        <v>47</v>
      </c>
      <c r="B386" s="3" t="s">
        <v>444</v>
      </c>
      <c r="C386" s="12" t="s">
        <v>386</v>
      </c>
      <c r="D386">
        <v>3125</v>
      </c>
      <c r="E386">
        <v>1310</v>
      </c>
      <c r="F386">
        <v>951000</v>
      </c>
      <c r="G386" s="5">
        <f t="shared" si="16"/>
        <v>968412.59283670387</v>
      </c>
      <c r="H386" s="6">
        <f t="shared" ref="H386:H449" si="18">F:F-G:G</f>
        <v>-17412.592836703872</v>
      </c>
      <c r="I386" s="14"/>
      <c r="J386" s="2">
        <f t="shared" si="17"/>
        <v>86.685159500693473</v>
      </c>
      <c r="K386">
        <f t="shared" si="17"/>
        <v>94.70450027110067</v>
      </c>
      <c r="L386">
        <f t="shared" si="17"/>
        <v>74.094273470977797</v>
      </c>
      <c r="M386" s="3" t="s">
        <v>175</v>
      </c>
      <c r="N386" s="12" t="s">
        <v>512</v>
      </c>
      <c r="O386" s="11">
        <v>71712</v>
      </c>
    </row>
    <row r="387" spans="1:15" ht="18" x14ac:dyDescent="0.45">
      <c r="A387" s="3" t="s">
        <v>47</v>
      </c>
      <c r="B387" s="3" t="s">
        <v>446</v>
      </c>
      <c r="C387" s="12" t="s">
        <v>388</v>
      </c>
      <c r="D387">
        <v>3135</v>
      </c>
      <c r="E387">
        <v>1297</v>
      </c>
      <c r="F387">
        <v>951000</v>
      </c>
      <c r="G387" s="5">
        <f t="shared" ref="G387:G544" si="19">E387/31.103*8.133*D387*0.9+5000</f>
        <v>961904.3362858888</v>
      </c>
      <c r="H387" s="6">
        <f t="shared" si="18"/>
        <v>-10904.336285888799</v>
      </c>
      <c r="I387" s="14"/>
      <c r="J387" s="2">
        <f t="shared" si="17"/>
        <v>86.962552011095696</v>
      </c>
      <c r="K387">
        <f t="shared" si="17"/>
        <v>93.764684619555396</v>
      </c>
      <c r="L387">
        <f t="shared" si="17"/>
        <v>74.094273470977797</v>
      </c>
      <c r="M387" s="3" t="s">
        <v>175</v>
      </c>
      <c r="N387" s="12" t="s">
        <v>513</v>
      </c>
      <c r="O387" s="11">
        <v>71170</v>
      </c>
    </row>
    <row r="388" spans="1:15" ht="18" x14ac:dyDescent="0.45">
      <c r="A388" s="3" t="s">
        <v>47</v>
      </c>
      <c r="B388" s="3" t="s">
        <v>448</v>
      </c>
      <c r="C388" s="12" t="s">
        <v>514</v>
      </c>
      <c r="D388">
        <v>3140</v>
      </c>
      <c r="E388">
        <v>1318</v>
      </c>
      <c r="F388">
        <v>954000</v>
      </c>
      <c r="G388" s="5">
        <f t="shared" si="19"/>
        <v>978948.64945503639</v>
      </c>
      <c r="H388" s="6">
        <f t="shared" si="18"/>
        <v>-24948.649455036386</v>
      </c>
      <c r="I388" s="14"/>
      <c r="J388" s="2">
        <f t="shared" si="17"/>
        <v>87.101248266296807</v>
      </c>
      <c r="K388">
        <f t="shared" si="17"/>
        <v>95.282848364359296</v>
      </c>
      <c r="L388">
        <f t="shared" si="17"/>
        <v>74.328009349435149</v>
      </c>
      <c r="M388" s="3" t="s">
        <v>175</v>
      </c>
      <c r="N388" s="12" t="s">
        <v>515</v>
      </c>
      <c r="O388" s="11">
        <v>71376.600000000006</v>
      </c>
    </row>
    <row r="389" spans="1:15" ht="18" x14ac:dyDescent="0.45">
      <c r="A389" s="3" t="s">
        <v>47</v>
      </c>
      <c r="B389" s="3" t="s">
        <v>440</v>
      </c>
      <c r="C389" s="12" t="s">
        <v>390</v>
      </c>
      <c r="D389">
        <v>3135</v>
      </c>
      <c r="E389">
        <v>1310.9</v>
      </c>
      <c r="F389">
        <v>952000</v>
      </c>
      <c r="G389" s="5">
        <f t="shared" si="19"/>
        <v>972159.51768478926</v>
      </c>
      <c r="H389" s="6">
        <f t="shared" si="18"/>
        <v>-20159.517684789258</v>
      </c>
      <c r="I389" s="14"/>
      <c r="J389" s="2">
        <f t="shared" si="17"/>
        <v>86.962552011095696</v>
      </c>
      <c r="K389">
        <f t="shared" si="17"/>
        <v>94.769564431592272</v>
      </c>
      <c r="L389">
        <f t="shared" si="17"/>
        <v>74.172185430463571</v>
      </c>
      <c r="M389" s="3" t="s">
        <v>175</v>
      </c>
      <c r="N389" s="12" t="s">
        <v>516</v>
      </c>
      <c r="O389" s="11">
        <v>71381.7</v>
      </c>
    </row>
    <row r="390" spans="1:15" ht="18" x14ac:dyDescent="0.45">
      <c r="A390" s="3" t="s">
        <v>47</v>
      </c>
      <c r="B390" s="3" t="s">
        <v>442</v>
      </c>
      <c r="C390" s="12" t="s">
        <v>392</v>
      </c>
      <c r="D390">
        <v>3135</v>
      </c>
      <c r="E390">
        <v>1314</v>
      </c>
      <c r="F390">
        <v>955000</v>
      </c>
      <c r="G390" s="5">
        <f t="shared" si="19"/>
        <v>974446.64447159413</v>
      </c>
      <c r="H390" s="6">
        <f t="shared" si="18"/>
        <v>-19446.644471594132</v>
      </c>
      <c r="I390" s="14"/>
      <c r="J390" s="2">
        <f t="shared" si="17"/>
        <v>86.962552011095696</v>
      </c>
      <c r="K390">
        <f t="shared" si="17"/>
        <v>94.993674317729983</v>
      </c>
      <c r="L390">
        <f t="shared" si="17"/>
        <v>74.405921308920924</v>
      </c>
      <c r="M390" s="3" t="s">
        <v>175</v>
      </c>
      <c r="N390" s="12" t="s">
        <v>517</v>
      </c>
      <c r="O390" s="11">
        <v>71043</v>
      </c>
    </row>
    <row r="391" spans="1:15" ht="18" x14ac:dyDescent="0.45">
      <c r="A391" s="3" t="s">
        <v>47</v>
      </c>
      <c r="B391" s="3" t="s">
        <v>444</v>
      </c>
      <c r="C391" s="12" t="s">
        <v>394</v>
      </c>
      <c r="D391">
        <v>3135</v>
      </c>
      <c r="E391">
        <v>1305.2</v>
      </c>
      <c r="F391">
        <v>951000</v>
      </c>
      <c r="G391" s="5">
        <f t="shared" si="19"/>
        <v>967954.15552840556</v>
      </c>
      <c r="H391" s="6">
        <f t="shared" si="18"/>
        <v>-16954.155528405565</v>
      </c>
      <c r="I391" s="14">
        <f>F391/F365-1</f>
        <v>-2.6612077789150423E-2</v>
      </c>
      <c r="J391" s="2">
        <f t="shared" si="17"/>
        <v>86.962552011095696</v>
      </c>
      <c r="K391">
        <f t="shared" si="17"/>
        <v>94.357491415145489</v>
      </c>
      <c r="L391">
        <f t="shared" si="17"/>
        <v>74.094273470977797</v>
      </c>
      <c r="M391" s="3" t="s">
        <v>175</v>
      </c>
      <c r="N391" s="12" t="s">
        <v>518</v>
      </c>
      <c r="O391" s="11">
        <v>70291.600000000006</v>
      </c>
    </row>
    <row r="392" spans="1:15" ht="18" x14ac:dyDescent="0.45">
      <c r="A392" s="3" t="s">
        <v>73</v>
      </c>
      <c r="B392" s="3" t="s">
        <v>446</v>
      </c>
      <c r="C392" s="12" t="s">
        <v>396</v>
      </c>
      <c r="D392">
        <v>3135</v>
      </c>
      <c r="E392">
        <v>1307</v>
      </c>
      <c r="F392">
        <v>952000</v>
      </c>
      <c r="G392" s="5">
        <f t="shared" si="19"/>
        <v>969282.1646304212</v>
      </c>
      <c r="H392" s="6">
        <f t="shared" si="18"/>
        <v>-17282.164630421204</v>
      </c>
      <c r="I392" s="14"/>
      <c r="J392" s="2">
        <f t="shared" si="17"/>
        <v>86.962552011095696</v>
      </c>
      <c r="K392">
        <f t="shared" si="17"/>
        <v>94.487619736128678</v>
      </c>
      <c r="L392">
        <f t="shared" si="17"/>
        <v>74.172185430463571</v>
      </c>
      <c r="M392" s="3" t="s">
        <v>175</v>
      </c>
      <c r="N392" s="12" t="s">
        <v>519</v>
      </c>
      <c r="O392" s="11">
        <v>69542.600000000006</v>
      </c>
    </row>
    <row r="393" spans="1:15" ht="18" x14ac:dyDescent="0.45">
      <c r="A393" s="3" t="s">
        <v>73</v>
      </c>
      <c r="B393" s="3" t="s">
        <v>448</v>
      </c>
      <c r="C393" s="12" t="s">
        <v>520</v>
      </c>
      <c r="D393">
        <v>3140</v>
      </c>
      <c r="E393">
        <v>1293.9000000000001</v>
      </c>
      <c r="F393">
        <v>951000</v>
      </c>
      <c r="G393" s="5">
        <f t="shared" si="19"/>
        <v>961139.72498472803</v>
      </c>
      <c r="H393" s="6">
        <f t="shared" si="18"/>
        <v>-10139.724984728033</v>
      </c>
      <c r="I393" s="14"/>
      <c r="J393" s="2">
        <f t="shared" si="17"/>
        <v>87.101248266296807</v>
      </c>
      <c r="K393">
        <f t="shared" si="17"/>
        <v>93.540574733417685</v>
      </c>
      <c r="L393">
        <f t="shared" si="17"/>
        <v>74.094273470977797</v>
      </c>
      <c r="M393" s="3" t="s">
        <v>175</v>
      </c>
      <c r="N393" s="12" t="s">
        <v>521</v>
      </c>
      <c r="O393">
        <v>69608.600000000006</v>
      </c>
    </row>
    <row r="394" spans="1:15" ht="18" x14ac:dyDescent="0.45">
      <c r="A394" s="3" t="s">
        <v>73</v>
      </c>
      <c r="B394" s="3" t="s">
        <v>438</v>
      </c>
      <c r="C394" s="12" t="s">
        <v>398</v>
      </c>
      <c r="D394">
        <v>3145</v>
      </c>
      <c r="E394">
        <v>1308.3</v>
      </c>
      <c r="F394">
        <v>954000</v>
      </c>
      <c r="G394" s="5">
        <f t="shared" si="19"/>
        <v>973320.20187602472</v>
      </c>
      <c r="H394" s="6">
        <f t="shared" si="18"/>
        <v>-19320.201876024716</v>
      </c>
      <c r="I394" s="14"/>
      <c r="J394" s="2">
        <f t="shared" si="17"/>
        <v>87.239944521497918</v>
      </c>
      <c r="K394">
        <f t="shared" si="17"/>
        <v>94.5816013012832</v>
      </c>
      <c r="L394">
        <f t="shared" si="17"/>
        <v>74.328009349435149</v>
      </c>
      <c r="M394" s="3" t="s">
        <v>175</v>
      </c>
      <c r="N394" s="12" t="s">
        <v>522</v>
      </c>
      <c r="O394" s="11">
        <v>69494.8</v>
      </c>
    </row>
    <row r="395" spans="1:15" ht="18" x14ac:dyDescent="0.45">
      <c r="A395" s="3" t="s">
        <v>73</v>
      </c>
      <c r="B395" s="3" t="s">
        <v>440</v>
      </c>
      <c r="C395" s="12" t="s">
        <v>400</v>
      </c>
      <c r="D395">
        <v>3145</v>
      </c>
      <c r="E395">
        <v>1308.3</v>
      </c>
      <c r="F395">
        <v>954000</v>
      </c>
      <c r="G395" s="5">
        <f t="shared" si="19"/>
        <v>973320.20187602472</v>
      </c>
      <c r="H395" s="6">
        <f t="shared" si="18"/>
        <v>-19320.201876024716</v>
      </c>
      <c r="I395" s="14"/>
      <c r="J395" s="2">
        <f t="shared" si="17"/>
        <v>87.239944521497918</v>
      </c>
      <c r="K395">
        <f t="shared" si="17"/>
        <v>94.5816013012832</v>
      </c>
      <c r="L395">
        <f t="shared" si="17"/>
        <v>74.328009349435149</v>
      </c>
      <c r="M395" s="3" t="s">
        <v>175</v>
      </c>
      <c r="N395" s="12" t="s">
        <v>523</v>
      </c>
      <c r="O395" s="11">
        <v>69537.5</v>
      </c>
    </row>
    <row r="396" spans="1:15" ht="18" x14ac:dyDescent="0.45">
      <c r="A396" s="3" t="s">
        <v>73</v>
      </c>
      <c r="B396" s="3" t="s">
        <v>442</v>
      </c>
      <c r="C396" s="12" t="s">
        <v>402</v>
      </c>
      <c r="D396">
        <v>3135</v>
      </c>
      <c r="E396">
        <v>1303.5</v>
      </c>
      <c r="F396">
        <v>950000</v>
      </c>
      <c r="G396" s="5">
        <f t="shared" si="19"/>
        <v>966699.92470983486</v>
      </c>
      <c r="H396" s="6">
        <f t="shared" si="18"/>
        <v>-16699.924709834857</v>
      </c>
      <c r="I396" s="14"/>
      <c r="J396" s="2">
        <f t="shared" si="17"/>
        <v>86.962552011095696</v>
      </c>
      <c r="K396">
        <f t="shared" si="17"/>
        <v>94.234592445328033</v>
      </c>
      <c r="L396">
        <f t="shared" si="17"/>
        <v>74.016361511492008</v>
      </c>
      <c r="M396" s="3" t="s">
        <v>201</v>
      </c>
      <c r="N396" s="12" t="s">
        <v>524</v>
      </c>
      <c r="O396" s="11">
        <v>70094.399999999994</v>
      </c>
    </row>
    <row r="397" spans="1:15" ht="18" x14ac:dyDescent="0.45">
      <c r="A397" s="3" t="s">
        <v>73</v>
      </c>
      <c r="B397" s="3" t="s">
        <v>448</v>
      </c>
      <c r="C397" s="12" t="s">
        <v>525</v>
      </c>
      <c r="D397">
        <v>3135</v>
      </c>
      <c r="E397">
        <v>1282</v>
      </c>
      <c r="F397">
        <v>950000</v>
      </c>
      <c r="G397" s="5">
        <f t="shared" si="19"/>
        <v>950837.59376908967</v>
      </c>
      <c r="H397" s="6">
        <f t="shared" si="18"/>
        <v>-837.59376908966806</v>
      </c>
      <c r="I397" s="14"/>
      <c r="J397" s="2">
        <f t="shared" si="17"/>
        <v>86.962552011095696</v>
      </c>
      <c r="K397">
        <f t="shared" si="17"/>
        <v>92.680281944695466</v>
      </c>
      <c r="L397">
        <f t="shared" si="17"/>
        <v>74.016361511492008</v>
      </c>
      <c r="M397" s="3" t="s">
        <v>201</v>
      </c>
      <c r="N397" s="12" t="s">
        <v>526</v>
      </c>
      <c r="O397" s="11">
        <v>70153.5</v>
      </c>
    </row>
    <row r="398" spans="1:15" ht="18" x14ac:dyDescent="0.45">
      <c r="A398" s="3" t="s">
        <v>73</v>
      </c>
      <c r="B398" s="3" t="s">
        <v>438</v>
      </c>
      <c r="C398" s="12" t="s">
        <v>403</v>
      </c>
      <c r="D398">
        <v>3125</v>
      </c>
      <c r="E398">
        <v>1294.2</v>
      </c>
      <c r="F398">
        <v>947000</v>
      </c>
      <c r="G398" s="5">
        <f t="shared" si="19"/>
        <v>956792.8073658488</v>
      </c>
      <c r="H398" s="6">
        <f t="shared" si="18"/>
        <v>-9792.8073658487992</v>
      </c>
      <c r="I398" s="14"/>
      <c r="J398" s="2">
        <f t="shared" si="17"/>
        <v>86.685159500693473</v>
      </c>
      <c r="K398">
        <f t="shared" si="17"/>
        <v>93.562262786914872</v>
      </c>
      <c r="L398">
        <f t="shared" si="17"/>
        <v>73.782625633034669</v>
      </c>
      <c r="M398" s="3" t="s">
        <v>201</v>
      </c>
      <c r="N398" s="12" t="s">
        <v>527</v>
      </c>
      <c r="O398" s="11">
        <v>69705</v>
      </c>
    </row>
    <row r="399" spans="1:15" ht="18" x14ac:dyDescent="0.45">
      <c r="A399" s="3" t="s">
        <v>73</v>
      </c>
      <c r="B399" s="3" t="s">
        <v>440</v>
      </c>
      <c r="C399" s="12" t="s">
        <v>404</v>
      </c>
      <c r="D399">
        <v>3135</v>
      </c>
      <c r="E399">
        <v>1294.2</v>
      </c>
      <c r="F399">
        <v>950000</v>
      </c>
      <c r="G399" s="5">
        <f t="shared" si="19"/>
        <v>959838.54434941942</v>
      </c>
      <c r="H399" s="6">
        <f t="shared" si="18"/>
        <v>-9838.5443494194187</v>
      </c>
      <c r="I399" s="14"/>
      <c r="J399" s="2">
        <f t="shared" si="17"/>
        <v>86.962552011095696</v>
      </c>
      <c r="K399">
        <f t="shared" si="17"/>
        <v>93.562262786914872</v>
      </c>
      <c r="L399">
        <f t="shared" si="17"/>
        <v>74.016361511492008</v>
      </c>
      <c r="M399" s="3" t="s">
        <v>201</v>
      </c>
      <c r="N399" s="12" t="s">
        <v>528</v>
      </c>
      <c r="O399" s="11">
        <v>69625.5</v>
      </c>
    </row>
    <row r="400" spans="1:15" ht="18" x14ac:dyDescent="0.45">
      <c r="A400" s="3" t="s">
        <v>73</v>
      </c>
      <c r="B400" s="3" t="s">
        <v>442</v>
      </c>
      <c r="C400" s="12" t="s">
        <v>405</v>
      </c>
      <c r="D400">
        <v>3145</v>
      </c>
      <c r="E400">
        <v>1292</v>
      </c>
      <c r="F400">
        <v>952000</v>
      </c>
      <c r="G400" s="5">
        <f t="shared" si="19"/>
        <v>961255.9816737934</v>
      </c>
      <c r="H400" s="6">
        <f t="shared" si="18"/>
        <v>-9255.9816737934016</v>
      </c>
      <c r="I400" s="14"/>
      <c r="J400" s="2">
        <f t="shared" si="17"/>
        <v>87.239944521497918</v>
      </c>
      <c r="K400">
        <f t="shared" si="17"/>
        <v>93.403217061268748</v>
      </c>
      <c r="L400">
        <f t="shared" si="17"/>
        <v>74.172185430463571</v>
      </c>
      <c r="M400" s="3" t="s">
        <v>201</v>
      </c>
      <c r="N400" s="12" t="s">
        <v>529</v>
      </c>
      <c r="O400" s="11">
        <v>69424</v>
      </c>
    </row>
    <row r="401" spans="1:15" ht="18" x14ac:dyDescent="0.45">
      <c r="A401" s="3" t="s">
        <v>73</v>
      </c>
      <c r="B401" s="3" t="s">
        <v>444</v>
      </c>
      <c r="C401" s="12" t="s">
        <v>406</v>
      </c>
      <c r="D401">
        <v>3140</v>
      </c>
      <c r="E401">
        <v>1291</v>
      </c>
      <c r="F401">
        <v>949000</v>
      </c>
      <c r="G401" s="5">
        <f t="shared" si="19"/>
        <v>958996.74237211829</v>
      </c>
      <c r="H401" s="6">
        <f t="shared" si="18"/>
        <v>-9996.7423721182859</v>
      </c>
      <c r="I401" s="14"/>
      <c r="J401" s="2">
        <f t="shared" si="17"/>
        <v>87.101248266296807</v>
      </c>
      <c r="K401">
        <f t="shared" si="17"/>
        <v>93.330923549611427</v>
      </c>
      <c r="L401">
        <f t="shared" si="17"/>
        <v>73.938449552006233</v>
      </c>
      <c r="M401" s="3" t="s">
        <v>201</v>
      </c>
      <c r="N401" s="12" t="s">
        <v>530</v>
      </c>
      <c r="O401" s="11">
        <v>69254.5</v>
      </c>
    </row>
    <row r="402" spans="1:15" ht="18" x14ac:dyDescent="0.45">
      <c r="A402" s="3" t="s">
        <v>73</v>
      </c>
      <c r="B402" s="3" t="s">
        <v>446</v>
      </c>
      <c r="C402" s="12" t="s">
        <v>408</v>
      </c>
      <c r="D402">
        <v>3140</v>
      </c>
      <c r="E402">
        <v>1290</v>
      </c>
      <c r="F402">
        <v>949000</v>
      </c>
      <c r="G402" s="5">
        <f t="shared" si="19"/>
        <v>958257.78285052883</v>
      </c>
      <c r="H402" s="6">
        <f t="shared" si="18"/>
        <v>-9257.7828505288344</v>
      </c>
      <c r="I402" s="14"/>
      <c r="J402" s="2">
        <f t="shared" si="17"/>
        <v>87.101248266296807</v>
      </c>
      <c r="K402">
        <f t="shared" si="17"/>
        <v>93.258630037954092</v>
      </c>
      <c r="L402">
        <f t="shared" si="17"/>
        <v>73.938449552006233</v>
      </c>
      <c r="M402" s="3" t="s">
        <v>201</v>
      </c>
      <c r="N402" s="12" t="s">
        <v>531</v>
      </c>
      <c r="O402" s="11">
        <v>68969.8</v>
      </c>
    </row>
    <row r="403" spans="1:15" ht="18" x14ac:dyDescent="0.45">
      <c r="A403" s="3" t="s">
        <v>73</v>
      </c>
      <c r="B403" s="3" t="s">
        <v>448</v>
      </c>
      <c r="C403" s="12" t="s">
        <v>532</v>
      </c>
      <c r="D403">
        <v>3140</v>
      </c>
      <c r="E403">
        <v>1313</v>
      </c>
      <c r="F403">
        <v>952000</v>
      </c>
      <c r="G403" s="5">
        <f t="shared" si="19"/>
        <v>975253.85184708878</v>
      </c>
      <c r="H403" s="6">
        <f t="shared" si="18"/>
        <v>-23253.851847088779</v>
      </c>
      <c r="I403" s="14"/>
      <c r="J403" s="2">
        <f t="shared" si="17"/>
        <v>87.101248266296807</v>
      </c>
      <c r="K403">
        <f t="shared" si="17"/>
        <v>94.921380806072648</v>
      </c>
      <c r="L403">
        <f t="shared" si="17"/>
        <v>74.172185430463571</v>
      </c>
      <c r="M403" s="3" t="s">
        <v>201</v>
      </c>
      <c r="N403" s="12" t="s">
        <v>533</v>
      </c>
      <c r="O403" s="11">
        <v>68829.899999999994</v>
      </c>
    </row>
    <row r="404" spans="1:15" ht="18" x14ac:dyDescent="0.45">
      <c r="A404" s="3" t="s">
        <v>73</v>
      </c>
      <c r="B404" s="3" t="s">
        <v>438</v>
      </c>
      <c r="C404" s="12" t="s">
        <v>410</v>
      </c>
      <c r="D404">
        <v>3135</v>
      </c>
      <c r="E404">
        <v>1309.0999999999999</v>
      </c>
      <c r="F404">
        <v>954000</v>
      </c>
      <c r="G404" s="5">
        <f t="shared" si="19"/>
        <v>970831.50858277315</v>
      </c>
      <c r="H404" s="6">
        <f t="shared" si="18"/>
        <v>-16831.508582773153</v>
      </c>
      <c r="I404" s="14"/>
      <c r="J404" s="2">
        <f t="shared" si="17"/>
        <v>86.962552011095696</v>
      </c>
      <c r="K404">
        <f t="shared" si="17"/>
        <v>94.639436110609068</v>
      </c>
      <c r="L404">
        <f t="shared" si="17"/>
        <v>74.328009349435149</v>
      </c>
      <c r="M404" s="3" t="s">
        <v>201</v>
      </c>
      <c r="N404" s="12" t="s">
        <v>534</v>
      </c>
      <c r="O404" s="11">
        <v>68650.600000000006</v>
      </c>
    </row>
    <row r="405" spans="1:15" ht="18" x14ac:dyDescent="0.45">
      <c r="A405" s="3" t="s">
        <v>73</v>
      </c>
      <c r="B405" s="3" t="s">
        <v>440</v>
      </c>
      <c r="C405" s="12" t="s">
        <v>411</v>
      </c>
      <c r="D405">
        <v>3130</v>
      </c>
      <c r="E405">
        <v>1309.0999999999999</v>
      </c>
      <c r="F405">
        <v>955500</v>
      </c>
      <c r="G405" s="5">
        <f t="shared" si="19"/>
        <v>969291.10745265707</v>
      </c>
      <c r="H405" s="6">
        <f t="shared" si="18"/>
        <v>-13791.107452657074</v>
      </c>
      <c r="I405" s="14"/>
      <c r="J405" s="2">
        <f t="shared" si="17"/>
        <v>86.823855755894584</v>
      </c>
      <c r="K405">
        <f t="shared" si="17"/>
        <v>94.639436110609068</v>
      </c>
      <c r="L405">
        <f t="shared" si="17"/>
        <v>74.444877288663818</v>
      </c>
      <c r="M405" s="3" t="s">
        <v>201</v>
      </c>
      <c r="N405" s="12" t="s">
        <v>535</v>
      </c>
      <c r="O405" s="11">
        <v>68232.100000000006</v>
      </c>
    </row>
    <row r="406" spans="1:15" ht="18" x14ac:dyDescent="0.45">
      <c r="A406" s="3" t="s">
        <v>73</v>
      </c>
      <c r="B406" s="3" t="s">
        <v>442</v>
      </c>
      <c r="C406" s="12" t="s">
        <v>412</v>
      </c>
      <c r="D406">
        <v>3125</v>
      </c>
      <c r="E406">
        <v>1307</v>
      </c>
      <c r="F406">
        <v>954000</v>
      </c>
      <c r="G406" s="5">
        <f t="shared" si="19"/>
        <v>966206.30445616157</v>
      </c>
      <c r="H406" s="6">
        <f t="shared" si="18"/>
        <v>-12206.304456161568</v>
      </c>
      <c r="I406" s="14"/>
      <c r="J406" s="2">
        <f t="shared" si="17"/>
        <v>86.685159500693473</v>
      </c>
      <c r="K406">
        <f t="shared" si="17"/>
        <v>94.487619736128678</v>
      </c>
      <c r="L406">
        <f t="shared" si="17"/>
        <v>74.328009349435149</v>
      </c>
      <c r="M406" s="3" t="s">
        <v>201</v>
      </c>
      <c r="N406" s="12" t="s">
        <v>536</v>
      </c>
      <c r="O406" s="11">
        <v>67471</v>
      </c>
    </row>
    <row r="407" spans="1:15" ht="18" x14ac:dyDescent="0.45">
      <c r="A407" s="3" t="s">
        <v>73</v>
      </c>
      <c r="B407" s="3" t="s">
        <v>444</v>
      </c>
      <c r="C407" s="12" t="s">
        <v>413</v>
      </c>
      <c r="D407">
        <v>3130</v>
      </c>
      <c r="E407">
        <v>1311</v>
      </c>
      <c r="F407">
        <v>954000</v>
      </c>
      <c r="G407" s="5">
        <f t="shared" si="19"/>
        <v>970690.65913255955</v>
      </c>
      <c r="H407" s="6">
        <f t="shared" si="18"/>
        <v>-16690.659132559551</v>
      </c>
      <c r="I407" s="14"/>
      <c r="J407" s="2">
        <f t="shared" si="17"/>
        <v>86.823855755894584</v>
      </c>
      <c r="K407">
        <f t="shared" si="17"/>
        <v>94.776793782757991</v>
      </c>
      <c r="L407">
        <f t="shared" si="17"/>
        <v>74.328009349435149</v>
      </c>
      <c r="M407" s="3" t="s">
        <v>201</v>
      </c>
      <c r="N407" s="12" t="s">
        <v>537</v>
      </c>
      <c r="O407" s="11">
        <v>66902</v>
      </c>
    </row>
    <row r="408" spans="1:15" ht="18" x14ac:dyDescent="0.45">
      <c r="A408" s="3" t="s">
        <v>73</v>
      </c>
      <c r="B408" s="3" t="s">
        <v>446</v>
      </c>
      <c r="C408" s="12" t="s">
        <v>414</v>
      </c>
      <c r="D408">
        <v>3125</v>
      </c>
      <c r="E408">
        <v>1308</v>
      </c>
      <c r="F408">
        <v>954000</v>
      </c>
      <c r="G408" s="5">
        <f t="shared" si="19"/>
        <v>966941.73391634249</v>
      </c>
      <c r="H408" s="6">
        <f t="shared" si="18"/>
        <v>-12941.733916342491</v>
      </c>
      <c r="I408" s="14"/>
      <c r="J408" s="2">
        <f t="shared" si="17"/>
        <v>86.685159500693473</v>
      </c>
      <c r="K408">
        <f t="shared" si="17"/>
        <v>94.559913247786014</v>
      </c>
      <c r="L408">
        <f t="shared" si="17"/>
        <v>74.328009349435149</v>
      </c>
      <c r="M408" s="3" t="s">
        <v>201</v>
      </c>
      <c r="N408" s="12" t="s">
        <v>538</v>
      </c>
      <c r="O408" s="11">
        <v>66197.899999999994</v>
      </c>
    </row>
    <row r="409" spans="1:15" ht="18" x14ac:dyDescent="0.45">
      <c r="A409" s="3" t="s">
        <v>73</v>
      </c>
      <c r="B409" s="3" t="s">
        <v>448</v>
      </c>
      <c r="C409" s="12" t="s">
        <v>539</v>
      </c>
      <c r="D409">
        <v>3125</v>
      </c>
      <c r="E409">
        <v>1313</v>
      </c>
      <c r="F409">
        <v>954500</v>
      </c>
      <c r="G409" s="5">
        <f t="shared" si="19"/>
        <v>970618.88121724583</v>
      </c>
      <c r="H409" s="6">
        <f t="shared" si="18"/>
        <v>-16118.881217245827</v>
      </c>
      <c r="I409" s="14"/>
      <c r="J409" s="2">
        <f t="shared" si="17"/>
        <v>86.685159500693473</v>
      </c>
      <c r="K409">
        <f t="shared" si="17"/>
        <v>94.921380806072648</v>
      </c>
      <c r="L409">
        <f t="shared" si="17"/>
        <v>74.366965329178029</v>
      </c>
      <c r="M409" s="3" t="s">
        <v>201</v>
      </c>
      <c r="N409" s="12" t="s">
        <v>540</v>
      </c>
      <c r="O409" s="11">
        <v>65512.7</v>
      </c>
    </row>
    <row r="410" spans="1:15" ht="18" x14ac:dyDescent="0.45">
      <c r="A410" s="3" t="s">
        <v>73</v>
      </c>
      <c r="B410" s="3" t="s">
        <v>438</v>
      </c>
      <c r="C410" s="12" t="s">
        <v>415</v>
      </c>
      <c r="D410">
        <v>3120</v>
      </c>
      <c r="E410">
        <v>1304.5</v>
      </c>
      <c r="F410">
        <v>950000</v>
      </c>
      <c r="G410" s="5">
        <f t="shared" si="19"/>
        <v>962832.74243642075</v>
      </c>
      <c r="H410" s="6">
        <f t="shared" si="18"/>
        <v>-12832.742436420755</v>
      </c>
      <c r="I410" s="14"/>
      <c r="J410" s="2">
        <f t="shared" si="17"/>
        <v>86.546463245492362</v>
      </c>
      <c r="K410">
        <f t="shared" si="17"/>
        <v>94.306885956985369</v>
      </c>
      <c r="L410">
        <f t="shared" si="17"/>
        <v>74.016361511492008</v>
      </c>
      <c r="M410" s="3" t="s">
        <v>201</v>
      </c>
      <c r="N410" s="15" t="s">
        <v>541</v>
      </c>
      <c r="O410" s="11">
        <v>66000.100000000006</v>
      </c>
    </row>
    <row r="411" spans="1:15" ht="18" x14ac:dyDescent="0.45">
      <c r="A411" s="3" t="s">
        <v>73</v>
      </c>
      <c r="B411" s="3" t="s">
        <v>440</v>
      </c>
      <c r="C411" s="12" t="s">
        <v>417</v>
      </c>
      <c r="D411">
        <v>3110</v>
      </c>
      <c r="E411">
        <v>1304.5</v>
      </c>
      <c r="F411">
        <v>948000</v>
      </c>
      <c r="G411" s="5">
        <f t="shared" si="19"/>
        <v>959762.76569784246</v>
      </c>
      <c r="H411" s="6">
        <f t="shared" si="18"/>
        <v>-11762.765697842464</v>
      </c>
      <c r="I411" s="14"/>
      <c r="J411" s="2">
        <f t="shared" si="17"/>
        <v>86.269070735090153</v>
      </c>
      <c r="K411">
        <f t="shared" si="17"/>
        <v>94.306885956985369</v>
      </c>
      <c r="L411">
        <f t="shared" si="17"/>
        <v>73.860537592520444</v>
      </c>
      <c r="M411" s="3" t="s">
        <v>201</v>
      </c>
      <c r="N411" s="15" t="s">
        <v>542</v>
      </c>
      <c r="O411" s="11">
        <v>65929.100000000006</v>
      </c>
    </row>
    <row r="412" spans="1:15" ht="18" x14ac:dyDescent="0.45">
      <c r="A412" s="3" t="s">
        <v>73</v>
      </c>
      <c r="B412" s="3" t="s">
        <v>442</v>
      </c>
      <c r="C412" s="12" t="s">
        <v>419</v>
      </c>
      <c r="D412">
        <v>3105</v>
      </c>
      <c r="E412">
        <v>1301</v>
      </c>
      <c r="F412">
        <v>945000</v>
      </c>
      <c r="G412" s="5">
        <f t="shared" si="19"/>
        <v>955670.24783782894</v>
      </c>
      <c r="H412" s="6">
        <f t="shared" si="18"/>
        <v>-10670.247837828938</v>
      </c>
      <c r="I412" s="14"/>
      <c r="J412" s="2">
        <f t="shared" si="17"/>
        <v>86.130374479889042</v>
      </c>
      <c r="K412">
        <f t="shared" si="17"/>
        <v>94.053858666184709</v>
      </c>
      <c r="L412">
        <f t="shared" si="17"/>
        <v>73.626801714063106</v>
      </c>
      <c r="M412" s="3" t="s">
        <v>201</v>
      </c>
      <c r="N412" s="15" t="s">
        <v>543</v>
      </c>
      <c r="O412" s="11">
        <v>65939.100000000006</v>
      </c>
    </row>
    <row r="413" spans="1:15" ht="18" x14ac:dyDescent="0.45">
      <c r="A413" s="3" t="s">
        <v>73</v>
      </c>
      <c r="B413" s="3" t="s">
        <v>444</v>
      </c>
      <c r="C413" s="12" t="s">
        <v>420</v>
      </c>
      <c r="D413">
        <v>3110</v>
      </c>
      <c r="E413">
        <v>1300</v>
      </c>
      <c r="F413">
        <v>946000</v>
      </c>
      <c r="G413" s="5">
        <f t="shared" si="19"/>
        <v>956469.2184033693</v>
      </c>
      <c r="H413" s="6">
        <f t="shared" si="18"/>
        <v>-10469.218403369305</v>
      </c>
      <c r="I413" s="14"/>
      <c r="J413" s="2">
        <f t="shared" si="17"/>
        <v>86.269070735090153</v>
      </c>
      <c r="K413">
        <f t="shared" si="17"/>
        <v>93.981565154527374</v>
      </c>
      <c r="L413">
        <f t="shared" si="17"/>
        <v>73.704713673548895</v>
      </c>
      <c r="M413" s="3" t="s">
        <v>201</v>
      </c>
      <c r="N413" s="15" t="s">
        <v>544</v>
      </c>
      <c r="O413" s="11">
        <v>66273.3</v>
      </c>
    </row>
    <row r="414" spans="1:15" ht="18" x14ac:dyDescent="0.45">
      <c r="A414" s="3" t="s">
        <v>73</v>
      </c>
      <c r="B414" s="3" t="s">
        <v>446</v>
      </c>
      <c r="C414" s="12" t="s">
        <v>421</v>
      </c>
      <c r="D414">
        <v>3110</v>
      </c>
      <c r="E414">
        <v>1293</v>
      </c>
      <c r="F414">
        <v>943000</v>
      </c>
      <c r="G414" s="5">
        <f t="shared" si="19"/>
        <v>951345.92261196673</v>
      </c>
      <c r="H414" s="6">
        <f t="shared" si="18"/>
        <v>-8345.9226119667292</v>
      </c>
      <c r="I414" s="14"/>
      <c r="J414" s="2">
        <f t="shared" ref="J414:L477" si="20">(D414/D$29-1)*100+100</f>
        <v>86.269070735090153</v>
      </c>
      <c r="K414">
        <f t="shared" si="20"/>
        <v>93.475510572926083</v>
      </c>
      <c r="L414">
        <f t="shared" si="20"/>
        <v>73.470977795091542</v>
      </c>
      <c r="M414" s="3" t="s">
        <v>201</v>
      </c>
      <c r="N414" s="15" t="s">
        <v>545</v>
      </c>
      <c r="O414" s="11">
        <v>66319.199999999997</v>
      </c>
    </row>
    <row r="415" spans="1:15" ht="18" x14ac:dyDescent="0.45">
      <c r="A415" s="3" t="s">
        <v>73</v>
      </c>
      <c r="B415" s="3" t="s">
        <v>448</v>
      </c>
      <c r="C415" s="12" t="s">
        <v>546</v>
      </c>
      <c r="D415">
        <v>3105</v>
      </c>
      <c r="E415">
        <v>1276.3</v>
      </c>
      <c r="F415">
        <v>935500</v>
      </c>
      <c r="G415" s="5">
        <f t="shared" si="19"/>
        <v>937621.39686043118</v>
      </c>
      <c r="H415" s="6">
        <f t="shared" si="18"/>
        <v>-2121.3968604311813</v>
      </c>
      <c r="I415" s="14">
        <f>F415/F391-1</f>
        <v>-1.629863301787593E-2</v>
      </c>
      <c r="J415" s="2">
        <f t="shared" si="20"/>
        <v>86.130374479889042</v>
      </c>
      <c r="K415">
        <f t="shared" si="20"/>
        <v>92.268208928248683</v>
      </c>
      <c r="L415">
        <f t="shared" si="20"/>
        <v>72.886638098948183</v>
      </c>
      <c r="M415" s="3" t="s">
        <v>201</v>
      </c>
      <c r="N415" s="15" t="s">
        <v>547</v>
      </c>
      <c r="O415" s="11">
        <v>65835</v>
      </c>
    </row>
    <row r="416" spans="1:15" ht="18" x14ac:dyDescent="0.45">
      <c r="A416" s="3" t="s">
        <v>100</v>
      </c>
      <c r="B416" s="3" t="s">
        <v>438</v>
      </c>
      <c r="C416" s="12" t="s">
        <v>422</v>
      </c>
      <c r="D416">
        <v>3100</v>
      </c>
      <c r="E416">
        <v>1280.8</v>
      </c>
      <c r="F416">
        <v>934500</v>
      </c>
      <c r="G416" s="5">
        <f t="shared" si="19"/>
        <v>939402.54817863205</v>
      </c>
      <c r="H416" s="6">
        <f t="shared" si="18"/>
        <v>-4902.5481786320452</v>
      </c>
      <c r="I416" s="14"/>
      <c r="J416" s="2">
        <f t="shared" si="20"/>
        <v>85.991678224687931</v>
      </c>
      <c r="K416">
        <f t="shared" si="20"/>
        <v>92.593529730706663</v>
      </c>
      <c r="L416">
        <f t="shared" si="20"/>
        <v>72.808726139462408</v>
      </c>
      <c r="M416" s="3" t="s">
        <v>201</v>
      </c>
      <c r="N416" s="15" t="s">
        <v>548</v>
      </c>
      <c r="O416" s="11">
        <v>65564.7</v>
      </c>
    </row>
    <row r="417" spans="1:15" ht="18" x14ac:dyDescent="0.45">
      <c r="A417" s="3" t="s">
        <v>100</v>
      </c>
      <c r="B417" s="3" t="s">
        <v>440</v>
      </c>
      <c r="C417" s="12" t="s">
        <v>423</v>
      </c>
      <c r="D417">
        <v>3130</v>
      </c>
      <c r="E417">
        <v>1280.8</v>
      </c>
      <c r="F417">
        <v>942000</v>
      </c>
      <c r="G417" s="5">
        <f t="shared" si="19"/>
        <v>948445.1534835865</v>
      </c>
      <c r="H417" s="6">
        <f t="shared" si="18"/>
        <v>-6445.1534835865023</v>
      </c>
      <c r="I417" s="14"/>
      <c r="J417" s="2">
        <f t="shared" si="20"/>
        <v>86.823855755894584</v>
      </c>
      <c r="K417">
        <f t="shared" si="20"/>
        <v>92.593529730706663</v>
      </c>
      <c r="L417">
        <f t="shared" si="20"/>
        <v>73.393065835605768</v>
      </c>
      <c r="M417" s="3" t="s">
        <v>226</v>
      </c>
      <c r="N417" s="15" t="s">
        <v>549</v>
      </c>
      <c r="O417" s="11">
        <v>65028.9</v>
      </c>
    </row>
    <row r="418" spans="1:15" ht="18" x14ac:dyDescent="0.45">
      <c r="A418" s="3" t="s">
        <v>100</v>
      </c>
      <c r="B418" s="3" t="s">
        <v>442</v>
      </c>
      <c r="C418" s="12" t="s">
        <v>424</v>
      </c>
      <c r="D418">
        <v>3120</v>
      </c>
      <c r="E418">
        <v>1278.2</v>
      </c>
      <c r="F418">
        <v>939000</v>
      </c>
      <c r="G418" s="5">
        <f t="shared" si="19"/>
        <v>943521.89450535306</v>
      </c>
      <c r="H418" s="6">
        <f t="shared" si="18"/>
        <v>-4521.8945053530624</v>
      </c>
      <c r="I418" s="14"/>
      <c r="J418" s="2">
        <f t="shared" si="20"/>
        <v>86.546463245492362</v>
      </c>
      <c r="K418">
        <f t="shared" si="20"/>
        <v>92.40556660039762</v>
      </c>
      <c r="L418">
        <f t="shared" si="20"/>
        <v>73.159329957148429</v>
      </c>
      <c r="M418" s="3" t="s">
        <v>226</v>
      </c>
      <c r="N418" s="15" t="s">
        <v>550</v>
      </c>
      <c r="O418" s="11">
        <v>65029.1</v>
      </c>
    </row>
    <row r="419" spans="1:15" ht="18" x14ac:dyDescent="0.45">
      <c r="A419" s="3" t="s">
        <v>100</v>
      </c>
      <c r="B419" s="3" t="s">
        <v>444</v>
      </c>
      <c r="C419" s="12" t="s">
        <v>426</v>
      </c>
      <c r="D419">
        <v>3130</v>
      </c>
      <c r="E419">
        <v>1287</v>
      </c>
      <c r="F419">
        <v>945000</v>
      </c>
      <c r="G419" s="5">
        <f t="shared" si="19"/>
        <v>953012.11159695184</v>
      </c>
      <c r="H419" s="6">
        <f t="shared" si="18"/>
        <v>-8012.1115969518432</v>
      </c>
      <c r="I419" s="14"/>
      <c r="J419" s="2">
        <f t="shared" si="20"/>
        <v>86.823855755894584</v>
      </c>
      <c r="K419">
        <f t="shared" si="20"/>
        <v>93.0417495029821</v>
      </c>
      <c r="L419">
        <f t="shared" si="20"/>
        <v>73.626801714063106</v>
      </c>
      <c r="M419" s="3" t="s">
        <v>226</v>
      </c>
      <c r="N419" s="15" t="s">
        <v>551</v>
      </c>
      <c r="O419" s="11">
        <v>65105</v>
      </c>
    </row>
    <row r="420" spans="1:15" ht="18" x14ac:dyDescent="0.45">
      <c r="A420" s="3" t="s">
        <v>100</v>
      </c>
      <c r="B420" s="3" t="s">
        <v>446</v>
      </c>
      <c r="C420" s="12" t="s">
        <v>428</v>
      </c>
      <c r="D420">
        <v>3130</v>
      </c>
      <c r="E420">
        <v>1285</v>
      </c>
      <c r="F420">
        <v>944000</v>
      </c>
      <c r="G420" s="5">
        <f t="shared" si="19"/>
        <v>951538.89930231799</v>
      </c>
      <c r="H420" s="6">
        <f t="shared" si="18"/>
        <v>-7538.8993023179937</v>
      </c>
      <c r="I420" s="14"/>
      <c r="J420" s="2">
        <f t="shared" si="20"/>
        <v>86.823855755894584</v>
      </c>
      <c r="K420">
        <f t="shared" si="20"/>
        <v>92.897162479667458</v>
      </c>
      <c r="L420">
        <f t="shared" si="20"/>
        <v>73.548889754577331</v>
      </c>
      <c r="M420" s="3" t="s">
        <v>226</v>
      </c>
      <c r="N420" s="15" t="s">
        <v>552</v>
      </c>
      <c r="O420" s="11">
        <v>65114.1</v>
      </c>
    </row>
    <row r="421" spans="1:15" ht="18" x14ac:dyDescent="0.45">
      <c r="A421" s="3" t="s">
        <v>100</v>
      </c>
      <c r="B421" s="3" t="s">
        <v>448</v>
      </c>
      <c r="C421" s="12" t="s">
        <v>553</v>
      </c>
      <c r="D421">
        <v>3130</v>
      </c>
      <c r="E421">
        <v>1289.2</v>
      </c>
      <c r="F421">
        <v>948500</v>
      </c>
      <c r="G421" s="5">
        <f t="shared" si="19"/>
        <v>954632.64512104914</v>
      </c>
      <c r="H421" s="6">
        <f t="shared" si="18"/>
        <v>-6132.6451210491359</v>
      </c>
      <c r="I421" s="14"/>
      <c r="J421" s="2">
        <f t="shared" si="20"/>
        <v>86.823855755894584</v>
      </c>
      <c r="K421">
        <f t="shared" si="20"/>
        <v>93.200795228628238</v>
      </c>
      <c r="L421">
        <f t="shared" si="20"/>
        <v>73.899493572263339</v>
      </c>
      <c r="M421" s="3" t="s">
        <v>226</v>
      </c>
      <c r="N421" s="15" t="s">
        <v>554</v>
      </c>
      <c r="O421" s="11">
        <v>65127.7</v>
      </c>
    </row>
    <row r="422" spans="1:15" ht="18" x14ac:dyDescent="0.45">
      <c r="A422" s="3" t="s">
        <v>100</v>
      </c>
      <c r="B422" s="3" t="s">
        <v>438</v>
      </c>
      <c r="C422" s="12" t="s">
        <v>429</v>
      </c>
      <c r="D422">
        <v>3165</v>
      </c>
      <c r="E422">
        <v>1287.2</v>
      </c>
      <c r="F422">
        <v>951000</v>
      </c>
      <c r="G422" s="5">
        <f t="shared" si="19"/>
        <v>963761.85459923476</v>
      </c>
      <c r="H422" s="6">
        <f t="shared" si="18"/>
        <v>-12761.854599234764</v>
      </c>
      <c r="I422" s="14"/>
      <c r="J422" s="2">
        <f t="shared" si="20"/>
        <v>87.794729542302363</v>
      </c>
      <c r="K422">
        <f t="shared" si="20"/>
        <v>93.056208205313567</v>
      </c>
      <c r="L422">
        <f t="shared" si="20"/>
        <v>74.094273470977797</v>
      </c>
      <c r="M422" s="3" t="s">
        <v>226</v>
      </c>
      <c r="N422" s="15" t="s">
        <v>555</v>
      </c>
      <c r="O422" s="11">
        <v>65256.1</v>
      </c>
    </row>
    <row r="423" spans="1:15" ht="18" x14ac:dyDescent="0.45">
      <c r="A423" s="3" t="s">
        <v>100</v>
      </c>
      <c r="B423" s="3" t="s">
        <v>440</v>
      </c>
      <c r="C423" s="12" t="s">
        <v>430</v>
      </c>
      <c r="D423">
        <v>3160</v>
      </c>
      <c r="E423">
        <v>1287.2</v>
      </c>
      <c r="F423">
        <v>950500</v>
      </c>
      <c r="G423" s="5">
        <f t="shared" si="19"/>
        <v>962247.22291740344</v>
      </c>
      <c r="H423" s="6">
        <f t="shared" si="18"/>
        <v>-11747.222917403444</v>
      </c>
      <c r="I423" s="14"/>
      <c r="J423" s="2">
        <f t="shared" si="20"/>
        <v>87.656033287101252</v>
      </c>
      <c r="K423">
        <f t="shared" si="20"/>
        <v>93.056208205313567</v>
      </c>
      <c r="L423">
        <f t="shared" si="20"/>
        <v>74.055317491234902</v>
      </c>
      <c r="M423" s="3" t="s">
        <v>226</v>
      </c>
      <c r="N423" s="15" t="s">
        <v>556</v>
      </c>
      <c r="O423" s="11">
        <v>65542.8</v>
      </c>
    </row>
    <row r="424" spans="1:15" ht="18" x14ac:dyDescent="0.45">
      <c r="A424" s="3" t="s">
        <v>100</v>
      </c>
      <c r="B424" s="3" t="s">
        <v>442</v>
      </c>
      <c r="C424" s="12" t="s">
        <v>431</v>
      </c>
      <c r="D424">
        <v>3150</v>
      </c>
      <c r="E424">
        <v>1287</v>
      </c>
      <c r="F424">
        <v>949500</v>
      </c>
      <c r="G424" s="5">
        <f t="shared" si="19"/>
        <v>959069.69697456807</v>
      </c>
      <c r="H424" s="6">
        <f t="shared" si="18"/>
        <v>-9569.696974568069</v>
      </c>
      <c r="I424" s="14"/>
      <c r="J424" s="2">
        <f t="shared" si="20"/>
        <v>87.378640776699029</v>
      </c>
      <c r="K424">
        <f t="shared" si="20"/>
        <v>93.0417495029821</v>
      </c>
      <c r="L424">
        <f t="shared" si="20"/>
        <v>73.977405531749127</v>
      </c>
      <c r="M424" s="3" t="s">
        <v>226</v>
      </c>
      <c r="N424" s="15" t="s">
        <v>557</v>
      </c>
      <c r="O424" s="11">
        <v>65544.7</v>
      </c>
    </row>
    <row r="425" spans="1:15" ht="18" x14ac:dyDescent="0.45">
      <c r="A425" s="3" t="s">
        <v>100</v>
      </c>
      <c r="B425" s="3" t="s">
        <v>444</v>
      </c>
      <c r="C425" s="12" t="s">
        <v>432</v>
      </c>
      <c r="D425">
        <v>3160</v>
      </c>
      <c r="E425">
        <v>1270</v>
      </c>
      <c r="F425">
        <v>948000</v>
      </c>
      <c r="G425" s="5">
        <f t="shared" si="19"/>
        <v>949456.16307108628</v>
      </c>
      <c r="H425" s="6">
        <f t="shared" si="18"/>
        <v>-1456.163071086281</v>
      </c>
      <c r="I425" s="14"/>
      <c r="J425" s="2">
        <f t="shared" si="20"/>
        <v>87.656033287101252</v>
      </c>
      <c r="K425">
        <f t="shared" si="20"/>
        <v>91.812759804807513</v>
      </c>
      <c r="L425">
        <f t="shared" si="20"/>
        <v>73.860537592520444</v>
      </c>
      <c r="M425" s="3" t="s">
        <v>226</v>
      </c>
      <c r="N425" s="15" t="s">
        <v>558</v>
      </c>
      <c r="O425" s="11">
        <v>65555.899999999994</v>
      </c>
    </row>
    <row r="426" spans="1:15" ht="18" x14ac:dyDescent="0.45">
      <c r="A426" s="3" t="s">
        <v>100</v>
      </c>
      <c r="B426" s="3" t="s">
        <v>446</v>
      </c>
      <c r="C426" s="12" t="s">
        <v>433</v>
      </c>
      <c r="D426">
        <v>3190</v>
      </c>
      <c r="E426">
        <v>1266</v>
      </c>
      <c r="F426">
        <v>947000</v>
      </c>
      <c r="G426" s="5">
        <f t="shared" si="19"/>
        <v>955419.61347779934</v>
      </c>
      <c r="H426" s="6">
        <f t="shared" si="18"/>
        <v>-8419.6134777993429</v>
      </c>
      <c r="I426" s="14"/>
      <c r="J426" s="2">
        <f t="shared" si="20"/>
        <v>88.488210818307905</v>
      </c>
      <c r="K426">
        <f t="shared" si="20"/>
        <v>91.5235857581782</v>
      </c>
      <c r="L426">
        <f t="shared" si="20"/>
        <v>73.782625633034669</v>
      </c>
      <c r="M426" s="3" t="s">
        <v>226</v>
      </c>
      <c r="N426" s="15" t="s">
        <v>559</v>
      </c>
      <c r="O426" s="11">
        <v>65597.399999999994</v>
      </c>
    </row>
    <row r="427" spans="1:15" ht="18" x14ac:dyDescent="0.45">
      <c r="A427" s="3" t="s">
        <v>100</v>
      </c>
      <c r="B427" s="3" t="s">
        <v>448</v>
      </c>
      <c r="C427" s="12" t="s">
        <v>560</v>
      </c>
      <c r="D427">
        <v>3175</v>
      </c>
      <c r="E427">
        <v>1260.9000000000001</v>
      </c>
      <c r="F427">
        <v>947000</v>
      </c>
      <c r="G427" s="5">
        <f t="shared" si="19"/>
        <v>947139.85444330121</v>
      </c>
      <c r="H427" s="6">
        <f t="shared" si="18"/>
        <v>-139.85444330121391</v>
      </c>
      <c r="I427" s="14"/>
      <c r="J427" s="2">
        <f t="shared" si="20"/>
        <v>88.072122052704586</v>
      </c>
      <c r="K427">
        <f t="shared" si="20"/>
        <v>91.154888848725832</v>
      </c>
      <c r="L427">
        <f t="shared" si="20"/>
        <v>73.782625633034669</v>
      </c>
      <c r="M427" s="3" t="s">
        <v>226</v>
      </c>
      <c r="N427" s="15" t="s">
        <v>561</v>
      </c>
      <c r="O427" s="11">
        <v>65771.600000000006</v>
      </c>
    </row>
    <row r="428" spans="1:15" ht="18" x14ac:dyDescent="0.45">
      <c r="A428" s="3" t="s">
        <v>100</v>
      </c>
      <c r="B428" s="3" t="s">
        <v>438</v>
      </c>
      <c r="C428" s="12" t="s">
        <v>435</v>
      </c>
      <c r="D428">
        <v>3170</v>
      </c>
      <c r="E428">
        <v>1268.4000000000001</v>
      </c>
      <c r="F428">
        <v>944000</v>
      </c>
      <c r="G428" s="5">
        <f t="shared" si="19"/>
        <v>951251.31696620898</v>
      </c>
      <c r="H428" s="6">
        <f t="shared" si="18"/>
        <v>-7251.3169662089786</v>
      </c>
      <c r="I428" s="14"/>
      <c r="J428" s="2">
        <f t="shared" si="20"/>
        <v>87.933425797503475</v>
      </c>
      <c r="K428">
        <f t="shared" si="20"/>
        <v>91.697090186155791</v>
      </c>
      <c r="L428">
        <f t="shared" si="20"/>
        <v>73.548889754577331</v>
      </c>
      <c r="M428" s="3" t="s">
        <v>226</v>
      </c>
      <c r="N428" s="15" t="s">
        <v>562</v>
      </c>
      <c r="O428" s="11">
        <v>65787.199999999997</v>
      </c>
    </row>
    <row r="429" spans="1:15" ht="18" x14ac:dyDescent="0.45">
      <c r="A429" s="3" t="s">
        <v>100</v>
      </c>
      <c r="B429" s="3" t="s">
        <v>440</v>
      </c>
      <c r="C429" s="12" t="s">
        <v>437</v>
      </c>
      <c r="D429">
        <v>3160</v>
      </c>
      <c r="E429">
        <v>1268.4000000000001</v>
      </c>
      <c r="F429">
        <v>943000</v>
      </c>
      <c r="G429" s="5">
        <f t="shared" si="19"/>
        <v>948266.29703887075</v>
      </c>
      <c r="H429" s="6">
        <f t="shared" si="18"/>
        <v>-5266.2970388707472</v>
      </c>
      <c r="I429" s="14"/>
      <c r="J429" s="2">
        <f t="shared" si="20"/>
        <v>87.656033287101252</v>
      </c>
      <c r="K429">
        <f t="shared" si="20"/>
        <v>91.697090186155791</v>
      </c>
      <c r="L429">
        <f t="shared" si="20"/>
        <v>73.470977795091542</v>
      </c>
      <c r="M429" s="3" t="s">
        <v>226</v>
      </c>
      <c r="N429" s="15" t="s">
        <v>563</v>
      </c>
      <c r="O429" s="11">
        <v>65366.3</v>
      </c>
    </row>
    <row r="430" spans="1:15" ht="18" x14ac:dyDescent="0.45">
      <c r="A430" s="3" t="s">
        <v>100</v>
      </c>
      <c r="B430" s="3" t="s">
        <v>442</v>
      </c>
      <c r="C430" s="12" t="s">
        <v>439</v>
      </c>
      <c r="D430">
        <v>3175</v>
      </c>
      <c r="E430">
        <v>1264</v>
      </c>
      <c r="F430">
        <v>944000</v>
      </c>
      <c r="G430" s="5">
        <f t="shared" si="19"/>
        <v>949456.16307108628</v>
      </c>
      <c r="H430" s="6">
        <f t="shared" si="18"/>
        <v>-5456.163071086281</v>
      </c>
      <c r="I430" s="14"/>
      <c r="J430" s="2">
        <f t="shared" si="20"/>
        <v>88.072122052704586</v>
      </c>
      <c r="K430">
        <f t="shared" si="20"/>
        <v>91.378998734863544</v>
      </c>
      <c r="L430">
        <f t="shared" si="20"/>
        <v>73.548889754577331</v>
      </c>
      <c r="M430" s="3" t="s">
        <v>226</v>
      </c>
      <c r="N430" s="15" t="s">
        <v>564</v>
      </c>
      <c r="O430" s="11">
        <v>64917.5</v>
      </c>
    </row>
    <row r="431" spans="1:15" ht="18" x14ac:dyDescent="0.45">
      <c r="A431" s="3" t="s">
        <v>100</v>
      </c>
      <c r="B431" s="3" t="s">
        <v>444</v>
      </c>
      <c r="C431" s="12" t="s">
        <v>441</v>
      </c>
      <c r="D431">
        <v>3195</v>
      </c>
      <c r="E431">
        <v>1255</v>
      </c>
      <c r="F431">
        <v>941000</v>
      </c>
      <c r="G431" s="5">
        <f t="shared" si="19"/>
        <v>948638.36551136535</v>
      </c>
      <c r="H431" s="6">
        <f t="shared" si="18"/>
        <v>-7638.3655113653513</v>
      </c>
      <c r="I431" s="14"/>
      <c r="J431" s="2">
        <f t="shared" si="20"/>
        <v>88.626907073509017</v>
      </c>
      <c r="K431">
        <f t="shared" si="20"/>
        <v>90.728357129947597</v>
      </c>
      <c r="L431">
        <f t="shared" si="20"/>
        <v>73.315153876119979</v>
      </c>
      <c r="M431" s="3" t="s">
        <v>226</v>
      </c>
      <c r="N431" s="15" t="s">
        <v>565</v>
      </c>
      <c r="O431" s="11">
        <v>64840.9</v>
      </c>
    </row>
    <row r="432" spans="1:15" ht="18" x14ac:dyDescent="0.45">
      <c r="A432" s="3" t="s">
        <v>100</v>
      </c>
      <c r="B432" s="3" t="s">
        <v>446</v>
      </c>
      <c r="C432" s="12" t="s">
        <v>443</v>
      </c>
      <c r="D432">
        <v>3180</v>
      </c>
      <c r="E432">
        <v>1253</v>
      </c>
      <c r="F432">
        <v>940500</v>
      </c>
      <c r="G432" s="5">
        <f t="shared" si="19"/>
        <v>942711.39240587712</v>
      </c>
      <c r="H432" s="6">
        <f t="shared" si="18"/>
        <v>-2211.3924058771227</v>
      </c>
      <c r="I432" s="14"/>
      <c r="J432" s="2">
        <f t="shared" si="20"/>
        <v>88.210818307905697</v>
      </c>
      <c r="K432">
        <f t="shared" si="20"/>
        <v>90.583770106632926</v>
      </c>
      <c r="L432">
        <f t="shared" si="20"/>
        <v>73.276197896377084</v>
      </c>
      <c r="M432" s="3" t="s">
        <v>226</v>
      </c>
      <c r="N432" s="15" t="s">
        <v>566</v>
      </c>
      <c r="O432" s="11">
        <v>64932.1</v>
      </c>
    </row>
    <row r="433" spans="1:15" ht="18" x14ac:dyDescent="0.45">
      <c r="A433" s="3" t="s">
        <v>100</v>
      </c>
      <c r="B433" s="3" t="s">
        <v>448</v>
      </c>
      <c r="C433" s="12" t="s">
        <v>567</v>
      </c>
      <c r="D433">
        <v>3190</v>
      </c>
      <c r="E433">
        <v>1245</v>
      </c>
      <c r="F433">
        <v>939000</v>
      </c>
      <c r="G433" s="5">
        <f t="shared" si="19"/>
        <v>939654.35922579805</v>
      </c>
      <c r="H433" s="6">
        <f t="shared" si="18"/>
        <v>-654.35922579804901</v>
      </c>
      <c r="I433" s="14"/>
      <c r="J433" s="2">
        <f t="shared" si="20"/>
        <v>88.488210818307905</v>
      </c>
      <c r="K433">
        <f t="shared" si="20"/>
        <v>90.0054220133743</v>
      </c>
      <c r="L433">
        <f t="shared" si="20"/>
        <v>73.159329957148429</v>
      </c>
      <c r="M433" s="3" t="s">
        <v>226</v>
      </c>
      <c r="N433" s="15" t="s">
        <v>568</v>
      </c>
      <c r="O433" s="11">
        <v>64926.8</v>
      </c>
    </row>
    <row r="434" spans="1:15" ht="18" x14ac:dyDescent="0.45">
      <c r="A434" s="3" t="s">
        <v>100</v>
      </c>
      <c r="B434" s="3" t="s">
        <v>438</v>
      </c>
      <c r="C434" s="12" t="s">
        <v>445</v>
      </c>
      <c r="D434">
        <v>3197</v>
      </c>
      <c r="E434">
        <v>1228.3</v>
      </c>
      <c r="F434">
        <v>929000</v>
      </c>
      <c r="G434" s="5">
        <f t="shared" si="19"/>
        <v>929140.6831967975</v>
      </c>
      <c r="H434" s="6">
        <f t="shared" si="18"/>
        <v>-140.6831967975013</v>
      </c>
      <c r="I434" s="14"/>
      <c r="J434" s="2">
        <f t="shared" si="20"/>
        <v>88.682385575589464</v>
      </c>
      <c r="K434">
        <f t="shared" si="20"/>
        <v>88.798120368696914</v>
      </c>
      <c r="L434">
        <f t="shared" si="20"/>
        <v>72.380210362290612</v>
      </c>
      <c r="M434" s="3" t="s">
        <v>226</v>
      </c>
      <c r="N434" s="15" t="s">
        <v>569</v>
      </c>
      <c r="O434" s="11">
        <v>64993.599999999999</v>
      </c>
    </row>
    <row r="435" spans="1:15" ht="18" x14ac:dyDescent="0.45">
      <c r="A435" s="3" t="s">
        <v>100</v>
      </c>
      <c r="B435" s="3" t="s">
        <v>440</v>
      </c>
      <c r="C435" s="12" t="s">
        <v>447</v>
      </c>
      <c r="D435">
        <v>3185</v>
      </c>
      <c r="E435">
        <v>1228.3</v>
      </c>
      <c r="F435">
        <v>925000</v>
      </c>
      <c r="G435" s="5">
        <f t="shared" si="19"/>
        <v>925671.90365398815</v>
      </c>
      <c r="H435" s="6">
        <f t="shared" si="18"/>
        <v>-671.90365398814902</v>
      </c>
      <c r="I435" s="14"/>
      <c r="J435" s="2">
        <f t="shared" si="20"/>
        <v>88.349514563106794</v>
      </c>
      <c r="K435">
        <f t="shared" si="20"/>
        <v>88.798120368696914</v>
      </c>
      <c r="L435">
        <f t="shared" si="20"/>
        <v>72.068562524347499</v>
      </c>
      <c r="M435" s="3" t="s">
        <v>226</v>
      </c>
      <c r="N435" s="15" t="s">
        <v>570</v>
      </c>
      <c r="O435" s="11">
        <v>64811.199999999997</v>
      </c>
    </row>
    <row r="436" spans="1:15" ht="18" x14ac:dyDescent="0.45">
      <c r="A436" s="3" t="s">
        <v>100</v>
      </c>
      <c r="B436" s="3" t="s">
        <v>442</v>
      </c>
      <c r="C436" s="12" t="s">
        <v>450</v>
      </c>
      <c r="D436">
        <v>3197</v>
      </c>
      <c r="E436">
        <v>1235</v>
      </c>
      <c r="F436">
        <v>930000</v>
      </c>
      <c r="G436" s="5">
        <f t="shared" si="19"/>
        <v>934181.58735491743</v>
      </c>
      <c r="H436" s="6">
        <f t="shared" si="18"/>
        <v>-4181.5873549174285</v>
      </c>
      <c r="I436" s="14"/>
      <c r="J436" s="2">
        <f t="shared" si="20"/>
        <v>88.682385575589464</v>
      </c>
      <c r="K436">
        <f t="shared" si="20"/>
        <v>89.282486896801018</v>
      </c>
      <c r="L436">
        <f t="shared" si="20"/>
        <v>72.458122321776401</v>
      </c>
      <c r="M436" s="3" t="s">
        <v>226</v>
      </c>
      <c r="N436" s="15" t="s">
        <v>571</v>
      </c>
      <c r="O436" s="11">
        <v>64720</v>
      </c>
    </row>
    <row r="437" spans="1:15" ht="18" x14ac:dyDescent="0.45">
      <c r="A437" s="3" t="s">
        <v>100</v>
      </c>
      <c r="B437" s="3" t="s">
        <v>444</v>
      </c>
      <c r="C437" s="12" t="s">
        <v>451</v>
      </c>
      <c r="D437">
        <v>3205</v>
      </c>
      <c r="E437">
        <v>1240</v>
      </c>
      <c r="F437">
        <v>936000</v>
      </c>
      <c r="G437" s="5">
        <f t="shared" si="19"/>
        <v>940278.00340803119</v>
      </c>
      <c r="H437" s="6">
        <f t="shared" si="18"/>
        <v>-4278.0034080311889</v>
      </c>
      <c r="I437" s="14"/>
      <c r="J437" s="2">
        <f t="shared" si="20"/>
        <v>88.904299583911239</v>
      </c>
      <c r="K437">
        <f t="shared" si="20"/>
        <v>89.643954455087652</v>
      </c>
      <c r="L437">
        <f t="shared" si="20"/>
        <v>72.925594078691077</v>
      </c>
      <c r="M437" s="3" t="s">
        <v>254</v>
      </c>
      <c r="N437" s="15" t="s">
        <v>572</v>
      </c>
      <c r="O437" s="11">
        <v>64867.1</v>
      </c>
    </row>
    <row r="438" spans="1:15" ht="18" x14ac:dyDescent="0.45">
      <c r="A438" s="3" t="s">
        <v>100</v>
      </c>
      <c r="B438" s="3" t="s">
        <v>446</v>
      </c>
      <c r="C438" s="12" t="s">
        <v>452</v>
      </c>
      <c r="D438">
        <v>3210</v>
      </c>
      <c r="E438">
        <v>1236</v>
      </c>
      <c r="F438">
        <v>938000</v>
      </c>
      <c r="G438" s="5">
        <f t="shared" si="19"/>
        <v>938715.36289103935</v>
      </c>
      <c r="H438" s="6">
        <f t="shared" si="18"/>
        <v>-715.36289103934541</v>
      </c>
      <c r="I438" s="14"/>
      <c r="J438" s="2">
        <f t="shared" si="20"/>
        <v>89.042995839112351</v>
      </c>
      <c r="K438">
        <f t="shared" si="20"/>
        <v>89.354780408458339</v>
      </c>
      <c r="L438">
        <f t="shared" si="20"/>
        <v>73.081417997662641</v>
      </c>
      <c r="M438" s="3" t="s">
        <v>254</v>
      </c>
      <c r="N438" s="15" t="s">
        <v>573</v>
      </c>
      <c r="O438" s="11">
        <v>64719.9</v>
      </c>
    </row>
    <row r="439" spans="1:15" ht="18" x14ac:dyDescent="0.45">
      <c r="A439" s="3" t="s">
        <v>100</v>
      </c>
      <c r="B439" s="3" t="s">
        <v>448</v>
      </c>
      <c r="C439" s="12" t="s">
        <v>574</v>
      </c>
      <c r="D439">
        <v>3215</v>
      </c>
      <c r="E439">
        <v>1225</v>
      </c>
      <c r="F439">
        <v>931000</v>
      </c>
      <c r="G439" s="5">
        <f t="shared" si="19"/>
        <v>931847.04007651983</v>
      </c>
      <c r="H439" s="6">
        <f t="shared" si="18"/>
        <v>-847.04007651982829</v>
      </c>
      <c r="I439" s="14"/>
      <c r="J439" s="2">
        <f t="shared" si="20"/>
        <v>89.181692094313462</v>
      </c>
      <c r="K439">
        <f t="shared" si="20"/>
        <v>88.559551780227736</v>
      </c>
      <c r="L439">
        <f t="shared" si="20"/>
        <v>72.536034281262175</v>
      </c>
      <c r="M439" s="3" t="s">
        <v>254</v>
      </c>
      <c r="N439" s="15" t="s">
        <v>575</v>
      </c>
      <c r="O439" s="11">
        <v>64678.400000000001</v>
      </c>
    </row>
    <row r="440" spans="1:15" ht="18" x14ac:dyDescent="0.45">
      <c r="A440" s="3" t="s">
        <v>100</v>
      </c>
      <c r="B440" s="3" t="s">
        <v>438</v>
      </c>
      <c r="C440" s="12" t="s">
        <v>453</v>
      </c>
      <c r="D440">
        <v>3195</v>
      </c>
      <c r="E440">
        <v>1216.2</v>
      </c>
      <c r="F440">
        <v>921000</v>
      </c>
      <c r="G440" s="5">
        <f t="shared" si="19"/>
        <v>919464.52600392234</v>
      </c>
      <c r="H440" s="6">
        <f t="shared" si="18"/>
        <v>1535.4739960776642</v>
      </c>
      <c r="I440" s="14"/>
      <c r="J440" s="2">
        <f t="shared" si="20"/>
        <v>88.626907073509017</v>
      </c>
      <c r="K440">
        <f t="shared" si="20"/>
        <v>87.923368877643242</v>
      </c>
      <c r="L440">
        <f t="shared" si="20"/>
        <v>71.756914686404357</v>
      </c>
      <c r="M440" s="3" t="s">
        <v>254</v>
      </c>
      <c r="N440" s="15" t="s">
        <v>576</v>
      </c>
      <c r="O440" s="11">
        <v>64525.8</v>
      </c>
    </row>
    <row r="441" spans="1:15" ht="18" x14ac:dyDescent="0.45">
      <c r="A441" s="3" t="s">
        <v>100</v>
      </c>
      <c r="B441" s="3" t="s">
        <v>440</v>
      </c>
      <c r="C441" s="12" t="s">
        <v>454</v>
      </c>
      <c r="D441">
        <v>3185</v>
      </c>
      <c r="E441">
        <v>1216.2</v>
      </c>
      <c r="F441">
        <v>920000</v>
      </c>
      <c r="G441" s="5">
        <f t="shared" si="19"/>
        <v>916602.35221361264</v>
      </c>
      <c r="H441" s="6">
        <f t="shared" si="18"/>
        <v>3397.6477863873588</v>
      </c>
      <c r="I441" s="14">
        <f>F441/F415-1</f>
        <v>-1.6568679850347379E-2</v>
      </c>
      <c r="J441" s="2">
        <f t="shared" si="20"/>
        <v>88.349514563106794</v>
      </c>
      <c r="K441">
        <f t="shared" si="20"/>
        <v>87.923368877643242</v>
      </c>
      <c r="L441">
        <f t="shared" si="20"/>
        <v>71.679002726918583</v>
      </c>
      <c r="M441" s="3" t="s">
        <v>254</v>
      </c>
      <c r="N441" s="15" t="s">
        <v>577</v>
      </c>
      <c r="O441" s="11">
        <v>64051.7</v>
      </c>
    </row>
    <row r="442" spans="1:15" ht="18" x14ac:dyDescent="0.45">
      <c r="A442" s="3" t="s">
        <v>100</v>
      </c>
      <c r="B442" s="3" t="s">
        <v>442</v>
      </c>
      <c r="C442" s="12" t="s">
        <v>456</v>
      </c>
      <c r="D442">
        <v>3180</v>
      </c>
      <c r="E442">
        <v>1214</v>
      </c>
      <c r="F442">
        <v>918000</v>
      </c>
      <c r="G442" s="5">
        <f t="shared" si="19"/>
        <v>913524.84467736213</v>
      </c>
      <c r="H442" s="6">
        <f t="shared" si="18"/>
        <v>4475.1553226378746</v>
      </c>
      <c r="I442" s="14"/>
      <c r="J442" s="2">
        <f t="shared" si="20"/>
        <v>88.210818307905697</v>
      </c>
      <c r="K442">
        <f t="shared" si="20"/>
        <v>87.764323151997104</v>
      </c>
      <c r="L442">
        <f t="shared" si="20"/>
        <v>71.523178807947019</v>
      </c>
      <c r="M442" s="3" t="s">
        <v>254</v>
      </c>
      <c r="N442" s="15" t="s">
        <v>578</v>
      </c>
      <c r="O442" s="11">
        <v>63950.9</v>
      </c>
    </row>
    <row r="443" spans="1:15" ht="18" x14ac:dyDescent="0.45">
      <c r="A443" s="3" t="s">
        <v>125</v>
      </c>
      <c r="B443" s="3" t="s">
        <v>444</v>
      </c>
      <c r="C443" s="12" t="s">
        <v>457</v>
      </c>
      <c r="D443" s="12">
        <v>3195</v>
      </c>
      <c r="E443">
        <v>1231</v>
      </c>
      <c r="F443">
        <v>928000</v>
      </c>
      <c r="G443" s="5">
        <f t="shared" si="19"/>
        <v>930592.69158923556</v>
      </c>
      <c r="H443" s="6">
        <f t="shared" si="18"/>
        <v>-2592.691589235561</v>
      </c>
      <c r="I443" s="14"/>
      <c r="J443" s="2">
        <f t="shared" si="20"/>
        <v>88.626907073509017</v>
      </c>
      <c r="K443">
        <f t="shared" si="20"/>
        <v>88.993312850171705</v>
      </c>
      <c r="L443">
        <f t="shared" si="20"/>
        <v>72.302298402804837</v>
      </c>
      <c r="M443" s="3" t="s">
        <v>254</v>
      </c>
      <c r="N443" s="15" t="s">
        <v>579</v>
      </c>
      <c r="O443" s="11">
        <v>63860.1</v>
      </c>
    </row>
    <row r="444" spans="1:15" ht="18" x14ac:dyDescent="0.45">
      <c r="A444" s="3" t="s">
        <v>125</v>
      </c>
      <c r="B444" s="3" t="s">
        <v>446</v>
      </c>
      <c r="C444" s="12" t="s">
        <v>458</v>
      </c>
      <c r="D444">
        <v>3205</v>
      </c>
      <c r="E444">
        <v>1220</v>
      </c>
      <c r="F444">
        <v>930000</v>
      </c>
      <c r="G444" s="5">
        <f t="shared" si="19"/>
        <v>925192.87432080507</v>
      </c>
      <c r="H444" s="6">
        <f t="shared" si="18"/>
        <v>4807.1256791949272</v>
      </c>
      <c r="I444" s="14"/>
      <c r="J444" s="2">
        <f t="shared" si="20"/>
        <v>88.904299583911239</v>
      </c>
      <c r="K444">
        <f t="shared" si="20"/>
        <v>88.198084221941073</v>
      </c>
      <c r="L444">
        <f t="shared" si="20"/>
        <v>72.458122321776401</v>
      </c>
      <c r="M444" s="3" t="s">
        <v>254</v>
      </c>
      <c r="N444" s="15" t="s">
        <v>580</v>
      </c>
      <c r="O444" s="11">
        <v>63954.8</v>
      </c>
    </row>
    <row r="445" spans="1:15" ht="18" x14ac:dyDescent="0.45">
      <c r="A445" s="3" t="s">
        <v>125</v>
      </c>
      <c r="B445" s="3" t="s">
        <v>448</v>
      </c>
      <c r="C445" s="12" t="s">
        <v>581</v>
      </c>
      <c r="D445">
        <v>3205</v>
      </c>
      <c r="E445">
        <v>1214</v>
      </c>
      <c r="F445">
        <v>925000</v>
      </c>
      <c r="G445" s="5">
        <f t="shared" si="19"/>
        <v>920667.33559463697</v>
      </c>
      <c r="H445" s="6">
        <f t="shared" si="18"/>
        <v>4332.6644053630298</v>
      </c>
      <c r="I445" s="14"/>
      <c r="J445" s="2">
        <f t="shared" si="20"/>
        <v>88.904299583911239</v>
      </c>
      <c r="K445">
        <f t="shared" si="20"/>
        <v>87.764323151997104</v>
      </c>
      <c r="L445">
        <f t="shared" si="20"/>
        <v>72.068562524347499</v>
      </c>
      <c r="M445" s="3" t="s">
        <v>254</v>
      </c>
      <c r="N445" s="15" t="s">
        <v>582</v>
      </c>
      <c r="O445" s="11">
        <v>63996</v>
      </c>
    </row>
    <row r="446" spans="1:15" ht="18" x14ac:dyDescent="0.45">
      <c r="A446" s="3" t="s">
        <v>125</v>
      </c>
      <c r="B446" s="3" t="s">
        <v>438</v>
      </c>
      <c r="C446" s="12" t="s">
        <v>459</v>
      </c>
      <c r="D446">
        <v>3225</v>
      </c>
      <c r="E446">
        <v>1219.4000000000001</v>
      </c>
      <c r="F446">
        <v>931000</v>
      </c>
      <c r="G446" s="5">
        <f t="shared" si="19"/>
        <v>930479.72962415183</v>
      </c>
      <c r="H446" s="6">
        <f t="shared" si="18"/>
        <v>520.27037584816571</v>
      </c>
      <c r="I446" s="14"/>
      <c r="J446" s="2">
        <f t="shared" si="20"/>
        <v>89.459084604715684</v>
      </c>
      <c r="K446">
        <f t="shared" si="20"/>
        <v>88.154708114946686</v>
      </c>
      <c r="L446">
        <f t="shared" si="20"/>
        <v>72.536034281262175</v>
      </c>
      <c r="M446" s="3" t="s">
        <v>254</v>
      </c>
      <c r="N446" s="15" t="s">
        <v>583</v>
      </c>
      <c r="O446" s="11">
        <v>64014.9</v>
      </c>
    </row>
    <row r="447" spans="1:15" ht="18" x14ac:dyDescent="0.45">
      <c r="A447" s="3" t="s">
        <v>125</v>
      </c>
      <c r="B447" s="3" t="s">
        <v>440</v>
      </c>
      <c r="C447" s="12" t="s">
        <v>460</v>
      </c>
      <c r="D447">
        <v>3265</v>
      </c>
      <c r="E447">
        <v>1219.4000000000001</v>
      </c>
      <c r="F447">
        <v>938000</v>
      </c>
      <c r="G447" s="5">
        <f t="shared" si="19"/>
        <v>941958.54797607928</v>
      </c>
      <c r="H447" s="6">
        <f t="shared" si="18"/>
        <v>-3958.5479760792805</v>
      </c>
      <c r="I447" s="14"/>
      <c r="J447" s="2">
        <f t="shared" si="20"/>
        <v>90.568654646324546</v>
      </c>
      <c r="K447">
        <f t="shared" si="20"/>
        <v>88.154708114946686</v>
      </c>
      <c r="L447">
        <f t="shared" si="20"/>
        <v>73.081417997662641</v>
      </c>
      <c r="M447" s="3" t="s">
        <v>254</v>
      </c>
      <c r="N447" s="15" t="s">
        <v>584</v>
      </c>
      <c r="O447" s="11">
        <v>63911.1</v>
      </c>
    </row>
    <row r="448" spans="1:15" ht="18" x14ac:dyDescent="0.45">
      <c r="A448" s="3" t="s">
        <v>125</v>
      </c>
      <c r="B448" s="3" t="s">
        <v>442</v>
      </c>
      <c r="C448" s="12" t="s">
        <v>461</v>
      </c>
      <c r="D448">
        <v>3255</v>
      </c>
      <c r="E448">
        <v>1221</v>
      </c>
      <c r="F448">
        <v>938000</v>
      </c>
      <c r="G448" s="5">
        <f t="shared" si="19"/>
        <v>940314.48070925626</v>
      </c>
      <c r="H448" s="6">
        <f t="shared" si="18"/>
        <v>-2314.4807092562551</v>
      </c>
      <c r="I448" s="14"/>
      <c r="J448" s="2">
        <f t="shared" si="20"/>
        <v>90.291262135922338</v>
      </c>
      <c r="K448">
        <f t="shared" si="20"/>
        <v>88.270377733598409</v>
      </c>
      <c r="L448">
        <f t="shared" si="20"/>
        <v>73.081417997662641</v>
      </c>
      <c r="M448" s="3" t="s">
        <v>254</v>
      </c>
      <c r="N448" s="15" t="s">
        <v>585</v>
      </c>
      <c r="O448" s="11">
        <v>63806.7</v>
      </c>
    </row>
    <row r="449" spans="1:15" ht="18" x14ac:dyDescent="0.45">
      <c r="A449" s="3" t="s">
        <v>125</v>
      </c>
      <c r="B449" s="3" t="s">
        <v>444</v>
      </c>
      <c r="C449" s="12" t="s">
        <v>463</v>
      </c>
      <c r="D449">
        <v>3240</v>
      </c>
      <c r="E449">
        <v>1207</v>
      </c>
      <c r="F449">
        <v>934000</v>
      </c>
      <c r="G449" s="5">
        <f t="shared" si="19"/>
        <v>925329.37002861465</v>
      </c>
      <c r="H449" s="6">
        <f t="shared" si="18"/>
        <v>8670.6299713853514</v>
      </c>
      <c r="I449" s="14"/>
      <c r="J449" s="2">
        <f t="shared" si="20"/>
        <v>89.875173370319004</v>
      </c>
      <c r="K449">
        <f t="shared" si="20"/>
        <v>87.258268570395799</v>
      </c>
      <c r="L449">
        <f t="shared" si="20"/>
        <v>72.769770159719513</v>
      </c>
      <c r="M449" s="3" t="s">
        <v>254</v>
      </c>
      <c r="N449" s="15" t="s">
        <v>586</v>
      </c>
      <c r="O449" s="11">
        <v>63846.7</v>
      </c>
    </row>
    <row r="450" spans="1:15" ht="18" x14ac:dyDescent="0.45">
      <c r="A450" s="3" t="s">
        <v>125</v>
      </c>
      <c r="B450" s="3" t="s">
        <v>446</v>
      </c>
      <c r="C450" s="12" t="s">
        <v>464</v>
      </c>
      <c r="D450">
        <v>3260</v>
      </c>
      <c r="E450">
        <v>1210</v>
      </c>
      <c r="F450">
        <v>935000</v>
      </c>
      <c r="G450" s="5">
        <f t="shared" si="19"/>
        <v>933312.01556119975</v>
      </c>
      <c r="H450" s="6">
        <f t="shared" ref="H450:H513" si="21">F:F-G:G</f>
        <v>1687.984438800253</v>
      </c>
      <c r="I450" s="14"/>
      <c r="J450" s="2">
        <f t="shared" si="20"/>
        <v>90.429958391123449</v>
      </c>
      <c r="K450">
        <f t="shared" si="20"/>
        <v>87.475149105367791</v>
      </c>
      <c r="L450">
        <f t="shared" si="20"/>
        <v>72.847682119205288</v>
      </c>
      <c r="M450" s="3" t="s">
        <v>254</v>
      </c>
      <c r="N450" s="15" t="s">
        <v>587</v>
      </c>
      <c r="O450" s="11">
        <v>63847.3</v>
      </c>
    </row>
    <row r="451" spans="1:15" ht="18" x14ac:dyDescent="0.45">
      <c r="A451" s="3" t="s">
        <v>125</v>
      </c>
      <c r="B451" s="3" t="s">
        <v>448</v>
      </c>
      <c r="C451" s="12" t="s">
        <v>588</v>
      </c>
      <c r="D451">
        <v>3240</v>
      </c>
      <c r="E451">
        <v>1214</v>
      </c>
      <c r="F451">
        <v>933000</v>
      </c>
      <c r="G451" s="5">
        <f t="shared" si="19"/>
        <v>930666.82287882175</v>
      </c>
      <c r="H451" s="6">
        <f t="shared" si="21"/>
        <v>2333.177121178247</v>
      </c>
      <c r="I451" s="14"/>
      <c r="J451" s="2">
        <f t="shared" si="20"/>
        <v>89.875173370319004</v>
      </c>
      <c r="K451">
        <f t="shared" si="20"/>
        <v>87.764323151997104</v>
      </c>
      <c r="L451">
        <f t="shared" si="20"/>
        <v>72.691858200233739</v>
      </c>
      <c r="M451" s="3" t="s">
        <v>254</v>
      </c>
      <c r="N451" s="15" t="s">
        <v>589</v>
      </c>
      <c r="O451" s="11">
        <v>64070.7</v>
      </c>
    </row>
    <row r="452" spans="1:15" ht="18" x14ac:dyDescent="0.45">
      <c r="A452" s="3" t="s">
        <v>125</v>
      </c>
      <c r="B452" s="3" t="s">
        <v>438</v>
      </c>
      <c r="C452" s="12" t="s">
        <v>465</v>
      </c>
      <c r="D452">
        <v>3245</v>
      </c>
      <c r="E452">
        <v>1190.7</v>
      </c>
      <c r="F452">
        <v>930000</v>
      </c>
      <c r="G452" s="5">
        <f t="shared" si="19"/>
        <v>914301.81119345396</v>
      </c>
      <c r="H452" s="6">
        <f t="shared" si="21"/>
        <v>15698.188806546037</v>
      </c>
      <c r="I452" s="14"/>
      <c r="J452" s="2">
        <f t="shared" si="20"/>
        <v>90.013869625520115</v>
      </c>
      <c r="K452">
        <f t="shared" si="20"/>
        <v>86.079884330381347</v>
      </c>
      <c r="L452">
        <f t="shared" si="20"/>
        <v>72.458122321776401</v>
      </c>
      <c r="M452" s="3" t="s">
        <v>254</v>
      </c>
      <c r="N452" s="15" t="s">
        <v>590</v>
      </c>
      <c r="O452" s="11">
        <v>64610.3</v>
      </c>
    </row>
    <row r="453" spans="1:15" ht="18" x14ac:dyDescent="0.45">
      <c r="A453" s="3" t="s">
        <v>125</v>
      </c>
      <c r="B453" s="3" t="s">
        <v>442</v>
      </c>
      <c r="C453" s="12" t="s">
        <v>466</v>
      </c>
      <c r="D453">
        <v>3240</v>
      </c>
      <c r="E453">
        <v>1194</v>
      </c>
      <c r="F453">
        <v>927000</v>
      </c>
      <c r="G453" s="5">
        <f t="shared" si="19"/>
        <v>915416.95759251493</v>
      </c>
      <c r="H453" s="6">
        <f t="shared" si="21"/>
        <v>11583.042407485074</v>
      </c>
      <c r="I453" s="14"/>
      <c r="J453" s="2">
        <f t="shared" si="20"/>
        <v>89.875173370319004</v>
      </c>
      <c r="K453">
        <f t="shared" si="20"/>
        <v>86.318452918850525</v>
      </c>
      <c r="L453">
        <f t="shared" si="20"/>
        <v>72.224386443319048</v>
      </c>
      <c r="M453" s="3" t="s">
        <v>254</v>
      </c>
      <c r="N453" s="15" t="s">
        <v>591</v>
      </c>
      <c r="O453" s="11">
        <v>64980.6</v>
      </c>
    </row>
    <row r="454" spans="1:15" ht="18" x14ac:dyDescent="0.45">
      <c r="A454" s="3" t="s">
        <v>125</v>
      </c>
      <c r="B454" s="3" t="s">
        <v>444</v>
      </c>
      <c r="C454" s="12" t="s">
        <v>467</v>
      </c>
      <c r="D454">
        <v>3245</v>
      </c>
      <c r="E454">
        <v>1205</v>
      </c>
      <c r="F454">
        <v>935000</v>
      </c>
      <c r="G454" s="5">
        <f t="shared" si="19"/>
        <v>925222.29149921227</v>
      </c>
      <c r="H454" s="6">
        <f t="shared" si="21"/>
        <v>9777.7085007877322</v>
      </c>
      <c r="I454" s="14"/>
      <c r="J454" s="2">
        <f t="shared" si="20"/>
        <v>90.013869625520115</v>
      </c>
      <c r="K454">
        <f t="shared" si="20"/>
        <v>87.113681547081143</v>
      </c>
      <c r="L454">
        <f t="shared" si="20"/>
        <v>72.847682119205288</v>
      </c>
      <c r="M454" s="3" t="s">
        <v>254</v>
      </c>
      <c r="N454" s="15" t="s">
        <v>592</v>
      </c>
      <c r="O454" s="11">
        <v>65122.8</v>
      </c>
    </row>
    <row r="455" spans="1:15" ht="18" x14ac:dyDescent="0.45">
      <c r="A455" s="3" t="s">
        <v>125</v>
      </c>
      <c r="B455" s="3" t="s">
        <v>446</v>
      </c>
      <c r="C455" s="12" t="s">
        <v>469</v>
      </c>
      <c r="D455">
        <v>3245</v>
      </c>
      <c r="E455">
        <v>1216</v>
      </c>
      <c r="F455">
        <v>940000</v>
      </c>
      <c r="G455" s="5">
        <f t="shared" si="19"/>
        <v>933622.66096518002</v>
      </c>
      <c r="H455" s="6">
        <f t="shared" si="21"/>
        <v>6377.3390348199755</v>
      </c>
      <c r="I455" s="14"/>
      <c r="J455" s="2">
        <f t="shared" si="20"/>
        <v>90.013869625520115</v>
      </c>
      <c r="K455">
        <f t="shared" si="20"/>
        <v>87.90891017531176</v>
      </c>
      <c r="L455">
        <f t="shared" si="20"/>
        <v>73.237241916634204</v>
      </c>
      <c r="M455" s="3" t="s">
        <v>254</v>
      </c>
      <c r="N455" s="15" t="s">
        <v>593</v>
      </c>
      <c r="O455" s="11">
        <v>61532.9</v>
      </c>
    </row>
    <row r="456" spans="1:15" ht="18" x14ac:dyDescent="0.45">
      <c r="A456" s="3" t="s">
        <v>125</v>
      </c>
      <c r="B456" s="3" t="s">
        <v>448</v>
      </c>
      <c r="C456" s="12" t="s">
        <v>594</v>
      </c>
      <c r="D456">
        <v>3255</v>
      </c>
      <c r="E456">
        <v>1223</v>
      </c>
      <c r="F456">
        <v>942000</v>
      </c>
      <c r="G456" s="5">
        <f t="shared" si="19"/>
        <v>941846.52736070449</v>
      </c>
      <c r="H456" s="6">
        <f t="shared" si="21"/>
        <v>153.47263929550536</v>
      </c>
      <c r="I456" s="14"/>
      <c r="J456" s="2">
        <f t="shared" si="20"/>
        <v>90.291262135922338</v>
      </c>
      <c r="K456">
        <f t="shared" si="20"/>
        <v>88.414964756913065</v>
      </c>
      <c r="L456">
        <f t="shared" si="20"/>
        <v>73.393065835605768</v>
      </c>
      <c r="M456" s="3" t="s">
        <v>254</v>
      </c>
      <c r="N456" s="15" t="s">
        <v>595</v>
      </c>
      <c r="O456" s="11">
        <v>62531.8</v>
      </c>
    </row>
    <row r="457" spans="1:15" ht="18" x14ac:dyDescent="0.45">
      <c r="A457" s="3" t="s">
        <v>125</v>
      </c>
      <c r="B457" s="3" t="s">
        <v>438</v>
      </c>
      <c r="C457" s="12" t="s">
        <v>470</v>
      </c>
      <c r="D457">
        <v>3250</v>
      </c>
      <c r="E457">
        <v>1223</v>
      </c>
      <c r="F457">
        <v>942000</v>
      </c>
      <c r="G457" s="5">
        <f t="shared" si="19"/>
        <v>940407.43899302301</v>
      </c>
      <c r="H457" s="6">
        <f t="shared" si="21"/>
        <v>1592.56100697699</v>
      </c>
      <c r="I457" s="14"/>
      <c r="J457" s="2">
        <f t="shared" si="20"/>
        <v>90.152565880721227</v>
      </c>
      <c r="K457">
        <f t="shared" si="20"/>
        <v>88.414964756913065</v>
      </c>
      <c r="L457">
        <f t="shared" si="20"/>
        <v>73.393065835605768</v>
      </c>
      <c r="M457" s="3" t="s">
        <v>284</v>
      </c>
      <c r="N457" s="15" t="s">
        <v>596</v>
      </c>
      <c r="O457" s="11">
        <v>62885</v>
      </c>
    </row>
    <row r="458" spans="1:15" ht="18" x14ac:dyDescent="0.45">
      <c r="A458" s="3" t="s">
        <v>125</v>
      </c>
      <c r="B458" s="3" t="s">
        <v>440</v>
      </c>
      <c r="C458" s="12" t="s">
        <v>471</v>
      </c>
      <c r="D458">
        <v>3250</v>
      </c>
      <c r="E458">
        <v>1223</v>
      </c>
      <c r="F458">
        <v>940000</v>
      </c>
      <c r="G458" s="5">
        <f t="shared" si="19"/>
        <v>940407.43899302301</v>
      </c>
      <c r="H458" s="6">
        <f t="shared" si="21"/>
        <v>-407.43899302300997</v>
      </c>
      <c r="I458" s="14"/>
      <c r="J458" s="2">
        <f t="shared" si="20"/>
        <v>90.152565880721227</v>
      </c>
      <c r="K458">
        <f t="shared" si="20"/>
        <v>88.414964756913065</v>
      </c>
      <c r="L458">
        <f t="shared" si="20"/>
        <v>73.237241916634204</v>
      </c>
      <c r="M458" s="3" t="s">
        <v>284</v>
      </c>
      <c r="N458" s="15" t="s">
        <v>597</v>
      </c>
      <c r="O458" s="11">
        <v>63625.5</v>
      </c>
    </row>
    <row r="459" spans="1:15" ht="18" x14ac:dyDescent="0.45">
      <c r="A459" s="3" t="s">
        <v>125</v>
      </c>
      <c r="B459" s="3" t="s">
        <v>444</v>
      </c>
      <c r="C459" s="12" t="s">
        <v>472</v>
      </c>
      <c r="D459">
        <v>3250</v>
      </c>
      <c r="E459">
        <v>1233</v>
      </c>
      <c r="F459">
        <v>941000</v>
      </c>
      <c r="G459" s="5">
        <f t="shared" si="19"/>
        <v>948055.90537890233</v>
      </c>
      <c r="H459" s="6">
        <f t="shared" si="21"/>
        <v>-7055.905378902331</v>
      </c>
      <c r="I459" s="14"/>
      <c r="J459" s="2">
        <f t="shared" si="20"/>
        <v>90.152565880721227</v>
      </c>
      <c r="K459">
        <f t="shared" si="20"/>
        <v>89.137899873486361</v>
      </c>
      <c r="L459">
        <f t="shared" si="20"/>
        <v>73.315153876119979</v>
      </c>
      <c r="M459" s="3" t="s">
        <v>284</v>
      </c>
      <c r="N459" s="15" t="s">
        <v>598</v>
      </c>
      <c r="O459" s="11">
        <v>65099.9</v>
      </c>
    </row>
    <row r="460" spans="1:15" ht="18" x14ac:dyDescent="0.45">
      <c r="A460" s="3" t="s">
        <v>125</v>
      </c>
      <c r="B460" s="3" t="s">
        <v>446</v>
      </c>
      <c r="C460" s="12" t="s">
        <v>473</v>
      </c>
      <c r="D460">
        <v>3255</v>
      </c>
      <c r="E460">
        <v>1224</v>
      </c>
      <c r="F460">
        <v>938000</v>
      </c>
      <c r="G460" s="5">
        <f t="shared" si="19"/>
        <v>942612.55068642867</v>
      </c>
      <c r="H460" s="6">
        <f t="shared" si="21"/>
        <v>-4612.5506864286726</v>
      </c>
      <c r="I460" s="14"/>
      <c r="J460" s="2">
        <f t="shared" si="20"/>
        <v>90.291262135922338</v>
      </c>
      <c r="K460">
        <f t="shared" si="20"/>
        <v>88.4872582685704</v>
      </c>
      <c r="L460">
        <f t="shared" si="20"/>
        <v>73.081417997662641</v>
      </c>
      <c r="M460" s="3" t="s">
        <v>284</v>
      </c>
      <c r="N460" s="15" t="s">
        <v>599</v>
      </c>
      <c r="O460" s="11">
        <v>65175.1</v>
      </c>
    </row>
    <row r="461" spans="1:15" ht="18" x14ac:dyDescent="0.45">
      <c r="A461" s="3" t="s">
        <v>125</v>
      </c>
      <c r="B461" s="3" t="s">
        <v>448</v>
      </c>
      <c r="C461" s="12" t="s">
        <v>600</v>
      </c>
      <c r="D461">
        <v>3260</v>
      </c>
      <c r="E461">
        <v>1240</v>
      </c>
      <c r="F461">
        <v>943000</v>
      </c>
      <c r="G461" s="5">
        <f t="shared" si="19"/>
        <v>956328.01594701456</v>
      </c>
      <c r="H461" s="6">
        <f t="shared" si="21"/>
        <v>-13328.015947014559</v>
      </c>
      <c r="I461" s="14"/>
      <c r="J461" s="2">
        <f t="shared" si="20"/>
        <v>90.429958391123449</v>
      </c>
      <c r="K461">
        <f t="shared" si="20"/>
        <v>89.643954455087652</v>
      </c>
      <c r="L461">
        <f t="shared" si="20"/>
        <v>73.470977795091542</v>
      </c>
      <c r="M461" s="3" t="s">
        <v>284</v>
      </c>
      <c r="N461" s="15" t="s">
        <v>601</v>
      </c>
      <c r="O461" s="11">
        <v>65728</v>
      </c>
    </row>
    <row r="462" spans="1:15" ht="18" x14ac:dyDescent="0.45">
      <c r="A462" s="3" t="s">
        <v>125</v>
      </c>
      <c r="B462" s="3" t="s">
        <v>438</v>
      </c>
      <c r="C462" s="12" t="s">
        <v>474</v>
      </c>
      <c r="D462">
        <v>3250</v>
      </c>
      <c r="E462">
        <v>1238.2</v>
      </c>
      <c r="F462">
        <v>940000</v>
      </c>
      <c r="G462" s="5">
        <f t="shared" si="19"/>
        <v>952033.10789955943</v>
      </c>
      <c r="H462" s="6">
        <f t="shared" si="21"/>
        <v>-12033.107899559429</v>
      </c>
      <c r="I462" s="14"/>
      <c r="J462" s="2">
        <f t="shared" si="20"/>
        <v>90.152565880721227</v>
      </c>
      <c r="K462">
        <f t="shared" si="20"/>
        <v>89.513826134104463</v>
      </c>
      <c r="L462">
        <f t="shared" si="20"/>
        <v>73.237241916634204</v>
      </c>
      <c r="M462" s="3" t="s">
        <v>284</v>
      </c>
      <c r="N462" s="15" t="s">
        <v>602</v>
      </c>
      <c r="O462" s="11">
        <v>67827</v>
      </c>
    </row>
    <row r="463" spans="1:15" ht="18" x14ac:dyDescent="0.45">
      <c r="A463" s="3" t="s">
        <v>125</v>
      </c>
      <c r="B463" s="3" t="s">
        <v>440</v>
      </c>
      <c r="C463" s="12" t="s">
        <v>475</v>
      </c>
      <c r="D463">
        <v>3240</v>
      </c>
      <c r="E463">
        <v>1238.2</v>
      </c>
      <c r="F463">
        <v>938000</v>
      </c>
      <c r="G463" s="5">
        <f t="shared" si="19"/>
        <v>949119.15987525322</v>
      </c>
      <c r="H463" s="6">
        <f t="shared" si="21"/>
        <v>-11119.159875253215</v>
      </c>
      <c r="I463" s="14"/>
      <c r="J463" s="2">
        <f t="shared" si="20"/>
        <v>89.875173370319004</v>
      </c>
      <c r="K463">
        <f t="shared" si="20"/>
        <v>89.513826134104463</v>
      </c>
      <c r="L463">
        <f t="shared" si="20"/>
        <v>73.081417997662641</v>
      </c>
      <c r="M463" s="3" t="s">
        <v>284</v>
      </c>
      <c r="N463" s="15" t="s">
        <v>603</v>
      </c>
      <c r="O463" s="11">
        <v>70261.7</v>
      </c>
    </row>
    <row r="464" spans="1:15" ht="18" x14ac:dyDescent="0.45">
      <c r="A464" s="3" t="s">
        <v>125</v>
      </c>
      <c r="B464" s="3" t="s">
        <v>442</v>
      </c>
      <c r="C464" s="12" t="s">
        <v>476</v>
      </c>
      <c r="D464">
        <v>3230</v>
      </c>
      <c r="E464">
        <v>1245</v>
      </c>
      <c r="F464">
        <v>939000</v>
      </c>
      <c r="G464" s="5">
        <f t="shared" si="19"/>
        <v>951374.16310323763</v>
      </c>
      <c r="H464" s="6">
        <f t="shared" si="21"/>
        <v>-12374.163103237632</v>
      </c>
      <c r="I464" s="14"/>
      <c r="J464" s="2">
        <f t="shared" si="20"/>
        <v>89.597780859916782</v>
      </c>
      <c r="K464">
        <f t="shared" si="20"/>
        <v>90.0054220133743</v>
      </c>
      <c r="L464">
        <f t="shared" si="20"/>
        <v>73.159329957148429</v>
      </c>
      <c r="M464" s="3" t="s">
        <v>284</v>
      </c>
      <c r="N464" s="15" t="s">
        <v>604</v>
      </c>
      <c r="O464" s="11">
        <v>70843.899999999994</v>
      </c>
    </row>
    <row r="465" spans="1:15" ht="18" x14ac:dyDescent="0.45">
      <c r="A465" s="3" t="s">
        <v>125</v>
      </c>
      <c r="B465" s="3" t="s">
        <v>444</v>
      </c>
      <c r="C465" s="12" t="s">
        <v>477</v>
      </c>
      <c r="D465">
        <v>3227</v>
      </c>
      <c r="E465">
        <v>1249</v>
      </c>
      <c r="F465">
        <v>940000</v>
      </c>
      <c r="G465" s="5">
        <f t="shared" si="19"/>
        <v>953532.91332347353</v>
      </c>
      <c r="H465" s="6">
        <f t="shared" si="21"/>
        <v>-13532.913323473535</v>
      </c>
      <c r="I465" s="14"/>
      <c r="J465" s="2">
        <f t="shared" si="20"/>
        <v>89.514563106796118</v>
      </c>
      <c r="K465">
        <f t="shared" si="20"/>
        <v>90.294596060003613</v>
      </c>
      <c r="L465">
        <f t="shared" si="20"/>
        <v>73.237241916634204</v>
      </c>
      <c r="M465" s="3" t="s">
        <v>284</v>
      </c>
      <c r="N465" s="15" t="s">
        <v>605</v>
      </c>
      <c r="O465" s="11">
        <v>70159.899999999994</v>
      </c>
    </row>
    <row r="466" spans="1:15" ht="18" x14ac:dyDescent="0.45">
      <c r="A466" s="3" t="s">
        <v>125</v>
      </c>
      <c r="B466" s="3" t="s">
        <v>446</v>
      </c>
      <c r="C466" s="12" t="s">
        <v>478</v>
      </c>
      <c r="D466">
        <v>3230</v>
      </c>
      <c r="E466">
        <v>1247</v>
      </c>
      <c r="F466">
        <v>939000</v>
      </c>
      <c r="G466" s="5">
        <f t="shared" si="19"/>
        <v>952894.44288332306</v>
      </c>
      <c r="H466" s="6">
        <f t="shared" si="21"/>
        <v>-13894.442883323063</v>
      </c>
      <c r="I466" s="14">
        <f>F466/F441-1</f>
        <v>2.0652173913043415E-2</v>
      </c>
      <c r="J466" s="2">
        <f t="shared" si="20"/>
        <v>89.597780859916782</v>
      </c>
      <c r="K466">
        <f t="shared" si="20"/>
        <v>90.150009036688957</v>
      </c>
      <c r="L466">
        <f t="shared" si="20"/>
        <v>73.159329957148429</v>
      </c>
      <c r="M466" s="3" t="s">
        <v>284</v>
      </c>
      <c r="N466" s="15" t="s">
        <v>606</v>
      </c>
      <c r="O466" s="11">
        <v>70684.7</v>
      </c>
    </row>
    <row r="467" spans="1:15" ht="18" x14ac:dyDescent="0.45">
      <c r="A467" s="3" t="s">
        <v>151</v>
      </c>
      <c r="B467" s="3" t="s">
        <v>448</v>
      </c>
      <c r="C467" s="12" t="s">
        <v>607</v>
      </c>
      <c r="D467">
        <v>3230</v>
      </c>
      <c r="E467">
        <v>1235</v>
      </c>
      <c r="F467">
        <v>937000</v>
      </c>
      <c r="G467" s="5">
        <f t="shared" si="19"/>
        <v>943772.76420281001</v>
      </c>
      <c r="H467" s="6">
        <f t="shared" si="21"/>
        <v>-6772.764202810009</v>
      </c>
      <c r="I467" s="14"/>
      <c r="J467" s="2">
        <f t="shared" si="20"/>
        <v>89.597780859916782</v>
      </c>
      <c r="K467">
        <f t="shared" si="20"/>
        <v>89.282486896801018</v>
      </c>
      <c r="L467">
        <f t="shared" si="20"/>
        <v>73.003506038176852</v>
      </c>
      <c r="M467" s="3" t="s">
        <v>284</v>
      </c>
      <c r="N467" s="15" t="s">
        <v>608</v>
      </c>
      <c r="O467" s="11">
        <v>70022.8</v>
      </c>
    </row>
    <row r="468" spans="1:15" ht="18" x14ac:dyDescent="0.45">
      <c r="A468" s="3" t="s">
        <v>151</v>
      </c>
      <c r="B468" s="3" t="s">
        <v>438</v>
      </c>
      <c r="C468" s="12" t="s">
        <v>480</v>
      </c>
      <c r="D468">
        <v>3225</v>
      </c>
      <c r="E468">
        <v>1231</v>
      </c>
      <c r="F468">
        <v>931000</v>
      </c>
      <c r="G468" s="5">
        <f t="shared" si="19"/>
        <v>939283.70277786697</v>
      </c>
      <c r="H468" s="6">
        <f t="shared" si="21"/>
        <v>-8283.7027778669726</v>
      </c>
      <c r="I468" s="14"/>
      <c r="J468" s="2">
        <f t="shared" si="20"/>
        <v>89.459084604715684</v>
      </c>
      <c r="K468">
        <f t="shared" si="20"/>
        <v>88.993312850171705</v>
      </c>
      <c r="L468">
        <f t="shared" si="20"/>
        <v>72.536034281262175</v>
      </c>
      <c r="M468" s="3" t="s">
        <v>284</v>
      </c>
      <c r="N468" s="15" t="s">
        <v>609</v>
      </c>
      <c r="O468" s="11">
        <v>68783.899999999994</v>
      </c>
    </row>
    <row r="469" spans="1:15" ht="18" x14ac:dyDescent="0.45">
      <c r="A469" s="3" t="s">
        <v>151</v>
      </c>
      <c r="B469" s="3" t="s">
        <v>440</v>
      </c>
      <c r="C469" s="12" t="s">
        <v>481</v>
      </c>
      <c r="D469">
        <v>3215</v>
      </c>
      <c r="E469">
        <v>1231</v>
      </c>
      <c r="F469">
        <v>930000</v>
      </c>
      <c r="G469" s="5">
        <f t="shared" si="19"/>
        <v>936386.69904832309</v>
      </c>
      <c r="H469" s="6">
        <f t="shared" si="21"/>
        <v>-6386.6990483230911</v>
      </c>
      <c r="I469" s="14"/>
      <c r="J469" s="2">
        <f t="shared" si="20"/>
        <v>89.181692094313462</v>
      </c>
      <c r="K469">
        <f t="shared" si="20"/>
        <v>88.993312850171705</v>
      </c>
      <c r="L469">
        <f t="shared" si="20"/>
        <v>72.458122321776401</v>
      </c>
      <c r="M469" s="3" t="s">
        <v>284</v>
      </c>
      <c r="N469" s="15" t="s">
        <v>610</v>
      </c>
      <c r="O469" s="11">
        <v>68454.100000000006</v>
      </c>
    </row>
    <row r="470" spans="1:15" ht="18" x14ac:dyDescent="0.45">
      <c r="A470" s="3" t="s">
        <v>151</v>
      </c>
      <c r="B470" s="3" t="s">
        <v>442</v>
      </c>
      <c r="C470" s="12" t="s">
        <v>482</v>
      </c>
      <c r="D470">
        <v>3230</v>
      </c>
      <c r="E470">
        <v>1230</v>
      </c>
      <c r="F470">
        <v>931000</v>
      </c>
      <c r="G470" s="5">
        <f t="shared" si="19"/>
        <v>939972.0647525962</v>
      </c>
      <c r="H470" s="6">
        <f t="shared" si="21"/>
        <v>-8972.0647525961976</v>
      </c>
      <c r="I470" s="14"/>
      <c r="J470" s="2">
        <f t="shared" si="20"/>
        <v>89.597780859916782</v>
      </c>
      <c r="K470">
        <f t="shared" si="20"/>
        <v>88.92101933851437</v>
      </c>
      <c r="L470">
        <f t="shared" si="20"/>
        <v>72.536034281262175</v>
      </c>
      <c r="M470" s="3" t="s">
        <v>284</v>
      </c>
      <c r="N470" s="15" t="s">
        <v>611</v>
      </c>
      <c r="O470" s="11">
        <v>68465.3</v>
      </c>
    </row>
    <row r="471" spans="1:15" ht="18" x14ac:dyDescent="0.45">
      <c r="A471" s="3" t="s">
        <v>151</v>
      </c>
      <c r="B471" s="3" t="s">
        <v>444</v>
      </c>
      <c r="C471" s="12" t="s">
        <v>483</v>
      </c>
      <c r="D471">
        <v>3235</v>
      </c>
      <c r="E471">
        <v>1228</v>
      </c>
      <c r="F471">
        <v>931000</v>
      </c>
      <c r="G471" s="5">
        <f t="shared" si="19"/>
        <v>939896.7567758736</v>
      </c>
      <c r="H471" s="6">
        <f t="shared" si="21"/>
        <v>-8896.7567758735968</v>
      </c>
      <c r="I471" s="14"/>
      <c r="J471" s="2">
        <f t="shared" si="20"/>
        <v>89.736477115117893</v>
      </c>
      <c r="K471">
        <f t="shared" si="20"/>
        <v>88.776432315199713</v>
      </c>
      <c r="L471">
        <f t="shared" si="20"/>
        <v>72.536034281262175</v>
      </c>
      <c r="M471" s="3" t="s">
        <v>284</v>
      </c>
      <c r="N471" s="15" t="s">
        <v>612</v>
      </c>
      <c r="O471" s="11">
        <v>68078.8</v>
      </c>
    </row>
    <row r="472" spans="1:15" ht="18" x14ac:dyDescent="0.45">
      <c r="A472" s="3" t="s">
        <v>151</v>
      </c>
      <c r="B472" s="3" t="s">
        <v>446</v>
      </c>
      <c r="C472" s="12" t="s">
        <v>484</v>
      </c>
      <c r="D472">
        <v>3245</v>
      </c>
      <c r="E472">
        <v>1227</v>
      </c>
      <c r="F472">
        <v>932000</v>
      </c>
      <c r="G472" s="5">
        <f t="shared" si="19"/>
        <v>942023.03043114801</v>
      </c>
      <c r="H472" s="6">
        <f t="shared" si="21"/>
        <v>-10023.030431148014</v>
      </c>
      <c r="I472" s="14"/>
      <c r="J472" s="2">
        <f t="shared" si="20"/>
        <v>90.013869625520115</v>
      </c>
      <c r="K472">
        <f t="shared" si="20"/>
        <v>88.704138803542392</v>
      </c>
      <c r="L472">
        <f t="shared" si="20"/>
        <v>72.61394624074795</v>
      </c>
      <c r="M472" s="3" t="s">
        <v>284</v>
      </c>
      <c r="N472" s="15" t="s">
        <v>613</v>
      </c>
      <c r="O472" s="11">
        <v>67374</v>
      </c>
    </row>
    <row r="473" spans="1:15" ht="18" x14ac:dyDescent="0.45">
      <c r="A473" s="3" t="s">
        <v>151</v>
      </c>
      <c r="B473" s="3" t="s">
        <v>448</v>
      </c>
      <c r="C473" s="12" t="s">
        <v>614</v>
      </c>
      <c r="D473">
        <v>3245</v>
      </c>
      <c r="E473">
        <v>1200</v>
      </c>
      <c r="F473">
        <v>925000</v>
      </c>
      <c r="G473" s="5">
        <f t="shared" si="19"/>
        <v>921403.94174195407</v>
      </c>
      <c r="H473" s="6">
        <f t="shared" si="21"/>
        <v>3596.0582580459304</v>
      </c>
      <c r="I473" s="14"/>
      <c r="J473" s="2">
        <f t="shared" si="20"/>
        <v>90.013869625520115</v>
      </c>
      <c r="K473">
        <f t="shared" si="20"/>
        <v>86.752213988794495</v>
      </c>
      <c r="L473">
        <f t="shared" si="20"/>
        <v>72.068562524347499</v>
      </c>
      <c r="M473" s="3" t="s">
        <v>284</v>
      </c>
      <c r="N473" s="15" t="s">
        <v>615</v>
      </c>
      <c r="O473" s="11">
        <v>67378.8</v>
      </c>
    </row>
    <row r="474" spans="1:15" ht="18" x14ac:dyDescent="0.45">
      <c r="A474" s="3" t="s">
        <v>151</v>
      </c>
      <c r="B474" s="3" t="s">
        <v>438</v>
      </c>
      <c r="C474" s="12" t="s">
        <v>485</v>
      </c>
      <c r="D474">
        <v>3250</v>
      </c>
      <c r="E474">
        <v>1172.9000000000001</v>
      </c>
      <c r="F474">
        <v>914000</v>
      </c>
      <c r="G474" s="5">
        <f t="shared" si="19"/>
        <v>902088.62239976856</v>
      </c>
      <c r="H474" s="6">
        <f t="shared" si="21"/>
        <v>11911.377600231441</v>
      </c>
      <c r="I474" s="14"/>
      <c r="J474" s="2">
        <f t="shared" si="20"/>
        <v>90.152565880721227</v>
      </c>
      <c r="K474">
        <f t="shared" si="20"/>
        <v>84.793059822880906</v>
      </c>
      <c r="L474">
        <f t="shared" si="20"/>
        <v>71.211530970003906</v>
      </c>
      <c r="M474" s="3" t="s">
        <v>284</v>
      </c>
      <c r="N474" s="15" t="s">
        <v>616</v>
      </c>
      <c r="O474" s="11">
        <v>67016.7</v>
      </c>
    </row>
    <row r="475" spans="1:15" ht="18" x14ac:dyDescent="0.45">
      <c r="A475" s="3" t="s">
        <v>151</v>
      </c>
      <c r="B475" s="3" t="s">
        <v>440</v>
      </c>
      <c r="C475" s="12" t="s">
        <v>487</v>
      </c>
      <c r="D475">
        <v>3255</v>
      </c>
      <c r="E475">
        <v>1172.9000000000001</v>
      </c>
      <c r="F475">
        <v>915000</v>
      </c>
      <c r="G475" s="5">
        <f t="shared" si="19"/>
        <v>903468.75874192198</v>
      </c>
      <c r="H475" s="6">
        <f t="shared" si="21"/>
        <v>11531.241258078022</v>
      </c>
      <c r="I475" s="14"/>
      <c r="J475" s="2">
        <f t="shared" si="20"/>
        <v>90.291262135922338</v>
      </c>
      <c r="K475">
        <f t="shared" si="20"/>
        <v>84.793059822880906</v>
      </c>
      <c r="L475">
        <f t="shared" si="20"/>
        <v>71.289442929489681</v>
      </c>
      <c r="M475" s="3" t="s">
        <v>8</v>
      </c>
      <c r="N475" s="15" t="s">
        <v>617</v>
      </c>
      <c r="O475" s="11">
        <v>66828.600000000006</v>
      </c>
    </row>
    <row r="476" spans="1:15" ht="18" x14ac:dyDescent="0.45">
      <c r="A476" s="3" t="s">
        <v>151</v>
      </c>
      <c r="B476" s="3" t="s">
        <v>446</v>
      </c>
      <c r="C476" s="12" t="s">
        <v>488</v>
      </c>
      <c r="D476">
        <v>3260</v>
      </c>
      <c r="E476">
        <v>1142</v>
      </c>
      <c r="F476">
        <v>910000</v>
      </c>
      <c r="G476" s="5">
        <f t="shared" si="19"/>
        <v>881142.41468668613</v>
      </c>
      <c r="H476" s="6">
        <f t="shared" si="21"/>
        <v>28857.585313313873</v>
      </c>
      <c r="I476" s="14"/>
      <c r="J476" s="2">
        <f t="shared" si="20"/>
        <v>90.429958391123449</v>
      </c>
      <c r="K476">
        <f t="shared" si="20"/>
        <v>82.559190312669443</v>
      </c>
      <c r="L476">
        <f t="shared" si="20"/>
        <v>70.899883132060779</v>
      </c>
      <c r="M476" s="3" t="s">
        <v>8</v>
      </c>
      <c r="N476" s="15" t="s">
        <v>618</v>
      </c>
      <c r="O476" s="11">
        <v>66569.2</v>
      </c>
    </row>
    <row r="477" spans="1:15" ht="18" x14ac:dyDescent="0.45">
      <c r="A477" s="3" t="s">
        <v>151</v>
      </c>
      <c r="B477" s="3" t="s">
        <v>448</v>
      </c>
      <c r="C477" s="12" t="s">
        <v>619</v>
      </c>
      <c r="D477">
        <v>3260</v>
      </c>
      <c r="E477">
        <v>1141</v>
      </c>
      <c r="F477">
        <v>905000</v>
      </c>
      <c r="G477" s="5">
        <f t="shared" si="19"/>
        <v>880375.21467382554</v>
      </c>
      <c r="H477" s="6">
        <f t="shared" si="21"/>
        <v>24624.78532617446</v>
      </c>
      <c r="I477" s="14"/>
      <c r="J477" s="2">
        <f t="shared" si="20"/>
        <v>90.429958391123449</v>
      </c>
      <c r="K477">
        <f t="shared" si="20"/>
        <v>82.486896801012108</v>
      </c>
      <c r="L477">
        <f t="shared" si="20"/>
        <v>70.510323334631863</v>
      </c>
      <c r="M477" s="3" t="s">
        <v>8</v>
      </c>
      <c r="N477" s="15" t="s">
        <v>620</v>
      </c>
      <c r="O477" s="11">
        <v>66540.600000000006</v>
      </c>
    </row>
    <row r="478" spans="1:15" ht="18" x14ac:dyDescent="0.45">
      <c r="A478" s="3" t="s">
        <v>151</v>
      </c>
      <c r="B478" s="3" t="s">
        <v>438</v>
      </c>
      <c r="C478" s="12" t="s">
        <v>489</v>
      </c>
      <c r="D478">
        <v>3260</v>
      </c>
      <c r="E478">
        <v>1178.5</v>
      </c>
      <c r="F478">
        <v>910000</v>
      </c>
      <c r="G478" s="5">
        <f t="shared" si="19"/>
        <v>909145.21515609417</v>
      </c>
      <c r="H478" s="6">
        <f t="shared" si="21"/>
        <v>854.78484390582889</v>
      </c>
      <c r="I478" s="14"/>
      <c r="J478" s="2">
        <f t="shared" ref="J478:L541" si="22">(D478/D$29-1)*100+100</f>
        <v>90.429958391123449</v>
      </c>
      <c r="K478">
        <f t="shared" si="22"/>
        <v>85.197903488161941</v>
      </c>
      <c r="L478">
        <f t="shared" si="22"/>
        <v>70.899883132060779</v>
      </c>
      <c r="M478" s="3" t="s">
        <v>8</v>
      </c>
      <c r="N478" s="15" t="s">
        <v>621</v>
      </c>
      <c r="O478" s="11">
        <v>66208.899999999994</v>
      </c>
    </row>
    <row r="479" spans="1:15" ht="18" x14ac:dyDescent="0.45">
      <c r="A479" s="3" t="s">
        <v>151</v>
      </c>
      <c r="B479" s="3" t="s">
        <v>440</v>
      </c>
      <c r="C479" s="12" t="s">
        <v>490</v>
      </c>
      <c r="D479">
        <v>3255</v>
      </c>
      <c r="E479">
        <v>1178.5</v>
      </c>
      <c r="F479">
        <v>912000</v>
      </c>
      <c r="G479" s="5">
        <f t="shared" si="19"/>
        <v>907758.48936597747</v>
      </c>
      <c r="H479" s="6">
        <f t="shared" si="21"/>
        <v>4241.510634022532</v>
      </c>
      <c r="I479" s="14"/>
      <c r="J479" s="2">
        <f t="shared" si="22"/>
        <v>90.291262135922338</v>
      </c>
      <c r="K479">
        <f t="shared" si="22"/>
        <v>85.197903488161941</v>
      </c>
      <c r="L479">
        <f t="shared" si="22"/>
        <v>71.055707051032329</v>
      </c>
      <c r="M479" s="3" t="s">
        <v>8</v>
      </c>
      <c r="N479" s="15" t="s">
        <v>622</v>
      </c>
      <c r="O479" s="11">
        <v>65576.800000000003</v>
      </c>
    </row>
    <row r="480" spans="1:15" ht="18" x14ac:dyDescent="0.45">
      <c r="A480" s="3" t="s">
        <v>151</v>
      </c>
      <c r="B480" s="3" t="s">
        <v>442</v>
      </c>
      <c r="C480" s="12" t="s">
        <v>491</v>
      </c>
      <c r="D480">
        <v>3250</v>
      </c>
      <c r="E480">
        <v>1166</v>
      </c>
      <c r="F480">
        <v>909000</v>
      </c>
      <c r="G480" s="5">
        <f t="shared" si="19"/>
        <v>896811.18059351167</v>
      </c>
      <c r="H480" s="6">
        <f t="shared" si="21"/>
        <v>12188.819406488328</v>
      </c>
      <c r="I480" s="14"/>
      <c r="J480" s="2">
        <f t="shared" si="22"/>
        <v>90.152565880721227</v>
      </c>
      <c r="K480">
        <f t="shared" si="22"/>
        <v>84.294234592445321</v>
      </c>
      <c r="L480">
        <f t="shared" si="22"/>
        <v>70.82197117257499</v>
      </c>
      <c r="M480" s="3" t="s">
        <v>8</v>
      </c>
      <c r="N480" s="15" t="s">
        <v>623</v>
      </c>
      <c r="O480" s="11">
        <v>65508.2</v>
      </c>
    </row>
    <row r="481" spans="1:15" ht="18" x14ac:dyDescent="0.45">
      <c r="A481" s="3" t="s">
        <v>151</v>
      </c>
      <c r="B481" s="3" t="s">
        <v>444</v>
      </c>
      <c r="C481" s="12" t="s">
        <v>492</v>
      </c>
      <c r="D481">
        <v>3255</v>
      </c>
      <c r="E481">
        <v>1153</v>
      </c>
      <c r="F481">
        <v>903000</v>
      </c>
      <c r="G481" s="5">
        <f t="shared" si="19"/>
        <v>888224.89456001017</v>
      </c>
      <c r="H481" s="6">
        <f t="shared" si="21"/>
        <v>14775.105439989828</v>
      </c>
      <c r="I481" s="14"/>
      <c r="J481" s="2">
        <f t="shared" si="22"/>
        <v>90.291262135922338</v>
      </c>
      <c r="K481">
        <f t="shared" si="22"/>
        <v>83.354418940900047</v>
      </c>
      <c r="L481">
        <f t="shared" si="22"/>
        <v>70.3544994156603</v>
      </c>
      <c r="M481" s="3" t="s">
        <v>8</v>
      </c>
      <c r="N481" s="15" t="s">
        <v>624</v>
      </c>
      <c r="O481" s="11">
        <v>65634.100000000006</v>
      </c>
    </row>
    <row r="482" spans="1:15" ht="18" x14ac:dyDescent="0.45">
      <c r="A482" s="3" t="s">
        <v>151</v>
      </c>
      <c r="B482" s="3" t="s">
        <v>446</v>
      </c>
      <c r="C482" s="12" t="s">
        <v>494</v>
      </c>
      <c r="D482">
        <v>3260</v>
      </c>
      <c r="E482">
        <v>1163</v>
      </c>
      <c r="F482">
        <v>906000</v>
      </c>
      <c r="G482" s="5">
        <f t="shared" si="19"/>
        <v>897253.61495675636</v>
      </c>
      <c r="H482" s="6">
        <f t="shared" si="21"/>
        <v>8746.3850432436448</v>
      </c>
      <c r="I482" s="14"/>
      <c r="J482" s="2">
        <f t="shared" si="22"/>
        <v>90.429958391123449</v>
      </c>
      <c r="K482">
        <f t="shared" si="22"/>
        <v>84.077354057473343</v>
      </c>
      <c r="L482">
        <f t="shared" si="22"/>
        <v>70.588235294117652</v>
      </c>
      <c r="M482" s="3" t="s">
        <v>8</v>
      </c>
      <c r="N482" s="15" t="s">
        <v>625</v>
      </c>
      <c r="O482" s="11">
        <v>65088.3</v>
      </c>
    </row>
    <row r="483" spans="1:15" ht="18" x14ac:dyDescent="0.45">
      <c r="A483" s="3" t="s">
        <v>151</v>
      </c>
      <c r="B483" s="3" t="s">
        <v>448</v>
      </c>
      <c r="C483" s="12" t="s">
        <v>626</v>
      </c>
      <c r="D483">
        <v>3265</v>
      </c>
      <c r="E483">
        <v>1162</v>
      </c>
      <c r="F483">
        <v>908000</v>
      </c>
      <c r="G483" s="5">
        <f t="shared" si="19"/>
        <v>897853.72539626388</v>
      </c>
      <c r="H483" s="6">
        <f t="shared" si="21"/>
        <v>10146.274603736121</v>
      </c>
      <c r="I483" s="14"/>
      <c r="J483" s="2">
        <f t="shared" si="22"/>
        <v>90.568654646324546</v>
      </c>
      <c r="K483">
        <f t="shared" si="22"/>
        <v>84.005060545816008</v>
      </c>
      <c r="L483">
        <f t="shared" si="22"/>
        <v>70.744059213089201</v>
      </c>
      <c r="M483" s="3" t="s">
        <v>8</v>
      </c>
      <c r="N483" s="15" t="s">
        <v>627</v>
      </c>
      <c r="O483" s="11">
        <v>64415.8</v>
      </c>
    </row>
    <row r="484" spans="1:15" ht="18" x14ac:dyDescent="0.45">
      <c r="A484" s="3" t="s">
        <v>151</v>
      </c>
      <c r="B484" s="3" t="s">
        <v>438</v>
      </c>
      <c r="C484" s="12" t="s">
        <v>495</v>
      </c>
      <c r="D484">
        <v>3260</v>
      </c>
      <c r="E484">
        <v>1188.5</v>
      </c>
      <c r="F484">
        <v>916000</v>
      </c>
      <c r="G484" s="5">
        <f t="shared" si="19"/>
        <v>916817.21528469911</v>
      </c>
      <c r="H484" s="6">
        <f t="shared" si="21"/>
        <v>-817.21528469910845</v>
      </c>
      <c r="I484" s="14"/>
      <c r="J484" s="2">
        <f t="shared" si="22"/>
        <v>90.429958391123449</v>
      </c>
      <c r="K484">
        <f t="shared" si="22"/>
        <v>85.920838604735223</v>
      </c>
      <c r="L484">
        <f t="shared" si="22"/>
        <v>71.367354888975456</v>
      </c>
      <c r="M484" s="3" t="s">
        <v>8</v>
      </c>
      <c r="N484" s="15" t="s">
        <v>628</v>
      </c>
      <c r="O484" s="11">
        <v>64168.1</v>
      </c>
    </row>
    <row r="485" spans="1:15" ht="18" x14ac:dyDescent="0.45">
      <c r="A485" s="3" t="s">
        <v>151</v>
      </c>
      <c r="B485" s="3" t="s">
        <v>440</v>
      </c>
      <c r="C485" s="12" t="s">
        <v>496</v>
      </c>
      <c r="D485">
        <v>3250</v>
      </c>
      <c r="E485">
        <v>1188.5</v>
      </c>
      <c r="F485">
        <v>915000</v>
      </c>
      <c r="G485" s="5">
        <f t="shared" si="19"/>
        <v>914020.22996173985</v>
      </c>
      <c r="H485" s="6">
        <f t="shared" si="21"/>
        <v>979.77003826014698</v>
      </c>
      <c r="I485" s="14"/>
      <c r="J485" s="2">
        <f t="shared" si="22"/>
        <v>90.152565880721227</v>
      </c>
      <c r="K485">
        <f t="shared" si="22"/>
        <v>85.920838604735223</v>
      </c>
      <c r="L485">
        <f t="shared" si="22"/>
        <v>71.289442929489681</v>
      </c>
      <c r="M485" s="3" t="s">
        <v>8</v>
      </c>
      <c r="N485" s="15" t="s">
        <v>629</v>
      </c>
      <c r="O485" s="11">
        <v>64069.1</v>
      </c>
    </row>
    <row r="486" spans="1:15" ht="18" x14ac:dyDescent="0.45">
      <c r="A486" s="3" t="s">
        <v>151</v>
      </c>
      <c r="B486" s="3" t="s">
        <v>442</v>
      </c>
      <c r="C486" s="12" t="s">
        <v>497</v>
      </c>
      <c r="D486">
        <v>3250</v>
      </c>
      <c r="E486">
        <v>1188</v>
      </c>
      <c r="F486">
        <v>915000</v>
      </c>
      <c r="G486" s="5">
        <f t="shared" si="19"/>
        <v>913637.80664244597</v>
      </c>
      <c r="H486" s="6">
        <f t="shared" si="21"/>
        <v>1362.1933575540315</v>
      </c>
      <c r="I486" s="14"/>
      <c r="J486" s="2">
        <f t="shared" si="22"/>
        <v>90.152565880721227</v>
      </c>
      <c r="K486">
        <f t="shared" si="22"/>
        <v>85.884691848906556</v>
      </c>
      <c r="L486">
        <f t="shared" si="22"/>
        <v>71.289442929489681</v>
      </c>
      <c r="M486" s="3" t="s">
        <v>8</v>
      </c>
      <c r="N486" s="15" t="s">
        <v>630</v>
      </c>
      <c r="O486" s="11">
        <v>63530.2</v>
      </c>
    </row>
    <row r="487" spans="1:15" ht="18" x14ac:dyDescent="0.45">
      <c r="A487" s="3" t="s">
        <v>151</v>
      </c>
      <c r="B487" s="3" t="s">
        <v>444</v>
      </c>
      <c r="C487" s="12" t="s">
        <v>498</v>
      </c>
      <c r="D487">
        <v>3255</v>
      </c>
      <c r="E487">
        <v>1199</v>
      </c>
      <c r="F487">
        <v>918000</v>
      </c>
      <c r="G487" s="5">
        <f t="shared" si="19"/>
        <v>923461.96754332364</v>
      </c>
      <c r="H487" s="6">
        <f t="shared" si="21"/>
        <v>-5461.9675433236407</v>
      </c>
      <c r="I487" s="14"/>
      <c r="J487" s="2">
        <f t="shared" si="22"/>
        <v>90.291262135922338</v>
      </c>
      <c r="K487">
        <f t="shared" si="22"/>
        <v>86.679920477137173</v>
      </c>
      <c r="L487">
        <f t="shared" si="22"/>
        <v>71.523178807947019</v>
      </c>
      <c r="M487" s="3" t="s">
        <v>8</v>
      </c>
      <c r="N487" s="15" t="s">
        <v>631</v>
      </c>
      <c r="O487" s="11">
        <v>62887.4</v>
      </c>
    </row>
    <row r="488" spans="1:15" ht="18" x14ac:dyDescent="0.45">
      <c r="A488" s="3" t="s">
        <v>151</v>
      </c>
      <c r="B488" s="3" t="s">
        <v>446</v>
      </c>
      <c r="C488" s="12" t="s">
        <v>499</v>
      </c>
      <c r="D488">
        <v>3255</v>
      </c>
      <c r="E488">
        <v>1195</v>
      </c>
      <c r="F488">
        <v>918000</v>
      </c>
      <c r="G488" s="5">
        <f t="shared" si="19"/>
        <v>920397.87424042681</v>
      </c>
      <c r="H488" s="6">
        <f t="shared" si="21"/>
        <v>-2397.8742404268123</v>
      </c>
      <c r="I488" s="14"/>
      <c r="J488" s="2">
        <f t="shared" si="22"/>
        <v>90.291262135922338</v>
      </c>
      <c r="K488">
        <f t="shared" si="22"/>
        <v>86.390746430507861</v>
      </c>
      <c r="L488">
        <f t="shared" si="22"/>
        <v>71.523178807947019</v>
      </c>
      <c r="M488" s="3" t="s">
        <v>8</v>
      </c>
      <c r="N488" s="15" t="s">
        <v>632</v>
      </c>
      <c r="O488" s="11">
        <v>63069.8</v>
      </c>
    </row>
    <row r="489" spans="1:15" ht="18" x14ac:dyDescent="0.45">
      <c r="A489" s="3" t="s">
        <v>151</v>
      </c>
      <c r="B489" s="3" t="s">
        <v>448</v>
      </c>
      <c r="C489" s="12" t="s">
        <v>633</v>
      </c>
      <c r="D489">
        <v>3255</v>
      </c>
      <c r="E489">
        <v>1192</v>
      </c>
      <c r="F489">
        <v>916000</v>
      </c>
      <c r="G489" s="5">
        <f t="shared" si="19"/>
        <v>918099.80426325428</v>
      </c>
      <c r="H489" s="6">
        <f t="shared" si="21"/>
        <v>-2099.8042632542783</v>
      </c>
      <c r="I489" s="14">
        <f>F489/F466-1</f>
        <v>-2.4494142705005273E-2</v>
      </c>
      <c r="J489" s="2">
        <f t="shared" si="22"/>
        <v>90.291262135922338</v>
      </c>
      <c r="K489">
        <f t="shared" si="22"/>
        <v>86.173865895535869</v>
      </c>
      <c r="L489">
        <f t="shared" si="22"/>
        <v>71.367354888975456</v>
      </c>
      <c r="M489" s="3" t="s">
        <v>8</v>
      </c>
      <c r="N489" s="15" t="s">
        <v>634</v>
      </c>
      <c r="O489" s="11">
        <v>63316</v>
      </c>
    </row>
    <row r="490" spans="1:15" ht="18" x14ac:dyDescent="0.45">
      <c r="A490" s="3" t="s">
        <v>175</v>
      </c>
      <c r="B490" s="3" t="s">
        <v>438</v>
      </c>
      <c r="C490" s="12" t="s">
        <v>501</v>
      </c>
      <c r="D490">
        <v>3250</v>
      </c>
      <c r="E490">
        <v>1202.0999999999999</v>
      </c>
      <c r="F490">
        <v>914000</v>
      </c>
      <c r="G490" s="5">
        <f t="shared" si="19"/>
        <v>924422.14424653561</v>
      </c>
      <c r="H490" s="6">
        <f t="shared" si="21"/>
        <v>-10422.144246535609</v>
      </c>
      <c r="I490" s="14"/>
      <c r="J490" s="2">
        <f t="shared" si="22"/>
        <v>90.152565880721227</v>
      </c>
      <c r="K490">
        <f t="shared" si="22"/>
        <v>86.904030363274885</v>
      </c>
      <c r="L490">
        <f t="shared" si="22"/>
        <v>71.211530970003906</v>
      </c>
      <c r="M490" s="3" t="s">
        <v>8</v>
      </c>
      <c r="N490" s="15" t="s">
        <v>635</v>
      </c>
      <c r="O490" s="11">
        <v>63531.4</v>
      </c>
    </row>
    <row r="491" spans="1:15" ht="18" x14ac:dyDescent="0.45">
      <c r="A491" s="3" t="s">
        <v>175</v>
      </c>
      <c r="B491" s="3" t="s">
        <v>440</v>
      </c>
      <c r="C491" s="12" t="s">
        <v>502</v>
      </c>
      <c r="D491">
        <v>3240</v>
      </c>
      <c r="E491">
        <v>1202.0999999999999</v>
      </c>
      <c r="F491">
        <v>914000</v>
      </c>
      <c r="G491" s="5">
        <f t="shared" si="19"/>
        <v>921593.15303346934</v>
      </c>
      <c r="H491" s="6">
        <f t="shared" si="21"/>
        <v>-7593.153033469338</v>
      </c>
      <c r="I491" s="14"/>
      <c r="J491" s="2">
        <f t="shared" si="22"/>
        <v>89.875173370319004</v>
      </c>
      <c r="K491">
        <f t="shared" si="22"/>
        <v>86.904030363274885</v>
      </c>
      <c r="L491">
        <f t="shared" si="22"/>
        <v>71.211530970003906</v>
      </c>
      <c r="M491" s="3" t="s">
        <v>8</v>
      </c>
      <c r="N491" s="15" t="s">
        <v>636</v>
      </c>
      <c r="O491" s="11">
        <v>63465.1</v>
      </c>
    </row>
    <row r="492" spans="1:15" ht="18" x14ac:dyDescent="0.45">
      <c r="A492" s="3" t="s">
        <v>175</v>
      </c>
      <c r="B492" s="3" t="s">
        <v>442</v>
      </c>
      <c r="C492" s="12" t="s">
        <v>503</v>
      </c>
      <c r="D492">
        <v>3255</v>
      </c>
      <c r="E492">
        <v>1195</v>
      </c>
      <c r="F492">
        <v>917000</v>
      </c>
      <c r="G492" s="5">
        <f t="shared" si="19"/>
        <v>920397.87424042681</v>
      </c>
      <c r="H492" s="6">
        <f t="shared" si="21"/>
        <v>-3397.8742404268123</v>
      </c>
      <c r="I492" s="14"/>
      <c r="J492" s="2">
        <f t="shared" si="22"/>
        <v>90.291262135922338</v>
      </c>
      <c r="K492">
        <f t="shared" si="22"/>
        <v>86.390746430507861</v>
      </c>
      <c r="L492">
        <f t="shared" si="22"/>
        <v>71.445266848461245</v>
      </c>
      <c r="M492" s="3" t="s">
        <v>8</v>
      </c>
      <c r="N492" s="15" t="s">
        <v>637</v>
      </c>
      <c r="O492" s="11">
        <v>63522.8</v>
      </c>
    </row>
    <row r="493" spans="1:15" ht="18" x14ac:dyDescent="0.45">
      <c r="A493" s="3" t="s">
        <v>175</v>
      </c>
      <c r="B493" s="3" t="s">
        <v>444</v>
      </c>
      <c r="C493" s="12" t="s">
        <v>504</v>
      </c>
      <c r="D493">
        <v>3265</v>
      </c>
      <c r="E493">
        <v>1200</v>
      </c>
      <c r="F493">
        <v>927000</v>
      </c>
      <c r="G493" s="5">
        <f t="shared" si="19"/>
        <v>927052.0399961418</v>
      </c>
      <c r="H493" s="6">
        <f t="shared" si="21"/>
        <v>-52.039996141800657</v>
      </c>
      <c r="I493" s="14"/>
      <c r="J493" s="2">
        <f t="shared" si="22"/>
        <v>90.568654646324546</v>
      </c>
      <c r="K493">
        <f t="shared" si="22"/>
        <v>86.752213988794495</v>
      </c>
      <c r="L493">
        <f t="shared" si="22"/>
        <v>72.224386443319048</v>
      </c>
      <c r="M493" s="3" t="s">
        <v>8</v>
      </c>
      <c r="N493" s="15" t="s">
        <v>638</v>
      </c>
      <c r="O493" s="11">
        <v>63644.3</v>
      </c>
    </row>
    <row r="494" spans="1:15" ht="18" x14ac:dyDescent="0.45">
      <c r="A494" s="3" t="s">
        <v>175</v>
      </c>
      <c r="B494" s="3" t="s">
        <v>446</v>
      </c>
      <c r="C494" s="12" t="s">
        <v>505</v>
      </c>
      <c r="D494">
        <v>3285</v>
      </c>
      <c r="E494">
        <v>1197</v>
      </c>
      <c r="F494">
        <v>935000</v>
      </c>
      <c r="G494" s="5">
        <f t="shared" si="19"/>
        <v>930380.88790470362</v>
      </c>
      <c r="H494" s="6">
        <f t="shared" si="21"/>
        <v>4619.1120952963829</v>
      </c>
      <c r="I494" s="14"/>
      <c r="J494" s="2">
        <f t="shared" si="22"/>
        <v>91.123439667128991</v>
      </c>
      <c r="K494">
        <f t="shared" si="22"/>
        <v>86.535333453822517</v>
      </c>
      <c r="L494">
        <f t="shared" si="22"/>
        <v>72.847682119205288</v>
      </c>
      <c r="M494" s="3" t="s">
        <v>8</v>
      </c>
      <c r="N494" s="15" t="s">
        <v>639</v>
      </c>
      <c r="O494" s="11">
        <v>63703.1</v>
      </c>
    </row>
    <row r="495" spans="1:15" ht="18" x14ac:dyDescent="0.45">
      <c r="A495" s="3" t="s">
        <v>175</v>
      </c>
      <c r="B495" s="3" t="s">
        <v>448</v>
      </c>
      <c r="C495" s="12" t="s">
        <v>640</v>
      </c>
      <c r="D495">
        <v>3315</v>
      </c>
      <c r="E495">
        <v>1195</v>
      </c>
      <c r="F495">
        <v>938000</v>
      </c>
      <c r="G495" s="5">
        <f t="shared" si="19"/>
        <v>937271.56777481257</v>
      </c>
      <c r="H495" s="6">
        <f t="shared" si="21"/>
        <v>728.4322251874255</v>
      </c>
      <c r="I495" s="14"/>
      <c r="J495" s="2">
        <f t="shared" si="22"/>
        <v>91.955617198335645</v>
      </c>
      <c r="K495">
        <f t="shared" si="22"/>
        <v>86.390746430507861</v>
      </c>
      <c r="L495">
        <f t="shared" si="22"/>
        <v>73.081417997662641</v>
      </c>
      <c r="M495" s="3" t="s">
        <v>23</v>
      </c>
      <c r="N495" s="15" t="s">
        <v>641</v>
      </c>
      <c r="O495" s="11">
        <v>63427.8</v>
      </c>
    </row>
    <row r="496" spans="1:15" ht="18" x14ac:dyDescent="0.45">
      <c r="A496" s="3" t="s">
        <v>175</v>
      </c>
      <c r="B496" s="3" t="s">
        <v>438</v>
      </c>
      <c r="C496" s="12" t="s">
        <v>506</v>
      </c>
      <c r="D496">
        <v>3395</v>
      </c>
      <c r="E496">
        <v>1168.5</v>
      </c>
      <c r="F496">
        <v>943000</v>
      </c>
      <c r="G496" s="5">
        <f t="shared" si="19"/>
        <v>938597.1058338423</v>
      </c>
      <c r="H496" s="6">
        <f t="shared" si="21"/>
        <v>4402.8941661576973</v>
      </c>
      <c r="I496" s="14"/>
      <c r="J496" s="2">
        <f t="shared" si="22"/>
        <v>94.174757281553397</v>
      </c>
      <c r="K496">
        <f t="shared" si="22"/>
        <v>84.474968371588659</v>
      </c>
      <c r="L496">
        <f t="shared" si="22"/>
        <v>73.470977795091542</v>
      </c>
      <c r="M496" s="3" t="s">
        <v>23</v>
      </c>
      <c r="N496" s="15" t="s">
        <v>642</v>
      </c>
      <c r="O496" s="11">
        <v>63363.8</v>
      </c>
    </row>
    <row r="497" spans="1:15" ht="18" x14ac:dyDescent="0.45">
      <c r="A497" s="3" t="s">
        <v>175</v>
      </c>
      <c r="B497" s="3" t="s">
        <v>440</v>
      </c>
      <c r="C497" s="12" t="s">
        <v>508</v>
      </c>
      <c r="D497">
        <v>3480</v>
      </c>
      <c r="E497">
        <v>1168.5</v>
      </c>
      <c r="F497">
        <v>961000</v>
      </c>
      <c r="G497" s="5">
        <f t="shared" si="19"/>
        <v>961971.40745265724</v>
      </c>
      <c r="H497" s="6">
        <f t="shared" si="21"/>
        <v>-971.40745265723672</v>
      </c>
      <c r="I497" s="14"/>
      <c r="J497" s="2">
        <f t="shared" si="22"/>
        <v>96.532593619972261</v>
      </c>
      <c r="K497">
        <f t="shared" si="22"/>
        <v>84.474968371588659</v>
      </c>
      <c r="L497">
        <f t="shared" si="22"/>
        <v>74.8733930658356</v>
      </c>
      <c r="M497" s="3" t="s">
        <v>23</v>
      </c>
      <c r="N497" s="15" t="s">
        <v>643</v>
      </c>
      <c r="O497" s="11">
        <v>63496.5</v>
      </c>
    </row>
    <row r="498" spans="1:15" ht="18" x14ac:dyDescent="0.45">
      <c r="A498" s="3" t="s">
        <v>175</v>
      </c>
      <c r="B498" s="3" t="s">
        <v>442</v>
      </c>
      <c r="C498" s="12" t="s">
        <v>509</v>
      </c>
      <c r="D498">
        <v>3395</v>
      </c>
      <c r="E498">
        <v>1172</v>
      </c>
      <c r="F498">
        <v>952000</v>
      </c>
      <c r="G498" s="5">
        <f t="shared" si="19"/>
        <v>941393.50281323341</v>
      </c>
      <c r="H498" s="6">
        <f t="shared" si="21"/>
        <v>10606.497186766588</v>
      </c>
      <c r="I498" s="14"/>
      <c r="J498" s="2">
        <f t="shared" si="22"/>
        <v>94.174757281553397</v>
      </c>
      <c r="K498">
        <f t="shared" si="22"/>
        <v>84.727995662389304</v>
      </c>
      <c r="L498">
        <f t="shared" si="22"/>
        <v>74.172185430463571</v>
      </c>
      <c r="M498" s="3" t="s">
        <v>23</v>
      </c>
      <c r="N498" s="15" t="s">
        <v>644</v>
      </c>
      <c r="O498" s="11">
        <v>63419.1</v>
      </c>
    </row>
    <row r="499" spans="1:15" ht="18" x14ac:dyDescent="0.45">
      <c r="A499" s="3" t="s">
        <v>175</v>
      </c>
      <c r="B499" s="3" t="s">
        <v>444</v>
      </c>
      <c r="C499" s="12" t="s">
        <v>510</v>
      </c>
      <c r="D499">
        <v>3375</v>
      </c>
      <c r="E499">
        <v>1195</v>
      </c>
      <c r="F499">
        <v>962000</v>
      </c>
      <c r="G499" s="5">
        <f t="shared" si="19"/>
        <v>954145.26130919834</v>
      </c>
      <c r="H499" s="6">
        <f t="shared" si="21"/>
        <v>7854.7386908016633</v>
      </c>
      <c r="I499" s="14"/>
      <c r="J499" s="2">
        <f t="shared" si="22"/>
        <v>93.619972260748966</v>
      </c>
      <c r="K499">
        <f t="shared" si="22"/>
        <v>86.390746430507861</v>
      </c>
      <c r="L499">
        <f t="shared" si="22"/>
        <v>74.951305025321389</v>
      </c>
      <c r="M499" s="3" t="s">
        <v>23</v>
      </c>
      <c r="N499" s="15" t="s">
        <v>645</v>
      </c>
      <c r="O499" s="11">
        <v>63402.1</v>
      </c>
    </row>
    <row r="500" spans="1:15" ht="18" x14ac:dyDescent="0.45">
      <c r="A500" s="3" t="s">
        <v>175</v>
      </c>
      <c r="B500" s="3" t="s">
        <v>446</v>
      </c>
      <c r="C500" s="12" t="s">
        <v>511</v>
      </c>
      <c r="D500">
        <v>3375</v>
      </c>
      <c r="E500">
        <v>1200</v>
      </c>
      <c r="F500">
        <v>959000</v>
      </c>
      <c r="G500" s="5">
        <f t="shared" si="19"/>
        <v>958116.58039417409</v>
      </c>
      <c r="H500" s="6">
        <f t="shared" si="21"/>
        <v>883.41960582591128</v>
      </c>
      <c r="I500" s="14"/>
      <c r="J500" s="2">
        <f t="shared" si="22"/>
        <v>93.619972260748966</v>
      </c>
      <c r="K500">
        <f t="shared" si="22"/>
        <v>86.752213988794495</v>
      </c>
      <c r="L500">
        <f t="shared" si="22"/>
        <v>74.717569146864051</v>
      </c>
      <c r="M500" s="3" t="s">
        <v>23</v>
      </c>
      <c r="N500" s="15" t="s">
        <v>646</v>
      </c>
      <c r="O500" s="11">
        <v>63419.9</v>
      </c>
    </row>
    <row r="501" spans="1:15" ht="18" x14ac:dyDescent="0.45">
      <c r="A501" s="3" t="s">
        <v>175</v>
      </c>
      <c r="B501" s="3" t="s">
        <v>448</v>
      </c>
      <c r="C501" s="12" t="s">
        <v>647</v>
      </c>
      <c r="D501">
        <v>3370</v>
      </c>
      <c r="E501">
        <v>1205</v>
      </c>
      <c r="F501">
        <v>959000</v>
      </c>
      <c r="G501" s="5">
        <f t="shared" si="19"/>
        <v>960669.9914799215</v>
      </c>
      <c r="H501" s="6">
        <f t="shared" si="21"/>
        <v>-1669.9914799215039</v>
      </c>
      <c r="I501" s="14"/>
      <c r="J501" s="2">
        <f t="shared" si="22"/>
        <v>93.481276005547855</v>
      </c>
      <c r="K501">
        <f t="shared" si="22"/>
        <v>87.113681547081143</v>
      </c>
      <c r="L501">
        <f t="shared" si="22"/>
        <v>74.717569146864051</v>
      </c>
      <c r="M501" s="3" t="s">
        <v>23</v>
      </c>
      <c r="N501" s="15" t="s">
        <v>648</v>
      </c>
      <c r="O501" s="11">
        <v>63227.9</v>
      </c>
    </row>
    <row r="502" spans="1:15" ht="18" x14ac:dyDescent="0.45">
      <c r="A502" s="3" t="s">
        <v>175</v>
      </c>
      <c r="B502" s="3" t="s">
        <v>438</v>
      </c>
      <c r="C502" s="12" t="s">
        <v>512</v>
      </c>
      <c r="D502">
        <v>3370</v>
      </c>
      <c r="E502">
        <v>1193.0999999999999</v>
      </c>
      <c r="F502">
        <v>952000</v>
      </c>
      <c r="G502" s="5">
        <f t="shared" si="19"/>
        <v>951232.25463460083</v>
      </c>
      <c r="H502" s="6">
        <f t="shared" si="21"/>
        <v>767.7453653991688</v>
      </c>
      <c r="I502" s="14"/>
      <c r="J502" s="2">
        <f t="shared" si="22"/>
        <v>93.481276005547855</v>
      </c>
      <c r="K502">
        <f t="shared" si="22"/>
        <v>86.253388758358923</v>
      </c>
      <c r="L502">
        <f t="shared" si="22"/>
        <v>74.172185430463571</v>
      </c>
      <c r="M502" s="3" t="s">
        <v>23</v>
      </c>
      <c r="N502" s="15" t="s">
        <v>649</v>
      </c>
      <c r="O502" s="11">
        <v>63227</v>
      </c>
    </row>
    <row r="503" spans="1:15" ht="18" x14ac:dyDescent="0.45">
      <c r="A503" s="3" t="s">
        <v>175</v>
      </c>
      <c r="B503" s="3" t="s">
        <v>440</v>
      </c>
      <c r="C503" s="12" t="s">
        <v>513</v>
      </c>
      <c r="D503">
        <v>3395</v>
      </c>
      <c r="E503">
        <v>1193.0999999999999</v>
      </c>
      <c r="F503">
        <v>956000</v>
      </c>
      <c r="G503" s="5">
        <f t="shared" si="19"/>
        <v>958251.78174613358</v>
      </c>
      <c r="H503" s="6">
        <f t="shared" si="21"/>
        <v>-2251.7817461335799</v>
      </c>
      <c r="I503" s="14"/>
      <c r="J503" s="2">
        <f t="shared" si="22"/>
        <v>94.174757281553397</v>
      </c>
      <c r="K503">
        <f t="shared" si="22"/>
        <v>86.253388758358923</v>
      </c>
      <c r="L503">
        <f t="shared" si="22"/>
        <v>74.483833268406698</v>
      </c>
      <c r="M503" s="3" t="s">
        <v>23</v>
      </c>
      <c r="N503" s="15" t="s">
        <v>650</v>
      </c>
      <c r="O503" s="11">
        <v>63289.8</v>
      </c>
    </row>
    <row r="504" spans="1:15" ht="18" x14ac:dyDescent="0.45">
      <c r="A504" s="3" t="s">
        <v>175</v>
      </c>
      <c r="B504" s="3" t="s">
        <v>442</v>
      </c>
      <c r="C504" s="12" t="s">
        <v>515</v>
      </c>
      <c r="D504">
        <v>3435</v>
      </c>
      <c r="E504">
        <v>1196</v>
      </c>
      <c r="F504">
        <v>963000</v>
      </c>
      <c r="G504" s="5">
        <f t="shared" si="19"/>
        <v>971827.33890621457</v>
      </c>
      <c r="H504" s="6">
        <f t="shared" si="21"/>
        <v>-8827.3389062145725</v>
      </c>
      <c r="I504" s="14"/>
      <c r="J504" s="2">
        <f t="shared" si="22"/>
        <v>95.284327323162273</v>
      </c>
      <c r="K504">
        <f t="shared" si="22"/>
        <v>86.463039942165182</v>
      </c>
      <c r="L504">
        <f t="shared" si="22"/>
        <v>75.029216984807164</v>
      </c>
      <c r="M504" s="3" t="s">
        <v>23</v>
      </c>
      <c r="N504" s="15" t="s">
        <v>651</v>
      </c>
      <c r="O504" s="11">
        <v>63297.599999999999</v>
      </c>
    </row>
    <row r="505" spans="1:15" ht="18" x14ac:dyDescent="0.45">
      <c r="A505" s="3" t="s">
        <v>175</v>
      </c>
      <c r="B505" s="3" t="s">
        <v>444</v>
      </c>
      <c r="C505" s="12" t="s">
        <v>516</v>
      </c>
      <c r="D505">
        <v>3420</v>
      </c>
      <c r="E505">
        <v>1206</v>
      </c>
      <c r="F505">
        <v>968000</v>
      </c>
      <c r="G505" s="5">
        <f t="shared" si="19"/>
        <v>975653.92547342705</v>
      </c>
      <c r="H505" s="6">
        <f t="shared" si="21"/>
        <v>-7653.9254734270507</v>
      </c>
      <c r="I505" s="14"/>
      <c r="J505" s="2">
        <f t="shared" si="22"/>
        <v>94.868238557558954</v>
      </c>
      <c r="K505">
        <f t="shared" si="22"/>
        <v>87.185975058738478</v>
      </c>
      <c r="L505">
        <f t="shared" si="22"/>
        <v>75.41877678223608</v>
      </c>
      <c r="M505" s="3" t="s">
        <v>23</v>
      </c>
      <c r="N505" s="15" t="s">
        <v>652</v>
      </c>
      <c r="O505" s="11">
        <v>63187</v>
      </c>
    </row>
    <row r="506" spans="1:15" ht="18" x14ac:dyDescent="0.45">
      <c r="A506" s="3" t="s">
        <v>175</v>
      </c>
      <c r="B506" s="3" t="s">
        <v>446</v>
      </c>
      <c r="C506" s="12" t="s">
        <v>517</v>
      </c>
      <c r="D506">
        <v>3415</v>
      </c>
      <c r="E506">
        <v>1227</v>
      </c>
      <c r="F506">
        <v>975000</v>
      </c>
      <c r="G506" s="5">
        <f t="shared" si="19"/>
        <v>991112.06438285694</v>
      </c>
      <c r="H506" s="6">
        <f t="shared" si="21"/>
        <v>-16112.064382856945</v>
      </c>
      <c r="I506" s="14"/>
      <c r="J506" s="2">
        <f t="shared" si="22"/>
        <v>94.729542302357842</v>
      </c>
      <c r="K506">
        <f t="shared" si="22"/>
        <v>88.704138803542392</v>
      </c>
      <c r="L506">
        <f t="shared" si="22"/>
        <v>75.964160498636545</v>
      </c>
      <c r="M506" s="3" t="s">
        <v>23</v>
      </c>
      <c r="N506" s="15" t="s">
        <v>653</v>
      </c>
      <c r="O506" s="11">
        <v>62952.3</v>
      </c>
    </row>
    <row r="507" spans="1:15" ht="18" x14ac:dyDescent="0.45">
      <c r="A507" s="3" t="s">
        <v>175</v>
      </c>
      <c r="B507" s="3" t="s">
        <v>448</v>
      </c>
      <c r="C507" s="12" t="s">
        <v>654</v>
      </c>
      <c r="D507">
        <v>3435</v>
      </c>
      <c r="E507">
        <v>1223</v>
      </c>
      <c r="F507">
        <v>981000</v>
      </c>
      <c r="G507" s="5">
        <f t="shared" si="19"/>
        <v>993653.70859724132</v>
      </c>
      <c r="H507" s="6">
        <f t="shared" si="21"/>
        <v>-12653.708597241319</v>
      </c>
      <c r="I507" s="14"/>
      <c r="J507" s="2">
        <f t="shared" si="22"/>
        <v>95.284327323162273</v>
      </c>
      <c r="K507">
        <f t="shared" si="22"/>
        <v>88.414964756913065</v>
      </c>
      <c r="L507">
        <f t="shared" si="22"/>
        <v>76.431632255551222</v>
      </c>
      <c r="M507" s="3" t="s">
        <v>23</v>
      </c>
      <c r="N507" s="15" t="s">
        <v>655</v>
      </c>
      <c r="O507" s="11">
        <v>62317.9</v>
      </c>
    </row>
    <row r="508" spans="1:15" ht="18" x14ac:dyDescent="0.45">
      <c r="A508" s="3" t="s">
        <v>175</v>
      </c>
      <c r="B508" s="3" t="s">
        <v>440</v>
      </c>
      <c r="C508" s="12" t="s">
        <v>518</v>
      </c>
      <c r="D508">
        <v>3475</v>
      </c>
      <c r="E508">
        <v>1221.8</v>
      </c>
      <c r="F508">
        <v>1002000</v>
      </c>
      <c r="G508" s="5">
        <f t="shared" si="19"/>
        <v>1004185.0584670289</v>
      </c>
      <c r="H508" s="6">
        <f t="shared" si="21"/>
        <v>-2185.0584670288954</v>
      </c>
      <c r="I508" s="14"/>
      <c r="J508" s="2">
        <f t="shared" si="22"/>
        <v>96.393897364771149</v>
      </c>
      <c r="K508">
        <f t="shared" si="22"/>
        <v>88.328212542924263</v>
      </c>
      <c r="L508">
        <f t="shared" si="22"/>
        <v>78.067783404752632</v>
      </c>
      <c r="M508" s="3" t="s">
        <v>23</v>
      </c>
      <c r="N508" s="15" t="s">
        <v>656</v>
      </c>
      <c r="O508" s="11">
        <v>62322.2</v>
      </c>
    </row>
    <row r="509" spans="1:15" ht="18" x14ac:dyDescent="0.45">
      <c r="A509" s="3" t="s">
        <v>175</v>
      </c>
      <c r="B509" s="3" t="s">
        <v>442</v>
      </c>
      <c r="C509" s="12" t="s">
        <v>519</v>
      </c>
      <c r="D509">
        <v>3480</v>
      </c>
      <c r="E509">
        <v>1212</v>
      </c>
      <c r="F509">
        <v>998000</v>
      </c>
      <c r="G509" s="5">
        <f t="shared" si="19"/>
        <v>997596.78719094605</v>
      </c>
      <c r="H509" s="6">
        <f t="shared" si="21"/>
        <v>403.21280905394815</v>
      </c>
      <c r="I509" s="14"/>
      <c r="J509" s="2">
        <f t="shared" si="22"/>
        <v>96.532593619972261</v>
      </c>
      <c r="K509">
        <f t="shared" si="22"/>
        <v>87.619736128682447</v>
      </c>
      <c r="L509">
        <f t="shared" si="22"/>
        <v>77.756135566809505</v>
      </c>
      <c r="M509" s="3" t="s">
        <v>23</v>
      </c>
      <c r="N509" s="15" t="s">
        <v>657</v>
      </c>
      <c r="O509" s="11">
        <v>62571.199999999997</v>
      </c>
    </row>
    <row r="510" spans="1:15" ht="18" x14ac:dyDescent="0.45">
      <c r="A510" s="3" t="s">
        <v>175</v>
      </c>
      <c r="B510" s="3" t="s">
        <v>444</v>
      </c>
      <c r="C510" s="12" t="s">
        <v>521</v>
      </c>
      <c r="D510">
        <v>3480</v>
      </c>
      <c r="E510">
        <v>1208</v>
      </c>
      <c r="F510">
        <v>994000</v>
      </c>
      <c r="G510" s="5">
        <f t="shared" si="19"/>
        <v>994320.89020351705</v>
      </c>
      <c r="H510" s="6">
        <f t="shared" si="21"/>
        <v>-320.89020351704676</v>
      </c>
      <c r="J510" s="2">
        <f t="shared" si="22"/>
        <v>96.532593619972261</v>
      </c>
      <c r="K510">
        <f t="shared" si="22"/>
        <v>87.330562082053135</v>
      </c>
      <c r="L510">
        <f t="shared" si="22"/>
        <v>77.444487728866392</v>
      </c>
      <c r="M510" s="3" t="s">
        <v>23</v>
      </c>
      <c r="N510" s="15" t="s">
        <v>658</v>
      </c>
      <c r="O510" s="11">
        <v>62653.3</v>
      </c>
    </row>
    <row r="511" spans="1:15" ht="18" x14ac:dyDescent="0.45">
      <c r="A511" s="3" t="s">
        <v>175</v>
      </c>
      <c r="B511" s="3" t="s">
        <v>446</v>
      </c>
      <c r="C511" s="12" t="s">
        <v>522</v>
      </c>
      <c r="D511">
        <v>3510</v>
      </c>
      <c r="E511">
        <v>1198</v>
      </c>
      <c r="F511">
        <v>996000</v>
      </c>
      <c r="G511" s="5">
        <f t="shared" si="19"/>
        <v>994589.17487059115</v>
      </c>
      <c r="H511" s="6">
        <f t="shared" si="21"/>
        <v>1410.825129408855</v>
      </c>
      <c r="J511" s="2">
        <f t="shared" si="22"/>
        <v>97.364771151178914</v>
      </c>
      <c r="K511">
        <f t="shared" si="22"/>
        <v>86.607626965479852</v>
      </c>
      <c r="L511">
        <f t="shared" si="22"/>
        <v>77.600311647837941</v>
      </c>
      <c r="M511" s="3" t="s">
        <v>23</v>
      </c>
      <c r="N511" s="15" t="s">
        <v>659</v>
      </c>
      <c r="O511" s="11">
        <v>62442</v>
      </c>
    </row>
    <row r="512" spans="1:15" ht="18" x14ac:dyDescent="0.45">
      <c r="A512" s="3" t="s">
        <v>175</v>
      </c>
      <c r="B512" s="3" t="s">
        <v>448</v>
      </c>
      <c r="C512" s="12" t="s">
        <v>660</v>
      </c>
      <c r="D512">
        <v>3525</v>
      </c>
      <c r="E512">
        <v>1197</v>
      </c>
      <c r="F512">
        <v>1002000</v>
      </c>
      <c r="G512" s="5">
        <f t="shared" si="19"/>
        <v>997988.62400733039</v>
      </c>
      <c r="H512" s="6">
        <f t="shared" si="21"/>
        <v>4011.3759926696075</v>
      </c>
      <c r="J512" s="2">
        <f t="shared" si="22"/>
        <v>97.780859916782248</v>
      </c>
      <c r="K512">
        <f t="shared" si="22"/>
        <v>86.535333453822517</v>
      </c>
      <c r="L512">
        <f t="shared" si="22"/>
        <v>78.067783404752632</v>
      </c>
      <c r="M512" s="3" t="s">
        <v>23</v>
      </c>
      <c r="N512" s="15" t="s">
        <v>661</v>
      </c>
      <c r="O512" s="11">
        <v>62558.9</v>
      </c>
    </row>
    <row r="513" spans="1:15" ht="18" x14ac:dyDescent="0.45">
      <c r="A513" s="3" t="s">
        <v>175</v>
      </c>
      <c r="B513" s="3" t="s">
        <v>438</v>
      </c>
      <c r="C513" s="12" t="s">
        <v>523</v>
      </c>
      <c r="D513">
        <v>3520</v>
      </c>
      <c r="E513">
        <v>1194.2</v>
      </c>
      <c r="F513">
        <v>996000</v>
      </c>
      <c r="G513" s="5">
        <f t="shared" si="19"/>
        <v>994260.64382213925</v>
      </c>
      <c r="H513" s="6">
        <f t="shared" si="21"/>
        <v>1739.3561778607545</v>
      </c>
      <c r="I513" s="1">
        <f>F513/F489-1</f>
        <v>8.7336244541484698E-2</v>
      </c>
      <c r="J513" s="2">
        <f t="shared" si="22"/>
        <v>97.642163661581137</v>
      </c>
      <c r="K513">
        <f t="shared" si="22"/>
        <v>86.332911621182006</v>
      </c>
      <c r="L513">
        <f t="shared" si="22"/>
        <v>77.600311647837941</v>
      </c>
      <c r="M513" s="3" t="s">
        <v>23</v>
      </c>
      <c r="N513" s="15" t="s">
        <v>662</v>
      </c>
      <c r="O513" s="11">
        <v>63559.8</v>
      </c>
    </row>
    <row r="514" spans="1:15" ht="18" x14ac:dyDescent="0.45">
      <c r="A514" s="3" t="s">
        <v>201</v>
      </c>
      <c r="B514" s="3" t="s">
        <v>442</v>
      </c>
      <c r="C514" s="12" t="s">
        <v>524</v>
      </c>
      <c r="D514">
        <v>3550</v>
      </c>
      <c r="E514">
        <v>1177</v>
      </c>
      <c r="F514">
        <v>995000</v>
      </c>
      <c r="G514" s="5">
        <f t="shared" si="19"/>
        <v>988322.13918271521</v>
      </c>
      <c r="H514" s="6">
        <f t="shared" ref="H514:H577" si="23">F:F-G:G</f>
        <v>6677.8608172847889</v>
      </c>
      <c r="J514" s="2">
        <f t="shared" si="22"/>
        <v>98.47434119278779</v>
      </c>
      <c r="K514">
        <f t="shared" si="22"/>
        <v>85.089463220675938</v>
      </c>
      <c r="L514">
        <f t="shared" si="22"/>
        <v>77.522399688352166</v>
      </c>
      <c r="M514" s="3" t="s">
        <v>23</v>
      </c>
      <c r="N514" s="15" t="s">
        <v>663</v>
      </c>
      <c r="O514" s="11">
        <v>63836.2</v>
      </c>
    </row>
    <row r="515" spans="1:15" ht="18" x14ac:dyDescent="0.45">
      <c r="A515" s="3" t="s">
        <v>201</v>
      </c>
      <c r="B515" s="3" t="s">
        <v>446</v>
      </c>
      <c r="C515" s="12" t="s">
        <v>526</v>
      </c>
      <c r="D515">
        <v>3590</v>
      </c>
      <c r="E515">
        <v>1177</v>
      </c>
      <c r="F515">
        <v>994000</v>
      </c>
      <c r="G515" s="5">
        <f t="shared" si="19"/>
        <v>999401.82525801356</v>
      </c>
      <c r="H515" s="6">
        <f t="shared" si="23"/>
        <v>-5401.8252580135595</v>
      </c>
      <c r="J515" s="2">
        <f t="shared" si="22"/>
        <v>99.583911234396666</v>
      </c>
      <c r="K515">
        <f t="shared" si="22"/>
        <v>85.089463220675938</v>
      </c>
      <c r="L515">
        <f t="shared" si="22"/>
        <v>77.444487728866392</v>
      </c>
      <c r="M515" s="3" t="s">
        <v>23</v>
      </c>
      <c r="N515" s="15" t="s">
        <v>664</v>
      </c>
      <c r="O515" s="11">
        <v>63810.7</v>
      </c>
    </row>
    <row r="516" spans="1:15" ht="18" x14ac:dyDescent="0.45">
      <c r="A516" s="3" t="s">
        <v>201</v>
      </c>
      <c r="B516" s="3" t="s">
        <v>448</v>
      </c>
      <c r="C516" s="12" t="s">
        <v>665</v>
      </c>
      <c r="D516">
        <v>3570</v>
      </c>
      <c r="E516">
        <v>1175</v>
      </c>
      <c r="F516">
        <v>991000</v>
      </c>
      <c r="G516" s="5">
        <f t="shared" si="19"/>
        <v>992181.67298974365</v>
      </c>
      <c r="H516" s="6">
        <f t="shared" si="23"/>
        <v>-1181.6729897436453</v>
      </c>
      <c r="J516" s="2">
        <f t="shared" si="22"/>
        <v>99.029126213592235</v>
      </c>
      <c r="K516">
        <f t="shared" si="22"/>
        <v>84.944876197361282</v>
      </c>
      <c r="L516">
        <f t="shared" si="22"/>
        <v>77.210751850409039</v>
      </c>
      <c r="M516" s="3" t="s">
        <v>47</v>
      </c>
      <c r="N516" s="15" t="s">
        <v>666</v>
      </c>
      <c r="O516" s="11">
        <v>64276.5</v>
      </c>
    </row>
    <row r="517" spans="1:15" ht="18" x14ac:dyDescent="0.45">
      <c r="A517" s="3" t="s">
        <v>201</v>
      </c>
      <c r="B517" s="3" t="s">
        <v>438</v>
      </c>
      <c r="C517" s="12" t="s">
        <v>527</v>
      </c>
      <c r="D517">
        <v>3570</v>
      </c>
      <c r="E517">
        <v>1198.5</v>
      </c>
      <c r="F517">
        <v>996000</v>
      </c>
      <c r="G517" s="5">
        <f t="shared" si="19"/>
        <v>1011925.3064495384</v>
      </c>
      <c r="H517" s="6">
        <f t="shared" si="23"/>
        <v>-15925.306449538446</v>
      </c>
      <c r="J517" s="2">
        <f t="shared" si="22"/>
        <v>99.029126213592235</v>
      </c>
      <c r="K517">
        <f t="shared" si="22"/>
        <v>86.64377372130852</v>
      </c>
      <c r="L517">
        <f t="shared" si="22"/>
        <v>77.600311647837941</v>
      </c>
      <c r="M517" s="3" t="s">
        <v>47</v>
      </c>
      <c r="N517" s="15" t="s">
        <v>667</v>
      </c>
    </row>
    <row r="518" spans="1:15" ht="18" x14ac:dyDescent="0.45">
      <c r="A518" s="3" t="s">
        <v>201</v>
      </c>
      <c r="B518" s="3" t="s">
        <v>440</v>
      </c>
      <c r="C518" s="12" t="s">
        <v>528</v>
      </c>
      <c r="D518">
        <v>3575</v>
      </c>
      <c r="E518">
        <v>1198.5</v>
      </c>
      <c r="F518">
        <v>997000</v>
      </c>
      <c r="G518" s="5">
        <f t="shared" si="19"/>
        <v>1013335.565982381</v>
      </c>
      <c r="H518" s="6">
        <f t="shared" si="23"/>
        <v>-16335.565982380998</v>
      </c>
      <c r="J518" s="2">
        <f t="shared" si="22"/>
        <v>99.167822468793347</v>
      </c>
      <c r="K518">
        <f t="shared" si="22"/>
        <v>86.64377372130852</v>
      </c>
      <c r="L518">
        <f t="shared" si="22"/>
        <v>77.67822360732373</v>
      </c>
      <c r="M518" s="3" t="s">
        <v>47</v>
      </c>
      <c r="N518" s="15" t="s">
        <v>668</v>
      </c>
    </row>
    <row r="519" spans="1:15" ht="18" x14ac:dyDescent="0.45">
      <c r="A519" s="3" t="s">
        <v>201</v>
      </c>
      <c r="B519" s="3" t="s">
        <v>442</v>
      </c>
      <c r="C519" s="12" t="s">
        <v>529</v>
      </c>
      <c r="D519">
        <v>3565</v>
      </c>
      <c r="E519">
        <v>1192</v>
      </c>
      <c r="F519">
        <v>996000</v>
      </c>
      <c r="G519" s="5">
        <f t="shared" si="19"/>
        <v>1005061.6903835641</v>
      </c>
      <c r="H519" s="6">
        <f t="shared" si="23"/>
        <v>-9061.6903835640987</v>
      </c>
      <c r="J519" s="2">
        <f t="shared" si="22"/>
        <v>98.890429958391124</v>
      </c>
      <c r="K519">
        <f t="shared" si="22"/>
        <v>86.173865895535869</v>
      </c>
      <c r="L519">
        <f t="shared" si="22"/>
        <v>77.600311647837941</v>
      </c>
    </row>
    <row r="520" spans="1:15" ht="18" x14ac:dyDescent="0.45">
      <c r="A520" s="3" t="s">
        <v>201</v>
      </c>
      <c r="B520" s="3" t="s">
        <v>444</v>
      </c>
      <c r="C520" s="12" t="s">
        <v>530</v>
      </c>
      <c r="D520">
        <v>3535</v>
      </c>
      <c r="E520">
        <v>1186</v>
      </c>
      <c r="F520">
        <v>985000</v>
      </c>
      <c r="G520" s="5">
        <f t="shared" si="19"/>
        <v>991654.51715268602</v>
      </c>
      <c r="H520" s="6">
        <f t="shared" si="23"/>
        <v>-6654.5171526860213</v>
      </c>
      <c r="J520" s="2">
        <f t="shared" si="22"/>
        <v>98.05825242718447</v>
      </c>
      <c r="K520">
        <f t="shared" si="22"/>
        <v>85.740104825591899</v>
      </c>
      <c r="L520">
        <f t="shared" si="22"/>
        <v>76.743280093494349</v>
      </c>
    </row>
    <row r="521" spans="1:15" ht="18" x14ac:dyDescent="0.45">
      <c r="A521" s="3" t="s">
        <v>201</v>
      </c>
      <c r="B521" s="3" t="s">
        <v>446</v>
      </c>
      <c r="C521" s="12" t="s">
        <v>531</v>
      </c>
      <c r="D521">
        <v>3510</v>
      </c>
      <c r="E521">
        <v>1195</v>
      </c>
      <c r="F521">
        <v>984000</v>
      </c>
      <c r="G521" s="5">
        <f t="shared" si="19"/>
        <v>992111.07176156621</v>
      </c>
      <c r="H521" s="6">
        <f t="shared" si="23"/>
        <v>-8111.0717615662143</v>
      </c>
      <c r="J521" s="2">
        <f t="shared" si="22"/>
        <v>97.364771151178914</v>
      </c>
      <c r="K521">
        <f t="shared" si="22"/>
        <v>86.390746430507861</v>
      </c>
      <c r="L521">
        <f t="shared" si="22"/>
        <v>76.665368134008574</v>
      </c>
    </row>
    <row r="522" spans="1:15" ht="18" x14ac:dyDescent="0.45">
      <c r="A522" s="3" t="s">
        <v>201</v>
      </c>
      <c r="B522" s="3" t="s">
        <v>448</v>
      </c>
      <c r="C522" s="12" t="s">
        <v>669</v>
      </c>
      <c r="D522">
        <v>3510</v>
      </c>
      <c r="E522">
        <v>1182.9000000000001</v>
      </c>
      <c r="F522">
        <v>979000</v>
      </c>
      <c r="G522" s="5">
        <f t="shared" si="19"/>
        <v>982116.05588849948</v>
      </c>
      <c r="H522" s="6">
        <f t="shared" si="23"/>
        <v>-3116.0558884994825</v>
      </c>
      <c r="J522" s="2">
        <f t="shared" si="22"/>
        <v>97.364771151178914</v>
      </c>
      <c r="K522">
        <f t="shared" si="22"/>
        <v>85.515994939454188</v>
      </c>
      <c r="L522">
        <f t="shared" si="22"/>
        <v>76.275808336579672</v>
      </c>
    </row>
    <row r="523" spans="1:15" ht="18" x14ac:dyDescent="0.45">
      <c r="A523" s="3" t="s">
        <v>201</v>
      </c>
      <c r="B523" s="3" t="s">
        <v>438</v>
      </c>
      <c r="C523" s="12" t="s">
        <v>533</v>
      </c>
      <c r="D523">
        <v>3490</v>
      </c>
      <c r="E523">
        <v>1189.8</v>
      </c>
      <c r="F523">
        <v>977000</v>
      </c>
      <c r="G523" s="5">
        <f t="shared" si="19"/>
        <v>982215.60362022941</v>
      </c>
      <c r="H523" s="6">
        <f t="shared" si="23"/>
        <v>-5215.6036202294054</v>
      </c>
      <c r="J523" s="2">
        <f t="shared" si="22"/>
        <v>96.809986130374483</v>
      </c>
      <c r="K523">
        <f t="shared" si="22"/>
        <v>86.014820169889745</v>
      </c>
      <c r="L523">
        <f t="shared" si="22"/>
        <v>76.119984417608094</v>
      </c>
    </row>
    <row r="524" spans="1:15" ht="18" x14ac:dyDescent="0.45">
      <c r="A524" s="3" t="s">
        <v>201</v>
      </c>
      <c r="B524" s="3" t="s">
        <v>440</v>
      </c>
      <c r="C524" s="12" t="s">
        <v>534</v>
      </c>
      <c r="D524">
        <v>3540</v>
      </c>
      <c r="E524">
        <v>1189.8</v>
      </c>
      <c r="F524">
        <v>984000</v>
      </c>
      <c r="G524" s="5">
        <f t="shared" si="19"/>
        <v>996215.82716779702</v>
      </c>
      <c r="H524" s="6">
        <f t="shared" si="23"/>
        <v>-12215.827167797019</v>
      </c>
      <c r="J524" s="2">
        <f t="shared" si="22"/>
        <v>98.196948682385582</v>
      </c>
      <c r="K524">
        <f t="shared" si="22"/>
        <v>86.014820169889745</v>
      </c>
      <c r="L524">
        <f t="shared" si="22"/>
        <v>76.665368134008574</v>
      </c>
    </row>
    <row r="525" spans="1:15" ht="18" x14ac:dyDescent="0.45">
      <c r="A525" s="3" t="s">
        <v>201</v>
      </c>
      <c r="B525" s="3" t="s">
        <v>442</v>
      </c>
      <c r="C525" s="12" t="s">
        <v>535</v>
      </c>
      <c r="D525">
        <v>3530</v>
      </c>
      <c r="E525">
        <v>1188</v>
      </c>
      <c r="F525">
        <v>984000</v>
      </c>
      <c r="G525" s="5">
        <f t="shared" si="19"/>
        <v>991920.44844548742</v>
      </c>
      <c r="H525" s="6">
        <f t="shared" si="23"/>
        <v>-7920.4484454874182</v>
      </c>
      <c r="J525" s="2">
        <f t="shared" si="22"/>
        <v>97.919556171983359</v>
      </c>
      <c r="K525">
        <f t="shared" si="22"/>
        <v>85.884691848906556</v>
      </c>
      <c r="L525">
        <f t="shared" si="22"/>
        <v>76.665368134008574</v>
      </c>
    </row>
    <row r="526" spans="1:15" ht="18" x14ac:dyDescent="0.45">
      <c r="A526" s="3" t="s">
        <v>201</v>
      </c>
      <c r="B526" s="3" t="s">
        <v>444</v>
      </c>
      <c r="C526" s="12" t="s">
        <v>536</v>
      </c>
      <c r="D526">
        <v>3530</v>
      </c>
      <c r="E526">
        <v>1210</v>
      </c>
      <c r="F526">
        <v>997000</v>
      </c>
      <c r="G526" s="5">
        <f t="shared" si="19"/>
        <v>1010196.7530463298</v>
      </c>
      <c r="H526" s="6">
        <f t="shared" si="23"/>
        <v>-13196.753046329832</v>
      </c>
      <c r="J526" s="2">
        <f t="shared" si="22"/>
        <v>97.919556171983359</v>
      </c>
      <c r="K526">
        <f t="shared" si="22"/>
        <v>87.475149105367791</v>
      </c>
      <c r="L526">
        <f t="shared" si="22"/>
        <v>77.67822360732373</v>
      </c>
    </row>
    <row r="527" spans="1:15" ht="18" x14ac:dyDescent="0.45">
      <c r="A527" s="3" t="s">
        <v>201</v>
      </c>
      <c r="B527" s="3" t="s">
        <v>446</v>
      </c>
      <c r="C527" s="12" t="s">
        <v>537</v>
      </c>
      <c r="D527">
        <v>3530</v>
      </c>
      <c r="E527">
        <v>1213</v>
      </c>
      <c r="F527">
        <v>998000</v>
      </c>
      <c r="G527" s="5">
        <f t="shared" si="19"/>
        <v>1012688.9764009902</v>
      </c>
      <c r="H527" s="6">
        <f t="shared" si="23"/>
        <v>-14688.976400990156</v>
      </c>
      <c r="J527" s="2">
        <f t="shared" si="22"/>
        <v>97.919556171983359</v>
      </c>
      <c r="K527">
        <f t="shared" si="22"/>
        <v>87.692029640339769</v>
      </c>
      <c r="L527">
        <f t="shared" si="22"/>
        <v>77.756135566809505</v>
      </c>
    </row>
    <row r="528" spans="1:15" ht="18" x14ac:dyDescent="0.45">
      <c r="A528" s="3" t="s">
        <v>201</v>
      </c>
      <c r="B528" s="3" t="s">
        <v>448</v>
      </c>
      <c r="C528" s="12" t="s">
        <v>670</v>
      </c>
      <c r="D528">
        <v>3515</v>
      </c>
      <c r="E528">
        <v>1212</v>
      </c>
      <c r="F528">
        <v>992000</v>
      </c>
      <c r="G528" s="5">
        <f t="shared" si="19"/>
        <v>1007579.800855223</v>
      </c>
      <c r="H528" s="6">
        <f t="shared" si="23"/>
        <v>-15579.800855222973</v>
      </c>
      <c r="J528" s="2">
        <f t="shared" si="22"/>
        <v>97.503467406380025</v>
      </c>
      <c r="K528">
        <f t="shared" si="22"/>
        <v>87.619736128682447</v>
      </c>
      <c r="L528">
        <f t="shared" si="22"/>
        <v>77.288663809894814</v>
      </c>
    </row>
    <row r="529" spans="1:12" ht="18" x14ac:dyDescent="0.45">
      <c r="A529" s="3" t="s">
        <v>201</v>
      </c>
      <c r="B529" s="3" t="s">
        <v>438</v>
      </c>
      <c r="C529" s="12" t="s">
        <v>538</v>
      </c>
      <c r="D529">
        <v>3515</v>
      </c>
      <c r="E529">
        <v>1223.4000000000001</v>
      </c>
      <c r="F529">
        <v>996000</v>
      </c>
      <c r="G529" s="5">
        <f t="shared" si="19"/>
        <v>1017010.0069028711</v>
      </c>
      <c r="H529" s="6">
        <f t="shared" si="23"/>
        <v>-21010.006902871071</v>
      </c>
      <c r="J529" s="2">
        <f t="shared" si="22"/>
        <v>97.503467406380025</v>
      </c>
      <c r="K529">
        <f t="shared" si="22"/>
        <v>88.443882161575999</v>
      </c>
      <c r="L529">
        <f t="shared" si="22"/>
        <v>77.600311647837941</v>
      </c>
    </row>
    <row r="530" spans="1:12" ht="18" x14ac:dyDescent="0.45">
      <c r="A530" s="3" t="s">
        <v>201</v>
      </c>
      <c r="B530" s="3" t="s">
        <v>440</v>
      </c>
      <c r="C530" s="12" t="s">
        <v>540</v>
      </c>
      <c r="D530">
        <v>3505</v>
      </c>
      <c r="E530">
        <v>1223.4000000000001</v>
      </c>
      <c r="F530">
        <v>995000</v>
      </c>
      <c r="G530" s="5">
        <f t="shared" si="19"/>
        <v>1014130.8888177989</v>
      </c>
      <c r="H530" s="6">
        <f t="shared" si="23"/>
        <v>-19130.888817798928</v>
      </c>
      <c r="J530" s="2">
        <f t="shared" si="22"/>
        <v>97.226074895977803</v>
      </c>
      <c r="K530">
        <f t="shared" si="22"/>
        <v>88.443882161575999</v>
      </c>
      <c r="L530">
        <f t="shared" si="22"/>
        <v>77.522399688352166</v>
      </c>
    </row>
    <row r="531" spans="1:12" ht="18" x14ac:dyDescent="0.45">
      <c r="A531" s="3" t="s">
        <v>201</v>
      </c>
      <c r="B531" s="3" t="s">
        <v>442</v>
      </c>
      <c r="C531" s="12" t="s">
        <v>541</v>
      </c>
      <c r="D531">
        <v>3485</v>
      </c>
      <c r="E531">
        <v>1220</v>
      </c>
      <c r="F531">
        <v>992000</v>
      </c>
      <c r="G531" s="5">
        <f t="shared" si="19"/>
        <v>1005584.1394720766</v>
      </c>
      <c r="H531" s="6">
        <f t="shared" si="23"/>
        <v>-13584.139472076553</v>
      </c>
      <c r="J531" s="2">
        <f t="shared" si="22"/>
        <v>96.671289875173372</v>
      </c>
      <c r="K531">
        <f t="shared" si="22"/>
        <v>88.198084221941073</v>
      </c>
      <c r="L531">
        <f t="shared" si="22"/>
        <v>77.288663809894814</v>
      </c>
    </row>
    <row r="532" spans="1:12" ht="18" x14ac:dyDescent="0.45">
      <c r="A532" s="3" t="s">
        <v>201</v>
      </c>
      <c r="B532" s="3" t="s">
        <v>671</v>
      </c>
      <c r="C532" s="12" t="s">
        <v>542</v>
      </c>
      <c r="D532">
        <v>3465</v>
      </c>
      <c r="E532">
        <v>1240</v>
      </c>
      <c r="F532">
        <v>994000</v>
      </c>
      <c r="G532" s="5">
        <f t="shared" si="19"/>
        <v>1016150.7899559526</v>
      </c>
      <c r="H532" s="6">
        <f t="shared" si="23"/>
        <v>-22150.789955952554</v>
      </c>
      <c r="J532" s="2">
        <f t="shared" si="22"/>
        <v>96.116504854368941</v>
      </c>
      <c r="K532">
        <f t="shared" si="22"/>
        <v>89.643954455087652</v>
      </c>
      <c r="L532">
        <f t="shared" si="22"/>
        <v>77.444487728866392</v>
      </c>
    </row>
    <row r="533" spans="1:12" ht="18" x14ac:dyDescent="0.45">
      <c r="A533" s="3" t="s">
        <v>201</v>
      </c>
      <c r="B533" s="3" t="s">
        <v>446</v>
      </c>
      <c r="C533" s="12" t="s">
        <v>543</v>
      </c>
      <c r="D533">
        <v>3455</v>
      </c>
      <c r="E533">
        <v>1228</v>
      </c>
      <c r="F533">
        <v>988000</v>
      </c>
      <c r="G533" s="5">
        <f t="shared" si="19"/>
        <v>1003475.5161238464</v>
      </c>
      <c r="H533" s="6">
        <f t="shared" si="23"/>
        <v>-15475.516123846406</v>
      </c>
      <c r="J533" s="2">
        <f t="shared" si="22"/>
        <v>95.839112343966718</v>
      </c>
      <c r="K533">
        <f t="shared" si="22"/>
        <v>88.776432315199713</v>
      </c>
      <c r="L533">
        <f t="shared" si="22"/>
        <v>76.977015971951687</v>
      </c>
    </row>
    <row r="534" spans="1:12" ht="18" x14ac:dyDescent="0.45">
      <c r="A534" s="3" t="s">
        <v>201</v>
      </c>
      <c r="B534" s="3" t="s">
        <v>448</v>
      </c>
      <c r="C534" s="12" t="s">
        <v>672</v>
      </c>
      <c r="D534">
        <v>3460</v>
      </c>
      <c r="E534">
        <v>1255</v>
      </c>
      <c r="F534">
        <v>998000</v>
      </c>
      <c r="G534" s="5">
        <f t="shared" si="19"/>
        <v>1026905.710381635</v>
      </c>
      <c r="H534" s="6">
        <f t="shared" si="23"/>
        <v>-28905.710381634999</v>
      </c>
      <c r="J534" s="2">
        <f t="shared" si="22"/>
        <v>95.97780859916783</v>
      </c>
      <c r="K534">
        <f t="shared" si="22"/>
        <v>90.728357129947597</v>
      </c>
      <c r="L534">
        <f t="shared" si="22"/>
        <v>77.756135566809505</v>
      </c>
    </row>
    <row r="535" spans="1:12" ht="18" x14ac:dyDescent="0.45">
      <c r="A535" s="3" t="s">
        <v>201</v>
      </c>
      <c r="B535" s="3" t="s">
        <v>438</v>
      </c>
      <c r="C535" s="12" t="s">
        <v>544</v>
      </c>
      <c r="D535">
        <v>3460</v>
      </c>
      <c r="E535">
        <v>1280.3</v>
      </c>
      <c r="F535">
        <v>1025000</v>
      </c>
      <c r="G535" s="5">
        <f t="shared" si="19"/>
        <v>1047506.6780889302</v>
      </c>
      <c r="H535" s="6">
        <f t="shared" si="23"/>
        <v>-22506.678088930203</v>
      </c>
      <c r="J535" s="2">
        <f t="shared" si="22"/>
        <v>95.97780859916783</v>
      </c>
      <c r="K535">
        <f t="shared" si="22"/>
        <v>92.557382974877996</v>
      </c>
      <c r="L535">
        <f t="shared" si="22"/>
        <v>79.859758472925591</v>
      </c>
    </row>
    <row r="536" spans="1:12" ht="18" x14ac:dyDescent="0.45">
      <c r="A536" s="3" t="s">
        <v>201</v>
      </c>
      <c r="B536" s="3" t="s">
        <v>440</v>
      </c>
      <c r="C536" s="12" t="s">
        <v>545</v>
      </c>
      <c r="D536">
        <v>3465</v>
      </c>
      <c r="E536">
        <v>1280.3</v>
      </c>
      <c r="F536">
        <v>1027000</v>
      </c>
      <c r="G536" s="5">
        <f t="shared" si="19"/>
        <v>1049013.1906295214</v>
      </c>
      <c r="H536" s="6">
        <f t="shared" si="23"/>
        <v>-22013.190629521385</v>
      </c>
      <c r="J536" s="2">
        <f t="shared" si="22"/>
        <v>96.116504854368941</v>
      </c>
      <c r="K536">
        <f t="shared" si="22"/>
        <v>92.557382974877996</v>
      </c>
      <c r="L536">
        <f t="shared" si="22"/>
        <v>80.015582391897155</v>
      </c>
    </row>
    <row r="537" spans="1:12" ht="18" x14ac:dyDescent="0.45">
      <c r="A537" s="3" t="s">
        <v>201</v>
      </c>
      <c r="B537" s="3" t="s">
        <v>442</v>
      </c>
      <c r="C537" s="12" t="s">
        <v>547</v>
      </c>
      <c r="D537">
        <v>3510</v>
      </c>
      <c r="E537">
        <v>1277</v>
      </c>
      <c r="F537">
        <v>1035000</v>
      </c>
      <c r="G537" s="5">
        <f t="shared" si="19"/>
        <v>1059845.8900749122</v>
      </c>
      <c r="H537" s="6">
        <f t="shared" si="23"/>
        <v>-24845.890074912226</v>
      </c>
      <c r="J537" s="2">
        <f t="shared" si="22"/>
        <v>97.364771151178914</v>
      </c>
      <c r="K537">
        <f t="shared" si="22"/>
        <v>92.318814386408818</v>
      </c>
      <c r="L537">
        <f t="shared" si="22"/>
        <v>80.638878067783395</v>
      </c>
    </row>
    <row r="538" spans="1:12" ht="18" x14ac:dyDescent="0.45">
      <c r="A538" s="3" t="s">
        <v>201</v>
      </c>
      <c r="B538" s="3" t="s">
        <v>671</v>
      </c>
      <c r="C538" s="12" t="s">
        <v>548</v>
      </c>
      <c r="D538">
        <v>3495</v>
      </c>
      <c r="E538">
        <v>1288</v>
      </c>
      <c r="F538">
        <v>1040000</v>
      </c>
      <c r="G538" s="5">
        <f t="shared" si="19"/>
        <v>1064385.5490467157</v>
      </c>
      <c r="H538" s="6">
        <f t="shared" si="23"/>
        <v>-24385.549046715721</v>
      </c>
      <c r="I538" s="1">
        <f>F538/F513-1</f>
        <v>4.4176706827309342E-2</v>
      </c>
      <c r="J538" s="2">
        <f t="shared" si="22"/>
        <v>96.948682385575594</v>
      </c>
      <c r="K538">
        <f t="shared" si="22"/>
        <v>93.114043014639435</v>
      </c>
      <c r="L538">
        <f t="shared" si="22"/>
        <v>81.028437865212311</v>
      </c>
    </row>
    <row r="539" spans="1:12" ht="18" x14ac:dyDescent="0.45">
      <c r="A539" s="3" t="s">
        <v>226</v>
      </c>
      <c r="B539" s="3" t="s">
        <v>446</v>
      </c>
      <c r="C539" s="12" t="s">
        <v>549</v>
      </c>
      <c r="D539">
        <v>3470</v>
      </c>
      <c r="E539">
        <v>1300</v>
      </c>
      <c r="F539">
        <v>1045000</v>
      </c>
      <c r="G539" s="5">
        <f t="shared" si="19"/>
        <v>1066607.1343600294</v>
      </c>
      <c r="H539" s="6">
        <f t="shared" si="23"/>
        <v>-21607.134360029362</v>
      </c>
      <c r="J539" s="2">
        <f t="shared" si="22"/>
        <v>96.255201109570038</v>
      </c>
      <c r="K539">
        <f t="shared" si="22"/>
        <v>93.981565154527374</v>
      </c>
      <c r="L539">
        <f t="shared" si="22"/>
        <v>81.417997662641213</v>
      </c>
    </row>
    <row r="540" spans="1:12" ht="18" x14ac:dyDescent="0.45">
      <c r="A540" s="3" t="s">
        <v>226</v>
      </c>
      <c r="B540" s="3" t="s">
        <v>448</v>
      </c>
      <c r="C540" s="12" t="s">
        <v>673</v>
      </c>
      <c r="D540">
        <v>3465</v>
      </c>
      <c r="E540">
        <v>1290</v>
      </c>
      <c r="F540">
        <v>1042000</v>
      </c>
      <c r="G540" s="5">
        <f t="shared" si="19"/>
        <v>1056922.9992283701</v>
      </c>
      <c r="H540" s="6">
        <f t="shared" si="23"/>
        <v>-14922.999228370143</v>
      </c>
      <c r="J540" s="2">
        <f t="shared" si="22"/>
        <v>96.116504854368941</v>
      </c>
      <c r="K540">
        <f t="shared" si="22"/>
        <v>93.258630037954092</v>
      </c>
      <c r="L540">
        <f t="shared" si="22"/>
        <v>81.184261784183875</v>
      </c>
    </row>
    <row r="541" spans="1:12" ht="18" x14ac:dyDescent="0.45">
      <c r="A541" s="3" t="s">
        <v>226</v>
      </c>
      <c r="B541" s="3" t="s">
        <v>438</v>
      </c>
      <c r="C541" s="12" t="s">
        <v>550</v>
      </c>
      <c r="D541">
        <v>3465</v>
      </c>
      <c r="E541">
        <v>1294.0999999999999</v>
      </c>
      <c r="F541">
        <v>1044000</v>
      </c>
      <c r="G541" s="5">
        <f t="shared" si="19"/>
        <v>1060266.3203887083</v>
      </c>
      <c r="H541" s="6">
        <f t="shared" si="23"/>
        <v>-16266.320388708264</v>
      </c>
      <c r="J541" s="2">
        <f t="shared" si="22"/>
        <v>96.116504854368941</v>
      </c>
      <c r="K541">
        <f t="shared" si="22"/>
        <v>93.555033435749138</v>
      </c>
      <c r="L541">
        <f t="shared" si="22"/>
        <v>81.340085703155438</v>
      </c>
    </row>
    <row r="542" spans="1:12" ht="18" x14ac:dyDescent="0.45">
      <c r="A542" s="3" t="s">
        <v>226</v>
      </c>
      <c r="B542" s="3" t="s">
        <v>440</v>
      </c>
      <c r="C542" s="12" t="s">
        <v>551</v>
      </c>
      <c r="D542">
        <v>3465</v>
      </c>
      <c r="E542">
        <v>1294.0999999999999</v>
      </c>
      <c r="F542">
        <v>1040000</v>
      </c>
      <c r="G542" s="5">
        <f t="shared" si="19"/>
        <v>1060266.3203887083</v>
      </c>
      <c r="H542" s="6">
        <f t="shared" si="23"/>
        <v>-20266.320388708264</v>
      </c>
      <c r="J542" s="2">
        <f t="shared" ref="J542:L605" si="24">(D542/D$29-1)*100+100</f>
        <v>96.116504854368941</v>
      </c>
      <c r="K542">
        <f t="shared" si="24"/>
        <v>93.555033435749138</v>
      </c>
      <c r="L542">
        <f t="shared" si="24"/>
        <v>81.028437865212311</v>
      </c>
    </row>
    <row r="543" spans="1:12" ht="18" x14ac:dyDescent="0.45">
      <c r="A543" s="3" t="s">
        <v>226</v>
      </c>
      <c r="B543" s="3" t="s">
        <v>442</v>
      </c>
      <c r="C543" s="12" t="s">
        <v>552</v>
      </c>
      <c r="D543">
        <v>3490</v>
      </c>
      <c r="E543">
        <v>1280</v>
      </c>
      <c r="F543">
        <v>1044000</v>
      </c>
      <c r="G543" s="5">
        <f t="shared" si="19"/>
        <v>1056299.355046137</v>
      </c>
      <c r="H543" s="6">
        <f t="shared" si="23"/>
        <v>-12299.355046137003</v>
      </c>
      <c r="J543" s="2">
        <f t="shared" si="24"/>
        <v>96.809986130374483</v>
      </c>
      <c r="K543">
        <f t="shared" si="24"/>
        <v>92.535694921380809</v>
      </c>
      <c r="L543">
        <f t="shared" si="24"/>
        <v>81.340085703155438</v>
      </c>
    </row>
    <row r="544" spans="1:12" ht="18" x14ac:dyDescent="0.45">
      <c r="A544" s="3" t="s">
        <v>226</v>
      </c>
      <c r="B544" s="3" t="s">
        <v>671</v>
      </c>
      <c r="C544" s="12" t="s">
        <v>554</v>
      </c>
      <c r="D544">
        <v>3470</v>
      </c>
      <c r="E544">
        <v>1281</v>
      </c>
      <c r="F544">
        <v>1040000</v>
      </c>
      <c r="G544" s="5">
        <f t="shared" si="19"/>
        <v>1051091.3377809213</v>
      </c>
      <c r="H544" s="6">
        <f t="shared" si="23"/>
        <v>-11091.337780921254</v>
      </c>
      <c r="J544" s="2">
        <f t="shared" si="24"/>
        <v>96.255201109570038</v>
      </c>
      <c r="K544">
        <f t="shared" si="24"/>
        <v>92.60798843303813</v>
      </c>
      <c r="L544">
        <f t="shared" si="24"/>
        <v>81.028437865212311</v>
      </c>
    </row>
    <row r="545" spans="1:12" ht="18" x14ac:dyDescent="0.45">
      <c r="A545" s="3" t="s">
        <v>226</v>
      </c>
      <c r="B545" s="3" t="s">
        <v>674</v>
      </c>
      <c r="C545" s="12" t="s">
        <v>555</v>
      </c>
      <c r="D545" s="16">
        <v>3470</v>
      </c>
      <c r="E545">
        <v>1290</v>
      </c>
      <c r="F545" s="16">
        <v>1040000</v>
      </c>
      <c r="G545" s="5">
        <f t="shared" ref="G545:G608" si="25">E545/31.103*8.133*D545*0.9+5000</f>
        <v>1058440.925634183</v>
      </c>
      <c r="H545" s="6">
        <f t="shared" si="23"/>
        <v>-18440.92563418299</v>
      </c>
      <c r="J545" s="2">
        <f t="shared" si="24"/>
        <v>96.255201109570038</v>
      </c>
      <c r="K545">
        <f t="shared" si="24"/>
        <v>93.258630037954092</v>
      </c>
      <c r="L545">
        <f t="shared" si="24"/>
        <v>81.028437865212311</v>
      </c>
    </row>
    <row r="546" spans="1:12" ht="18" x14ac:dyDescent="0.45">
      <c r="A546" s="3" t="s">
        <v>226</v>
      </c>
      <c r="B546" s="3" t="s">
        <v>448</v>
      </c>
      <c r="C546" s="12" t="s">
        <v>675</v>
      </c>
      <c r="D546" s="16">
        <v>3460</v>
      </c>
      <c r="E546">
        <v>1270</v>
      </c>
      <c r="F546" s="16">
        <v>1035000</v>
      </c>
      <c r="G546" s="5">
        <f t="shared" si="25"/>
        <v>1039119.722856316</v>
      </c>
      <c r="H546" s="6">
        <f t="shared" si="23"/>
        <v>-4119.722856316017</v>
      </c>
      <c r="J546" s="2">
        <f t="shared" si="24"/>
        <v>95.97780859916783</v>
      </c>
      <c r="K546">
        <f t="shared" si="24"/>
        <v>91.812759804807513</v>
      </c>
      <c r="L546">
        <f t="shared" si="24"/>
        <v>80.638878067783395</v>
      </c>
    </row>
    <row r="547" spans="1:12" ht="18" x14ac:dyDescent="0.45">
      <c r="A547" s="3" t="s">
        <v>226</v>
      </c>
      <c r="B547" s="3" t="s">
        <v>438</v>
      </c>
      <c r="C547" s="15" t="s">
        <v>556</v>
      </c>
      <c r="D547" s="16">
        <v>3460</v>
      </c>
      <c r="E547">
        <v>1283.0999999999999</v>
      </c>
      <c r="F547" s="16">
        <v>1033000</v>
      </c>
      <c r="G547" s="5">
        <f t="shared" si="25"/>
        <v>1049786.6270842038</v>
      </c>
      <c r="H547" s="6">
        <f t="shared" si="23"/>
        <v>-16786.627084203763</v>
      </c>
      <c r="J547" s="2">
        <f t="shared" si="24"/>
        <v>95.97780859916783</v>
      </c>
      <c r="K547">
        <f t="shared" si="24"/>
        <v>92.75980480751852</v>
      </c>
      <c r="L547">
        <f t="shared" si="24"/>
        <v>80.483054148811846</v>
      </c>
    </row>
    <row r="548" spans="1:12" ht="18" x14ac:dyDescent="0.45">
      <c r="A548" s="3" t="s">
        <v>226</v>
      </c>
      <c r="B548" s="3" t="s">
        <v>440</v>
      </c>
      <c r="C548" s="15" t="s">
        <v>557</v>
      </c>
      <c r="D548" s="16">
        <v>3465</v>
      </c>
      <c r="E548">
        <v>1283.0999999999999</v>
      </c>
      <c r="F548" s="16">
        <v>1033000</v>
      </c>
      <c r="G548" s="5">
        <f t="shared" si="25"/>
        <v>1051296.4343487765</v>
      </c>
      <c r="H548" s="6">
        <f t="shared" si="23"/>
        <v>-18296.434348776471</v>
      </c>
      <c r="J548" s="2">
        <f t="shared" si="24"/>
        <v>96.116504854368941</v>
      </c>
      <c r="K548">
        <f t="shared" si="24"/>
        <v>92.75980480751852</v>
      </c>
      <c r="L548">
        <f t="shared" si="24"/>
        <v>80.483054148811846</v>
      </c>
    </row>
    <row r="549" spans="1:12" ht="18" x14ac:dyDescent="0.45">
      <c r="A549" s="3" t="s">
        <v>226</v>
      </c>
      <c r="B549" s="3" t="s">
        <v>442</v>
      </c>
      <c r="C549" s="15" t="s">
        <v>558</v>
      </c>
      <c r="D549" s="16">
        <v>3460</v>
      </c>
      <c r="E549">
        <v>1277</v>
      </c>
      <c r="F549" s="16">
        <v>1030000</v>
      </c>
      <c r="G549" s="5">
        <f t="shared" si="25"/>
        <v>1044819.5953445003</v>
      </c>
      <c r="H549" s="6">
        <f t="shared" si="23"/>
        <v>-14819.595344500267</v>
      </c>
      <c r="J549" s="2">
        <f t="shared" si="24"/>
        <v>95.97780859916783</v>
      </c>
      <c r="K549">
        <f t="shared" si="24"/>
        <v>92.318814386408818</v>
      </c>
      <c r="L549">
        <f t="shared" si="24"/>
        <v>80.249318270354493</v>
      </c>
    </row>
    <row r="550" spans="1:12" ht="18" x14ac:dyDescent="0.45">
      <c r="A550" s="3" t="s">
        <v>226</v>
      </c>
      <c r="B550" s="3" t="s">
        <v>671</v>
      </c>
      <c r="C550" s="15" t="s">
        <v>559</v>
      </c>
      <c r="D550" s="16">
        <v>3460</v>
      </c>
      <c r="E550">
        <v>1280</v>
      </c>
      <c r="F550" s="16">
        <v>1032000</v>
      </c>
      <c r="G550" s="5">
        <f t="shared" si="25"/>
        <v>1047262.3978394365</v>
      </c>
      <c r="H550" s="6">
        <f t="shared" si="23"/>
        <v>-15262.39783943654</v>
      </c>
      <c r="J550" s="2">
        <f t="shared" si="24"/>
        <v>95.97780859916783</v>
      </c>
      <c r="K550">
        <f t="shared" si="24"/>
        <v>92.535694921380809</v>
      </c>
      <c r="L550">
        <f t="shared" si="24"/>
        <v>80.405142189326057</v>
      </c>
    </row>
    <row r="551" spans="1:12" ht="18" x14ac:dyDescent="0.45">
      <c r="A551" s="3" t="s">
        <v>226</v>
      </c>
      <c r="B551" s="3" t="s">
        <v>674</v>
      </c>
      <c r="C551" s="15" t="s">
        <v>561</v>
      </c>
      <c r="D551" s="16">
        <v>3455</v>
      </c>
      <c r="E551">
        <v>1267</v>
      </c>
      <c r="F551" s="16">
        <v>1021000</v>
      </c>
      <c r="G551" s="5">
        <f t="shared" si="25"/>
        <v>1035186.0577597014</v>
      </c>
      <c r="H551" s="6">
        <f t="shared" si="23"/>
        <v>-14186.057759701391</v>
      </c>
      <c r="J551" s="2">
        <f t="shared" si="24"/>
        <v>95.839112343966718</v>
      </c>
      <c r="K551">
        <f t="shared" si="24"/>
        <v>91.595879269835535</v>
      </c>
      <c r="L551">
        <f t="shared" si="24"/>
        <v>79.548110634982464</v>
      </c>
    </row>
    <row r="552" spans="1:12" ht="18" x14ac:dyDescent="0.45">
      <c r="A552" s="3" t="s">
        <v>226</v>
      </c>
      <c r="B552" s="3" t="s">
        <v>448</v>
      </c>
      <c r="C552" s="15" t="s">
        <v>676</v>
      </c>
      <c r="D552" s="16">
        <v>3440</v>
      </c>
      <c r="E552">
        <v>1265</v>
      </c>
      <c r="F552" s="16">
        <v>1012000</v>
      </c>
      <c r="G552" s="5">
        <f t="shared" si="25"/>
        <v>1029094.3484551328</v>
      </c>
      <c r="H552" s="6">
        <f t="shared" si="23"/>
        <v>-17094.3484551328</v>
      </c>
      <c r="J552" s="2">
        <f t="shared" si="24"/>
        <v>95.423023578363384</v>
      </c>
      <c r="K552">
        <f t="shared" si="24"/>
        <v>91.451292246520879</v>
      </c>
      <c r="L552">
        <f t="shared" si="24"/>
        <v>78.846902999610435</v>
      </c>
    </row>
    <row r="553" spans="1:12" ht="18" x14ac:dyDescent="0.45">
      <c r="A553" s="3" t="s">
        <v>226</v>
      </c>
      <c r="B553" s="3" t="s">
        <v>438</v>
      </c>
      <c r="C553" s="15" t="s">
        <v>562</v>
      </c>
      <c r="D553" s="16">
        <v>3430</v>
      </c>
      <c r="E553">
        <v>1233.3</v>
      </c>
      <c r="F553" s="16">
        <v>985000</v>
      </c>
      <c r="G553" s="5">
        <f t="shared" si="25"/>
        <v>1000528.8561971512</v>
      </c>
      <c r="H553" s="6">
        <f t="shared" si="23"/>
        <v>-15528.856197151239</v>
      </c>
      <c r="J553" s="2">
        <f t="shared" si="24"/>
        <v>95.145631067961162</v>
      </c>
      <c r="K553">
        <f t="shared" si="24"/>
        <v>89.159587926983548</v>
      </c>
      <c r="L553">
        <f t="shared" si="24"/>
        <v>76.743280093494349</v>
      </c>
    </row>
    <row r="554" spans="1:12" ht="18" x14ac:dyDescent="0.45">
      <c r="A554" s="3" t="s">
        <v>226</v>
      </c>
      <c r="B554" s="3" t="s">
        <v>677</v>
      </c>
      <c r="C554" s="15" t="s">
        <v>563</v>
      </c>
      <c r="D554" s="16">
        <v>3410</v>
      </c>
      <c r="E554">
        <v>1233.3</v>
      </c>
      <c r="F554" s="16">
        <v>982000</v>
      </c>
      <c r="G554" s="5">
        <f t="shared" si="25"/>
        <v>994724.02321640973</v>
      </c>
      <c r="H554" s="6">
        <f t="shared" si="23"/>
        <v>-12724.023216409725</v>
      </c>
      <c r="J554" s="2">
        <f t="shared" si="24"/>
        <v>94.590846047156731</v>
      </c>
      <c r="K554">
        <f t="shared" si="24"/>
        <v>89.159587926983548</v>
      </c>
      <c r="L554">
        <f t="shared" si="24"/>
        <v>76.50954421503701</v>
      </c>
    </row>
    <row r="555" spans="1:12" ht="18" x14ac:dyDescent="0.45">
      <c r="A555" s="3" t="s">
        <v>226</v>
      </c>
      <c r="B555" s="3" t="s">
        <v>442</v>
      </c>
      <c r="C555" s="15" t="s">
        <v>564</v>
      </c>
      <c r="D555" s="16">
        <v>3435</v>
      </c>
      <c r="E555">
        <v>1236</v>
      </c>
      <c r="F555" s="16">
        <v>995000</v>
      </c>
      <c r="G555" s="5">
        <f t="shared" si="25"/>
        <v>1004162.7014114393</v>
      </c>
      <c r="H555" s="6">
        <f t="shared" si="23"/>
        <v>-9162.7014114393387</v>
      </c>
      <c r="J555" s="2">
        <f t="shared" si="24"/>
        <v>95.284327323162273</v>
      </c>
      <c r="K555">
        <f t="shared" si="24"/>
        <v>89.354780408458339</v>
      </c>
      <c r="L555">
        <f t="shared" si="24"/>
        <v>77.522399688352166</v>
      </c>
    </row>
    <row r="556" spans="1:12" ht="18" x14ac:dyDescent="0.45">
      <c r="A556" s="3" t="s">
        <v>226</v>
      </c>
      <c r="B556" s="3" t="s">
        <v>671</v>
      </c>
      <c r="C556" s="15" t="s">
        <v>565</v>
      </c>
      <c r="D556" s="16">
        <v>3430</v>
      </c>
      <c r="E556">
        <v>1228</v>
      </c>
      <c r="F556" s="16">
        <v>995000</v>
      </c>
      <c r="G556" s="5">
        <f t="shared" si="25"/>
        <v>996250.65710703132</v>
      </c>
      <c r="H556" s="6">
        <f t="shared" si="23"/>
        <v>-1250.6571070313221</v>
      </c>
      <c r="J556" s="2">
        <f t="shared" si="24"/>
        <v>95.145631067961162</v>
      </c>
      <c r="K556">
        <f t="shared" si="24"/>
        <v>88.776432315199713</v>
      </c>
      <c r="L556">
        <f t="shared" si="24"/>
        <v>77.522399688352166</v>
      </c>
    </row>
    <row r="557" spans="1:12" ht="18" x14ac:dyDescent="0.45">
      <c r="A557" s="3" t="s">
        <v>226</v>
      </c>
      <c r="B557" s="3" t="s">
        <v>448</v>
      </c>
      <c r="C557" s="15" t="s">
        <v>678</v>
      </c>
      <c r="D557" s="16">
        <v>3425</v>
      </c>
      <c r="E557">
        <v>1226</v>
      </c>
      <c r="F557" s="16">
        <v>993000</v>
      </c>
      <c r="G557" s="5">
        <f t="shared" si="25"/>
        <v>993193.62392695225</v>
      </c>
      <c r="H557" s="6">
        <f t="shared" si="23"/>
        <v>-193.62392695224844</v>
      </c>
      <c r="J557" s="2">
        <f t="shared" si="24"/>
        <v>95.006934812760051</v>
      </c>
      <c r="K557">
        <f t="shared" si="24"/>
        <v>88.631845291885057</v>
      </c>
      <c r="L557">
        <f t="shared" si="24"/>
        <v>77.366575769380603</v>
      </c>
    </row>
    <row r="558" spans="1:12" ht="18" x14ac:dyDescent="0.45">
      <c r="A558" s="3" t="s">
        <v>226</v>
      </c>
      <c r="B558" s="3" t="s">
        <v>438</v>
      </c>
      <c r="C558" s="15" t="s">
        <v>566</v>
      </c>
      <c r="D558" s="16">
        <v>3435</v>
      </c>
      <c r="E558">
        <v>1227.9000000000001</v>
      </c>
      <c r="F558" s="16">
        <v>1003000</v>
      </c>
      <c r="G558" s="5">
        <f t="shared" si="25"/>
        <v>997614.79050413135</v>
      </c>
      <c r="H558" s="6">
        <f t="shared" si="23"/>
        <v>5385.2094958686503</v>
      </c>
      <c r="J558" s="2">
        <f t="shared" si="24"/>
        <v>95.284327323162273</v>
      </c>
      <c r="K558">
        <f t="shared" si="24"/>
        <v>88.769202964033994</v>
      </c>
      <c r="L558">
        <f t="shared" si="24"/>
        <v>78.145695364238406</v>
      </c>
    </row>
    <row r="559" spans="1:12" ht="18" x14ac:dyDescent="0.45">
      <c r="A559" s="3" t="s">
        <v>226</v>
      </c>
      <c r="B559" s="3" t="s">
        <v>677</v>
      </c>
      <c r="C559" s="15" t="s">
        <v>568</v>
      </c>
      <c r="D559" s="16">
        <v>3435</v>
      </c>
      <c r="E559">
        <v>1227.9000000000001</v>
      </c>
      <c r="F559" s="16">
        <v>995000</v>
      </c>
      <c r="G559" s="5">
        <f t="shared" si="25"/>
        <v>997614.79050413135</v>
      </c>
      <c r="H559" s="6">
        <f t="shared" si="23"/>
        <v>-2614.7905041313497</v>
      </c>
      <c r="J559" s="2">
        <f t="shared" si="24"/>
        <v>95.284327323162273</v>
      </c>
      <c r="K559">
        <f t="shared" si="24"/>
        <v>88.769202964033994</v>
      </c>
      <c r="L559">
        <f t="shared" si="24"/>
        <v>77.522399688352166</v>
      </c>
    </row>
    <row r="560" spans="1:12" ht="18" x14ac:dyDescent="0.45">
      <c r="A560" s="3" t="s">
        <v>226</v>
      </c>
      <c r="B560" s="3" t="s">
        <v>442</v>
      </c>
      <c r="C560" s="15" t="s">
        <v>569</v>
      </c>
      <c r="D560">
        <v>3430</v>
      </c>
      <c r="E560">
        <v>1233</v>
      </c>
      <c r="F560" s="16">
        <v>993000</v>
      </c>
      <c r="G560" s="5">
        <f t="shared" si="25"/>
        <v>1000286.6939845032</v>
      </c>
      <c r="H560" s="6">
        <f t="shared" si="23"/>
        <v>-7286.6939845031593</v>
      </c>
      <c r="J560" s="2">
        <f t="shared" si="24"/>
        <v>95.145631067961162</v>
      </c>
      <c r="K560">
        <f t="shared" si="24"/>
        <v>89.137899873486361</v>
      </c>
      <c r="L560">
        <f t="shared" si="24"/>
        <v>77.366575769380603</v>
      </c>
    </row>
    <row r="561" spans="1:12" ht="18" x14ac:dyDescent="0.45">
      <c r="A561" s="3" t="s">
        <v>226</v>
      </c>
      <c r="B561" s="3" t="s">
        <v>671</v>
      </c>
      <c r="C561" s="15" t="s">
        <v>570</v>
      </c>
      <c r="D561">
        <v>3415</v>
      </c>
      <c r="E561">
        <v>1221</v>
      </c>
      <c r="F561" s="16">
        <v>983000</v>
      </c>
      <c r="G561" s="5">
        <f t="shared" si="25"/>
        <v>986290.00049834419</v>
      </c>
      <c r="H561" s="6">
        <f t="shared" si="23"/>
        <v>-3290.0004983441904</v>
      </c>
      <c r="J561" s="2">
        <f t="shared" si="24"/>
        <v>94.729542302357842</v>
      </c>
      <c r="K561">
        <f t="shared" si="24"/>
        <v>88.270377733598409</v>
      </c>
      <c r="L561">
        <f t="shared" si="24"/>
        <v>76.587456174522799</v>
      </c>
    </row>
    <row r="562" spans="1:12" ht="18" x14ac:dyDescent="0.45">
      <c r="A562" s="3" t="s">
        <v>226</v>
      </c>
      <c r="B562" s="3" t="s">
        <v>674</v>
      </c>
      <c r="C562" s="15" t="s">
        <v>571</v>
      </c>
      <c r="D562">
        <v>3415</v>
      </c>
      <c r="E562">
        <v>1206</v>
      </c>
      <c r="F562" s="16">
        <v>978000</v>
      </c>
      <c r="G562" s="5">
        <f t="shared" si="25"/>
        <v>974234.84078706231</v>
      </c>
      <c r="H562" s="6">
        <f t="shared" si="23"/>
        <v>3765.159212937695</v>
      </c>
      <c r="J562" s="2">
        <f t="shared" si="24"/>
        <v>94.729542302357842</v>
      </c>
      <c r="K562">
        <f t="shared" si="24"/>
        <v>87.185975058738478</v>
      </c>
      <c r="L562">
        <f t="shared" si="24"/>
        <v>76.197896377093883</v>
      </c>
    </row>
    <row r="563" spans="1:12" ht="18" x14ac:dyDescent="0.45">
      <c r="A563" s="3" t="s">
        <v>226</v>
      </c>
      <c r="B563" s="3" t="s">
        <v>448</v>
      </c>
      <c r="C563" s="15" t="s">
        <v>679</v>
      </c>
      <c r="D563">
        <v>3420</v>
      </c>
      <c r="E563">
        <v>1215</v>
      </c>
      <c r="F563" s="16">
        <v>993000</v>
      </c>
      <c r="G563" s="5">
        <f t="shared" si="25"/>
        <v>982897.61148442258</v>
      </c>
      <c r="H563" s="6">
        <f t="shared" si="23"/>
        <v>10102.388515577419</v>
      </c>
      <c r="I563" s="1">
        <f>F563/F538-1</f>
        <v>-4.5192307692307643E-2</v>
      </c>
      <c r="J563" s="2">
        <f t="shared" si="24"/>
        <v>94.868238557558954</v>
      </c>
      <c r="K563">
        <f t="shared" si="24"/>
        <v>87.836616663654439</v>
      </c>
      <c r="L563">
        <f t="shared" si="24"/>
        <v>77.366575769380603</v>
      </c>
    </row>
    <row r="564" spans="1:12" ht="18" x14ac:dyDescent="0.45">
      <c r="A564" s="3" t="s">
        <v>254</v>
      </c>
      <c r="B564" s="3" t="s">
        <v>438</v>
      </c>
      <c r="C564" s="15" t="s">
        <v>572</v>
      </c>
      <c r="D564">
        <v>3415</v>
      </c>
      <c r="E564">
        <v>1203.9000000000001</v>
      </c>
      <c r="F564" s="16">
        <v>976000</v>
      </c>
      <c r="G564" s="5">
        <f t="shared" si="25"/>
        <v>972547.1184274829</v>
      </c>
      <c r="H564" s="6">
        <f t="shared" si="23"/>
        <v>3452.8815725171007</v>
      </c>
      <c r="J564" s="2">
        <f t="shared" si="24"/>
        <v>94.729542302357842</v>
      </c>
      <c r="K564">
        <f t="shared" si="24"/>
        <v>87.034158684258088</v>
      </c>
      <c r="L564">
        <f t="shared" si="24"/>
        <v>76.04207245812232</v>
      </c>
    </row>
    <row r="565" spans="1:12" ht="18" x14ac:dyDescent="0.45">
      <c r="A565" s="3" t="s">
        <v>254</v>
      </c>
      <c r="B565" s="3" t="s">
        <v>440</v>
      </c>
      <c r="C565" s="15" t="s">
        <v>573</v>
      </c>
      <c r="D565" s="16">
        <v>3420</v>
      </c>
      <c r="E565">
        <v>1203.9000000000001</v>
      </c>
      <c r="F565" s="16">
        <v>978000</v>
      </c>
      <c r="G565" s="5">
        <f t="shared" si="25"/>
        <v>973963.73207086138</v>
      </c>
      <c r="H565" s="6">
        <f t="shared" si="23"/>
        <v>4036.2679291386157</v>
      </c>
      <c r="J565" s="2">
        <f t="shared" si="24"/>
        <v>94.868238557558954</v>
      </c>
      <c r="K565">
        <f t="shared" si="24"/>
        <v>87.034158684258088</v>
      </c>
      <c r="L565">
        <f t="shared" si="24"/>
        <v>76.197896377093883</v>
      </c>
    </row>
    <row r="566" spans="1:12" ht="18" x14ac:dyDescent="0.45">
      <c r="A566" s="3" t="s">
        <v>254</v>
      </c>
      <c r="B566" s="3" t="s">
        <v>442</v>
      </c>
      <c r="C566" s="15" t="s">
        <v>575</v>
      </c>
      <c r="D566" s="16">
        <v>3440</v>
      </c>
      <c r="E566">
        <v>1196</v>
      </c>
      <c r="F566" s="16">
        <v>982000</v>
      </c>
      <c r="G566" s="5">
        <f t="shared" si="25"/>
        <v>973234.65672121639</v>
      </c>
      <c r="H566" s="6">
        <f t="shared" si="23"/>
        <v>8765.3432787836064</v>
      </c>
      <c r="J566" s="2">
        <f t="shared" si="24"/>
        <v>95.423023578363384</v>
      </c>
      <c r="K566">
        <f t="shared" si="24"/>
        <v>86.463039942165182</v>
      </c>
      <c r="L566">
        <f t="shared" si="24"/>
        <v>76.50954421503701</v>
      </c>
    </row>
    <row r="567" spans="1:12" ht="18" x14ac:dyDescent="0.45">
      <c r="A567" s="3" t="s">
        <v>254</v>
      </c>
      <c r="B567" s="3" t="s">
        <v>671</v>
      </c>
      <c r="C567" s="15" t="s">
        <v>576</v>
      </c>
      <c r="D567" s="16">
        <v>3440</v>
      </c>
      <c r="E567">
        <v>1199</v>
      </c>
      <c r="F567" s="16">
        <v>987000</v>
      </c>
      <c r="G567" s="5">
        <f t="shared" si="25"/>
        <v>975663.33897051716</v>
      </c>
      <c r="H567" s="6">
        <f t="shared" si="23"/>
        <v>11336.661029482842</v>
      </c>
      <c r="J567" s="2">
        <f t="shared" si="24"/>
        <v>95.423023578363384</v>
      </c>
      <c r="K567">
        <f t="shared" si="24"/>
        <v>86.679920477137173</v>
      </c>
      <c r="L567">
        <f t="shared" si="24"/>
        <v>76.899104012465912</v>
      </c>
    </row>
    <row r="568" spans="1:12" ht="18" x14ac:dyDescent="0.45">
      <c r="A568" s="3" t="s">
        <v>254</v>
      </c>
      <c r="B568" s="3" t="s">
        <v>446</v>
      </c>
      <c r="C568" s="15" t="s">
        <v>577</v>
      </c>
      <c r="D568" s="16">
        <v>3445</v>
      </c>
      <c r="E568">
        <v>1209</v>
      </c>
      <c r="F568" s="16">
        <v>998000</v>
      </c>
      <c r="G568" s="5">
        <f t="shared" si="25"/>
        <v>985181.56121595949</v>
      </c>
      <c r="H568" s="6">
        <f t="shared" si="23"/>
        <v>12818.438784040511</v>
      </c>
      <c r="J568" s="2">
        <f t="shared" si="24"/>
        <v>95.561719833564496</v>
      </c>
      <c r="K568">
        <f t="shared" si="24"/>
        <v>87.402855593710456</v>
      </c>
      <c r="L568">
        <f t="shared" si="24"/>
        <v>77.756135566809505</v>
      </c>
    </row>
    <row r="569" spans="1:12" ht="18" x14ac:dyDescent="0.45">
      <c r="A569" s="3" t="s">
        <v>254</v>
      </c>
      <c r="B569" s="3" t="s">
        <v>448</v>
      </c>
      <c r="C569" s="15" t="s">
        <v>680</v>
      </c>
      <c r="D569" s="16">
        <v>3440</v>
      </c>
      <c r="E569">
        <v>1215</v>
      </c>
      <c r="F569" s="16">
        <v>998000</v>
      </c>
      <c r="G569" s="5">
        <f t="shared" si="25"/>
        <v>988616.31096678763</v>
      </c>
      <c r="H569" s="6">
        <f t="shared" si="23"/>
        <v>9383.689033212373</v>
      </c>
      <c r="J569" s="2">
        <f t="shared" si="24"/>
        <v>95.423023578363384</v>
      </c>
      <c r="K569">
        <f t="shared" si="24"/>
        <v>87.836616663654439</v>
      </c>
      <c r="L569">
        <f t="shared" si="24"/>
        <v>77.756135566809505</v>
      </c>
    </row>
    <row r="570" spans="1:12" ht="18" x14ac:dyDescent="0.45">
      <c r="A570" s="3" t="s">
        <v>254</v>
      </c>
      <c r="B570" s="3" t="s">
        <v>438</v>
      </c>
      <c r="C570" s="15" t="s">
        <v>578</v>
      </c>
      <c r="D570" s="16">
        <v>3430</v>
      </c>
      <c r="E570">
        <v>1213.7</v>
      </c>
      <c r="F570" s="16">
        <v>989000</v>
      </c>
      <c r="G570" s="5">
        <f t="shared" si="25"/>
        <v>984707.59163746261</v>
      </c>
      <c r="H570" s="6">
        <f t="shared" si="23"/>
        <v>4292.4083625373896</v>
      </c>
      <c r="J570" s="2">
        <f t="shared" si="24"/>
        <v>95.145631067961162</v>
      </c>
      <c r="K570">
        <f t="shared" si="24"/>
        <v>87.742635098499903</v>
      </c>
      <c r="L570">
        <f t="shared" si="24"/>
        <v>77.054927931437476</v>
      </c>
    </row>
    <row r="571" spans="1:12" ht="18" x14ac:dyDescent="0.45">
      <c r="A571" s="3" t="s">
        <v>254</v>
      </c>
      <c r="B571" s="3" t="s">
        <v>440</v>
      </c>
      <c r="C571" s="15" t="s">
        <v>579</v>
      </c>
      <c r="D571" s="16">
        <v>3430</v>
      </c>
      <c r="E571">
        <v>1213.7</v>
      </c>
      <c r="F571" s="16">
        <v>990000</v>
      </c>
      <c r="G571" s="5">
        <f t="shared" si="25"/>
        <v>984707.59163746261</v>
      </c>
      <c r="H571" s="6">
        <f t="shared" si="23"/>
        <v>5292.4083625373896</v>
      </c>
      <c r="J571" s="2">
        <f t="shared" si="24"/>
        <v>95.145631067961162</v>
      </c>
      <c r="K571">
        <f t="shared" si="24"/>
        <v>87.742635098499903</v>
      </c>
      <c r="L571">
        <f t="shared" si="24"/>
        <v>77.13283989092325</v>
      </c>
    </row>
    <row r="572" spans="1:12" ht="18" x14ac:dyDescent="0.45">
      <c r="A572" s="3" t="s">
        <v>254</v>
      </c>
      <c r="B572" s="3" t="s">
        <v>442</v>
      </c>
      <c r="C572" s="15" t="s">
        <v>580</v>
      </c>
      <c r="D572" s="16">
        <v>3430</v>
      </c>
      <c r="E572">
        <v>1215</v>
      </c>
      <c r="F572" s="16">
        <v>992000</v>
      </c>
      <c r="G572" s="5">
        <f t="shared" si="25"/>
        <v>985756.9612256051</v>
      </c>
      <c r="H572" s="6">
        <f t="shared" si="23"/>
        <v>6243.0387743948959</v>
      </c>
      <c r="J572" s="2">
        <f t="shared" si="24"/>
        <v>95.145631067961162</v>
      </c>
      <c r="K572">
        <f t="shared" si="24"/>
        <v>87.836616663654439</v>
      </c>
      <c r="L572">
        <f t="shared" si="24"/>
        <v>77.288663809894814</v>
      </c>
    </row>
    <row r="573" spans="1:12" ht="18" x14ac:dyDescent="0.45">
      <c r="A573" s="3" t="s">
        <v>254</v>
      </c>
      <c r="B573" s="3" t="s">
        <v>671</v>
      </c>
      <c r="C573" s="15" t="s">
        <v>582</v>
      </c>
      <c r="D573" s="16">
        <v>3420</v>
      </c>
      <c r="E573">
        <v>1210</v>
      </c>
      <c r="F573" s="16">
        <v>983000</v>
      </c>
      <c r="G573" s="5">
        <f t="shared" si="25"/>
        <v>978873.3414783139</v>
      </c>
      <c r="H573" s="6">
        <f t="shared" si="23"/>
        <v>4126.6585216860985</v>
      </c>
      <c r="J573" s="2">
        <f t="shared" si="24"/>
        <v>94.868238557558954</v>
      </c>
      <c r="K573">
        <f t="shared" si="24"/>
        <v>87.475149105367791</v>
      </c>
      <c r="L573">
        <f t="shared" si="24"/>
        <v>76.587456174522799</v>
      </c>
    </row>
    <row r="574" spans="1:12" ht="18" x14ac:dyDescent="0.45">
      <c r="A574" s="3" t="s">
        <v>254</v>
      </c>
      <c r="B574" s="3" t="s">
        <v>674</v>
      </c>
      <c r="C574" s="15" t="s">
        <v>583</v>
      </c>
      <c r="D574" s="16">
        <v>3420</v>
      </c>
      <c r="E574">
        <v>1205</v>
      </c>
      <c r="F574" s="16">
        <v>981000</v>
      </c>
      <c r="G574" s="5">
        <f t="shared" si="25"/>
        <v>974849.07147220522</v>
      </c>
      <c r="H574" s="6">
        <f t="shared" si="23"/>
        <v>6150.9285277947783</v>
      </c>
      <c r="J574" s="2">
        <f t="shared" si="24"/>
        <v>94.868238557558954</v>
      </c>
      <c r="K574">
        <f t="shared" si="24"/>
        <v>87.113681547081143</v>
      </c>
      <c r="L574">
        <f t="shared" si="24"/>
        <v>76.431632255551222</v>
      </c>
    </row>
    <row r="575" spans="1:12" ht="18" x14ac:dyDescent="0.45">
      <c r="A575" s="3" t="s">
        <v>254</v>
      </c>
      <c r="B575" s="3" t="s">
        <v>448</v>
      </c>
      <c r="C575" s="15" t="s">
        <v>681</v>
      </c>
      <c r="D575" s="16">
        <v>3420</v>
      </c>
      <c r="E575">
        <v>1200</v>
      </c>
      <c r="F575" s="16">
        <v>980000</v>
      </c>
      <c r="G575" s="5">
        <f t="shared" si="25"/>
        <v>970824.80146609643</v>
      </c>
      <c r="H575" s="6">
        <f t="shared" si="23"/>
        <v>9175.1985339035746</v>
      </c>
      <c r="J575" s="2">
        <f t="shared" si="24"/>
        <v>94.868238557558954</v>
      </c>
      <c r="K575">
        <f t="shared" si="24"/>
        <v>86.752213988794495</v>
      </c>
      <c r="L575">
        <f t="shared" si="24"/>
        <v>76.353720296065433</v>
      </c>
    </row>
    <row r="576" spans="1:12" ht="18" x14ac:dyDescent="0.45">
      <c r="A576" s="3" t="s">
        <v>254</v>
      </c>
      <c r="B576" s="3" t="s">
        <v>438</v>
      </c>
      <c r="C576" s="15" t="s">
        <v>584</v>
      </c>
      <c r="D576" s="16">
        <v>3410</v>
      </c>
      <c r="E576">
        <v>1168.7</v>
      </c>
      <c r="F576" s="16">
        <v>962000</v>
      </c>
      <c r="G576" s="5">
        <f t="shared" si="25"/>
        <v>942882.48271549353</v>
      </c>
      <c r="H576" s="6">
        <f t="shared" si="23"/>
        <v>19117.517284506466</v>
      </c>
      <c r="J576" s="2">
        <f t="shared" si="24"/>
        <v>94.590846047156731</v>
      </c>
      <c r="K576">
        <f t="shared" si="24"/>
        <v>84.489427073920126</v>
      </c>
      <c r="L576">
        <f t="shared" si="24"/>
        <v>74.951305025321389</v>
      </c>
    </row>
    <row r="577" spans="1:12" ht="18" x14ac:dyDescent="0.45">
      <c r="A577" s="3" t="s">
        <v>254</v>
      </c>
      <c r="B577" s="3" t="s">
        <v>677</v>
      </c>
      <c r="C577" s="15" t="s">
        <v>585</v>
      </c>
      <c r="D577" s="16">
        <v>3410</v>
      </c>
      <c r="E577">
        <v>1168.7</v>
      </c>
      <c r="F577" s="16">
        <v>965000</v>
      </c>
      <c r="G577" s="5">
        <f t="shared" si="25"/>
        <v>942882.48271549353</v>
      </c>
      <c r="H577" s="6">
        <f t="shared" si="23"/>
        <v>22117.517284506466</v>
      </c>
      <c r="J577" s="2">
        <f t="shared" si="24"/>
        <v>94.590846047156731</v>
      </c>
      <c r="K577">
        <f t="shared" si="24"/>
        <v>84.489427073920126</v>
      </c>
      <c r="L577">
        <f t="shared" si="24"/>
        <v>75.185040903778741</v>
      </c>
    </row>
    <row r="578" spans="1:12" ht="18" x14ac:dyDescent="0.45">
      <c r="A578" s="3" t="s">
        <v>254</v>
      </c>
      <c r="B578" s="3" t="s">
        <v>442</v>
      </c>
      <c r="C578" s="15" t="s">
        <v>586</v>
      </c>
      <c r="D578" s="16">
        <v>3410</v>
      </c>
      <c r="E578">
        <v>1174</v>
      </c>
      <c r="F578" s="16">
        <v>967000</v>
      </c>
      <c r="G578" s="5">
        <f t="shared" si="25"/>
        <v>947135.73603832419</v>
      </c>
      <c r="H578" s="6">
        <f t="shared" ref="H578:H641" si="26">F:F-G:G</f>
        <v>19864.26396167581</v>
      </c>
      <c r="J578" s="2">
        <f t="shared" si="24"/>
        <v>94.590846047156731</v>
      </c>
      <c r="K578">
        <f t="shared" si="24"/>
        <v>84.872582685703961</v>
      </c>
      <c r="L578">
        <f t="shared" si="24"/>
        <v>75.340864822750291</v>
      </c>
    </row>
    <row r="579" spans="1:12" ht="18" x14ac:dyDescent="0.45">
      <c r="A579" s="3" t="s">
        <v>254</v>
      </c>
      <c r="B579" s="3" t="s">
        <v>671</v>
      </c>
      <c r="C579" s="15" t="s">
        <v>587</v>
      </c>
      <c r="D579" s="16">
        <v>3395</v>
      </c>
      <c r="E579">
        <v>1166</v>
      </c>
      <c r="F579" s="16">
        <v>957000</v>
      </c>
      <c r="G579" s="5">
        <f t="shared" si="25"/>
        <v>936599.67941999144</v>
      </c>
      <c r="H579" s="6">
        <f t="shared" si="26"/>
        <v>20400.320580008556</v>
      </c>
      <c r="J579" s="2">
        <f t="shared" si="24"/>
        <v>94.174757281553397</v>
      </c>
      <c r="K579">
        <f t="shared" si="24"/>
        <v>84.294234592445321</v>
      </c>
      <c r="L579">
        <f t="shared" si="24"/>
        <v>74.561745227892487</v>
      </c>
    </row>
    <row r="580" spans="1:12" ht="18" x14ac:dyDescent="0.45">
      <c r="A580" s="3" t="s">
        <v>254</v>
      </c>
      <c r="B580" s="3" t="s">
        <v>674</v>
      </c>
      <c r="C580" s="15" t="s">
        <v>589</v>
      </c>
      <c r="D580" s="16">
        <v>3350</v>
      </c>
      <c r="E580">
        <v>1158</v>
      </c>
      <c r="F580" s="16">
        <v>948000</v>
      </c>
      <c r="G580" s="5">
        <f t="shared" si="25"/>
        <v>917944.48156126414</v>
      </c>
      <c r="H580" s="6">
        <f t="shared" si="26"/>
        <v>30055.51843873586</v>
      </c>
      <c r="J580" s="2">
        <f t="shared" si="24"/>
        <v>92.92649098474341</v>
      </c>
      <c r="K580">
        <f t="shared" si="24"/>
        <v>83.715886499186695</v>
      </c>
      <c r="L580">
        <f t="shared" si="24"/>
        <v>73.860537592520444</v>
      </c>
    </row>
    <row r="581" spans="1:12" ht="18" x14ac:dyDescent="0.45">
      <c r="A581" s="3" t="s">
        <v>254</v>
      </c>
      <c r="B581" s="3" t="s">
        <v>448</v>
      </c>
      <c r="C581" s="15" t="s">
        <v>682</v>
      </c>
      <c r="D581" s="16">
        <v>3340</v>
      </c>
      <c r="E581">
        <v>1157</v>
      </c>
      <c r="F581" s="16">
        <v>946000</v>
      </c>
      <c r="G581" s="5">
        <f t="shared" si="25"/>
        <v>914433.24714657757</v>
      </c>
      <c r="H581" s="6">
        <f t="shared" si="26"/>
        <v>31566.752853422426</v>
      </c>
      <c r="J581" s="2">
        <f t="shared" si="24"/>
        <v>92.649098474341201</v>
      </c>
      <c r="K581">
        <f t="shared" si="24"/>
        <v>83.643592987529374</v>
      </c>
      <c r="L581">
        <f t="shared" si="24"/>
        <v>73.704713673548895</v>
      </c>
    </row>
    <row r="582" spans="1:12" ht="18" x14ac:dyDescent="0.45">
      <c r="A582" s="3" t="s">
        <v>254</v>
      </c>
      <c r="B582" s="3" t="s">
        <v>438</v>
      </c>
      <c r="C582" s="15" t="s">
        <v>590</v>
      </c>
      <c r="D582" s="16">
        <v>3255</v>
      </c>
      <c r="E582">
        <v>1158.5999999999999</v>
      </c>
      <c r="F582" s="16">
        <v>919000</v>
      </c>
      <c r="G582" s="5">
        <f t="shared" si="25"/>
        <v>892514.62518406578</v>
      </c>
      <c r="H582" s="6">
        <f t="shared" si="26"/>
        <v>26485.374815934221</v>
      </c>
      <c r="J582" s="2">
        <f t="shared" si="24"/>
        <v>90.291262135922338</v>
      </c>
      <c r="K582">
        <f t="shared" si="24"/>
        <v>83.759262606181082</v>
      </c>
      <c r="L582">
        <f t="shared" si="24"/>
        <v>71.601090767432794</v>
      </c>
    </row>
    <row r="583" spans="1:12" ht="18" x14ac:dyDescent="0.45">
      <c r="A583" s="3" t="s">
        <v>254</v>
      </c>
      <c r="B583" s="3" t="s">
        <v>677</v>
      </c>
      <c r="C583" s="15" t="s">
        <v>591</v>
      </c>
      <c r="D583" s="16">
        <v>3245</v>
      </c>
      <c r="E583">
        <v>1158.5999999999999</v>
      </c>
      <c r="F583" s="16">
        <v>920000</v>
      </c>
      <c r="G583" s="5">
        <f t="shared" si="25"/>
        <v>889788.0057518566</v>
      </c>
      <c r="H583" s="6">
        <f t="shared" si="26"/>
        <v>30211.994248143397</v>
      </c>
      <c r="J583" s="2">
        <f t="shared" si="24"/>
        <v>90.013869625520115</v>
      </c>
      <c r="K583">
        <f t="shared" si="24"/>
        <v>83.759262606181082</v>
      </c>
      <c r="L583">
        <f t="shared" si="24"/>
        <v>71.679002726918583</v>
      </c>
    </row>
    <row r="584" spans="1:12" ht="18" x14ac:dyDescent="0.45">
      <c r="A584" s="3" t="s">
        <v>254</v>
      </c>
      <c r="B584" s="3" t="s">
        <v>442</v>
      </c>
      <c r="C584" s="15" t="s">
        <v>592</v>
      </c>
      <c r="D584" s="16">
        <v>3310</v>
      </c>
      <c r="E584">
        <v>1157</v>
      </c>
      <c r="F584" s="16">
        <v>930000</v>
      </c>
      <c r="G584" s="5">
        <f t="shared" si="25"/>
        <v>906264.6850464585</v>
      </c>
      <c r="H584" s="6">
        <f t="shared" si="26"/>
        <v>23735.3149535415</v>
      </c>
      <c r="J584" s="2">
        <f t="shared" si="24"/>
        <v>91.816920943134534</v>
      </c>
      <c r="K584">
        <f t="shared" si="24"/>
        <v>83.643592987529374</v>
      </c>
      <c r="L584">
        <f t="shared" si="24"/>
        <v>72.458122321776401</v>
      </c>
    </row>
    <row r="585" spans="1:12" ht="18" x14ac:dyDescent="0.45">
      <c r="A585" s="3" t="s">
        <v>254</v>
      </c>
      <c r="B585" s="3" t="s">
        <v>671</v>
      </c>
      <c r="C585" s="15" t="s">
        <v>593</v>
      </c>
      <c r="D585" s="16">
        <v>3360</v>
      </c>
      <c r="E585">
        <v>1154</v>
      </c>
      <c r="F585" s="16">
        <v>940000</v>
      </c>
      <c r="G585" s="5">
        <f t="shared" si="25"/>
        <v>917506.75394656439</v>
      </c>
      <c r="H585" s="6">
        <f t="shared" si="26"/>
        <v>22493.246053435607</v>
      </c>
      <c r="J585" s="2">
        <f t="shared" si="24"/>
        <v>93.203883495145632</v>
      </c>
      <c r="K585">
        <f t="shared" si="24"/>
        <v>83.426712452557382</v>
      </c>
      <c r="L585">
        <f t="shared" si="24"/>
        <v>73.237241916634204</v>
      </c>
    </row>
    <row r="586" spans="1:12" ht="18" x14ac:dyDescent="0.45">
      <c r="A586" s="3" t="s">
        <v>254</v>
      </c>
      <c r="B586" s="3" t="s">
        <v>674</v>
      </c>
      <c r="C586" s="15" t="s">
        <v>595</v>
      </c>
      <c r="D586" s="16">
        <v>3360</v>
      </c>
      <c r="E586">
        <v>1148</v>
      </c>
      <c r="F586" s="16">
        <v>940000</v>
      </c>
      <c r="G586" s="5">
        <f t="shared" si="25"/>
        <v>912762.35141304671</v>
      </c>
      <c r="H586" s="6">
        <f t="shared" si="26"/>
        <v>27237.648586953292</v>
      </c>
      <c r="J586" s="2">
        <f t="shared" si="24"/>
        <v>93.203883495145632</v>
      </c>
      <c r="K586">
        <f t="shared" si="24"/>
        <v>82.992951382613413</v>
      </c>
      <c r="L586">
        <f t="shared" si="24"/>
        <v>73.237241916634204</v>
      </c>
    </row>
    <row r="587" spans="1:12" ht="18" x14ac:dyDescent="0.45">
      <c r="A587" s="3" t="s">
        <v>254</v>
      </c>
      <c r="B587" s="3" t="s">
        <v>448</v>
      </c>
      <c r="C587" s="15" t="s">
        <v>683</v>
      </c>
      <c r="D587" s="16">
        <v>3340</v>
      </c>
      <c r="E587">
        <v>1165</v>
      </c>
      <c r="F587" s="16">
        <v>940000</v>
      </c>
      <c r="G587" s="5">
        <f t="shared" si="25"/>
        <v>920721.46320290642</v>
      </c>
      <c r="H587" s="6">
        <f t="shared" si="26"/>
        <v>19278.536797093577</v>
      </c>
      <c r="I587" s="1">
        <f>F587/F563-1</f>
        <v>-5.3373615307150013E-2</v>
      </c>
      <c r="J587" s="2">
        <f t="shared" si="24"/>
        <v>92.649098474341201</v>
      </c>
      <c r="K587">
        <f t="shared" si="24"/>
        <v>84.221941080788</v>
      </c>
      <c r="L587">
        <f t="shared" si="24"/>
        <v>73.237241916634204</v>
      </c>
    </row>
    <row r="588" spans="1:12" ht="18" x14ac:dyDescent="0.45">
      <c r="A588" s="3" t="s">
        <v>284</v>
      </c>
      <c r="B588" s="3" t="s">
        <v>674</v>
      </c>
      <c r="C588" s="15" t="s">
        <v>596</v>
      </c>
      <c r="D588" s="16">
        <v>3345</v>
      </c>
      <c r="E588">
        <v>1198</v>
      </c>
      <c r="F588" s="16">
        <v>958000</v>
      </c>
      <c r="G588" s="5">
        <f t="shared" si="25"/>
        <v>948070.02562453761</v>
      </c>
      <c r="H588" s="6">
        <f t="shared" si="26"/>
        <v>9929.9743754623923</v>
      </c>
      <c r="J588" s="2">
        <f t="shared" si="24"/>
        <v>92.787794729542298</v>
      </c>
      <c r="K588">
        <f t="shared" si="24"/>
        <v>86.607626965479852</v>
      </c>
      <c r="L588">
        <f t="shared" si="24"/>
        <v>74.639657187378262</v>
      </c>
    </row>
    <row r="589" spans="1:12" ht="18" x14ac:dyDescent="0.45">
      <c r="A589" s="3" t="s">
        <v>284</v>
      </c>
      <c r="B589" s="3" t="s">
        <v>448</v>
      </c>
      <c r="C589" s="15" t="s">
        <v>684</v>
      </c>
      <c r="D589" s="16">
        <v>3350</v>
      </c>
      <c r="E589">
        <v>1205</v>
      </c>
      <c r="F589" s="16">
        <v>965000</v>
      </c>
      <c r="G589" s="5">
        <f t="shared" si="25"/>
        <v>954998.35948300804</v>
      </c>
      <c r="H589" s="6">
        <f t="shared" si="26"/>
        <v>10001.64051699196</v>
      </c>
      <c r="J589" s="2">
        <f t="shared" si="24"/>
        <v>92.92649098474341</v>
      </c>
      <c r="K589">
        <f t="shared" si="24"/>
        <v>87.113681547081143</v>
      </c>
      <c r="L589">
        <f t="shared" si="24"/>
        <v>75.185040903778741</v>
      </c>
    </row>
    <row r="590" spans="1:12" ht="18" x14ac:dyDescent="0.45">
      <c r="A590" s="3" t="s">
        <v>284</v>
      </c>
      <c r="B590" s="3" t="s">
        <v>438</v>
      </c>
      <c r="C590" s="15" t="s">
        <v>597</v>
      </c>
      <c r="D590" s="16">
        <v>3345</v>
      </c>
      <c r="E590">
        <v>1198.4000000000001</v>
      </c>
      <c r="F590" s="16">
        <v>957000</v>
      </c>
      <c r="G590" s="5">
        <f t="shared" si="25"/>
        <v>948384.90710220882</v>
      </c>
      <c r="H590" s="6">
        <f t="shared" si="26"/>
        <v>8615.0928977911826</v>
      </c>
      <c r="J590" s="2">
        <f t="shared" si="24"/>
        <v>92.787794729542298</v>
      </c>
      <c r="K590">
        <f t="shared" si="24"/>
        <v>86.636544370142786</v>
      </c>
      <c r="L590">
        <f t="shared" si="24"/>
        <v>74.561745227892487</v>
      </c>
    </row>
    <row r="591" spans="1:12" ht="18" x14ac:dyDescent="0.45">
      <c r="A591" s="3" t="s">
        <v>284</v>
      </c>
      <c r="B591" s="3" t="s">
        <v>677</v>
      </c>
      <c r="C591" s="15" t="s">
        <v>598</v>
      </c>
      <c r="D591" s="16">
        <v>3340</v>
      </c>
      <c r="E591">
        <v>1198.4000000000001</v>
      </c>
      <c r="F591" s="16">
        <v>950000</v>
      </c>
      <c r="G591" s="5">
        <f t="shared" si="25"/>
        <v>946974.76523807994</v>
      </c>
      <c r="H591" s="6">
        <f t="shared" si="26"/>
        <v>3025.2347619200591</v>
      </c>
      <c r="J591" s="2">
        <f t="shared" si="24"/>
        <v>92.649098474341201</v>
      </c>
      <c r="K591">
        <f t="shared" si="24"/>
        <v>86.636544370142786</v>
      </c>
      <c r="L591">
        <f t="shared" si="24"/>
        <v>74.016361511492008</v>
      </c>
    </row>
    <row r="592" spans="1:12" ht="18" x14ac:dyDescent="0.45">
      <c r="A592" s="3" t="s">
        <v>284</v>
      </c>
      <c r="B592" s="3" t="s">
        <v>442</v>
      </c>
      <c r="C592" s="15" t="s">
        <v>599</v>
      </c>
      <c r="D592" s="16">
        <v>3335</v>
      </c>
      <c r="E592">
        <v>1185</v>
      </c>
      <c r="F592" s="16">
        <v>940000</v>
      </c>
      <c r="G592" s="5">
        <f t="shared" si="25"/>
        <v>935047.62908722623</v>
      </c>
      <c r="H592" s="6">
        <f t="shared" si="26"/>
        <v>4952.3709127737675</v>
      </c>
      <c r="J592" s="2">
        <f t="shared" si="24"/>
        <v>92.51040221914009</v>
      </c>
      <c r="K592">
        <f t="shared" si="24"/>
        <v>85.667811313934578</v>
      </c>
      <c r="L592">
        <f t="shared" si="24"/>
        <v>73.237241916634204</v>
      </c>
    </row>
    <row r="593" spans="1:12" ht="18" x14ac:dyDescent="0.45">
      <c r="A593" s="3" t="s">
        <v>284</v>
      </c>
      <c r="B593" s="3" t="s">
        <v>671</v>
      </c>
      <c r="C593" s="15" t="s">
        <v>601</v>
      </c>
      <c r="D593">
        <v>3330</v>
      </c>
      <c r="E593">
        <v>1187</v>
      </c>
      <c r="F593">
        <v>938000</v>
      </c>
      <c r="G593" s="5">
        <f t="shared" si="25"/>
        <v>935220.60209626087</v>
      </c>
      <c r="H593" s="6">
        <f t="shared" si="26"/>
        <v>2779.3979037391255</v>
      </c>
      <c r="J593" s="2">
        <f t="shared" si="24"/>
        <v>92.371705963938979</v>
      </c>
      <c r="K593">
        <f t="shared" si="24"/>
        <v>85.812398337249235</v>
      </c>
      <c r="L593">
        <f t="shared" si="24"/>
        <v>73.081417997662641</v>
      </c>
    </row>
    <row r="594" spans="1:12" ht="18" x14ac:dyDescent="0.45">
      <c r="A594" s="3" t="s">
        <v>284</v>
      </c>
      <c r="B594" s="3" t="s">
        <v>438</v>
      </c>
      <c r="C594" s="15" t="s">
        <v>602</v>
      </c>
      <c r="D594">
        <v>3270</v>
      </c>
      <c r="E594">
        <v>1202</v>
      </c>
      <c r="F594">
        <v>940000</v>
      </c>
      <c r="G594" s="5">
        <f t="shared" si="25"/>
        <v>930003.1713339549</v>
      </c>
      <c r="H594" s="6">
        <f t="shared" si="26"/>
        <v>9996.8286660450976</v>
      </c>
      <c r="J594" s="2">
        <f t="shared" si="24"/>
        <v>90.707350901525658</v>
      </c>
      <c r="K594">
        <f t="shared" si="24"/>
        <v>86.896801012109165</v>
      </c>
      <c r="L594">
        <f t="shared" si="24"/>
        <v>73.237241916634204</v>
      </c>
    </row>
    <row r="595" spans="1:12" ht="18" x14ac:dyDescent="0.45">
      <c r="A595" s="3" t="s">
        <v>284</v>
      </c>
      <c r="B595" s="3" t="s">
        <v>677</v>
      </c>
      <c r="C595" s="15" t="s">
        <v>603</v>
      </c>
      <c r="D595">
        <v>3300</v>
      </c>
      <c r="E595">
        <v>1202</v>
      </c>
      <c r="F595">
        <v>965000</v>
      </c>
      <c r="G595" s="5">
        <f t="shared" si="25"/>
        <v>938489.43896087189</v>
      </c>
      <c r="H595" s="6">
        <f t="shared" si="26"/>
        <v>26510.561039128108</v>
      </c>
      <c r="J595" s="2">
        <f t="shared" si="24"/>
        <v>91.539528432732325</v>
      </c>
      <c r="K595">
        <f t="shared" si="24"/>
        <v>86.896801012109165</v>
      </c>
      <c r="L595">
        <f t="shared" si="24"/>
        <v>75.185040903778741</v>
      </c>
    </row>
    <row r="596" spans="1:12" ht="18" x14ac:dyDescent="0.45">
      <c r="A596" s="3" t="s">
        <v>284</v>
      </c>
      <c r="B596" s="3" t="s">
        <v>442</v>
      </c>
      <c r="C596" s="15" t="s">
        <v>604</v>
      </c>
      <c r="D596">
        <v>3290</v>
      </c>
      <c r="E596">
        <v>1220</v>
      </c>
      <c r="F596">
        <v>962000</v>
      </c>
      <c r="G596" s="5">
        <f t="shared" si="25"/>
        <v>949597.36552744103</v>
      </c>
      <c r="H596" s="6">
        <f t="shared" si="26"/>
        <v>12402.634472558973</v>
      </c>
      <c r="J596" s="2">
        <f t="shared" si="24"/>
        <v>91.262135922330103</v>
      </c>
      <c r="K596">
        <f t="shared" si="24"/>
        <v>88.198084221941073</v>
      </c>
      <c r="L596">
        <f t="shared" si="24"/>
        <v>74.951305025321389</v>
      </c>
    </row>
    <row r="597" spans="1:12" ht="18" x14ac:dyDescent="0.45">
      <c r="A597" s="3" t="s">
        <v>284</v>
      </c>
      <c r="B597" s="3" t="s">
        <v>671</v>
      </c>
      <c r="C597" s="15" t="s">
        <v>605</v>
      </c>
      <c r="D597">
        <v>3315</v>
      </c>
      <c r="E597">
        <v>1210</v>
      </c>
      <c r="F597">
        <v>961000</v>
      </c>
      <c r="G597" s="5">
        <f t="shared" si="25"/>
        <v>948973.72134520777</v>
      </c>
      <c r="H597" s="6">
        <f t="shared" si="26"/>
        <v>12026.27865479223</v>
      </c>
      <c r="J597" s="2">
        <f t="shared" si="24"/>
        <v>91.955617198335645</v>
      </c>
      <c r="K597">
        <f t="shared" si="24"/>
        <v>87.475149105367791</v>
      </c>
      <c r="L597">
        <f t="shared" si="24"/>
        <v>74.8733930658356</v>
      </c>
    </row>
    <row r="598" spans="1:12" ht="18" x14ac:dyDescent="0.45">
      <c r="A598" s="3" t="s">
        <v>284</v>
      </c>
      <c r="B598" s="3" t="s">
        <v>674</v>
      </c>
      <c r="C598" s="15" t="s">
        <v>606</v>
      </c>
      <c r="D598">
        <v>3325</v>
      </c>
      <c r="E598">
        <v>1206</v>
      </c>
      <c r="F598">
        <v>960000</v>
      </c>
      <c r="G598" s="5">
        <f t="shared" si="25"/>
        <v>948691.3164324984</v>
      </c>
      <c r="H598" s="6">
        <f t="shared" si="26"/>
        <v>11308.683567501605</v>
      </c>
      <c r="J598" s="2">
        <f t="shared" si="24"/>
        <v>92.233009708737868</v>
      </c>
      <c r="K598">
        <f t="shared" si="24"/>
        <v>87.185975058738478</v>
      </c>
      <c r="L598">
        <f t="shared" si="24"/>
        <v>74.795481106349825</v>
      </c>
    </row>
    <row r="599" spans="1:12" ht="18" x14ac:dyDescent="0.45">
      <c r="A599" s="3" t="s">
        <v>284</v>
      </c>
      <c r="B599" s="3" t="s">
        <v>448</v>
      </c>
      <c r="C599" s="15" t="s">
        <v>685</v>
      </c>
      <c r="D599" s="16">
        <v>3315</v>
      </c>
      <c r="E599">
        <v>1195</v>
      </c>
      <c r="F599">
        <v>952000</v>
      </c>
      <c r="G599" s="5">
        <f t="shared" si="25"/>
        <v>937271.56777481257</v>
      </c>
      <c r="H599" s="6">
        <f t="shared" si="26"/>
        <v>14728.432225187426</v>
      </c>
      <c r="J599" s="2">
        <f t="shared" si="24"/>
        <v>91.955617198335645</v>
      </c>
      <c r="K599">
        <f t="shared" si="24"/>
        <v>86.390746430507861</v>
      </c>
      <c r="L599">
        <f t="shared" si="24"/>
        <v>74.172185430463571</v>
      </c>
    </row>
    <row r="600" spans="1:12" ht="18" x14ac:dyDescent="0.45">
      <c r="A600" s="3" t="s">
        <v>284</v>
      </c>
      <c r="B600" s="3" t="s">
        <v>438</v>
      </c>
      <c r="C600" s="15" t="s">
        <v>608</v>
      </c>
      <c r="D600" s="16">
        <v>3345</v>
      </c>
      <c r="E600">
        <v>1207.3</v>
      </c>
      <c r="F600">
        <v>968000</v>
      </c>
      <c r="G600" s="5">
        <f t="shared" si="25"/>
        <v>955391.01998038765</v>
      </c>
      <c r="H600" s="6">
        <f t="shared" si="26"/>
        <v>12608.980019612354</v>
      </c>
      <c r="J600" s="2">
        <f t="shared" si="24"/>
        <v>92.787794729542298</v>
      </c>
      <c r="K600">
        <f t="shared" si="24"/>
        <v>87.279956623893014</v>
      </c>
      <c r="L600">
        <f t="shared" si="24"/>
        <v>75.41877678223608</v>
      </c>
    </row>
    <row r="601" spans="1:12" ht="18" x14ac:dyDescent="0.45">
      <c r="A601" s="3" t="s">
        <v>284</v>
      </c>
      <c r="B601" s="3" t="s">
        <v>677</v>
      </c>
      <c r="C601" s="15" t="s">
        <v>609</v>
      </c>
      <c r="D601" s="16">
        <v>3365</v>
      </c>
      <c r="E601">
        <v>1207.3</v>
      </c>
      <c r="F601">
        <v>975000</v>
      </c>
      <c r="G601" s="5">
        <f t="shared" si="25"/>
        <v>961073.47749895498</v>
      </c>
      <c r="H601" s="6">
        <f t="shared" si="26"/>
        <v>13926.522501045023</v>
      </c>
      <c r="J601" s="2">
        <f t="shared" si="24"/>
        <v>93.342579750346744</v>
      </c>
      <c r="K601">
        <f t="shared" si="24"/>
        <v>87.279956623893014</v>
      </c>
      <c r="L601">
        <f t="shared" si="24"/>
        <v>75.964160498636545</v>
      </c>
    </row>
    <row r="602" spans="1:12" ht="18" x14ac:dyDescent="0.45">
      <c r="A602" s="3" t="s">
        <v>284</v>
      </c>
      <c r="B602" s="3" t="s">
        <v>442</v>
      </c>
      <c r="C602" s="15" t="s">
        <v>610</v>
      </c>
      <c r="D602" s="16">
        <v>3360</v>
      </c>
      <c r="E602">
        <v>1200</v>
      </c>
      <c r="F602">
        <v>969000</v>
      </c>
      <c r="G602" s="5">
        <f t="shared" si="25"/>
        <v>953880.50670353335</v>
      </c>
      <c r="H602" s="6">
        <f t="shared" si="26"/>
        <v>15119.493296466651</v>
      </c>
      <c r="J602" s="2">
        <f t="shared" si="24"/>
        <v>93.203883495145632</v>
      </c>
      <c r="K602">
        <f t="shared" si="24"/>
        <v>86.752213988794495</v>
      </c>
      <c r="L602">
        <f t="shared" si="24"/>
        <v>75.496688741721854</v>
      </c>
    </row>
    <row r="603" spans="1:12" ht="18" x14ac:dyDescent="0.45">
      <c r="A603" s="3" t="s">
        <v>284</v>
      </c>
      <c r="B603" s="3" t="s">
        <v>671</v>
      </c>
      <c r="C603" s="15" t="s">
        <v>611</v>
      </c>
      <c r="D603" s="16">
        <v>3350</v>
      </c>
      <c r="E603">
        <v>1187</v>
      </c>
      <c r="F603">
        <v>961000</v>
      </c>
      <c r="G603" s="5">
        <f t="shared" si="25"/>
        <v>940807.51261936151</v>
      </c>
      <c r="H603" s="6">
        <f t="shared" si="26"/>
        <v>20192.487380638486</v>
      </c>
      <c r="J603" s="2">
        <f t="shared" si="24"/>
        <v>92.92649098474341</v>
      </c>
      <c r="K603">
        <f t="shared" si="24"/>
        <v>85.812398337249235</v>
      </c>
      <c r="L603">
        <f t="shared" si="24"/>
        <v>74.8733930658356</v>
      </c>
    </row>
    <row r="604" spans="1:12" ht="18" x14ac:dyDescent="0.45">
      <c r="A604" s="3" t="s">
        <v>284</v>
      </c>
      <c r="B604" s="3" t="s">
        <v>674</v>
      </c>
      <c r="C604" s="15" t="s">
        <v>612</v>
      </c>
      <c r="D604" s="16">
        <v>3370</v>
      </c>
      <c r="E604">
        <v>1190</v>
      </c>
      <c r="F604">
        <v>967000</v>
      </c>
      <c r="G604" s="5">
        <f t="shared" si="25"/>
        <v>948773.68453203863</v>
      </c>
      <c r="H604" s="6">
        <f t="shared" si="26"/>
        <v>18226.315467961365</v>
      </c>
      <c r="J604" s="2">
        <f t="shared" si="24"/>
        <v>93.481276005547855</v>
      </c>
      <c r="K604">
        <f t="shared" si="24"/>
        <v>86.029278872221212</v>
      </c>
      <c r="L604">
        <f t="shared" si="24"/>
        <v>75.340864822750291</v>
      </c>
    </row>
    <row r="605" spans="1:12" ht="18" x14ac:dyDescent="0.45">
      <c r="A605" s="3" t="s">
        <v>284</v>
      </c>
      <c r="B605" s="3" t="s">
        <v>448</v>
      </c>
      <c r="C605" s="15" t="s">
        <v>686</v>
      </c>
      <c r="D605" s="16">
        <v>3360</v>
      </c>
      <c r="E605">
        <v>1206</v>
      </c>
      <c r="F605">
        <v>971000</v>
      </c>
      <c r="G605" s="5">
        <f t="shared" si="25"/>
        <v>958624.90923705092</v>
      </c>
      <c r="H605" s="6">
        <f t="shared" si="26"/>
        <v>12375.090762949083</v>
      </c>
      <c r="J605" s="2">
        <f t="shared" si="24"/>
        <v>93.203883495145632</v>
      </c>
      <c r="K605">
        <f t="shared" si="24"/>
        <v>87.185975058738478</v>
      </c>
      <c r="L605">
        <f t="shared" si="24"/>
        <v>75.652512660693418</v>
      </c>
    </row>
    <row r="606" spans="1:12" ht="18" x14ac:dyDescent="0.45">
      <c r="A606" s="3" t="s">
        <v>284</v>
      </c>
      <c r="B606" s="3" t="s">
        <v>438</v>
      </c>
      <c r="C606" s="15" t="s">
        <v>613</v>
      </c>
      <c r="D606" s="16">
        <v>3345</v>
      </c>
      <c r="E606">
        <v>1203.3</v>
      </c>
      <c r="F606">
        <v>966000</v>
      </c>
      <c r="G606" s="5">
        <f t="shared" si="25"/>
        <v>952242.20520367799</v>
      </c>
      <c r="H606" s="6">
        <f t="shared" si="26"/>
        <v>13757.794796322007</v>
      </c>
      <c r="J606" s="2">
        <f t="shared" ref="J606:L682" si="27">(D606/D$29-1)*100+100</f>
        <v>92.787794729542298</v>
      </c>
      <c r="K606">
        <f t="shared" si="27"/>
        <v>86.990782577263687</v>
      </c>
      <c r="L606">
        <f t="shared" si="27"/>
        <v>75.262952863264502</v>
      </c>
    </row>
    <row r="607" spans="1:12" ht="18" x14ac:dyDescent="0.45">
      <c r="A607" s="3" t="s">
        <v>284</v>
      </c>
      <c r="B607" s="3" t="s">
        <v>677</v>
      </c>
      <c r="C607" s="15" t="s">
        <v>615</v>
      </c>
      <c r="D607" s="16">
        <v>3345</v>
      </c>
      <c r="E607">
        <v>1203.3</v>
      </c>
      <c r="F607">
        <v>970000</v>
      </c>
      <c r="G607" s="5">
        <f t="shared" si="25"/>
        <v>952242.20520367799</v>
      </c>
      <c r="H607" s="6">
        <f t="shared" si="26"/>
        <v>17757.794796322007</v>
      </c>
      <c r="I607" s="1">
        <f>F607/F587-1</f>
        <v>3.1914893617021267E-2</v>
      </c>
      <c r="J607" s="2">
        <f t="shared" si="27"/>
        <v>92.787794729542298</v>
      </c>
      <c r="K607">
        <f t="shared" si="27"/>
        <v>86.990782577263687</v>
      </c>
      <c r="L607">
        <f t="shared" si="27"/>
        <v>75.574600701207643</v>
      </c>
    </row>
    <row r="608" spans="1:12" ht="18" x14ac:dyDescent="0.45">
      <c r="A608" s="3" t="s">
        <v>284</v>
      </c>
      <c r="B608" s="3" t="s">
        <v>442</v>
      </c>
      <c r="C608" s="15" t="s">
        <v>616</v>
      </c>
      <c r="D608" s="16">
        <v>3345</v>
      </c>
      <c r="E608">
        <v>1200</v>
      </c>
      <c r="F608">
        <v>965000</v>
      </c>
      <c r="G608" s="5">
        <f t="shared" si="25"/>
        <v>949644.43301289249</v>
      </c>
      <c r="H608" s="6">
        <f t="shared" si="26"/>
        <v>15355.566987107508</v>
      </c>
      <c r="J608" s="2">
        <f t="shared" si="27"/>
        <v>92.787794729542298</v>
      </c>
      <c r="K608">
        <f t="shared" si="27"/>
        <v>86.752213988794495</v>
      </c>
      <c r="L608">
        <f t="shared" si="27"/>
        <v>75.185040903778741</v>
      </c>
    </row>
    <row r="609" spans="1:12" ht="18" x14ac:dyDescent="0.45">
      <c r="A609" s="3" t="s">
        <v>8</v>
      </c>
      <c r="B609" s="3" t="s">
        <v>671</v>
      </c>
      <c r="C609" s="15" t="s">
        <v>617</v>
      </c>
      <c r="D609" s="16">
        <v>3345</v>
      </c>
      <c r="E609">
        <v>1198</v>
      </c>
      <c r="F609">
        <v>963000</v>
      </c>
      <c r="G609" s="5">
        <f t="shared" ref="G609:G672" si="28">E609/31.103*8.133*D609*0.9+5000</f>
        <v>948070.02562453761</v>
      </c>
      <c r="H609" s="6">
        <f t="shared" si="26"/>
        <v>14929.974375462392</v>
      </c>
      <c r="J609" s="2">
        <f t="shared" si="27"/>
        <v>92.787794729542298</v>
      </c>
      <c r="K609">
        <f t="shared" si="27"/>
        <v>86.607626965479852</v>
      </c>
      <c r="L609">
        <f t="shared" si="27"/>
        <v>75.029216984807164</v>
      </c>
    </row>
    <row r="610" spans="1:12" ht="18" x14ac:dyDescent="0.45">
      <c r="A610" s="3" t="s">
        <v>8</v>
      </c>
      <c r="B610" s="3" t="s">
        <v>674</v>
      </c>
      <c r="C610" s="15" t="s">
        <v>618</v>
      </c>
      <c r="D610" s="16">
        <v>3345</v>
      </c>
      <c r="E610">
        <v>1202</v>
      </c>
      <c r="F610">
        <v>966000</v>
      </c>
      <c r="G610" s="5">
        <f t="shared" si="28"/>
        <v>951218.84040124749</v>
      </c>
      <c r="H610" s="6">
        <f t="shared" si="26"/>
        <v>14781.159598752507</v>
      </c>
      <c r="J610" s="2">
        <f t="shared" si="27"/>
        <v>92.787794729542298</v>
      </c>
      <c r="K610">
        <f t="shared" si="27"/>
        <v>86.896801012109165</v>
      </c>
      <c r="L610">
        <f t="shared" si="27"/>
        <v>75.262952863264502</v>
      </c>
    </row>
    <row r="611" spans="1:12" ht="18" x14ac:dyDescent="0.45">
      <c r="A611" s="3" t="s">
        <v>8</v>
      </c>
      <c r="B611" s="3" t="s">
        <v>448</v>
      </c>
      <c r="C611" s="15" t="s">
        <v>687</v>
      </c>
      <c r="D611" s="16">
        <v>3340</v>
      </c>
      <c r="E611">
        <v>1190</v>
      </c>
      <c r="F611">
        <v>958000</v>
      </c>
      <c r="G611" s="5">
        <f t="shared" si="28"/>
        <v>940372.13837893447</v>
      </c>
      <c r="H611" s="6">
        <f t="shared" si="26"/>
        <v>17627.861621065531</v>
      </c>
      <c r="J611" s="2">
        <f t="shared" si="27"/>
        <v>92.649098474341201</v>
      </c>
      <c r="K611">
        <f t="shared" si="27"/>
        <v>86.029278872221212</v>
      </c>
      <c r="L611">
        <f t="shared" si="27"/>
        <v>74.639657187378262</v>
      </c>
    </row>
    <row r="612" spans="1:12" ht="18" x14ac:dyDescent="0.45">
      <c r="A612" s="3" t="s">
        <v>8</v>
      </c>
      <c r="B612" s="3" t="s">
        <v>438</v>
      </c>
      <c r="C612" s="15" t="s">
        <v>620</v>
      </c>
      <c r="D612" s="16">
        <v>3335</v>
      </c>
      <c r="E612">
        <v>1180.4000000000001</v>
      </c>
      <c r="F612">
        <v>950000</v>
      </c>
      <c r="G612" s="5">
        <f t="shared" si="28"/>
        <v>931437.3176156641</v>
      </c>
      <c r="H612" s="6">
        <f t="shared" si="26"/>
        <v>18562.682384335902</v>
      </c>
      <c r="J612" s="2">
        <f t="shared" si="27"/>
        <v>92.51040221914009</v>
      </c>
      <c r="K612">
        <f t="shared" si="27"/>
        <v>85.335261160310864</v>
      </c>
      <c r="L612">
        <f t="shared" si="27"/>
        <v>74.016361511492008</v>
      </c>
    </row>
    <row r="613" spans="1:12" ht="18" x14ac:dyDescent="0.45">
      <c r="A613" s="3" t="s">
        <v>8</v>
      </c>
      <c r="B613" s="3" t="s">
        <v>677</v>
      </c>
      <c r="C613" s="15" t="s">
        <v>621</v>
      </c>
      <c r="D613" s="16">
        <v>3330</v>
      </c>
      <c r="E613">
        <v>1180.4000000000001</v>
      </c>
      <c r="F613">
        <v>951000</v>
      </c>
      <c r="G613" s="5">
        <f t="shared" si="28"/>
        <v>930048.35611998849</v>
      </c>
      <c r="H613" s="6">
        <f t="shared" si="26"/>
        <v>20951.643880011514</v>
      </c>
      <c r="J613" s="2">
        <f t="shared" si="27"/>
        <v>92.371705963938979</v>
      </c>
      <c r="K613">
        <f t="shared" si="27"/>
        <v>85.335261160310864</v>
      </c>
      <c r="L613">
        <f t="shared" si="27"/>
        <v>74.094273470977797</v>
      </c>
    </row>
    <row r="614" spans="1:12" ht="18" x14ac:dyDescent="0.45">
      <c r="A614" s="3" t="s">
        <v>8</v>
      </c>
      <c r="B614" s="3" t="s">
        <v>442</v>
      </c>
      <c r="C614" s="15" t="s">
        <v>622</v>
      </c>
      <c r="D614" s="16">
        <v>3335</v>
      </c>
      <c r="E614">
        <v>1184</v>
      </c>
      <c r="F614">
        <v>951000</v>
      </c>
      <c r="G614" s="5">
        <f t="shared" si="28"/>
        <v>934262.77876732126</v>
      </c>
      <c r="H614" s="6">
        <f t="shared" si="26"/>
        <v>16737.221232678741</v>
      </c>
      <c r="J614" s="2">
        <f t="shared" si="27"/>
        <v>92.51040221914009</v>
      </c>
      <c r="K614">
        <f t="shared" si="27"/>
        <v>85.595517802277243</v>
      </c>
      <c r="L614">
        <f t="shared" si="27"/>
        <v>74.094273470977797</v>
      </c>
    </row>
    <row r="615" spans="1:12" ht="18" x14ac:dyDescent="0.45">
      <c r="A615" s="3" t="s">
        <v>8</v>
      </c>
      <c r="B615" s="3" t="s">
        <v>671</v>
      </c>
      <c r="C615" s="15" t="s">
        <v>623</v>
      </c>
      <c r="D615" s="16">
        <v>3340</v>
      </c>
      <c r="E615">
        <v>1201</v>
      </c>
      <c r="F615">
        <v>960000</v>
      </c>
      <c r="G615" s="5">
        <f t="shared" si="28"/>
        <v>949018.43545638665</v>
      </c>
      <c r="H615" s="6">
        <f t="shared" si="26"/>
        <v>10981.564543613349</v>
      </c>
      <c r="J615" s="2">
        <f t="shared" si="27"/>
        <v>92.649098474341201</v>
      </c>
      <c r="K615">
        <f t="shared" si="27"/>
        <v>86.82450750045183</v>
      </c>
      <c r="L615">
        <f t="shared" si="27"/>
        <v>74.795481106349825</v>
      </c>
    </row>
    <row r="616" spans="1:12" ht="18" x14ac:dyDescent="0.45">
      <c r="A616" s="3" t="s">
        <v>8</v>
      </c>
      <c r="B616" s="3" t="s">
        <v>674</v>
      </c>
      <c r="C616" s="15" t="s">
        <v>624</v>
      </c>
      <c r="D616" s="16">
        <v>3345</v>
      </c>
      <c r="E616">
        <v>1207</v>
      </c>
      <c r="F616">
        <v>960000</v>
      </c>
      <c r="G616" s="5">
        <f t="shared" si="28"/>
        <v>955154.85887213459</v>
      </c>
      <c r="H616" s="6">
        <f t="shared" si="26"/>
        <v>4845.1411278654123</v>
      </c>
      <c r="J616" s="2">
        <f t="shared" si="27"/>
        <v>92.787794729542298</v>
      </c>
      <c r="K616">
        <f t="shared" si="27"/>
        <v>87.258268570395799</v>
      </c>
      <c r="L616">
        <f t="shared" si="27"/>
        <v>74.795481106349825</v>
      </c>
    </row>
    <row r="617" spans="1:12" ht="18" x14ac:dyDescent="0.45">
      <c r="A617" s="3" t="s">
        <v>8</v>
      </c>
      <c r="B617" s="3" t="s">
        <v>448</v>
      </c>
      <c r="C617" s="15" t="s">
        <v>688</v>
      </c>
      <c r="D617" s="16">
        <v>3345</v>
      </c>
      <c r="E617">
        <v>1203</v>
      </c>
      <c r="F617" s="16">
        <v>958000</v>
      </c>
      <c r="G617" s="5">
        <f t="shared" si="28"/>
        <v>952006.0440954247</v>
      </c>
      <c r="H617" s="6">
        <f t="shared" si="26"/>
        <v>5993.9559045752976</v>
      </c>
      <c r="J617" s="2">
        <f t="shared" si="27"/>
        <v>92.787794729542298</v>
      </c>
      <c r="K617">
        <f t="shared" si="27"/>
        <v>86.969094523766486</v>
      </c>
      <c r="L617">
        <f t="shared" si="27"/>
        <v>74.639657187378262</v>
      </c>
    </row>
    <row r="618" spans="1:12" ht="18" x14ac:dyDescent="0.45">
      <c r="A618" s="3" t="s">
        <v>8</v>
      </c>
      <c r="B618" s="3" t="s">
        <v>677</v>
      </c>
      <c r="C618" s="15" t="s">
        <v>625</v>
      </c>
      <c r="D618" s="16">
        <v>3345</v>
      </c>
      <c r="E618">
        <v>1177.9000000000001</v>
      </c>
      <c r="F618" s="16">
        <v>950000</v>
      </c>
      <c r="G618" s="5">
        <f t="shared" si="28"/>
        <v>932247.23137157201</v>
      </c>
      <c r="H618" s="6">
        <f t="shared" si="26"/>
        <v>17752.768628427992</v>
      </c>
      <c r="J618" s="2">
        <f t="shared" si="27"/>
        <v>92.787794729542298</v>
      </c>
      <c r="K618">
        <f t="shared" si="27"/>
        <v>85.15452738116754</v>
      </c>
      <c r="L618">
        <f t="shared" si="27"/>
        <v>74.016361511492008</v>
      </c>
    </row>
    <row r="619" spans="1:12" ht="18" x14ac:dyDescent="0.45">
      <c r="A619" s="3" t="s">
        <v>8</v>
      </c>
      <c r="B619" s="3" t="s">
        <v>442</v>
      </c>
      <c r="C619" s="15" t="s">
        <v>627</v>
      </c>
      <c r="D619" s="16">
        <v>3340</v>
      </c>
      <c r="E619">
        <v>1182</v>
      </c>
      <c r="F619" s="16">
        <v>948000</v>
      </c>
      <c r="G619" s="5">
        <f t="shared" si="28"/>
        <v>934083.9223226055</v>
      </c>
      <c r="H619" s="6">
        <f t="shared" si="26"/>
        <v>13916.077677394496</v>
      </c>
      <c r="J619" s="2">
        <f t="shared" si="27"/>
        <v>92.649098474341201</v>
      </c>
      <c r="K619">
        <f t="shared" si="27"/>
        <v>85.450930778962586</v>
      </c>
      <c r="L619">
        <f t="shared" si="27"/>
        <v>73.860537592520444</v>
      </c>
    </row>
    <row r="620" spans="1:12" ht="18" x14ac:dyDescent="0.45">
      <c r="A620" s="3" t="s">
        <v>8</v>
      </c>
      <c r="B620" s="3" t="s">
        <v>671</v>
      </c>
      <c r="C620" s="15" t="s">
        <v>628</v>
      </c>
      <c r="D620" s="16">
        <v>3330</v>
      </c>
      <c r="E620">
        <v>1190</v>
      </c>
      <c r="F620" s="16">
        <v>945000</v>
      </c>
      <c r="G620" s="5">
        <f t="shared" si="28"/>
        <v>937571.62299456645</v>
      </c>
      <c r="H620" s="6">
        <f t="shared" si="26"/>
        <v>7428.3770054335473</v>
      </c>
      <c r="J620" s="2">
        <f t="shared" si="27"/>
        <v>92.371705963938979</v>
      </c>
      <c r="K620">
        <f t="shared" si="27"/>
        <v>86.029278872221212</v>
      </c>
      <c r="L620">
        <f t="shared" si="27"/>
        <v>73.626801714063106</v>
      </c>
    </row>
    <row r="621" spans="1:12" ht="18" x14ac:dyDescent="0.45">
      <c r="A621" s="3" t="s">
        <v>8</v>
      </c>
      <c r="B621" s="3" t="s">
        <v>674</v>
      </c>
      <c r="C621" s="15" t="s">
        <v>629</v>
      </c>
      <c r="D621" s="16">
        <v>3330</v>
      </c>
      <c r="E621">
        <v>1190</v>
      </c>
      <c r="F621" s="16">
        <v>947000</v>
      </c>
      <c r="G621" s="5">
        <f t="shared" si="28"/>
        <v>937571.62299456645</v>
      </c>
      <c r="H621" s="6">
        <f t="shared" si="26"/>
        <v>9428.3770054335473</v>
      </c>
      <c r="J621" s="2">
        <f t="shared" si="27"/>
        <v>92.371705963938979</v>
      </c>
      <c r="K621">
        <f t="shared" si="27"/>
        <v>86.029278872221212</v>
      </c>
      <c r="L621">
        <f t="shared" si="27"/>
        <v>73.782625633034669</v>
      </c>
    </row>
    <row r="622" spans="1:12" ht="18" x14ac:dyDescent="0.45">
      <c r="A622" s="3" t="s">
        <v>8</v>
      </c>
      <c r="B622" s="3" t="s">
        <v>448</v>
      </c>
      <c r="C622" s="15" t="s">
        <v>689</v>
      </c>
      <c r="D622" s="16">
        <v>3335</v>
      </c>
      <c r="E622">
        <v>1184</v>
      </c>
      <c r="F622" s="16">
        <v>943000</v>
      </c>
      <c r="G622" s="5">
        <f t="shared" si="28"/>
        <v>934262.77876732126</v>
      </c>
      <c r="H622" s="6">
        <f t="shared" si="26"/>
        <v>8737.2212326787412</v>
      </c>
      <c r="J622" s="2">
        <f t="shared" si="27"/>
        <v>92.51040221914009</v>
      </c>
      <c r="K622">
        <f t="shared" si="27"/>
        <v>85.595517802277243</v>
      </c>
      <c r="L622">
        <f t="shared" si="27"/>
        <v>73.470977795091542</v>
      </c>
    </row>
    <row r="623" spans="1:12" ht="18" x14ac:dyDescent="0.45">
      <c r="A623" s="3" t="s">
        <v>8</v>
      </c>
      <c r="B623" s="3" t="s">
        <v>438</v>
      </c>
      <c r="C623" s="15" t="s">
        <v>630</v>
      </c>
      <c r="D623" s="16">
        <v>3335</v>
      </c>
      <c r="E623">
        <v>1187.5</v>
      </c>
      <c r="F623" s="16">
        <v>942000</v>
      </c>
      <c r="G623" s="5">
        <f t="shared" si="28"/>
        <v>937009.75488698832</v>
      </c>
      <c r="H623" s="6">
        <f t="shared" si="26"/>
        <v>4990.2451130116824</v>
      </c>
      <c r="J623" s="2">
        <f t="shared" si="27"/>
        <v>92.51040221914009</v>
      </c>
      <c r="K623">
        <f t="shared" si="27"/>
        <v>85.848545093077902</v>
      </c>
      <c r="L623">
        <f t="shared" si="27"/>
        <v>73.393065835605768</v>
      </c>
    </row>
    <row r="624" spans="1:12" ht="18" x14ac:dyDescent="0.45">
      <c r="A624" s="3" t="s">
        <v>8</v>
      </c>
      <c r="B624" s="3" t="s">
        <v>677</v>
      </c>
      <c r="C624" s="15" t="s">
        <v>631</v>
      </c>
      <c r="D624" s="16">
        <v>3325</v>
      </c>
      <c r="E624">
        <v>1187.5</v>
      </c>
      <c r="F624" s="16">
        <v>940000</v>
      </c>
      <c r="G624" s="5">
        <f t="shared" si="28"/>
        <v>934215.12293830165</v>
      </c>
      <c r="H624" s="6">
        <f t="shared" si="26"/>
        <v>5784.8770616983529</v>
      </c>
      <c r="J624" s="2">
        <f t="shared" si="27"/>
        <v>92.233009708737868</v>
      </c>
      <c r="K624">
        <f t="shared" si="27"/>
        <v>85.848545093077902</v>
      </c>
      <c r="L624">
        <f t="shared" si="27"/>
        <v>73.237241916634204</v>
      </c>
    </row>
    <row r="625" spans="1:12" ht="18" x14ac:dyDescent="0.45">
      <c r="A625" s="3" t="s">
        <v>8</v>
      </c>
      <c r="B625" s="3" t="s">
        <v>442</v>
      </c>
      <c r="C625" s="15" t="s">
        <v>632</v>
      </c>
      <c r="D625" s="16">
        <v>3320</v>
      </c>
      <c r="E625">
        <v>1186</v>
      </c>
      <c r="F625" s="16">
        <v>936000</v>
      </c>
      <c r="G625" s="5">
        <f t="shared" si="28"/>
        <v>931645.8265762144</v>
      </c>
      <c r="H625" s="6">
        <f t="shared" si="26"/>
        <v>4354.1734237855999</v>
      </c>
      <c r="J625" s="2">
        <f t="shared" si="27"/>
        <v>92.094313453536756</v>
      </c>
      <c r="K625">
        <f t="shared" si="27"/>
        <v>85.740104825591899</v>
      </c>
      <c r="L625">
        <f t="shared" si="27"/>
        <v>72.925594078691077</v>
      </c>
    </row>
    <row r="626" spans="1:12" ht="18" x14ac:dyDescent="0.45">
      <c r="A626" s="3" t="s">
        <v>8</v>
      </c>
      <c r="B626" s="3" t="s">
        <v>671</v>
      </c>
      <c r="C626" s="15" t="s">
        <v>634</v>
      </c>
      <c r="D626" s="16">
        <v>3320</v>
      </c>
      <c r="E626">
        <v>1193</v>
      </c>
      <c r="F626" s="16">
        <v>935000</v>
      </c>
      <c r="G626" s="5">
        <f t="shared" si="28"/>
        <v>937115.06838568603</v>
      </c>
      <c r="H626" s="6">
        <f t="shared" si="26"/>
        <v>-2115.0683856860269</v>
      </c>
      <c r="J626" s="2">
        <f t="shared" si="27"/>
        <v>92.094313453536756</v>
      </c>
      <c r="K626">
        <f t="shared" si="27"/>
        <v>86.246159407193204</v>
      </c>
      <c r="L626">
        <f t="shared" si="27"/>
        <v>72.847682119205288</v>
      </c>
    </row>
    <row r="627" spans="1:12" ht="18" x14ac:dyDescent="0.45">
      <c r="A627" s="3" t="s">
        <v>8</v>
      </c>
      <c r="B627" s="3" t="s">
        <v>674</v>
      </c>
      <c r="C627" s="15" t="s">
        <v>635</v>
      </c>
      <c r="D627" s="16">
        <v>3330</v>
      </c>
      <c r="E627">
        <v>1197</v>
      </c>
      <c r="F627" s="16">
        <v>942000</v>
      </c>
      <c r="G627" s="5">
        <f t="shared" si="28"/>
        <v>943057.33842394617</v>
      </c>
      <c r="H627" s="6">
        <f t="shared" si="26"/>
        <v>-1057.3384239461739</v>
      </c>
      <c r="J627" s="2">
        <f t="shared" si="27"/>
        <v>92.371705963938979</v>
      </c>
      <c r="K627">
        <f t="shared" si="27"/>
        <v>86.535333453822517</v>
      </c>
      <c r="L627">
        <f t="shared" si="27"/>
        <v>73.393065835605768</v>
      </c>
    </row>
    <row r="628" spans="1:12" ht="18" x14ac:dyDescent="0.45">
      <c r="A628" s="3" t="s">
        <v>8</v>
      </c>
      <c r="B628" s="3" t="s">
        <v>448</v>
      </c>
      <c r="C628" s="15" t="s">
        <v>690</v>
      </c>
      <c r="D628" s="16">
        <v>3325</v>
      </c>
      <c r="E628">
        <v>1220</v>
      </c>
      <c r="F628" s="16">
        <v>955000</v>
      </c>
      <c r="G628" s="5">
        <f t="shared" si="28"/>
        <v>959646.27367134986</v>
      </c>
      <c r="H628" s="6">
        <f t="shared" si="26"/>
        <v>-4646.2736713498598</v>
      </c>
      <c r="J628" s="2">
        <f t="shared" si="27"/>
        <v>92.233009708737868</v>
      </c>
      <c r="K628">
        <f t="shared" si="27"/>
        <v>88.198084221941073</v>
      </c>
      <c r="L628">
        <f t="shared" si="27"/>
        <v>74.405921308920924</v>
      </c>
    </row>
    <row r="629" spans="1:12" ht="18" x14ac:dyDescent="0.45">
      <c r="A629" s="3" t="s">
        <v>8</v>
      </c>
      <c r="B629" s="3" t="s">
        <v>677</v>
      </c>
      <c r="C629" s="15" t="s">
        <v>636</v>
      </c>
      <c r="D629" s="16">
        <v>3320</v>
      </c>
      <c r="E629">
        <v>1223.5</v>
      </c>
      <c r="F629" s="16">
        <v>951000</v>
      </c>
      <c r="G629" s="5">
        <f t="shared" si="28"/>
        <v>960945.33626981312</v>
      </c>
      <c r="H629" s="6">
        <f t="shared" si="26"/>
        <v>-9945.3362698131241</v>
      </c>
      <c r="J629" s="2">
        <f t="shared" si="27"/>
        <v>92.094313453536756</v>
      </c>
      <c r="K629">
        <f t="shared" si="27"/>
        <v>88.451111512741733</v>
      </c>
      <c r="L629">
        <f t="shared" si="27"/>
        <v>74.094273470977797</v>
      </c>
    </row>
    <row r="630" spans="1:12" ht="18" x14ac:dyDescent="0.45">
      <c r="A630" s="3" t="s">
        <v>8</v>
      </c>
      <c r="B630" s="3" t="s">
        <v>442</v>
      </c>
      <c r="C630" s="15" t="s">
        <v>637</v>
      </c>
      <c r="D630" s="16">
        <v>3315</v>
      </c>
      <c r="E630">
        <v>1229</v>
      </c>
      <c r="F630" s="16">
        <v>953000</v>
      </c>
      <c r="G630" s="5">
        <f t="shared" si="28"/>
        <v>963796.44920104148</v>
      </c>
      <c r="H630" s="6">
        <f t="shared" si="26"/>
        <v>-10796.449201041483</v>
      </c>
      <c r="J630" s="2">
        <f t="shared" si="27"/>
        <v>91.955617198335645</v>
      </c>
      <c r="K630">
        <f t="shared" si="27"/>
        <v>88.848725826857049</v>
      </c>
      <c r="L630">
        <f t="shared" si="27"/>
        <v>74.25009738994936</v>
      </c>
    </row>
    <row r="631" spans="1:12" ht="18" x14ac:dyDescent="0.45">
      <c r="A631" s="3" t="s">
        <v>8</v>
      </c>
      <c r="B631" s="3" t="s">
        <v>671</v>
      </c>
      <c r="C631" s="15" t="s">
        <v>638</v>
      </c>
      <c r="D631" s="16">
        <v>3310</v>
      </c>
      <c r="E631">
        <v>1221</v>
      </c>
      <c r="F631" s="16">
        <v>945000</v>
      </c>
      <c r="G631" s="5">
        <f t="shared" si="28"/>
        <v>956118.5656367552</v>
      </c>
      <c r="H631" s="6">
        <f t="shared" si="26"/>
        <v>-11118.5656367552</v>
      </c>
      <c r="J631" s="2">
        <f t="shared" si="27"/>
        <v>91.816920943134534</v>
      </c>
      <c r="K631">
        <f t="shared" si="27"/>
        <v>88.270377733598409</v>
      </c>
      <c r="L631">
        <f t="shared" si="27"/>
        <v>73.626801714063106</v>
      </c>
    </row>
    <row r="632" spans="1:12" ht="18" x14ac:dyDescent="0.45">
      <c r="A632" s="3" t="s">
        <v>8</v>
      </c>
      <c r="B632" s="3" t="s">
        <v>674</v>
      </c>
      <c r="C632" s="15" t="s">
        <v>639</v>
      </c>
      <c r="D632" s="16">
        <v>3305</v>
      </c>
      <c r="E632">
        <v>1209</v>
      </c>
      <c r="F632" s="16">
        <v>942000</v>
      </c>
      <c r="G632" s="5">
        <f t="shared" si="28"/>
        <v>945348.34827830084</v>
      </c>
      <c r="H632" s="6">
        <f t="shared" si="26"/>
        <v>-3348.3482783008367</v>
      </c>
      <c r="J632" s="2">
        <f t="shared" si="27"/>
        <v>91.678224687933437</v>
      </c>
      <c r="K632">
        <f t="shared" si="27"/>
        <v>87.402855593710456</v>
      </c>
      <c r="L632">
        <f t="shared" si="27"/>
        <v>73.393065835605768</v>
      </c>
    </row>
    <row r="633" spans="1:12" ht="18" x14ac:dyDescent="0.45">
      <c r="A633" s="3" t="s">
        <v>8</v>
      </c>
      <c r="B633" s="3" t="s">
        <v>448</v>
      </c>
      <c r="C633" s="15" t="s">
        <v>691</v>
      </c>
      <c r="D633" s="16">
        <v>3315</v>
      </c>
      <c r="E633">
        <v>1208</v>
      </c>
      <c r="F633" s="16">
        <v>940000</v>
      </c>
      <c r="G633" s="5">
        <f t="shared" si="28"/>
        <v>947413.4342024884</v>
      </c>
      <c r="H633" s="6">
        <f t="shared" si="26"/>
        <v>-7413.4342024883954</v>
      </c>
      <c r="I633" s="1">
        <f>F633/F607-1</f>
        <v>-3.0927835051546393E-2</v>
      </c>
      <c r="J633" s="2">
        <f t="shared" si="27"/>
        <v>91.955617198335645</v>
      </c>
      <c r="K633">
        <f t="shared" si="27"/>
        <v>87.330562082053135</v>
      </c>
      <c r="L633">
        <f t="shared" si="27"/>
        <v>73.237241916634204</v>
      </c>
    </row>
    <row r="634" spans="1:12" ht="18" x14ac:dyDescent="0.45">
      <c r="A634" s="3" t="s">
        <v>23</v>
      </c>
      <c r="B634" s="3" t="s">
        <v>438</v>
      </c>
      <c r="C634" s="15" t="s">
        <v>641</v>
      </c>
      <c r="D634" s="16">
        <v>3320</v>
      </c>
      <c r="E634">
        <v>1205.9000000000001</v>
      </c>
      <c r="F634" s="16">
        <v>936000</v>
      </c>
      <c r="G634" s="5">
        <f t="shared" si="28"/>
        <v>947194.09972028423</v>
      </c>
      <c r="H634" s="6">
        <f t="shared" si="26"/>
        <v>-11194.099720284226</v>
      </c>
      <c r="J634" s="2">
        <f t="shared" si="27"/>
        <v>92.094313453536756</v>
      </c>
      <c r="K634">
        <f t="shared" si="27"/>
        <v>87.178745707572745</v>
      </c>
      <c r="L634">
        <f t="shared" si="27"/>
        <v>72.925594078691077</v>
      </c>
    </row>
    <row r="635" spans="1:12" ht="18" x14ac:dyDescent="0.45">
      <c r="A635" s="3" t="s">
        <v>23</v>
      </c>
      <c r="B635" s="3" t="s">
        <v>677</v>
      </c>
      <c r="C635" s="15" t="s">
        <v>642</v>
      </c>
      <c r="D635" s="16">
        <v>3310</v>
      </c>
      <c r="E635">
        <v>1205.9000000000001</v>
      </c>
      <c r="F635" s="16">
        <v>933000</v>
      </c>
      <c r="G635" s="5">
        <f t="shared" si="28"/>
        <v>944356.16568498209</v>
      </c>
      <c r="H635" s="6">
        <f t="shared" si="26"/>
        <v>-11356.165684982087</v>
      </c>
      <c r="J635" s="2">
        <f t="shared" si="27"/>
        <v>91.816920943134534</v>
      </c>
      <c r="K635">
        <f t="shared" si="27"/>
        <v>87.178745707572745</v>
      </c>
      <c r="L635">
        <f t="shared" si="27"/>
        <v>72.691858200233739</v>
      </c>
    </row>
    <row r="636" spans="1:12" ht="18" x14ac:dyDescent="0.45">
      <c r="A636" s="3" t="s">
        <v>23</v>
      </c>
      <c r="B636" s="3" t="s">
        <v>442</v>
      </c>
      <c r="C636" s="15" t="s">
        <v>643</v>
      </c>
      <c r="D636" s="16">
        <v>3315</v>
      </c>
      <c r="E636">
        <v>1204</v>
      </c>
      <c r="F636" s="16">
        <v>935000</v>
      </c>
      <c r="G636" s="5">
        <f t="shared" si="28"/>
        <v>944292.85991704965</v>
      </c>
      <c r="H636" s="6">
        <f t="shared" si="26"/>
        <v>-9292.8599170496454</v>
      </c>
      <c r="J636" s="2">
        <f t="shared" si="27"/>
        <v>91.955617198335645</v>
      </c>
      <c r="K636">
        <f t="shared" si="27"/>
        <v>87.041388035423822</v>
      </c>
      <c r="L636">
        <f t="shared" si="27"/>
        <v>72.847682119205288</v>
      </c>
    </row>
    <row r="637" spans="1:12" ht="18" x14ac:dyDescent="0.45">
      <c r="A637" s="3" t="s">
        <v>23</v>
      </c>
      <c r="B637" s="3" t="s">
        <v>671</v>
      </c>
      <c r="C637" s="15" t="s">
        <v>644</v>
      </c>
      <c r="D637" s="16">
        <v>3320</v>
      </c>
      <c r="E637">
        <v>1195</v>
      </c>
      <c r="F637" s="16">
        <v>933000</v>
      </c>
      <c r="G637" s="5">
        <f t="shared" si="28"/>
        <v>938677.70890267799</v>
      </c>
      <c r="H637" s="6">
        <f t="shared" si="26"/>
        <v>-5677.7089026779868</v>
      </c>
      <c r="J637" s="2">
        <f t="shared" si="27"/>
        <v>92.094313453536756</v>
      </c>
      <c r="K637">
        <f t="shared" si="27"/>
        <v>86.390746430507861</v>
      </c>
      <c r="L637">
        <f t="shared" si="27"/>
        <v>72.691858200233739</v>
      </c>
    </row>
    <row r="638" spans="1:12" ht="18" x14ac:dyDescent="0.45">
      <c r="A638" s="3" t="s">
        <v>23</v>
      </c>
      <c r="B638" s="3" t="s">
        <v>674</v>
      </c>
      <c r="C638" s="15" t="s">
        <v>645</v>
      </c>
      <c r="D638" s="16">
        <v>3325</v>
      </c>
      <c r="E638">
        <v>1186</v>
      </c>
      <c r="F638" s="16">
        <v>930000</v>
      </c>
      <c r="G638" s="5">
        <f t="shared" si="28"/>
        <v>933041.3775198533</v>
      </c>
      <c r="H638" s="6">
        <f t="shared" si="26"/>
        <v>-3041.3775198532967</v>
      </c>
      <c r="J638" s="2">
        <f t="shared" si="27"/>
        <v>92.233009708737868</v>
      </c>
      <c r="K638">
        <f t="shared" si="27"/>
        <v>85.740104825591899</v>
      </c>
      <c r="L638">
        <f t="shared" si="27"/>
        <v>72.458122321776401</v>
      </c>
    </row>
    <row r="639" spans="1:12" ht="18" x14ac:dyDescent="0.45">
      <c r="A639" s="3" t="s">
        <v>23</v>
      </c>
      <c r="B639" s="3" t="s">
        <v>448</v>
      </c>
      <c r="C639" s="15" t="s">
        <v>692</v>
      </c>
      <c r="D639" s="16">
        <v>3330</v>
      </c>
      <c r="E639">
        <v>1187</v>
      </c>
      <c r="F639" s="16">
        <v>935000</v>
      </c>
      <c r="G639" s="5">
        <f t="shared" si="28"/>
        <v>935220.60209626087</v>
      </c>
      <c r="H639" s="6">
        <f t="shared" si="26"/>
        <v>-220.60209626087453</v>
      </c>
      <c r="J639" s="2">
        <f t="shared" si="27"/>
        <v>92.371705963938979</v>
      </c>
      <c r="K639">
        <f t="shared" si="27"/>
        <v>85.812398337249235</v>
      </c>
      <c r="L639">
        <f t="shared" si="27"/>
        <v>72.847682119205288</v>
      </c>
    </row>
    <row r="640" spans="1:12" ht="18" x14ac:dyDescent="0.45">
      <c r="A640" s="3" t="s">
        <v>23</v>
      </c>
      <c r="B640" s="3" t="s">
        <v>438</v>
      </c>
      <c r="C640" s="15" t="s">
        <v>646</v>
      </c>
      <c r="D640" s="16">
        <v>3335</v>
      </c>
      <c r="E640">
        <v>1190</v>
      </c>
      <c r="F640" s="16">
        <v>934000</v>
      </c>
      <c r="G640" s="5">
        <f t="shared" si="28"/>
        <v>938971.8806867504</v>
      </c>
      <c r="H640" s="6">
        <f t="shared" si="26"/>
        <v>-4971.8806867504027</v>
      </c>
      <c r="J640" s="2">
        <f t="shared" si="27"/>
        <v>92.51040221914009</v>
      </c>
      <c r="K640">
        <f t="shared" si="27"/>
        <v>86.029278872221212</v>
      </c>
      <c r="L640">
        <f t="shared" si="27"/>
        <v>72.769770159719513</v>
      </c>
    </row>
    <row r="641" spans="1:12" ht="18" x14ac:dyDescent="0.45">
      <c r="A641" s="3" t="s">
        <v>23</v>
      </c>
      <c r="B641" s="3" t="s">
        <v>677</v>
      </c>
      <c r="C641" s="15" t="s">
        <v>648</v>
      </c>
      <c r="D641" s="16">
        <v>3335</v>
      </c>
      <c r="E641">
        <v>1190</v>
      </c>
      <c r="F641" s="16">
        <v>935000</v>
      </c>
      <c r="G641" s="5">
        <f t="shared" si="28"/>
        <v>938971.8806867504</v>
      </c>
      <c r="H641" s="6">
        <f t="shared" si="26"/>
        <v>-3971.8806867504027</v>
      </c>
      <c r="J641" s="2">
        <f t="shared" si="27"/>
        <v>92.51040221914009</v>
      </c>
      <c r="K641">
        <f t="shared" si="27"/>
        <v>86.029278872221212</v>
      </c>
      <c r="L641">
        <f t="shared" si="27"/>
        <v>72.847682119205288</v>
      </c>
    </row>
    <row r="642" spans="1:12" ht="18" x14ac:dyDescent="0.45">
      <c r="A642" s="3" t="s">
        <v>23</v>
      </c>
      <c r="B642" s="3" t="s">
        <v>442</v>
      </c>
      <c r="C642" s="15" t="s">
        <v>649</v>
      </c>
      <c r="D642" s="16">
        <v>3325</v>
      </c>
      <c r="E642">
        <v>1185</v>
      </c>
      <c r="F642" s="16">
        <v>930000</v>
      </c>
      <c r="G642" s="5">
        <f t="shared" si="28"/>
        <v>932258.88057422102</v>
      </c>
      <c r="H642" s="6">
        <f t="shared" ref="H642:H705" si="29">F:F-G:G</f>
        <v>-2258.8805742210243</v>
      </c>
      <c r="J642" s="2">
        <f t="shared" si="27"/>
        <v>92.233009708737868</v>
      </c>
      <c r="K642">
        <f t="shared" si="27"/>
        <v>85.667811313934578</v>
      </c>
      <c r="L642">
        <f t="shared" si="27"/>
        <v>72.458122321776401</v>
      </c>
    </row>
    <row r="643" spans="1:12" ht="18" x14ac:dyDescent="0.45">
      <c r="A643" s="3" t="s">
        <v>23</v>
      </c>
      <c r="B643" s="3" t="s">
        <v>671</v>
      </c>
      <c r="C643" s="15" t="s">
        <v>650</v>
      </c>
      <c r="D643" s="16">
        <v>3330</v>
      </c>
      <c r="E643">
        <v>1190</v>
      </c>
      <c r="F643" s="16">
        <v>931000</v>
      </c>
      <c r="G643" s="5">
        <f t="shared" si="28"/>
        <v>937571.62299456645</v>
      </c>
      <c r="H643" s="6">
        <f t="shared" si="29"/>
        <v>-6571.6229945664527</v>
      </c>
      <c r="J643" s="2">
        <f t="shared" si="27"/>
        <v>92.371705963938979</v>
      </c>
      <c r="K643">
        <f t="shared" si="27"/>
        <v>86.029278872221212</v>
      </c>
      <c r="L643">
        <f t="shared" si="27"/>
        <v>72.536034281262175</v>
      </c>
    </row>
    <row r="644" spans="1:12" ht="18" x14ac:dyDescent="0.45">
      <c r="A644" s="3" t="s">
        <v>23</v>
      </c>
      <c r="B644" s="3" t="s">
        <v>438</v>
      </c>
      <c r="C644" s="15" t="s">
        <v>651</v>
      </c>
      <c r="D644" s="16">
        <v>3325</v>
      </c>
      <c r="E644">
        <v>1172.3</v>
      </c>
      <c r="F644" s="16">
        <v>923000</v>
      </c>
      <c r="G644" s="5">
        <f t="shared" si="28"/>
        <v>922321.16936469136</v>
      </c>
      <c r="H644" s="6">
        <f t="shared" si="29"/>
        <v>678.83063530863728</v>
      </c>
      <c r="J644" s="2">
        <f t="shared" si="27"/>
        <v>92.233009708737868</v>
      </c>
      <c r="K644">
        <f t="shared" si="27"/>
        <v>84.749683715886491</v>
      </c>
      <c r="L644">
        <f t="shared" si="27"/>
        <v>71.912738605375921</v>
      </c>
    </row>
    <row r="645" spans="1:12" ht="18" x14ac:dyDescent="0.45">
      <c r="A645" s="3" t="s">
        <v>23</v>
      </c>
      <c r="B645" s="3" t="s">
        <v>677</v>
      </c>
      <c r="C645" s="15" t="s">
        <v>652</v>
      </c>
      <c r="D645" s="16">
        <v>3320</v>
      </c>
      <c r="E645">
        <v>1172.3</v>
      </c>
      <c r="F645" s="16">
        <v>920000</v>
      </c>
      <c r="G645" s="5">
        <f t="shared" si="28"/>
        <v>920941.73903481965</v>
      </c>
      <c r="H645" s="6">
        <f t="shared" si="29"/>
        <v>-941.73903481964953</v>
      </c>
      <c r="J645" s="2">
        <f t="shared" si="27"/>
        <v>92.094313453536756</v>
      </c>
      <c r="K645">
        <f t="shared" si="27"/>
        <v>84.749683715886491</v>
      </c>
      <c r="L645">
        <f t="shared" si="27"/>
        <v>71.679002726918583</v>
      </c>
    </row>
    <row r="646" spans="1:12" ht="18" x14ac:dyDescent="0.45">
      <c r="A646" s="3" t="s">
        <v>23</v>
      </c>
      <c r="B646" s="3" t="s">
        <v>442</v>
      </c>
      <c r="C646" s="15" t="s">
        <v>653</v>
      </c>
      <c r="D646" s="16">
        <v>3320</v>
      </c>
      <c r="E646">
        <v>1174</v>
      </c>
      <c r="F646" s="16">
        <v>919000</v>
      </c>
      <c r="G646" s="5">
        <f t="shared" si="28"/>
        <v>922269.98347426276</v>
      </c>
      <c r="H646" s="6">
        <f t="shared" si="29"/>
        <v>-3269.9834742627572</v>
      </c>
      <c r="J646" s="2">
        <f t="shared" si="27"/>
        <v>92.094313453536756</v>
      </c>
      <c r="K646">
        <f t="shared" si="27"/>
        <v>84.872582685703961</v>
      </c>
      <c r="L646">
        <f t="shared" si="27"/>
        <v>71.601090767432794</v>
      </c>
    </row>
    <row r="647" spans="1:12" ht="18" x14ac:dyDescent="0.45">
      <c r="A647" s="3" t="s">
        <v>23</v>
      </c>
      <c r="B647" s="3" t="s">
        <v>671</v>
      </c>
      <c r="C647" s="15" t="s">
        <v>655</v>
      </c>
      <c r="D647" s="16">
        <v>3320</v>
      </c>
      <c r="E647">
        <v>1181</v>
      </c>
      <c r="F647" s="16">
        <v>919000</v>
      </c>
      <c r="G647" s="5">
        <f t="shared" si="28"/>
        <v>927739.2252837345</v>
      </c>
      <c r="H647" s="6">
        <f t="shared" si="29"/>
        <v>-8739.2252837345004</v>
      </c>
      <c r="J647" s="2">
        <f t="shared" si="27"/>
        <v>92.094313453536756</v>
      </c>
      <c r="K647">
        <f t="shared" si="27"/>
        <v>85.378637267305265</v>
      </c>
      <c r="L647">
        <f t="shared" si="27"/>
        <v>71.601090767432794</v>
      </c>
    </row>
    <row r="648" spans="1:12" ht="18" x14ac:dyDescent="0.45">
      <c r="A648" s="3" t="s">
        <v>23</v>
      </c>
      <c r="B648" s="3" t="s">
        <v>674</v>
      </c>
      <c r="C648" s="15" t="s">
        <v>656</v>
      </c>
      <c r="D648" s="16">
        <v>3320</v>
      </c>
      <c r="E648">
        <v>1188</v>
      </c>
      <c r="F648" s="16">
        <v>925000</v>
      </c>
      <c r="G648" s="5">
        <f t="shared" si="28"/>
        <v>933208.46709320636</v>
      </c>
      <c r="H648" s="6">
        <f t="shared" si="29"/>
        <v>-8208.46709320636</v>
      </c>
      <c r="J648" s="2">
        <f t="shared" si="27"/>
        <v>92.094313453536756</v>
      </c>
      <c r="K648">
        <f t="shared" si="27"/>
        <v>85.884691848906556</v>
      </c>
      <c r="L648">
        <f t="shared" si="27"/>
        <v>72.068562524347499</v>
      </c>
    </row>
    <row r="649" spans="1:12" ht="18" x14ac:dyDescent="0.45">
      <c r="A649" s="3" t="s">
        <v>23</v>
      </c>
      <c r="B649" s="3" t="s">
        <v>448</v>
      </c>
      <c r="C649" s="15" t="s">
        <v>693</v>
      </c>
      <c r="D649" s="16">
        <v>3315</v>
      </c>
      <c r="E649">
        <v>1180</v>
      </c>
      <c r="F649" s="16">
        <v>920000</v>
      </c>
      <c r="G649" s="5">
        <f t="shared" si="28"/>
        <v>925569.4142044175</v>
      </c>
      <c r="H649" s="6">
        <f t="shared" si="29"/>
        <v>-5569.4142044174951</v>
      </c>
      <c r="J649" s="2">
        <f t="shared" si="27"/>
        <v>91.955617198335645</v>
      </c>
      <c r="K649">
        <f t="shared" si="27"/>
        <v>85.30634375564793</v>
      </c>
      <c r="L649">
        <f t="shared" si="27"/>
        <v>71.679002726918583</v>
      </c>
    </row>
    <row r="650" spans="1:12" ht="18" x14ac:dyDescent="0.45">
      <c r="A650" s="3" t="s">
        <v>23</v>
      </c>
      <c r="B650" s="3" t="s">
        <v>438</v>
      </c>
      <c r="C650" s="15" t="s">
        <v>657</v>
      </c>
      <c r="D650" s="16">
        <v>3312</v>
      </c>
      <c r="E650">
        <v>1181.3</v>
      </c>
      <c r="F650" s="16">
        <v>916000</v>
      </c>
      <c r="G650" s="5">
        <f t="shared" si="28"/>
        <v>925749.58853872598</v>
      </c>
      <c r="H650" s="6">
        <f t="shared" si="29"/>
        <v>-9749.5885387259768</v>
      </c>
      <c r="J650" s="2">
        <f t="shared" si="27"/>
        <v>91.872399445214981</v>
      </c>
      <c r="K650">
        <f t="shared" si="27"/>
        <v>85.400325320802452</v>
      </c>
      <c r="L650">
        <f t="shared" si="27"/>
        <v>71.367354888975456</v>
      </c>
    </row>
    <row r="651" spans="1:12" ht="18" x14ac:dyDescent="0.45">
      <c r="A651" s="3" t="s">
        <v>23</v>
      </c>
      <c r="B651" s="3" t="s">
        <v>677</v>
      </c>
      <c r="C651" s="15" t="s">
        <v>658</v>
      </c>
      <c r="D651" s="16">
        <v>3305</v>
      </c>
      <c r="E651">
        <v>1181.3</v>
      </c>
      <c r="F651" s="16">
        <v>910000</v>
      </c>
      <c r="G651" s="5">
        <f t="shared" si="28"/>
        <v>923803.55981898832</v>
      </c>
      <c r="H651" s="6">
        <f t="shared" si="29"/>
        <v>-13803.559818988317</v>
      </c>
      <c r="J651" s="2">
        <f t="shared" si="27"/>
        <v>91.678224687933437</v>
      </c>
      <c r="K651">
        <f t="shared" si="27"/>
        <v>85.400325320802452</v>
      </c>
      <c r="L651">
        <f t="shared" si="27"/>
        <v>70.899883132060779</v>
      </c>
    </row>
    <row r="652" spans="1:12" ht="18" x14ac:dyDescent="0.45">
      <c r="A652" s="3" t="s">
        <v>23</v>
      </c>
      <c r="B652" s="3" t="s">
        <v>442</v>
      </c>
      <c r="C652" s="15" t="s">
        <v>659</v>
      </c>
      <c r="D652" s="16">
        <v>3295</v>
      </c>
      <c r="E652">
        <v>1180</v>
      </c>
      <c r="F652" s="16">
        <v>908000</v>
      </c>
      <c r="G652" s="5">
        <f t="shared" si="28"/>
        <v>920015.45092113281</v>
      </c>
      <c r="H652" s="6">
        <f t="shared" si="29"/>
        <v>-12015.450921132811</v>
      </c>
      <c r="J652" s="2">
        <f t="shared" si="27"/>
        <v>91.400832177531214</v>
      </c>
      <c r="K652">
        <f t="shared" si="27"/>
        <v>85.30634375564793</v>
      </c>
      <c r="L652">
        <f t="shared" si="27"/>
        <v>70.744059213089201</v>
      </c>
    </row>
    <row r="653" spans="1:12" ht="18" x14ac:dyDescent="0.45">
      <c r="A653" s="3" t="s">
        <v>23</v>
      </c>
      <c r="B653" s="3" t="s">
        <v>671</v>
      </c>
      <c r="C653" s="15" t="s">
        <v>661</v>
      </c>
      <c r="D653" s="16">
        <v>3285</v>
      </c>
      <c r="E653">
        <v>1183</v>
      </c>
      <c r="F653" s="16">
        <v>908000</v>
      </c>
      <c r="G653" s="5">
        <f t="shared" si="28"/>
        <v>919557.71962511644</v>
      </c>
      <c r="H653" s="6">
        <f t="shared" si="29"/>
        <v>-11557.719625116442</v>
      </c>
      <c r="J653" s="2">
        <f t="shared" si="27"/>
        <v>91.123439667128991</v>
      </c>
      <c r="K653">
        <f t="shared" si="27"/>
        <v>85.523224290619908</v>
      </c>
      <c r="L653">
        <f t="shared" si="27"/>
        <v>70.744059213089201</v>
      </c>
    </row>
    <row r="654" spans="1:12" ht="18" x14ac:dyDescent="0.45">
      <c r="A654" s="3" t="s">
        <v>23</v>
      </c>
      <c r="B654" s="3" t="s">
        <v>674</v>
      </c>
      <c r="C654" s="15" t="s">
        <v>662</v>
      </c>
      <c r="D654" s="16">
        <v>3295</v>
      </c>
      <c r="E654">
        <v>1179</v>
      </c>
      <c r="F654" s="16">
        <v>908000</v>
      </c>
      <c r="G654" s="5">
        <f t="shared" si="28"/>
        <v>919240.01409831818</v>
      </c>
      <c r="H654" s="6">
        <f t="shared" si="29"/>
        <v>-11240.014098318177</v>
      </c>
      <c r="J654" s="2">
        <f t="shared" si="27"/>
        <v>91.400832177531214</v>
      </c>
      <c r="K654">
        <f t="shared" si="27"/>
        <v>85.234050243990595</v>
      </c>
      <c r="L654">
        <f t="shared" si="27"/>
        <v>70.744059213089201</v>
      </c>
    </row>
    <row r="655" spans="1:12" ht="18" x14ac:dyDescent="0.45">
      <c r="A655" s="3" t="s">
        <v>23</v>
      </c>
      <c r="B655" s="3" t="s">
        <v>448</v>
      </c>
      <c r="C655" s="15" t="s">
        <v>694</v>
      </c>
      <c r="D655" s="16">
        <v>3290</v>
      </c>
      <c r="E655">
        <v>1196</v>
      </c>
      <c r="F655" s="16">
        <v>912000</v>
      </c>
      <c r="G655" s="5">
        <f t="shared" si="28"/>
        <v>931015.12227116339</v>
      </c>
      <c r="H655" s="6">
        <f t="shared" si="29"/>
        <v>-19015.122271163389</v>
      </c>
      <c r="J655" s="2">
        <f t="shared" si="27"/>
        <v>91.262135922330103</v>
      </c>
      <c r="K655">
        <f t="shared" si="27"/>
        <v>86.463039942165182</v>
      </c>
      <c r="L655">
        <f t="shared" si="27"/>
        <v>71.055707051032329</v>
      </c>
    </row>
    <row r="656" spans="1:12" ht="18" x14ac:dyDescent="0.45">
      <c r="A656" s="3" t="s">
        <v>23</v>
      </c>
      <c r="B656" s="3" t="s">
        <v>438</v>
      </c>
      <c r="C656" s="15" t="s">
        <v>663</v>
      </c>
      <c r="D656" s="16">
        <v>3280</v>
      </c>
      <c r="E656">
        <v>1200.3</v>
      </c>
      <c r="F656" s="16">
        <v>914000</v>
      </c>
      <c r="G656" s="5">
        <f t="shared" si="28"/>
        <v>931519.6857152041</v>
      </c>
      <c r="H656" s="6">
        <f t="shared" si="29"/>
        <v>-17519.685715204105</v>
      </c>
      <c r="J656" s="2">
        <f t="shared" si="27"/>
        <v>90.98474341192788</v>
      </c>
      <c r="K656">
        <f t="shared" si="27"/>
        <v>86.773902042291709</v>
      </c>
      <c r="L656">
        <f t="shared" si="27"/>
        <v>71.211530970003906</v>
      </c>
    </row>
    <row r="657" spans="1:12" ht="18" x14ac:dyDescent="0.45">
      <c r="A657" s="3" t="s">
        <v>23</v>
      </c>
      <c r="B657" s="3" t="s">
        <v>677</v>
      </c>
      <c r="C657" s="15" t="s">
        <v>664</v>
      </c>
      <c r="D657" s="16">
        <v>3280</v>
      </c>
      <c r="E657">
        <v>1200.3</v>
      </c>
      <c r="F657" s="16">
        <v>916000</v>
      </c>
      <c r="G657" s="5">
        <f t="shared" si="28"/>
        <v>931519.6857152041</v>
      </c>
      <c r="H657" s="6">
        <f t="shared" si="29"/>
        <v>-15519.685715204105</v>
      </c>
      <c r="I657" s="1">
        <f>F657/F633-1</f>
        <v>-2.5531914893617058E-2</v>
      </c>
      <c r="J657" s="2">
        <f t="shared" si="27"/>
        <v>90.98474341192788</v>
      </c>
      <c r="K657">
        <f t="shared" si="27"/>
        <v>86.773902042291709</v>
      </c>
      <c r="L657">
        <f t="shared" si="27"/>
        <v>71.367354888975456</v>
      </c>
    </row>
    <row r="658" spans="1:12" ht="18" x14ac:dyDescent="0.45">
      <c r="A658" s="3" t="s">
        <v>47</v>
      </c>
      <c r="B658" s="3" t="s">
        <v>442</v>
      </c>
      <c r="C658" s="15" t="s">
        <v>666</v>
      </c>
      <c r="D658" s="16">
        <v>3270</v>
      </c>
      <c r="E658">
        <v>1194</v>
      </c>
      <c r="F658" s="16">
        <v>908000</v>
      </c>
      <c r="G658" s="5">
        <f t="shared" si="28"/>
        <v>923846.74423689011</v>
      </c>
      <c r="H658" s="6">
        <f t="shared" si="29"/>
        <v>-15846.74423689011</v>
      </c>
      <c r="J658" s="2">
        <f t="shared" si="27"/>
        <v>90.707350901525658</v>
      </c>
      <c r="K658">
        <f t="shared" si="27"/>
        <v>86.318452918850525</v>
      </c>
      <c r="L658">
        <f t="shared" si="27"/>
        <v>70.744059213089201</v>
      </c>
    </row>
    <row r="659" spans="1:12" ht="18" x14ac:dyDescent="0.45">
      <c r="A659" s="3" t="s">
        <v>47</v>
      </c>
      <c r="B659" s="3" t="s">
        <v>671</v>
      </c>
      <c r="C659" s="15" t="s">
        <v>667</v>
      </c>
      <c r="D659" s="16">
        <v>3267</v>
      </c>
      <c r="E659">
        <v>1182</v>
      </c>
      <c r="F659" s="16">
        <v>905000</v>
      </c>
      <c r="G659" s="5">
        <f t="shared" si="28"/>
        <v>913777.59707423707</v>
      </c>
      <c r="H659" s="6">
        <f t="shared" si="29"/>
        <v>-8777.59707423707</v>
      </c>
      <c r="J659" s="2">
        <f t="shared" si="27"/>
        <v>90.624133148404994</v>
      </c>
      <c r="K659">
        <f t="shared" si="27"/>
        <v>85.450930778962586</v>
      </c>
      <c r="L659">
        <f t="shared" si="27"/>
        <v>70.510323334631863</v>
      </c>
    </row>
    <row r="660" spans="1:12" ht="18" x14ac:dyDescent="0.45">
      <c r="A660" s="3" t="s">
        <v>47</v>
      </c>
      <c r="B660" s="3" t="s">
        <v>674</v>
      </c>
      <c r="C660" s="15" t="s">
        <v>668</v>
      </c>
      <c r="D660" s="16">
        <v>3287</v>
      </c>
      <c r="E660">
        <v>1178</v>
      </c>
      <c r="F660" s="16">
        <v>908000</v>
      </c>
      <c r="G660" s="5">
        <f t="shared" si="28"/>
        <v>916246.75736102602</v>
      </c>
      <c r="H660" s="6">
        <f t="shared" si="29"/>
        <v>-8246.7573610260151</v>
      </c>
      <c r="J660" s="2">
        <f t="shared" si="27"/>
        <v>91.178918169209439</v>
      </c>
      <c r="K660">
        <f t="shared" si="27"/>
        <v>85.161756732333274</v>
      </c>
      <c r="L660">
        <f t="shared" si="27"/>
        <v>70.744059213089201</v>
      </c>
    </row>
    <row r="661" spans="1:12" ht="18" x14ac:dyDescent="0.45">
      <c r="A661" s="3" t="s">
        <v>47</v>
      </c>
      <c r="B661" s="3" t="s">
        <v>448</v>
      </c>
      <c r="C661" s="15" t="s">
        <v>695</v>
      </c>
      <c r="D661" s="16">
        <v>3295</v>
      </c>
      <c r="E661">
        <v>1173</v>
      </c>
      <c r="F661" s="16">
        <v>912000</v>
      </c>
      <c r="G661" s="5">
        <f t="shared" si="28"/>
        <v>914587.3931614313</v>
      </c>
      <c r="H661" s="6">
        <f t="shared" si="29"/>
        <v>-2587.3931614313042</v>
      </c>
      <c r="J661" s="2">
        <f t="shared" si="27"/>
        <v>91.400832177531214</v>
      </c>
      <c r="K661">
        <f t="shared" si="27"/>
        <v>84.800289174046625</v>
      </c>
      <c r="L661">
        <f t="shared" si="27"/>
        <v>71.055707051032329</v>
      </c>
    </row>
    <row r="662" spans="1:12" ht="18" x14ac:dyDescent="0.45">
      <c r="A662" s="3" t="s">
        <v>47</v>
      </c>
      <c r="B662" s="3" t="s">
        <v>438</v>
      </c>
      <c r="C662" s="15" t="s">
        <v>696</v>
      </c>
      <c r="D662" s="16">
        <v>3320</v>
      </c>
      <c r="E662">
        <v>1174.2</v>
      </c>
      <c r="F662" s="16">
        <v>915000</v>
      </c>
      <c r="G662" s="5">
        <f t="shared" si="28"/>
        <v>922426.24752596195</v>
      </c>
      <c r="H662" s="6">
        <f t="shared" si="29"/>
        <v>-7426.2475259619532</v>
      </c>
      <c r="J662" s="2">
        <f t="shared" si="27"/>
        <v>92.094313453536756</v>
      </c>
      <c r="K662">
        <f t="shared" si="27"/>
        <v>84.887041388035428</v>
      </c>
      <c r="L662">
        <f t="shared" si="27"/>
        <v>71.289442929489681</v>
      </c>
    </row>
    <row r="663" spans="1:12" ht="18" x14ac:dyDescent="0.45">
      <c r="A663" s="3" t="s">
        <v>47</v>
      </c>
      <c r="B663" s="3" t="s">
        <v>677</v>
      </c>
      <c r="C663" s="15" t="s">
        <v>697</v>
      </c>
      <c r="D663" s="16">
        <v>3340</v>
      </c>
      <c r="E663">
        <v>1174.2</v>
      </c>
      <c r="F663" s="16">
        <v>917000</v>
      </c>
      <c r="G663" s="5">
        <f t="shared" si="28"/>
        <v>927952.91166768456</v>
      </c>
      <c r="H663" s="6">
        <f t="shared" si="29"/>
        <v>-10952.911667684559</v>
      </c>
      <c r="J663" s="2">
        <f t="shared" si="27"/>
        <v>92.649098474341201</v>
      </c>
      <c r="K663">
        <f t="shared" si="27"/>
        <v>84.887041388035428</v>
      </c>
      <c r="L663">
        <f t="shared" si="27"/>
        <v>71.445266848461245</v>
      </c>
    </row>
    <row r="664" spans="1:12" ht="18" x14ac:dyDescent="0.45">
      <c r="A664" s="3" t="s">
        <v>47</v>
      </c>
      <c r="B664" s="3" t="s">
        <v>442</v>
      </c>
      <c r="C664" s="15" t="s">
        <v>698</v>
      </c>
      <c r="D664" s="16">
        <v>3320</v>
      </c>
      <c r="E664">
        <v>1178</v>
      </c>
      <c r="F664" s="16">
        <v>913000</v>
      </c>
      <c r="G664" s="5">
        <f t="shared" si="28"/>
        <v>925395.26450824656</v>
      </c>
      <c r="H664" s="6">
        <f t="shared" si="29"/>
        <v>-12395.264508246561</v>
      </c>
      <c r="J664" s="2">
        <f t="shared" si="27"/>
        <v>92.094313453536756</v>
      </c>
      <c r="K664">
        <f t="shared" si="27"/>
        <v>85.161756732333274</v>
      </c>
      <c r="L664">
        <f t="shared" si="27"/>
        <v>71.133619010518117</v>
      </c>
    </row>
    <row r="665" spans="1:12" ht="18" x14ac:dyDescent="0.45">
      <c r="A665" s="3" t="s">
        <v>47</v>
      </c>
      <c r="B665" s="3" t="s">
        <v>671</v>
      </c>
      <c r="C665" s="15" t="s">
        <v>699</v>
      </c>
      <c r="D665" s="16">
        <v>3320</v>
      </c>
      <c r="E665">
        <v>1174</v>
      </c>
      <c r="F665" s="16">
        <v>910000</v>
      </c>
      <c r="G665" s="5">
        <f t="shared" si="28"/>
        <v>922269.98347426276</v>
      </c>
      <c r="H665" s="6">
        <f t="shared" si="29"/>
        <v>-12269.983474262757</v>
      </c>
      <c r="J665" s="2">
        <f t="shared" si="27"/>
        <v>92.094313453536756</v>
      </c>
      <c r="K665">
        <f t="shared" si="27"/>
        <v>84.872582685703961</v>
      </c>
      <c r="L665">
        <f t="shared" si="27"/>
        <v>70.899883132060779</v>
      </c>
    </row>
    <row r="666" spans="1:12" ht="18" x14ac:dyDescent="0.45">
      <c r="A666" s="3" t="s">
        <v>47</v>
      </c>
      <c r="B666" s="3" t="s">
        <v>674</v>
      </c>
      <c r="C666" s="15" t="s">
        <v>700</v>
      </c>
      <c r="D666" s="16">
        <v>3327</v>
      </c>
      <c r="E666">
        <v>1172</v>
      </c>
      <c r="F666" s="16">
        <v>908000</v>
      </c>
      <c r="G666" s="5">
        <f t="shared" si="28"/>
        <v>922638.05121049413</v>
      </c>
      <c r="H666" s="6">
        <f t="shared" si="29"/>
        <v>-14638.05121049413</v>
      </c>
      <c r="J666" s="2">
        <f t="shared" si="27"/>
        <v>92.288488210818315</v>
      </c>
      <c r="K666">
        <f t="shared" si="27"/>
        <v>84.727995662389304</v>
      </c>
      <c r="L666">
        <f t="shared" si="27"/>
        <v>70.744059213089201</v>
      </c>
    </row>
    <row r="667" spans="1:12" ht="18" x14ac:dyDescent="0.45">
      <c r="A667" s="3" t="s">
        <v>47</v>
      </c>
      <c r="B667" s="3" t="s">
        <v>448</v>
      </c>
      <c r="C667" s="15" t="s">
        <v>701</v>
      </c>
      <c r="D667" s="16">
        <v>3320</v>
      </c>
      <c r="E667">
        <v>1160</v>
      </c>
      <c r="F667" s="16">
        <v>900000</v>
      </c>
      <c r="G667" s="5">
        <f t="shared" si="28"/>
        <v>911331.49985531939</v>
      </c>
      <c r="H667" s="6">
        <f t="shared" si="29"/>
        <v>-11331.499855319387</v>
      </c>
      <c r="J667" s="2">
        <f t="shared" si="27"/>
        <v>92.094313453536756</v>
      </c>
      <c r="K667">
        <f t="shared" si="27"/>
        <v>83.860473522501351</v>
      </c>
      <c r="L667">
        <f t="shared" si="27"/>
        <v>70.120763537202961</v>
      </c>
    </row>
    <row r="668" spans="1:12" ht="18" x14ac:dyDescent="0.45">
      <c r="A668" s="3" t="s">
        <v>47</v>
      </c>
      <c r="B668" s="3" t="s">
        <v>438</v>
      </c>
      <c r="C668" s="15" t="s">
        <v>702</v>
      </c>
      <c r="D668" s="16">
        <v>3320</v>
      </c>
      <c r="E668">
        <v>1168.3</v>
      </c>
      <c r="F668" s="16">
        <v>900000</v>
      </c>
      <c r="G668" s="5">
        <f t="shared" si="28"/>
        <v>917816.45800083573</v>
      </c>
      <c r="H668" s="6">
        <f t="shared" si="29"/>
        <v>-17816.45800083573</v>
      </c>
      <c r="J668" s="2">
        <f t="shared" si="27"/>
        <v>92.094313453536756</v>
      </c>
      <c r="K668">
        <f t="shared" si="27"/>
        <v>84.460509669257178</v>
      </c>
      <c r="L668">
        <f t="shared" si="27"/>
        <v>70.120763537202961</v>
      </c>
    </row>
    <row r="669" spans="1:12" ht="18" x14ac:dyDescent="0.45">
      <c r="A669" s="3" t="s">
        <v>47</v>
      </c>
      <c r="B669" s="3" t="s">
        <v>677</v>
      </c>
      <c r="C669" s="15" t="s">
        <v>703</v>
      </c>
      <c r="D669" s="16">
        <v>3310</v>
      </c>
      <c r="E669">
        <v>1168.3</v>
      </c>
      <c r="F669" s="16">
        <v>893000</v>
      </c>
      <c r="G669" s="5">
        <f t="shared" si="28"/>
        <v>915067.01083818253</v>
      </c>
      <c r="H669" s="6">
        <f t="shared" si="29"/>
        <v>-22067.010838182527</v>
      </c>
      <c r="J669" s="2">
        <f t="shared" si="27"/>
        <v>91.816920943134534</v>
      </c>
      <c r="K669">
        <f t="shared" si="27"/>
        <v>84.460509669257178</v>
      </c>
      <c r="L669">
        <f t="shared" si="27"/>
        <v>69.575379820802496</v>
      </c>
    </row>
    <row r="670" spans="1:12" ht="18" x14ac:dyDescent="0.45">
      <c r="A670" s="3" t="s">
        <v>47</v>
      </c>
      <c r="B670" s="3" t="s">
        <v>442</v>
      </c>
      <c r="C670" s="15" t="s">
        <v>704</v>
      </c>
      <c r="D670" s="16">
        <v>3285</v>
      </c>
      <c r="E670">
        <v>1165</v>
      </c>
      <c r="F670" s="16">
        <v>882000</v>
      </c>
      <c r="G670" s="5">
        <f t="shared" si="28"/>
        <v>905642.21755136142</v>
      </c>
      <c r="H670" s="6">
        <f t="shared" si="29"/>
        <v>-23642.21755136142</v>
      </c>
      <c r="J670" s="2">
        <f t="shared" si="27"/>
        <v>91.123439667128991</v>
      </c>
      <c r="K670">
        <f t="shared" si="27"/>
        <v>84.221941080788</v>
      </c>
      <c r="L670">
        <f t="shared" si="27"/>
        <v>68.718348266458904</v>
      </c>
    </row>
    <row r="671" spans="1:12" ht="18" x14ac:dyDescent="0.45">
      <c r="A671" s="3" t="s">
        <v>47</v>
      </c>
      <c r="B671" s="3" t="s">
        <v>671</v>
      </c>
      <c r="C671" s="15" t="s">
        <v>705</v>
      </c>
      <c r="D671" s="16">
        <v>3270</v>
      </c>
      <c r="E671">
        <v>1155</v>
      </c>
      <c r="F671" s="16">
        <v>880000</v>
      </c>
      <c r="G671" s="5">
        <f t="shared" si="28"/>
        <v>893834.16213870037</v>
      </c>
      <c r="H671" s="6">
        <f t="shared" si="29"/>
        <v>-13834.162138700369</v>
      </c>
      <c r="J671" s="2">
        <f t="shared" si="27"/>
        <v>90.707350901525658</v>
      </c>
      <c r="K671">
        <f t="shared" si="27"/>
        <v>83.499005964214717</v>
      </c>
      <c r="L671">
        <f t="shared" si="27"/>
        <v>68.56252434748734</v>
      </c>
    </row>
    <row r="672" spans="1:12" ht="18" x14ac:dyDescent="0.45">
      <c r="A672" s="3" t="s">
        <v>47</v>
      </c>
      <c r="B672" s="3" t="s">
        <v>448</v>
      </c>
      <c r="C672" s="15" t="s">
        <v>706</v>
      </c>
      <c r="D672" s="16">
        <v>3260</v>
      </c>
      <c r="E672">
        <v>1161</v>
      </c>
      <c r="F672" s="16">
        <v>877000</v>
      </c>
      <c r="G672" s="5">
        <f t="shared" si="28"/>
        <v>895719.21493103553</v>
      </c>
      <c r="H672" s="6">
        <f t="shared" si="29"/>
        <v>-18719.214931035531</v>
      </c>
      <c r="J672" s="2">
        <f t="shared" si="27"/>
        <v>90.429958391123449</v>
      </c>
      <c r="K672">
        <f t="shared" si="27"/>
        <v>83.932767034158687</v>
      </c>
      <c r="L672">
        <f t="shared" si="27"/>
        <v>68.328788469030002</v>
      </c>
    </row>
    <row r="673" spans="1:12" ht="18" x14ac:dyDescent="0.45">
      <c r="A673" s="3" t="s">
        <v>47</v>
      </c>
      <c r="B673" s="3" t="s">
        <v>438</v>
      </c>
      <c r="C673" s="15" t="s">
        <v>707</v>
      </c>
      <c r="D673" s="16">
        <v>3265</v>
      </c>
      <c r="E673">
        <v>1162.8</v>
      </c>
      <c r="F673" s="16">
        <v>883000</v>
      </c>
      <c r="G673" s="5">
        <f t="shared" ref="G673:G736" si="30">E673/31.103*8.133*D673*0.9+5000</f>
        <v>898468.42675626127</v>
      </c>
      <c r="H673" s="6">
        <f t="shared" si="29"/>
        <v>-15468.426756261266</v>
      </c>
      <c r="J673" s="2">
        <f t="shared" si="27"/>
        <v>90.568654646324546</v>
      </c>
      <c r="K673">
        <f t="shared" si="27"/>
        <v>84.062895355141876</v>
      </c>
      <c r="L673">
        <f t="shared" si="27"/>
        <v>68.796260225944678</v>
      </c>
    </row>
    <row r="674" spans="1:12" ht="18" x14ac:dyDescent="0.45">
      <c r="A674" s="3" t="s">
        <v>47</v>
      </c>
      <c r="B674" s="3" t="s">
        <v>677</v>
      </c>
      <c r="C674" s="15" t="s">
        <v>708</v>
      </c>
      <c r="D674" s="16">
        <v>3255</v>
      </c>
      <c r="E674">
        <v>1162.8</v>
      </c>
      <c r="F674" s="16">
        <v>880000</v>
      </c>
      <c r="G674" s="5">
        <f t="shared" si="30"/>
        <v>895731.92315210728</v>
      </c>
      <c r="H674" s="6">
        <f t="shared" si="29"/>
        <v>-15731.92315210728</v>
      </c>
      <c r="J674" s="2">
        <f t="shared" si="27"/>
        <v>90.291262135922338</v>
      </c>
      <c r="K674">
        <f t="shared" si="27"/>
        <v>84.062895355141876</v>
      </c>
      <c r="L674">
        <f t="shared" si="27"/>
        <v>68.56252434748734</v>
      </c>
    </row>
    <row r="675" spans="1:12" ht="18" x14ac:dyDescent="0.45">
      <c r="A675" s="3" t="s">
        <v>47</v>
      </c>
      <c r="B675" s="3" t="s">
        <v>442</v>
      </c>
      <c r="C675" s="15" t="s">
        <v>709</v>
      </c>
      <c r="D675" s="16">
        <v>3230</v>
      </c>
      <c r="E675">
        <v>1155</v>
      </c>
      <c r="F675" s="16">
        <v>880000</v>
      </c>
      <c r="G675" s="5">
        <f t="shared" si="30"/>
        <v>882961.57299938903</v>
      </c>
      <c r="H675" s="6">
        <f t="shared" si="29"/>
        <v>-2961.5729993890272</v>
      </c>
      <c r="J675" s="2">
        <f t="shared" si="27"/>
        <v>89.597780859916782</v>
      </c>
      <c r="K675">
        <f t="shared" si="27"/>
        <v>83.499005964214717</v>
      </c>
      <c r="L675">
        <f t="shared" si="27"/>
        <v>68.56252434748734</v>
      </c>
    </row>
    <row r="676" spans="1:12" ht="18" x14ac:dyDescent="0.45">
      <c r="A676" s="3" t="s">
        <v>47</v>
      </c>
      <c r="B676" s="3" t="s">
        <v>710</v>
      </c>
      <c r="C676" s="15" t="s">
        <v>711</v>
      </c>
      <c r="D676" s="16">
        <v>3215</v>
      </c>
      <c r="E676">
        <v>1153</v>
      </c>
      <c r="F676" s="16">
        <v>880000</v>
      </c>
      <c r="G676" s="5">
        <f t="shared" si="30"/>
        <v>877371.13241487951</v>
      </c>
      <c r="H676" s="6">
        <f t="shared" si="29"/>
        <v>2628.8675851204898</v>
      </c>
      <c r="J676" s="2">
        <f t="shared" si="27"/>
        <v>89.181692094313462</v>
      </c>
      <c r="L676">
        <f t="shared" si="27"/>
        <v>68.56252434748734</v>
      </c>
    </row>
    <row r="677" spans="1:12" ht="18" x14ac:dyDescent="0.45">
      <c r="A677" s="3" t="s">
        <v>47</v>
      </c>
      <c r="B677" s="3" t="s">
        <v>446</v>
      </c>
      <c r="C677" s="15" t="s">
        <v>712</v>
      </c>
      <c r="D677" s="16">
        <v>3280</v>
      </c>
      <c r="E677">
        <v>1154</v>
      </c>
      <c r="F677" s="16">
        <v>900000</v>
      </c>
      <c r="G677" s="5">
        <f t="shared" si="30"/>
        <v>895780.40266212239</v>
      </c>
      <c r="H677" s="6">
        <f t="shared" si="29"/>
        <v>4219.5973378776107</v>
      </c>
      <c r="J677" s="2">
        <f t="shared" si="27"/>
        <v>90.98474341192788</v>
      </c>
      <c r="L677">
        <f t="shared" si="27"/>
        <v>70.120763537202961</v>
      </c>
    </row>
    <row r="678" spans="1:12" ht="18" x14ac:dyDescent="0.45">
      <c r="A678" s="3" t="s">
        <v>47</v>
      </c>
      <c r="B678" s="3" t="s">
        <v>448</v>
      </c>
      <c r="C678" s="15" t="s">
        <v>713</v>
      </c>
      <c r="D678" s="16">
        <v>3260</v>
      </c>
      <c r="E678">
        <v>1144</v>
      </c>
      <c r="F678" s="16">
        <v>885000</v>
      </c>
      <c r="G678" s="5">
        <f t="shared" si="30"/>
        <v>882676.81471240707</v>
      </c>
      <c r="H678" s="6">
        <f t="shared" si="29"/>
        <v>2323.1852875929326</v>
      </c>
      <c r="J678" s="2">
        <f t="shared" si="27"/>
        <v>90.429958391123449</v>
      </c>
      <c r="L678">
        <f t="shared" si="27"/>
        <v>68.952084144916256</v>
      </c>
    </row>
    <row r="679" spans="1:12" ht="18" x14ac:dyDescent="0.45">
      <c r="A679" s="3" t="s">
        <v>47</v>
      </c>
      <c r="B679" s="3" t="s">
        <v>442</v>
      </c>
      <c r="C679" s="15" t="s">
        <v>714</v>
      </c>
      <c r="D679" s="17">
        <v>3240</v>
      </c>
      <c r="E679" s="17">
        <v>1115</v>
      </c>
      <c r="F679" s="17">
        <v>865000</v>
      </c>
      <c r="G679" s="5">
        <f t="shared" si="30"/>
        <v>855179.98971160338</v>
      </c>
      <c r="H679" s="6">
        <f t="shared" si="29"/>
        <v>9820.0102883966174</v>
      </c>
      <c r="J679" s="2">
        <f t="shared" si="27"/>
        <v>89.875173370319004</v>
      </c>
      <c r="L679">
        <f t="shared" si="27"/>
        <v>67.39384495520062</v>
      </c>
    </row>
    <row r="680" spans="1:12" ht="18" x14ac:dyDescent="0.45">
      <c r="A680" s="3" t="s">
        <v>47</v>
      </c>
      <c r="B680" s="3" t="s">
        <v>710</v>
      </c>
      <c r="C680" s="15" t="s">
        <v>715</v>
      </c>
      <c r="D680" s="17">
        <v>3255</v>
      </c>
      <c r="E680" s="17">
        <v>1108</v>
      </c>
      <c r="F680" s="17">
        <v>869000</v>
      </c>
      <c r="G680" s="5">
        <f t="shared" si="30"/>
        <v>853753.84490242088</v>
      </c>
      <c r="H680" s="6">
        <f t="shared" si="29"/>
        <v>15246.155097579118</v>
      </c>
      <c r="J680" s="2">
        <f t="shared" si="27"/>
        <v>90.291262135922338</v>
      </c>
      <c r="L680">
        <f t="shared" si="27"/>
        <v>67.705492793143748</v>
      </c>
    </row>
    <row r="681" spans="1:12" ht="18" x14ac:dyDescent="0.45">
      <c r="A681" s="3" t="s">
        <v>47</v>
      </c>
      <c r="B681" s="3" t="s">
        <v>446</v>
      </c>
      <c r="C681" s="15" t="s">
        <v>716</v>
      </c>
      <c r="D681" s="17">
        <v>3265</v>
      </c>
      <c r="E681" s="17">
        <v>1095</v>
      </c>
      <c r="F681" s="17">
        <v>866000</v>
      </c>
      <c r="G681" s="5">
        <f t="shared" si="30"/>
        <v>846372.48649647937</v>
      </c>
      <c r="H681" s="6">
        <f t="shared" si="29"/>
        <v>19627.513503520633</v>
      </c>
      <c r="I681" s="1">
        <f>F681/F657-1</f>
        <v>-5.4585152838427908E-2</v>
      </c>
      <c r="J681" s="2">
        <f t="shared" si="27"/>
        <v>90.568654646324546</v>
      </c>
      <c r="L681">
        <f t="shared" si="27"/>
        <v>67.471756914686409</v>
      </c>
    </row>
    <row r="682" spans="1:12" ht="18" x14ac:dyDescent="0.45">
      <c r="A682" s="3" t="s">
        <v>47</v>
      </c>
      <c r="B682" s="3" t="s">
        <v>448</v>
      </c>
      <c r="C682" s="15" t="s">
        <v>717</v>
      </c>
      <c r="D682" s="17">
        <v>3267</v>
      </c>
      <c r="E682">
        <v>1102</v>
      </c>
      <c r="F682" s="17">
        <v>872000</v>
      </c>
      <c r="G682" s="5">
        <f t="shared" si="30"/>
        <v>852269.80708613305</v>
      </c>
      <c r="H682" s="6">
        <f t="shared" si="29"/>
        <v>19730.192913866951</v>
      </c>
      <c r="J682" s="2">
        <f t="shared" si="27"/>
        <v>90.624133148404994</v>
      </c>
      <c r="L682">
        <f t="shared" si="27"/>
        <v>67.939228671601086</v>
      </c>
    </row>
    <row r="683" spans="1:12" ht="18" x14ac:dyDescent="0.45">
      <c r="B683" s="3" t="s">
        <v>438</v>
      </c>
      <c r="C683" s="15" t="s">
        <v>718</v>
      </c>
      <c r="D683" s="16">
        <v>3257</v>
      </c>
      <c r="E683">
        <v>1099.5</v>
      </c>
      <c r="F683" s="16">
        <v>872000</v>
      </c>
      <c r="G683" s="5">
        <f t="shared" si="30"/>
        <v>847760.15363630513</v>
      </c>
      <c r="H683" s="6">
        <f t="shared" si="29"/>
        <v>24239.846363694873</v>
      </c>
    </row>
    <row r="684" spans="1:12" ht="18" x14ac:dyDescent="0.45">
      <c r="B684" s="3" t="s">
        <v>719</v>
      </c>
      <c r="C684" s="15" t="s">
        <v>720</v>
      </c>
      <c r="D684" s="16">
        <v>3298</v>
      </c>
      <c r="E684">
        <v>1099.5</v>
      </c>
      <c r="F684" s="16">
        <v>874000</v>
      </c>
      <c r="G684" s="5">
        <f t="shared" si="30"/>
        <v>858369.04718837398</v>
      </c>
      <c r="H684" s="6">
        <f t="shared" si="29"/>
        <v>15630.952811626019</v>
      </c>
    </row>
    <row r="685" spans="1:12" ht="18" x14ac:dyDescent="0.45">
      <c r="B685" s="3" t="s">
        <v>442</v>
      </c>
      <c r="C685" s="15" t="s">
        <v>721</v>
      </c>
      <c r="D685" s="16">
        <v>3295</v>
      </c>
      <c r="E685" s="17">
        <v>1094</v>
      </c>
      <c r="F685" s="16">
        <v>875000</v>
      </c>
      <c r="G685" s="5">
        <f t="shared" si="30"/>
        <v>853327.88415908418</v>
      </c>
      <c r="H685" s="6">
        <f t="shared" si="29"/>
        <v>21672.115840915823</v>
      </c>
    </row>
    <row r="686" spans="1:12" ht="18" x14ac:dyDescent="0.45">
      <c r="B686" s="3" t="s">
        <v>710</v>
      </c>
      <c r="C686" s="15" t="s">
        <v>722</v>
      </c>
      <c r="D686" s="16">
        <v>3305</v>
      </c>
      <c r="E686" s="17">
        <v>1092</v>
      </c>
      <c r="F686" s="16">
        <v>878000</v>
      </c>
      <c r="G686" s="5">
        <f t="shared" si="30"/>
        <v>854346.89521911053</v>
      </c>
      <c r="H686" s="6">
        <f t="shared" si="29"/>
        <v>23653.104780889465</v>
      </c>
    </row>
    <row r="687" spans="1:12" ht="18" x14ac:dyDescent="0.45">
      <c r="B687" s="3" t="s">
        <v>446</v>
      </c>
      <c r="C687" s="15" t="s">
        <v>723</v>
      </c>
      <c r="D687" s="16">
        <v>3310</v>
      </c>
      <c r="E687" s="17">
        <v>1097</v>
      </c>
      <c r="F687" s="16">
        <v>881000</v>
      </c>
      <c r="G687" s="5">
        <f t="shared" si="30"/>
        <v>859526.67199305538</v>
      </c>
      <c r="H687" s="6">
        <f t="shared" si="29"/>
        <v>21473.328006944619</v>
      </c>
    </row>
    <row r="688" spans="1:12" ht="18" x14ac:dyDescent="0.45">
      <c r="B688" s="3" t="s">
        <v>448</v>
      </c>
      <c r="C688" s="15" t="s">
        <v>724</v>
      </c>
      <c r="D688" s="16">
        <v>3305</v>
      </c>
      <c r="E688" s="17">
        <v>1087</v>
      </c>
      <c r="F688" s="16">
        <v>871000</v>
      </c>
      <c r="G688" s="5">
        <f t="shared" si="30"/>
        <v>850457.94423367514</v>
      </c>
      <c r="H688" s="6">
        <f t="shared" si="29"/>
        <v>20542.055766324862</v>
      </c>
    </row>
    <row r="689" spans="2:8" ht="18" x14ac:dyDescent="0.45">
      <c r="B689" s="3" t="s">
        <v>438</v>
      </c>
      <c r="C689" s="15" t="s">
        <v>725</v>
      </c>
      <c r="D689" s="16">
        <v>3315</v>
      </c>
      <c r="E689" s="17">
        <v>1099.5</v>
      </c>
      <c r="F689" s="16">
        <v>878000</v>
      </c>
      <c r="G689" s="5">
        <f t="shared" si="30"/>
        <v>862767.85670996364</v>
      </c>
      <c r="H689" s="6">
        <f t="shared" si="29"/>
        <v>15232.143290036358</v>
      </c>
    </row>
    <row r="690" spans="2:8" ht="18" x14ac:dyDescent="0.45">
      <c r="B690" s="3" t="s">
        <v>719</v>
      </c>
      <c r="C690" s="15" t="s">
        <v>726</v>
      </c>
      <c r="D690" s="16">
        <v>3315</v>
      </c>
      <c r="E690" s="17">
        <v>1099.5</v>
      </c>
      <c r="F690" s="16">
        <v>880000</v>
      </c>
      <c r="G690" s="5">
        <f t="shared" si="30"/>
        <v>862767.85670996364</v>
      </c>
      <c r="H690" s="6">
        <f t="shared" si="29"/>
        <v>17232.143290036358</v>
      </c>
    </row>
    <row r="691" spans="2:8" ht="18" x14ac:dyDescent="0.45">
      <c r="B691" s="3" t="s">
        <v>442</v>
      </c>
      <c r="C691" s="15" t="s">
        <v>727</v>
      </c>
      <c r="D691" s="16">
        <v>3315</v>
      </c>
      <c r="E691" s="17">
        <v>1092.5999999999999</v>
      </c>
      <c r="F691" s="16">
        <v>876000</v>
      </c>
      <c r="G691" s="5">
        <f t="shared" si="30"/>
        <v>857384.86606758169</v>
      </c>
      <c r="H691" s="6">
        <f t="shared" si="29"/>
        <v>18615.133932418306</v>
      </c>
    </row>
    <row r="692" spans="2:8" ht="18" x14ac:dyDescent="0.45">
      <c r="B692" s="3" t="s">
        <v>710</v>
      </c>
      <c r="C692" s="15" t="s">
        <v>728</v>
      </c>
      <c r="D692" s="16">
        <v>3325</v>
      </c>
      <c r="E692" s="17">
        <v>1091</v>
      </c>
      <c r="F692" s="16">
        <v>875000</v>
      </c>
      <c r="G692" s="5">
        <f t="shared" si="30"/>
        <v>858704.16768478905</v>
      </c>
      <c r="H692" s="6">
        <f t="shared" si="29"/>
        <v>16295.832315210951</v>
      </c>
    </row>
    <row r="693" spans="2:8" ht="18" x14ac:dyDescent="0.45">
      <c r="B693" s="3" t="s">
        <v>446</v>
      </c>
      <c r="C693" s="15" t="s">
        <v>729</v>
      </c>
      <c r="D693" s="16">
        <v>3325</v>
      </c>
      <c r="E693" s="17">
        <v>1085</v>
      </c>
      <c r="F693" s="16">
        <v>873000</v>
      </c>
      <c r="G693" s="5">
        <f t="shared" si="30"/>
        <v>854009.18601099576</v>
      </c>
      <c r="H693" s="6">
        <f t="shared" si="29"/>
        <v>18990.813989004237</v>
      </c>
    </row>
    <row r="694" spans="2:8" ht="18" x14ac:dyDescent="0.45">
      <c r="B694" s="3" t="s">
        <v>448</v>
      </c>
      <c r="C694" s="15" t="s">
        <v>730</v>
      </c>
      <c r="D694" s="16">
        <v>3330</v>
      </c>
      <c r="E694" s="17">
        <v>1092</v>
      </c>
      <c r="F694" s="16">
        <v>872000</v>
      </c>
      <c r="G694" s="5">
        <f t="shared" si="30"/>
        <v>860771.60698324908</v>
      </c>
      <c r="H694" s="6">
        <f t="shared" si="29"/>
        <v>11228.393016750924</v>
      </c>
    </row>
    <row r="695" spans="2:8" ht="18" x14ac:dyDescent="0.45">
      <c r="B695" s="3" t="s">
        <v>438</v>
      </c>
      <c r="C695" s="15" t="s">
        <v>731</v>
      </c>
      <c r="D695" s="16">
        <v>3350</v>
      </c>
      <c r="E695" s="17">
        <v>1093.8</v>
      </c>
      <c r="F695" s="16">
        <v>877000</v>
      </c>
      <c r="G695" s="5">
        <f t="shared" si="30"/>
        <v>867330.46108092472</v>
      </c>
      <c r="H695" s="6">
        <f t="shared" si="29"/>
        <v>9669.5389190752758</v>
      </c>
    </row>
    <row r="696" spans="2:8" ht="18" x14ac:dyDescent="0.45">
      <c r="B696" s="3" t="s">
        <v>440</v>
      </c>
      <c r="C696" s="15" t="s">
        <v>732</v>
      </c>
      <c r="D696" s="16">
        <v>3340</v>
      </c>
      <c r="E696" s="17">
        <v>1093.8</v>
      </c>
      <c r="F696" s="16">
        <v>876000</v>
      </c>
      <c r="G696" s="5">
        <f t="shared" si="30"/>
        <v>864756.34030157863</v>
      </c>
      <c r="H696" s="6">
        <f t="shared" si="29"/>
        <v>11243.659698421368</v>
      </c>
    </row>
    <row r="697" spans="2:8" ht="18" x14ac:dyDescent="0.45">
      <c r="B697" s="3" t="s">
        <v>442</v>
      </c>
      <c r="C697" s="15" t="s">
        <v>733</v>
      </c>
      <c r="D697" s="16">
        <v>3340</v>
      </c>
      <c r="E697" s="17">
        <v>1095</v>
      </c>
      <c r="F697" s="16">
        <v>878000</v>
      </c>
      <c r="G697" s="5">
        <f t="shared" si="30"/>
        <v>865699.57271002792</v>
      </c>
      <c r="H697" s="6">
        <f t="shared" si="29"/>
        <v>12300.427289972082</v>
      </c>
    </row>
    <row r="698" spans="2:8" ht="18" x14ac:dyDescent="0.45">
      <c r="B698" s="3" t="s">
        <v>446</v>
      </c>
      <c r="C698" s="15" t="s">
        <v>734</v>
      </c>
      <c r="D698" s="16">
        <v>3350</v>
      </c>
      <c r="E698" s="17">
        <v>1118</v>
      </c>
      <c r="F698" s="16">
        <v>889000</v>
      </c>
      <c r="G698" s="5">
        <f t="shared" si="30"/>
        <v>886409.26630871592</v>
      </c>
      <c r="H698" s="6">
        <f t="shared" si="29"/>
        <v>2590.7336912840838</v>
      </c>
    </row>
    <row r="699" spans="2:8" ht="18" x14ac:dyDescent="0.45">
      <c r="B699" s="3" t="s">
        <v>448</v>
      </c>
      <c r="C699" s="15" t="s">
        <v>735</v>
      </c>
      <c r="D699" s="16">
        <v>3350</v>
      </c>
      <c r="E699" s="17">
        <v>1118</v>
      </c>
      <c r="F699" s="16">
        <v>889000</v>
      </c>
      <c r="G699" s="5">
        <f t="shared" si="30"/>
        <v>886409.26630871592</v>
      </c>
      <c r="H699" s="6">
        <f t="shared" si="29"/>
        <v>2590.7336912840838</v>
      </c>
    </row>
    <row r="700" spans="2:8" ht="18" x14ac:dyDescent="0.45">
      <c r="B700" s="3" t="s">
        <v>438</v>
      </c>
      <c r="C700" s="15" t="s">
        <v>736</v>
      </c>
      <c r="D700" s="16">
        <v>3345</v>
      </c>
      <c r="E700" s="17">
        <v>1113.7</v>
      </c>
      <c r="F700" s="16">
        <v>887000</v>
      </c>
      <c r="G700" s="5">
        <f t="shared" si="30"/>
        <v>881708.75420538208</v>
      </c>
      <c r="H700" s="6">
        <f t="shared" si="29"/>
        <v>5291.2457946179202</v>
      </c>
    </row>
    <row r="701" spans="2:8" ht="18" x14ac:dyDescent="0.45">
      <c r="B701" s="3" t="s">
        <v>719</v>
      </c>
      <c r="C701" s="15" t="s">
        <v>737</v>
      </c>
      <c r="D701" s="16">
        <v>3340</v>
      </c>
      <c r="E701" s="17">
        <v>1113.7</v>
      </c>
      <c r="F701" s="16">
        <v>890000</v>
      </c>
      <c r="G701" s="5">
        <f t="shared" si="30"/>
        <v>880398.27774169692</v>
      </c>
      <c r="H701" s="6">
        <f t="shared" si="29"/>
        <v>9601.7222583030816</v>
      </c>
    </row>
    <row r="702" spans="2:8" ht="18" x14ac:dyDescent="0.45">
      <c r="B702" s="3" t="s">
        <v>442</v>
      </c>
      <c r="C702" s="15" t="s">
        <v>738</v>
      </c>
      <c r="D702" s="16">
        <v>3345</v>
      </c>
      <c r="E702" s="17">
        <v>1116</v>
      </c>
      <c r="F702" s="16">
        <v>893000</v>
      </c>
      <c r="G702" s="5">
        <f t="shared" si="30"/>
        <v>883519.32270198991</v>
      </c>
      <c r="H702" s="6">
        <f t="shared" si="29"/>
        <v>9480.6772980100941</v>
      </c>
    </row>
    <row r="703" spans="2:8" ht="18" x14ac:dyDescent="0.45">
      <c r="B703" s="3" t="s">
        <v>710</v>
      </c>
      <c r="C703" s="15" t="s">
        <v>739</v>
      </c>
      <c r="D703" s="16">
        <v>3360</v>
      </c>
      <c r="E703" s="17">
        <v>1119</v>
      </c>
      <c r="F703" s="16">
        <v>896000</v>
      </c>
      <c r="G703" s="5">
        <f t="shared" si="30"/>
        <v>889831.0725010446</v>
      </c>
      <c r="H703" s="6">
        <f t="shared" si="29"/>
        <v>6168.927498955396</v>
      </c>
    </row>
    <row r="704" spans="2:8" ht="18" x14ac:dyDescent="0.45">
      <c r="B704" s="3" t="s">
        <v>446</v>
      </c>
      <c r="C704" s="15" t="s">
        <v>740</v>
      </c>
      <c r="D704" s="16">
        <v>3350</v>
      </c>
      <c r="E704" s="17">
        <v>1122</v>
      </c>
      <c r="F704" s="16">
        <v>898000</v>
      </c>
      <c r="G704" s="5">
        <f t="shared" si="30"/>
        <v>889562.78783397097</v>
      </c>
      <c r="H704" s="6">
        <f t="shared" si="29"/>
        <v>8437.2121660290286</v>
      </c>
    </row>
    <row r="705" spans="2:8" ht="18" x14ac:dyDescent="0.45">
      <c r="B705" s="3" t="s">
        <v>448</v>
      </c>
      <c r="C705" s="15" t="s">
        <v>741</v>
      </c>
      <c r="D705" s="16">
        <v>3350</v>
      </c>
      <c r="E705" s="17">
        <v>1140</v>
      </c>
      <c r="F705" s="16">
        <v>909000</v>
      </c>
      <c r="G705" s="5">
        <f t="shared" si="30"/>
        <v>903753.6346976175</v>
      </c>
      <c r="H705" s="6">
        <f t="shared" si="29"/>
        <v>5246.3653023825027</v>
      </c>
    </row>
    <row r="706" spans="2:8" ht="18" x14ac:dyDescent="0.45">
      <c r="B706" s="3" t="s">
        <v>438</v>
      </c>
      <c r="C706" s="15" t="s">
        <v>742</v>
      </c>
      <c r="D706" s="18">
        <v>3355</v>
      </c>
      <c r="E706" s="19">
        <v>1160.4000000000001</v>
      </c>
      <c r="F706" s="19">
        <v>930000</v>
      </c>
      <c r="G706" s="5">
        <f t="shared" si="30"/>
        <v>921202.02222936682</v>
      </c>
      <c r="H706" s="6">
        <f t="shared" ref="H706:H769" si="31">F:F-G:G</f>
        <v>8797.9777706331806</v>
      </c>
    </row>
    <row r="707" spans="2:8" ht="18" x14ac:dyDescent="0.45">
      <c r="B707" s="3" t="s">
        <v>719</v>
      </c>
      <c r="C707" s="15" t="s">
        <v>743</v>
      </c>
      <c r="D707" s="18">
        <v>3355</v>
      </c>
      <c r="E707" s="19">
        <v>1160.4000000000001</v>
      </c>
      <c r="F707" s="19">
        <v>943000</v>
      </c>
      <c r="G707" s="5">
        <f t="shared" si="30"/>
        <v>921202.02222936682</v>
      </c>
      <c r="H707" s="6">
        <f t="shared" si="31"/>
        <v>21797.977770633181</v>
      </c>
    </row>
    <row r="708" spans="2:8" ht="18" x14ac:dyDescent="0.45">
      <c r="B708" s="3" t="s">
        <v>442</v>
      </c>
      <c r="C708" s="15" t="s">
        <v>744</v>
      </c>
      <c r="D708" s="18">
        <v>3360</v>
      </c>
      <c r="E708" s="19">
        <v>1154</v>
      </c>
      <c r="F708" s="19">
        <v>933000</v>
      </c>
      <c r="G708" s="5">
        <f t="shared" si="30"/>
        <v>917506.75394656439</v>
      </c>
      <c r="H708" s="6">
        <f t="shared" si="31"/>
        <v>15493.246053435607</v>
      </c>
    </row>
    <row r="709" spans="2:8" ht="18" x14ac:dyDescent="0.45">
      <c r="B709" s="3" t="s">
        <v>710</v>
      </c>
      <c r="C709" s="15" t="s">
        <v>745</v>
      </c>
      <c r="D709" s="18">
        <v>3365</v>
      </c>
      <c r="E709" s="19">
        <v>1149.2</v>
      </c>
      <c r="F709" s="19">
        <v>930000</v>
      </c>
      <c r="G709" s="5">
        <f t="shared" si="30"/>
        <v>915063.48077677388</v>
      </c>
      <c r="H709" s="6">
        <f t="shared" si="31"/>
        <v>14936.519223226118</v>
      </c>
    </row>
    <row r="710" spans="2:8" ht="18" x14ac:dyDescent="0.45">
      <c r="B710" s="3" t="s">
        <v>446</v>
      </c>
      <c r="C710" s="15" t="s">
        <v>746</v>
      </c>
      <c r="D710" s="18">
        <v>3340</v>
      </c>
      <c r="E710" s="19">
        <v>1131</v>
      </c>
      <c r="F710" s="19">
        <v>920000</v>
      </c>
      <c r="G710" s="5">
        <f t="shared" si="30"/>
        <v>893996.54496350826</v>
      </c>
      <c r="H710" s="6">
        <f t="shared" si="31"/>
        <v>26003.455036491738</v>
      </c>
    </row>
    <row r="711" spans="2:8" ht="18" x14ac:dyDescent="0.45">
      <c r="B711" s="3" t="s">
        <v>448</v>
      </c>
      <c r="C711" s="15" t="s">
        <v>747</v>
      </c>
      <c r="D711" s="18">
        <v>3395</v>
      </c>
      <c r="E711" s="19">
        <v>1126</v>
      </c>
      <c r="F711" s="19">
        <v>910000</v>
      </c>
      <c r="G711" s="5">
        <f t="shared" si="30"/>
        <v>904640.85679837945</v>
      </c>
      <c r="H711" s="6">
        <f t="shared" si="31"/>
        <v>5359.1432016205508</v>
      </c>
    </row>
    <row r="712" spans="2:8" ht="18" x14ac:dyDescent="0.45">
      <c r="B712" s="3" t="s">
        <v>438</v>
      </c>
      <c r="C712" s="15" t="s">
        <v>748</v>
      </c>
      <c r="D712" s="18">
        <v>3380</v>
      </c>
      <c r="E712" s="19">
        <v>1133.8</v>
      </c>
      <c r="F712" s="19">
        <v>910000</v>
      </c>
      <c r="G712" s="5">
        <f t="shared" si="30"/>
        <v>906870.44358422013</v>
      </c>
      <c r="H712" s="6">
        <f t="shared" si="31"/>
        <v>3129.5564157798653</v>
      </c>
    </row>
    <row r="713" spans="2:8" ht="18" x14ac:dyDescent="0.45">
      <c r="B713" s="3" t="s">
        <v>719</v>
      </c>
      <c r="C713" s="15" t="s">
        <v>749</v>
      </c>
      <c r="D713" s="18">
        <v>3395</v>
      </c>
      <c r="E713" s="19">
        <v>1133.8</v>
      </c>
      <c r="F713" s="19">
        <v>918000</v>
      </c>
      <c r="G713" s="5">
        <f t="shared" si="30"/>
        <v>910872.82720959384</v>
      </c>
      <c r="H713" s="6">
        <f t="shared" si="31"/>
        <v>7127.1727904061554</v>
      </c>
    </row>
    <row r="714" spans="2:8" ht="18" x14ac:dyDescent="0.45">
      <c r="B714" s="3" t="s">
        <v>442</v>
      </c>
      <c r="C714" s="15" t="s">
        <v>750</v>
      </c>
      <c r="D714" s="18">
        <v>3398</v>
      </c>
      <c r="E714" s="19">
        <v>1132</v>
      </c>
      <c r="F714" s="19">
        <v>920000</v>
      </c>
      <c r="G714" s="5">
        <f t="shared" si="30"/>
        <v>910233.88609458879</v>
      </c>
      <c r="H714" s="6">
        <f t="shared" si="31"/>
        <v>9766.1139054112136</v>
      </c>
    </row>
    <row r="715" spans="2:8" ht="18" x14ac:dyDescent="0.45">
      <c r="B715" s="3" t="s">
        <v>710</v>
      </c>
      <c r="C715" s="15" t="s">
        <v>751</v>
      </c>
      <c r="D715" s="18">
        <v>3399</v>
      </c>
      <c r="E715" s="19">
        <v>1142</v>
      </c>
      <c r="F715" s="19">
        <v>925000</v>
      </c>
      <c r="G715" s="5">
        <f t="shared" si="30"/>
        <v>918499.40721473808</v>
      </c>
      <c r="H715" s="6">
        <f t="shared" si="31"/>
        <v>6500.5927852619207</v>
      </c>
    </row>
    <row r="716" spans="2:8" ht="18" x14ac:dyDescent="0.45">
      <c r="B716" s="3" t="s">
        <v>446</v>
      </c>
      <c r="C716" s="15" t="s">
        <v>752</v>
      </c>
      <c r="D716" s="18">
        <v>3395</v>
      </c>
      <c r="E716" s="19">
        <v>1139</v>
      </c>
      <c r="F716" s="19">
        <v>923000</v>
      </c>
      <c r="G716" s="5">
        <f t="shared" si="30"/>
        <v>915027.47415040329</v>
      </c>
      <c r="H716" s="6">
        <f t="shared" si="31"/>
        <v>7972.5258495967137</v>
      </c>
    </row>
    <row r="717" spans="2:8" ht="18" x14ac:dyDescent="0.45">
      <c r="B717" s="3" t="s">
        <v>448</v>
      </c>
      <c r="C717" s="15" t="s">
        <v>753</v>
      </c>
      <c r="D717" s="18">
        <v>3398</v>
      </c>
      <c r="E717" s="19">
        <v>1128</v>
      </c>
      <c r="F717" s="19">
        <v>917000</v>
      </c>
      <c r="G717" s="5">
        <f t="shared" si="30"/>
        <v>907035.1797833005</v>
      </c>
      <c r="H717" s="6">
        <f t="shared" si="31"/>
        <v>9964.8202166995034</v>
      </c>
    </row>
    <row r="718" spans="2:8" ht="18" x14ac:dyDescent="0.45">
      <c r="B718" s="3" t="s">
        <v>438</v>
      </c>
      <c r="C718" s="15" t="s">
        <v>754</v>
      </c>
      <c r="D718" s="18">
        <v>3398</v>
      </c>
      <c r="E718" s="19">
        <v>1122.8</v>
      </c>
      <c r="F718" s="19">
        <v>916000</v>
      </c>
      <c r="G718" s="5">
        <f t="shared" si="30"/>
        <v>902876.86157862574</v>
      </c>
      <c r="H718" s="6">
        <f t="shared" si="31"/>
        <v>13123.138421374257</v>
      </c>
    </row>
    <row r="719" spans="2:8" ht="18" x14ac:dyDescent="0.45">
      <c r="B719" s="3" t="s">
        <v>719</v>
      </c>
      <c r="C719" s="15" t="s">
        <v>755</v>
      </c>
      <c r="D719" s="18">
        <v>3398</v>
      </c>
      <c r="E719" s="19">
        <v>1122.8</v>
      </c>
      <c r="F719" s="19">
        <v>922000</v>
      </c>
      <c r="G719" s="5">
        <f t="shared" si="30"/>
        <v>902876.86157862574</v>
      </c>
      <c r="H719" s="6">
        <f t="shared" si="31"/>
        <v>19123.138421374257</v>
      </c>
    </row>
    <row r="720" spans="2:8" ht="18" x14ac:dyDescent="0.45">
      <c r="B720" s="3" t="s">
        <v>442</v>
      </c>
      <c r="C720" s="15" t="s">
        <v>756</v>
      </c>
      <c r="D720" s="18">
        <v>3398</v>
      </c>
      <c r="E720" s="19">
        <v>1121</v>
      </c>
      <c r="F720" s="19">
        <v>917000</v>
      </c>
      <c r="G720" s="5">
        <f t="shared" si="30"/>
        <v>901437.44373854587</v>
      </c>
      <c r="H720" s="6">
        <f t="shared" si="31"/>
        <v>15562.556261454127</v>
      </c>
    </row>
    <row r="721" spans="2:8" ht="18" x14ac:dyDescent="0.45">
      <c r="B721" s="3" t="s">
        <v>710</v>
      </c>
      <c r="C721" s="15" t="s">
        <v>757</v>
      </c>
      <c r="D721" s="18">
        <v>3405</v>
      </c>
      <c r="E721" s="19">
        <v>1121</v>
      </c>
      <c r="F721" s="19">
        <v>919000</v>
      </c>
      <c r="G721" s="5">
        <f t="shared" si="30"/>
        <v>903284.13653023809</v>
      </c>
      <c r="H721" s="6">
        <f t="shared" si="31"/>
        <v>15715.863469761913</v>
      </c>
    </row>
    <row r="722" spans="2:8" ht="18" x14ac:dyDescent="0.45">
      <c r="B722" s="3" t="s">
        <v>446</v>
      </c>
      <c r="C722" s="15" t="s">
        <v>758</v>
      </c>
      <c r="D722" s="18">
        <v>3400</v>
      </c>
      <c r="E722" s="19">
        <v>1120</v>
      </c>
      <c r="F722" s="19">
        <v>916000</v>
      </c>
      <c r="G722" s="5">
        <f t="shared" si="30"/>
        <v>901164.92299778142</v>
      </c>
      <c r="H722" s="6">
        <f t="shared" si="31"/>
        <v>14835.077002218575</v>
      </c>
    </row>
    <row r="723" spans="2:8" ht="18" x14ac:dyDescent="0.45">
      <c r="B723" s="3" t="s">
        <v>448</v>
      </c>
      <c r="C723" s="15" t="s">
        <v>759</v>
      </c>
      <c r="D723" s="18">
        <v>3415</v>
      </c>
      <c r="E723" s="19">
        <v>1105</v>
      </c>
      <c r="F723" s="19">
        <v>911000</v>
      </c>
      <c r="G723" s="5">
        <f t="shared" si="30"/>
        <v>893063.4320644309</v>
      </c>
      <c r="H723" s="6">
        <f t="shared" si="31"/>
        <v>17936.567935569095</v>
      </c>
    </row>
    <row r="724" spans="2:8" ht="18" x14ac:dyDescent="0.45">
      <c r="B724" s="3" t="s">
        <v>760</v>
      </c>
      <c r="C724" s="15" t="s">
        <v>761</v>
      </c>
      <c r="D724" s="18">
        <v>3415</v>
      </c>
      <c r="E724" s="19">
        <v>1106</v>
      </c>
      <c r="G724" s="5">
        <f t="shared" si="30"/>
        <v>893867.10937851632</v>
      </c>
      <c r="H724" s="6">
        <f t="shared" si="31"/>
        <v>-893867.10937851632</v>
      </c>
    </row>
    <row r="725" spans="2:8" ht="18" x14ac:dyDescent="0.45">
      <c r="B725" s="3" t="s">
        <v>438</v>
      </c>
      <c r="C725" s="15" t="s">
        <v>762</v>
      </c>
      <c r="D725" s="18">
        <v>3435</v>
      </c>
      <c r="E725" s="19">
        <v>1108.7</v>
      </c>
      <c r="F725" s="19">
        <v>912000</v>
      </c>
      <c r="G725" s="5">
        <f t="shared" si="30"/>
        <v>901255.41023856215</v>
      </c>
      <c r="H725" s="6">
        <f t="shared" si="31"/>
        <v>10744.589761437848</v>
      </c>
    </row>
    <row r="726" spans="2:8" ht="18" x14ac:dyDescent="0.45">
      <c r="B726" s="3" t="s">
        <v>719</v>
      </c>
      <c r="C726" s="15" t="s">
        <v>763</v>
      </c>
      <c r="D726" s="18">
        <v>3455</v>
      </c>
      <c r="E726">
        <v>1108.7</v>
      </c>
      <c r="F726">
        <v>912000</v>
      </c>
      <c r="G726" s="5">
        <f t="shared" si="30"/>
        <v>906473.78235057706</v>
      </c>
      <c r="H726" s="6">
        <f t="shared" si="31"/>
        <v>5526.2176494229352</v>
      </c>
    </row>
    <row r="727" spans="2:8" ht="18" x14ac:dyDescent="0.45">
      <c r="B727" s="3" t="s">
        <v>442</v>
      </c>
      <c r="C727" s="15" t="s">
        <v>764</v>
      </c>
      <c r="D727" s="18">
        <v>3480</v>
      </c>
      <c r="E727" s="19">
        <v>1105</v>
      </c>
      <c r="F727" s="19">
        <v>910000</v>
      </c>
      <c r="G727" s="5">
        <f t="shared" si="30"/>
        <v>909966.54277722398</v>
      </c>
      <c r="H727" s="6">
        <f t="shared" si="31"/>
        <v>33.457222776021808</v>
      </c>
    </row>
    <row r="728" spans="2:8" ht="18" x14ac:dyDescent="0.45">
      <c r="B728" s="3" t="s">
        <v>710</v>
      </c>
      <c r="C728" s="15" t="s">
        <v>765</v>
      </c>
      <c r="D728">
        <v>3470</v>
      </c>
      <c r="E728" s="19">
        <v>1104</v>
      </c>
      <c r="F728" s="19">
        <v>910000</v>
      </c>
      <c r="G728" s="5">
        <f t="shared" si="30"/>
        <v>906549.44333344023</v>
      </c>
      <c r="H728" s="6">
        <f t="shared" si="31"/>
        <v>3450.5566665597726</v>
      </c>
    </row>
    <row r="729" spans="2:8" ht="18" x14ac:dyDescent="0.45">
      <c r="B729" s="3" t="s">
        <v>446</v>
      </c>
      <c r="C729" s="15" t="s">
        <v>766</v>
      </c>
      <c r="D729">
        <v>3440</v>
      </c>
      <c r="E729">
        <v>1108</v>
      </c>
      <c r="F729">
        <v>909000</v>
      </c>
      <c r="G729" s="5">
        <f t="shared" si="30"/>
        <v>901993.31074172899</v>
      </c>
      <c r="H729" s="6">
        <f t="shared" si="31"/>
        <v>7006.6892582710134</v>
      </c>
    </row>
    <row r="730" spans="2:8" ht="18" x14ac:dyDescent="0.45">
      <c r="B730" s="3" t="s">
        <v>448</v>
      </c>
      <c r="C730" s="15" t="s">
        <v>767</v>
      </c>
      <c r="D730">
        <v>3415</v>
      </c>
      <c r="E730">
        <v>1117</v>
      </c>
      <c r="F730">
        <v>909000</v>
      </c>
      <c r="G730" s="5">
        <f t="shared" si="30"/>
        <v>902707.55983345653</v>
      </c>
      <c r="H730" s="6">
        <f t="shared" si="31"/>
        <v>6292.4401665434707</v>
      </c>
    </row>
    <row r="731" spans="2:8" ht="18" x14ac:dyDescent="0.45">
      <c r="B731" s="3" t="s">
        <v>438</v>
      </c>
      <c r="C731" s="15" t="s">
        <v>768</v>
      </c>
      <c r="D731">
        <v>3415</v>
      </c>
      <c r="E731">
        <v>1139.9000000000001</v>
      </c>
      <c r="F731">
        <v>917000</v>
      </c>
      <c r="G731" s="5">
        <f t="shared" si="30"/>
        <v>921111.77032601344</v>
      </c>
      <c r="H731" s="6">
        <f t="shared" si="31"/>
        <v>-4111.770326013444</v>
      </c>
    </row>
    <row r="732" spans="2:8" ht="18" x14ac:dyDescent="0.45">
      <c r="B732" s="3" t="s">
        <v>719</v>
      </c>
      <c r="C732" s="15" t="s">
        <v>769</v>
      </c>
      <c r="D732">
        <v>3400</v>
      </c>
      <c r="E732">
        <v>1139.9000000000001</v>
      </c>
      <c r="F732">
        <v>917000</v>
      </c>
      <c r="G732" s="5">
        <f t="shared" si="30"/>
        <v>917087.85332604556</v>
      </c>
      <c r="H732" s="6">
        <f t="shared" si="31"/>
        <v>-87.853326045558788</v>
      </c>
    </row>
    <row r="733" spans="2:8" ht="18" x14ac:dyDescent="0.45">
      <c r="B733" s="3" t="s">
        <v>442</v>
      </c>
      <c r="C733" s="15" t="s">
        <v>770</v>
      </c>
      <c r="D733">
        <v>3395</v>
      </c>
      <c r="E733">
        <v>1133</v>
      </c>
      <c r="F733">
        <v>916000</v>
      </c>
      <c r="G733" s="5">
        <f t="shared" si="30"/>
        <v>910233.65075716155</v>
      </c>
      <c r="H733" s="6">
        <f t="shared" si="31"/>
        <v>5766.3492428384488</v>
      </c>
    </row>
    <row r="734" spans="2:8" ht="18" x14ac:dyDescent="0.45">
      <c r="B734" s="3" t="s">
        <v>710</v>
      </c>
      <c r="C734" s="15" t="s">
        <v>771</v>
      </c>
      <c r="D734">
        <v>3415</v>
      </c>
      <c r="E734">
        <v>1125</v>
      </c>
      <c r="F734">
        <v>913000</v>
      </c>
      <c r="G734" s="5">
        <f t="shared" si="30"/>
        <v>909136.97834614024</v>
      </c>
      <c r="H734" s="6">
        <f t="shared" si="31"/>
        <v>3863.0216538597597</v>
      </c>
    </row>
    <row r="735" spans="2:8" ht="18" x14ac:dyDescent="0.45">
      <c r="B735" s="3" t="s">
        <v>446</v>
      </c>
      <c r="C735" s="15" t="s">
        <v>772</v>
      </c>
      <c r="D735">
        <v>3400</v>
      </c>
      <c r="E735">
        <v>1130</v>
      </c>
      <c r="F735">
        <v>912000</v>
      </c>
      <c r="G735" s="5">
        <f t="shared" si="30"/>
        <v>909166.39552454755</v>
      </c>
      <c r="H735" s="6">
        <f t="shared" si="31"/>
        <v>2833.6044754524482</v>
      </c>
    </row>
    <row r="736" spans="2:8" ht="18" x14ac:dyDescent="0.45">
      <c r="B736" s="3" t="s">
        <v>448</v>
      </c>
      <c r="C736" s="15" t="s">
        <v>773</v>
      </c>
      <c r="E736">
        <v>1155</v>
      </c>
      <c r="G736" s="5">
        <f t="shared" si="30"/>
        <v>5000</v>
      </c>
      <c r="H736" s="6">
        <f t="shared" si="31"/>
        <v>-5000</v>
      </c>
    </row>
    <row r="737" spans="2:8" ht="18" x14ac:dyDescent="0.45">
      <c r="B737" s="3" t="s">
        <v>438</v>
      </c>
      <c r="C737" s="15" t="s">
        <v>774</v>
      </c>
      <c r="D737">
        <v>3405</v>
      </c>
      <c r="E737">
        <v>1146.3</v>
      </c>
      <c r="F737">
        <v>919000</v>
      </c>
      <c r="G737" s="5">
        <f t="shared" ref="G737:G748" si="32">E737/31.103*8.133*D737*0.9+5000</f>
        <v>923557.63220750412</v>
      </c>
      <c r="H737" s="6">
        <f t="shared" si="31"/>
        <v>-4557.6322075041244</v>
      </c>
    </row>
    <row r="738" spans="2:8" ht="18" x14ac:dyDescent="0.45">
      <c r="B738" s="3" t="s">
        <v>719</v>
      </c>
      <c r="C738" s="15" t="s">
        <v>775</v>
      </c>
      <c r="D738">
        <v>3425</v>
      </c>
      <c r="E738">
        <v>1146.3</v>
      </c>
      <c r="F738">
        <v>922000</v>
      </c>
      <c r="G738" s="5">
        <f t="shared" si="32"/>
        <v>928952.97806481691</v>
      </c>
      <c r="H738" s="6">
        <f t="shared" si="31"/>
        <v>-6952.9780648169108</v>
      </c>
    </row>
    <row r="739" spans="2:8" ht="18" x14ac:dyDescent="0.45">
      <c r="B739" s="3" t="s">
        <v>442</v>
      </c>
      <c r="C739" s="15" t="s">
        <v>776</v>
      </c>
      <c r="D739">
        <v>3435</v>
      </c>
      <c r="E739">
        <v>1130</v>
      </c>
      <c r="F739">
        <v>919000</v>
      </c>
      <c r="G739" s="5">
        <f t="shared" si="32"/>
        <v>918473.99077259423</v>
      </c>
      <c r="H739" s="6">
        <f t="shared" si="31"/>
        <v>526.00922740576789</v>
      </c>
    </row>
    <row r="740" spans="2:8" ht="18" x14ac:dyDescent="0.45">
      <c r="B740" s="3" t="s">
        <v>710</v>
      </c>
      <c r="C740" s="15" t="s">
        <v>777</v>
      </c>
      <c r="D740">
        <v>3455</v>
      </c>
      <c r="E740">
        <v>1131</v>
      </c>
      <c r="F740">
        <v>922000</v>
      </c>
      <c r="G740" s="5">
        <f t="shared" si="32"/>
        <v>924605.70743979677</v>
      </c>
      <c r="H740" s="6">
        <f t="shared" si="31"/>
        <v>-2605.7074397967663</v>
      </c>
    </row>
    <row r="741" spans="2:8" ht="18" x14ac:dyDescent="0.45">
      <c r="B741" s="3" t="s">
        <v>446</v>
      </c>
      <c r="C741" s="15" t="s">
        <v>778</v>
      </c>
      <c r="D741">
        <v>3460</v>
      </c>
      <c r="E741">
        <v>1119</v>
      </c>
      <c r="F741">
        <v>920000</v>
      </c>
      <c r="G741" s="5">
        <f t="shared" si="32"/>
        <v>916165.33061119472</v>
      </c>
      <c r="H741" s="6">
        <f t="shared" si="31"/>
        <v>3834.6693888052832</v>
      </c>
    </row>
    <row r="742" spans="2:8" ht="18" x14ac:dyDescent="0.45">
      <c r="B742" s="3" t="s">
        <v>448</v>
      </c>
      <c r="C742" s="15" t="s">
        <v>779</v>
      </c>
      <c r="D742">
        <v>3460</v>
      </c>
      <c r="E742">
        <v>1115</v>
      </c>
      <c r="F742">
        <v>915000</v>
      </c>
      <c r="G742" s="5">
        <f t="shared" si="32"/>
        <v>912908.26061794674</v>
      </c>
      <c r="H742" s="6">
        <f t="shared" si="31"/>
        <v>2091.7393820532598</v>
      </c>
    </row>
    <row r="743" spans="2:8" ht="18" x14ac:dyDescent="0.45">
      <c r="B743" s="3" t="s">
        <v>438</v>
      </c>
      <c r="C743" s="15" t="s">
        <v>780</v>
      </c>
      <c r="D743">
        <v>3460</v>
      </c>
      <c r="E743">
        <v>1138.4000000000001</v>
      </c>
      <c r="F743">
        <v>925000</v>
      </c>
      <c r="G743" s="5">
        <f t="shared" si="32"/>
        <v>931962.12007844902</v>
      </c>
      <c r="H743" s="6">
        <f t="shared" si="31"/>
        <v>-6962.1200784490211</v>
      </c>
    </row>
    <row r="744" spans="2:8" ht="18" x14ac:dyDescent="0.45">
      <c r="B744" s="3" t="s">
        <v>719</v>
      </c>
      <c r="C744" s="15" t="s">
        <v>781</v>
      </c>
      <c r="D744">
        <v>3456</v>
      </c>
      <c r="E744">
        <v>1138.4000000000001</v>
      </c>
      <c r="F744">
        <v>921000</v>
      </c>
      <c r="G744" s="5">
        <f t="shared" si="32"/>
        <v>930890.48756968777</v>
      </c>
      <c r="H744" s="6">
        <f t="shared" si="31"/>
        <v>-9890.4875696877716</v>
      </c>
    </row>
    <row r="745" spans="2:8" ht="18" x14ac:dyDescent="0.45">
      <c r="B745" s="3" t="s">
        <v>442</v>
      </c>
      <c r="C745" s="15" t="s">
        <v>782</v>
      </c>
      <c r="D745">
        <v>3470</v>
      </c>
      <c r="E745">
        <v>1136</v>
      </c>
      <c r="F745">
        <v>921000</v>
      </c>
      <c r="G745" s="5">
        <f t="shared" si="32"/>
        <v>932681.31125614874</v>
      </c>
      <c r="H745" s="6">
        <f t="shared" si="31"/>
        <v>-11681.311256148736</v>
      </c>
    </row>
    <row r="746" spans="2:8" ht="18" x14ac:dyDescent="0.45">
      <c r="B746" s="3" t="s">
        <v>710</v>
      </c>
      <c r="C746" s="15" t="s">
        <v>783</v>
      </c>
      <c r="D746">
        <v>3490</v>
      </c>
      <c r="E746">
        <v>1139.0999999999999</v>
      </c>
      <c r="F746">
        <v>925000</v>
      </c>
      <c r="G746" s="5">
        <f t="shared" si="32"/>
        <v>940574.29322894884</v>
      </c>
      <c r="H746" s="6">
        <f t="shared" si="31"/>
        <v>-15574.293228948838</v>
      </c>
    </row>
    <row r="747" spans="2:8" ht="18" x14ac:dyDescent="0.45">
      <c r="B747" s="3" t="s">
        <v>446</v>
      </c>
      <c r="C747" s="15" t="s">
        <v>784</v>
      </c>
      <c r="D747">
        <v>3490</v>
      </c>
      <c r="E747">
        <v>1152</v>
      </c>
      <c r="F747">
        <v>933000</v>
      </c>
      <c r="G747" s="5">
        <f t="shared" si="32"/>
        <v>951169.41954152333</v>
      </c>
      <c r="H747" s="6">
        <f t="shared" si="31"/>
        <v>-18169.419541523326</v>
      </c>
    </row>
    <row r="748" spans="2:8" ht="18" x14ac:dyDescent="0.45">
      <c r="B748" s="3" t="s">
        <v>448</v>
      </c>
      <c r="C748" s="15" t="s">
        <v>785</v>
      </c>
      <c r="D748">
        <v>3497</v>
      </c>
      <c r="E748">
        <v>1145</v>
      </c>
      <c r="F748">
        <v>935000</v>
      </c>
      <c r="G748" s="5">
        <f t="shared" si="32"/>
        <v>947306.35567308625</v>
      </c>
      <c r="H748" s="6">
        <f t="shared" si="31"/>
        <v>-12306.355673086247</v>
      </c>
    </row>
    <row r="749" spans="2:8" ht="18" x14ac:dyDescent="0.45">
      <c r="B749" s="3" t="s">
        <v>438</v>
      </c>
      <c r="C749" s="15" t="s">
        <v>786</v>
      </c>
      <c r="D749">
        <v>3485</v>
      </c>
      <c r="E749">
        <v>1156.4000000000001</v>
      </c>
      <c r="F749">
        <v>940000</v>
      </c>
      <c r="G749" s="5">
        <f>E749/31.103*8.133*D749*0.9+5000</f>
        <v>953422.54007008986</v>
      </c>
      <c r="H749" s="6">
        <f t="shared" si="31"/>
        <v>-13422.540070089861</v>
      </c>
    </row>
    <row r="750" spans="2:8" ht="18" x14ac:dyDescent="0.45">
      <c r="B750" s="3" t="s">
        <v>719</v>
      </c>
      <c r="C750" s="15" t="s">
        <v>787</v>
      </c>
      <c r="G750" s="5">
        <f t="shared" ref="G750:G813" si="33">E750/31.103*8.133*D750*0.9+5000</f>
        <v>5000</v>
      </c>
      <c r="H750" s="6">
        <f t="shared" si="31"/>
        <v>-5000</v>
      </c>
    </row>
    <row r="751" spans="2:8" ht="18" x14ac:dyDescent="0.45">
      <c r="B751" s="3" t="s">
        <v>442</v>
      </c>
      <c r="C751" s="15" t="s">
        <v>788</v>
      </c>
      <c r="D751">
        <v>3490</v>
      </c>
      <c r="E751">
        <v>1168.3</v>
      </c>
      <c r="F751">
        <v>947000</v>
      </c>
      <c r="G751" s="5">
        <f t="shared" si="33"/>
        <v>964557.05976593879</v>
      </c>
      <c r="H751" s="6">
        <f t="shared" si="31"/>
        <v>-17557.059765938786</v>
      </c>
    </row>
    <row r="752" spans="2:8" ht="18" x14ac:dyDescent="0.45">
      <c r="B752" s="3" t="s">
        <v>710</v>
      </c>
      <c r="C752" s="15" t="s">
        <v>789</v>
      </c>
      <c r="D752">
        <v>3480</v>
      </c>
      <c r="E752">
        <v>1157</v>
      </c>
      <c r="F752">
        <v>938000</v>
      </c>
      <c r="G752" s="5">
        <f t="shared" si="33"/>
        <v>952553.20361379918</v>
      </c>
      <c r="H752" s="6">
        <f t="shared" si="31"/>
        <v>-14553.203613799182</v>
      </c>
    </row>
    <row r="753" spans="2:8" ht="18" x14ac:dyDescent="0.45">
      <c r="B753" s="3" t="s">
        <v>446</v>
      </c>
      <c r="C753" s="15" t="s">
        <v>790</v>
      </c>
      <c r="D753">
        <v>3475</v>
      </c>
      <c r="E753">
        <v>1166</v>
      </c>
      <c r="F753">
        <v>946000</v>
      </c>
      <c r="G753" s="5">
        <f t="shared" si="33"/>
        <v>958551.95463460102</v>
      </c>
      <c r="H753" s="6">
        <f t="shared" si="31"/>
        <v>-12551.954634601017</v>
      </c>
    </row>
    <row r="754" spans="2:8" ht="18" x14ac:dyDescent="0.45">
      <c r="B754" s="3" t="s">
        <v>448</v>
      </c>
      <c r="C754" s="15" t="s">
        <v>791</v>
      </c>
      <c r="D754">
        <v>3475</v>
      </c>
      <c r="E754">
        <v>1185</v>
      </c>
      <c r="F754">
        <v>958000</v>
      </c>
      <c r="G754" s="5">
        <f t="shared" si="33"/>
        <v>974090.1082692988</v>
      </c>
      <c r="H754" s="6">
        <f t="shared" si="31"/>
        <v>-16090.108269298798</v>
      </c>
    </row>
    <row r="755" spans="2:8" ht="18" x14ac:dyDescent="0.45">
      <c r="B755" s="3" t="s">
        <v>438</v>
      </c>
      <c r="C755" s="15" t="s">
        <v>792</v>
      </c>
      <c r="D755">
        <v>3460</v>
      </c>
      <c r="E755">
        <v>1177.7</v>
      </c>
      <c r="F755">
        <v>950000</v>
      </c>
      <c r="G755" s="5">
        <f t="shared" si="33"/>
        <v>963962.83276211284</v>
      </c>
      <c r="H755" s="6">
        <f t="shared" si="31"/>
        <v>-13962.832762112841</v>
      </c>
    </row>
    <row r="756" spans="2:8" ht="18" x14ac:dyDescent="0.45">
      <c r="B756" s="3" t="s">
        <v>719</v>
      </c>
      <c r="C756" s="15" t="s">
        <v>793</v>
      </c>
      <c r="D756">
        <v>3458</v>
      </c>
      <c r="E756">
        <v>1177.7</v>
      </c>
      <c r="F756">
        <v>949000</v>
      </c>
      <c r="G756" s="5">
        <f t="shared" si="33"/>
        <v>963408.51898594981</v>
      </c>
      <c r="H756" s="6">
        <f t="shared" si="31"/>
        <v>-14408.518985949806</v>
      </c>
    </row>
    <row r="757" spans="2:8" ht="18" x14ac:dyDescent="0.45">
      <c r="B757" s="3" t="s">
        <v>442</v>
      </c>
      <c r="C757" s="15" t="s">
        <v>794</v>
      </c>
      <c r="D757">
        <v>3445</v>
      </c>
      <c r="E757">
        <v>1176</v>
      </c>
      <c r="F757">
        <v>942000</v>
      </c>
      <c r="G757" s="5">
        <f t="shared" si="33"/>
        <v>958427.22579815448</v>
      </c>
      <c r="H757" s="6">
        <f t="shared" si="31"/>
        <v>-16427.225798154483</v>
      </c>
    </row>
    <row r="758" spans="2:8" ht="18" x14ac:dyDescent="0.45">
      <c r="B758" s="3" t="s">
        <v>710</v>
      </c>
      <c r="C758" s="15" t="s">
        <v>795</v>
      </c>
      <c r="D758">
        <v>3450</v>
      </c>
      <c r="E758">
        <v>1173</v>
      </c>
      <c r="F758">
        <v>943000</v>
      </c>
      <c r="G758" s="5">
        <f t="shared" si="33"/>
        <v>957375.26749831194</v>
      </c>
      <c r="H758" s="6">
        <f t="shared" si="31"/>
        <v>-14375.267498311936</v>
      </c>
    </row>
    <row r="759" spans="2:8" ht="18" x14ac:dyDescent="0.45">
      <c r="B759" s="3" t="s">
        <v>446</v>
      </c>
      <c r="C759" s="15" t="s">
        <v>796</v>
      </c>
      <c r="D759">
        <v>3460</v>
      </c>
      <c r="E759">
        <v>1176</v>
      </c>
      <c r="F759">
        <v>943000</v>
      </c>
      <c r="G759" s="5">
        <f t="shared" si="33"/>
        <v>962578.5780149824</v>
      </c>
      <c r="H759" s="6">
        <f t="shared" si="31"/>
        <v>-19578.578014982399</v>
      </c>
    </row>
    <row r="760" spans="2:8" ht="18" x14ac:dyDescent="0.45">
      <c r="B760" s="3" t="s">
        <v>448</v>
      </c>
      <c r="C760" s="15" t="s">
        <v>797</v>
      </c>
      <c r="D760">
        <v>3460</v>
      </c>
      <c r="E760">
        <v>1165</v>
      </c>
      <c r="F760">
        <v>942000</v>
      </c>
      <c r="G760" s="5">
        <f t="shared" si="33"/>
        <v>953621.63553354971</v>
      </c>
      <c r="H760" s="6">
        <f t="shared" si="31"/>
        <v>-11621.635533549706</v>
      </c>
    </row>
    <row r="761" spans="2:8" ht="18" x14ac:dyDescent="0.45">
      <c r="B761" s="3" t="s">
        <v>440</v>
      </c>
      <c r="C761" s="15" t="s">
        <v>798</v>
      </c>
      <c r="D761">
        <v>3465</v>
      </c>
      <c r="E761">
        <v>1164</v>
      </c>
      <c r="F761">
        <v>941000</v>
      </c>
      <c r="G761" s="5">
        <f t="shared" si="33"/>
        <v>954177.031861878</v>
      </c>
      <c r="H761" s="6">
        <f t="shared" si="31"/>
        <v>-13177.031861878</v>
      </c>
    </row>
    <row r="762" spans="2:8" ht="18" x14ac:dyDescent="0.45">
      <c r="B762" s="3" t="s">
        <v>442</v>
      </c>
      <c r="C762" s="15" t="s">
        <v>799</v>
      </c>
      <c r="D762">
        <v>3475</v>
      </c>
      <c r="E762">
        <v>1167</v>
      </c>
      <c r="F762">
        <v>940000</v>
      </c>
      <c r="G762" s="5">
        <f t="shared" si="33"/>
        <v>959369.75219432206</v>
      </c>
      <c r="H762" s="6">
        <f t="shared" si="31"/>
        <v>-19369.752194322064</v>
      </c>
    </row>
    <row r="763" spans="2:8" ht="18" x14ac:dyDescent="0.45">
      <c r="B763" s="3" t="s">
        <v>671</v>
      </c>
      <c r="C763" s="15" t="s">
        <v>800</v>
      </c>
      <c r="D763">
        <v>3485</v>
      </c>
      <c r="E763">
        <v>1165</v>
      </c>
      <c r="F763">
        <v>945000</v>
      </c>
      <c r="G763" s="5">
        <f t="shared" si="33"/>
        <v>960475.8381024336</v>
      </c>
      <c r="H763" s="6">
        <f t="shared" si="31"/>
        <v>-15475.838102433598</v>
      </c>
    </row>
    <row r="764" spans="2:8" ht="18" x14ac:dyDescent="0.45">
      <c r="B764" s="3" t="s">
        <v>446</v>
      </c>
      <c r="C764" s="15" t="s">
        <v>801</v>
      </c>
      <c r="D764">
        <v>3495</v>
      </c>
      <c r="E764">
        <v>1170</v>
      </c>
      <c r="F764">
        <v>951000</v>
      </c>
      <c r="G764" s="5">
        <f t="shared" si="33"/>
        <v>967330.04067131784</v>
      </c>
      <c r="H764" s="6">
        <f t="shared" si="31"/>
        <v>-16330.040671317838</v>
      </c>
    </row>
    <row r="765" spans="2:8" ht="18" x14ac:dyDescent="0.45">
      <c r="B765" s="3" t="s">
        <v>448</v>
      </c>
      <c r="C765" s="15" t="s">
        <v>802</v>
      </c>
      <c r="D765">
        <v>3490</v>
      </c>
      <c r="E765">
        <v>1155</v>
      </c>
      <c r="F765">
        <v>943000</v>
      </c>
      <c r="G765" s="5">
        <f t="shared" si="33"/>
        <v>953633.40240491251</v>
      </c>
      <c r="H765" s="6">
        <f t="shared" si="31"/>
        <v>-10633.402404912515</v>
      </c>
    </row>
    <row r="766" spans="2:8" ht="18" x14ac:dyDescent="0.45">
      <c r="B766" s="3" t="s">
        <v>438</v>
      </c>
      <c r="C766" s="15" t="s">
        <v>803</v>
      </c>
      <c r="D766">
        <v>3490</v>
      </c>
      <c r="E766">
        <v>1141.7</v>
      </c>
      <c r="F766">
        <v>935000</v>
      </c>
      <c r="G766" s="5">
        <f t="shared" si="33"/>
        <v>942709.74504388636</v>
      </c>
      <c r="H766" s="6">
        <f t="shared" si="31"/>
        <v>-7709.7450438863598</v>
      </c>
    </row>
    <row r="767" spans="2:8" ht="18" x14ac:dyDescent="0.45">
      <c r="B767" s="3" t="s">
        <v>719</v>
      </c>
      <c r="C767" s="15" t="s">
        <v>804</v>
      </c>
      <c r="D767">
        <v>3510</v>
      </c>
      <c r="E767">
        <v>1141.7</v>
      </c>
      <c r="F767">
        <v>938000</v>
      </c>
      <c r="G767" s="5">
        <f t="shared" si="33"/>
        <v>948083.43985789141</v>
      </c>
      <c r="H767" s="6">
        <f t="shared" si="31"/>
        <v>-10083.439857891412</v>
      </c>
    </row>
    <row r="768" spans="2:8" ht="18" x14ac:dyDescent="0.45">
      <c r="B768" s="3" t="s">
        <v>442</v>
      </c>
      <c r="C768" s="15" t="s">
        <v>805</v>
      </c>
      <c r="D768">
        <v>3505</v>
      </c>
      <c r="E768">
        <v>1137.8</v>
      </c>
      <c r="F768">
        <v>935000</v>
      </c>
      <c r="G768" s="5">
        <f t="shared" si="33"/>
        <v>943523.07119248935</v>
      </c>
      <c r="H768" s="6">
        <f t="shared" si="31"/>
        <v>-8523.0711924893549</v>
      </c>
    </row>
    <row r="769" spans="2:8" ht="18" x14ac:dyDescent="0.45">
      <c r="B769" s="3" t="s">
        <v>710</v>
      </c>
      <c r="C769" s="15" t="s">
        <v>806</v>
      </c>
      <c r="D769">
        <v>3505</v>
      </c>
      <c r="E769">
        <v>1132</v>
      </c>
      <c r="F769">
        <v>933000</v>
      </c>
      <c r="G769" s="5">
        <f t="shared" si="33"/>
        <v>938738.89663376508</v>
      </c>
      <c r="H769" s="6">
        <f t="shared" si="31"/>
        <v>-5738.8966337650781</v>
      </c>
    </row>
    <row r="770" spans="2:8" ht="18" x14ac:dyDescent="0.45">
      <c r="B770" s="3" t="s">
        <v>446</v>
      </c>
      <c r="C770" s="15" t="s">
        <v>807</v>
      </c>
      <c r="D770">
        <v>3505</v>
      </c>
      <c r="E770">
        <v>1116</v>
      </c>
      <c r="F770">
        <v>925000</v>
      </c>
      <c r="G770" s="5">
        <f t="shared" si="33"/>
        <v>925541.17371314636</v>
      </c>
      <c r="H770" s="6">
        <f t="shared" ref="H770:H833" si="34">F:F-G:G</f>
        <v>-541.17371314635966</v>
      </c>
    </row>
    <row r="771" spans="2:8" ht="18" x14ac:dyDescent="0.45">
      <c r="B771" s="3" t="s">
        <v>448</v>
      </c>
      <c r="C771" s="15" t="s">
        <v>808</v>
      </c>
      <c r="D771">
        <v>3505</v>
      </c>
      <c r="E771">
        <v>1108</v>
      </c>
      <c r="F771">
        <v>921000</v>
      </c>
      <c r="G771" s="5">
        <f t="shared" si="33"/>
        <v>918942.31225283723</v>
      </c>
      <c r="H771" s="6">
        <f t="shared" si="34"/>
        <v>2057.6877471627668</v>
      </c>
    </row>
    <row r="772" spans="2:8" ht="18" x14ac:dyDescent="0.45">
      <c r="B772" s="3" t="s">
        <v>438</v>
      </c>
      <c r="C772" s="15" t="s">
        <v>809</v>
      </c>
      <c r="D772">
        <v>3507</v>
      </c>
      <c r="E772">
        <v>1089.4000000000001</v>
      </c>
      <c r="F772">
        <v>909000</v>
      </c>
      <c r="G772" s="5">
        <f t="shared" si="33"/>
        <v>904112.71254412748</v>
      </c>
      <c r="H772" s="6">
        <f t="shared" si="34"/>
        <v>4887.2874558725161</v>
      </c>
    </row>
    <row r="773" spans="2:8" ht="18" x14ac:dyDescent="0.45">
      <c r="B773" s="3" t="s">
        <v>719</v>
      </c>
      <c r="C773" s="15" t="s">
        <v>810</v>
      </c>
      <c r="D773">
        <v>3525</v>
      </c>
      <c r="E773">
        <v>1089.4000000000001</v>
      </c>
      <c r="F773">
        <v>911000</v>
      </c>
      <c r="G773" s="5">
        <f t="shared" si="33"/>
        <v>908727.49122271151</v>
      </c>
      <c r="H773" s="6">
        <f t="shared" si="34"/>
        <v>2272.5087772884872</v>
      </c>
    </row>
    <row r="774" spans="2:8" ht="18" x14ac:dyDescent="0.45">
      <c r="B774" s="3" t="s">
        <v>442</v>
      </c>
      <c r="C774" s="15" t="s">
        <v>811</v>
      </c>
      <c r="D774">
        <v>3555</v>
      </c>
      <c r="E774">
        <v>1093.8</v>
      </c>
      <c r="F774">
        <v>915000</v>
      </c>
      <c r="G774" s="5">
        <f t="shared" si="33"/>
        <v>920099.93705751852</v>
      </c>
      <c r="H774" s="6">
        <f t="shared" si="34"/>
        <v>-5099.9370575185167</v>
      </c>
    </row>
    <row r="775" spans="2:8" ht="18" x14ac:dyDescent="0.45">
      <c r="B775" s="3" t="s">
        <v>710</v>
      </c>
      <c r="C775" s="15" t="s">
        <v>812</v>
      </c>
      <c r="D775">
        <v>3550</v>
      </c>
      <c r="E775">
        <v>1093</v>
      </c>
      <c r="F775">
        <v>916000</v>
      </c>
      <c r="G775" s="5">
        <f t="shared" si="33"/>
        <v>918144.51837443316</v>
      </c>
      <c r="H775" s="6">
        <f t="shared" si="34"/>
        <v>-2144.5183744331589</v>
      </c>
    </row>
    <row r="776" spans="2:8" ht="18" x14ac:dyDescent="0.45">
      <c r="B776" s="3" t="s">
        <v>446</v>
      </c>
      <c r="C776" s="15" t="s">
        <v>813</v>
      </c>
      <c r="D776">
        <v>3547</v>
      </c>
      <c r="E776">
        <v>1088</v>
      </c>
      <c r="F776">
        <v>914000</v>
      </c>
      <c r="G776" s="5">
        <f t="shared" si="33"/>
        <v>913199.13767803728</v>
      </c>
      <c r="H776" s="6">
        <f t="shared" si="34"/>
        <v>800.86232196271885</v>
      </c>
    </row>
    <row r="777" spans="2:8" ht="18" x14ac:dyDescent="0.45">
      <c r="B777" s="3" t="s">
        <v>448</v>
      </c>
      <c r="C777" s="15" t="s">
        <v>814</v>
      </c>
      <c r="D777">
        <v>3565</v>
      </c>
      <c r="E777">
        <v>1085</v>
      </c>
      <c r="F777">
        <v>913000</v>
      </c>
      <c r="G777" s="5">
        <f t="shared" si="33"/>
        <v>915291.05206893221</v>
      </c>
      <c r="H777" s="6">
        <f t="shared" si="34"/>
        <v>-2291.0520689322148</v>
      </c>
    </row>
    <row r="778" spans="2:8" ht="18" x14ac:dyDescent="0.45">
      <c r="B778" s="3" t="s">
        <v>438</v>
      </c>
      <c r="C778" s="15" t="s">
        <v>815</v>
      </c>
      <c r="D778">
        <v>3580</v>
      </c>
      <c r="E778">
        <v>1083.9000000000001</v>
      </c>
      <c r="F778">
        <v>918000</v>
      </c>
      <c r="G778" s="5">
        <f t="shared" si="33"/>
        <v>918194.40990901191</v>
      </c>
      <c r="H778" s="6">
        <f t="shared" si="34"/>
        <v>-194.40990901191253</v>
      </c>
    </row>
    <row r="779" spans="2:8" ht="18" x14ac:dyDescent="0.45">
      <c r="B779" s="3" t="s">
        <v>719</v>
      </c>
      <c r="C779" s="15" t="s">
        <v>816</v>
      </c>
      <c r="D779">
        <v>3590</v>
      </c>
      <c r="E779">
        <v>1083.9000000000001</v>
      </c>
      <c r="F779">
        <v>918000</v>
      </c>
      <c r="G779" s="5">
        <f t="shared" si="33"/>
        <v>920745.23228305951</v>
      </c>
      <c r="H779" s="6">
        <f t="shared" si="34"/>
        <v>-2745.2322830595076</v>
      </c>
    </row>
    <row r="780" spans="2:8" ht="18" x14ac:dyDescent="0.45">
      <c r="B780" s="3" t="s">
        <v>442</v>
      </c>
      <c r="C780" s="15" t="s">
        <v>817</v>
      </c>
      <c r="D780">
        <v>3560</v>
      </c>
      <c r="E780">
        <v>1091</v>
      </c>
      <c r="F780">
        <v>918000</v>
      </c>
      <c r="G780" s="5">
        <f t="shared" si="33"/>
        <v>919041.15397228545</v>
      </c>
      <c r="H780" s="6">
        <f t="shared" si="34"/>
        <v>-1041.1539722854504</v>
      </c>
    </row>
    <row r="781" spans="2:8" ht="18" x14ac:dyDescent="0.45">
      <c r="B781" s="3" t="s">
        <v>710</v>
      </c>
      <c r="C781" s="15" t="s">
        <v>818</v>
      </c>
      <c r="D781">
        <v>3570</v>
      </c>
      <c r="E781">
        <v>1078</v>
      </c>
      <c r="F781">
        <v>910000</v>
      </c>
      <c r="G781" s="5">
        <f t="shared" si="33"/>
        <v>910686.67530463287</v>
      </c>
      <c r="H781" s="6">
        <f t="shared" si="34"/>
        <v>-686.67530463286676</v>
      </c>
    </row>
    <row r="782" spans="2:8" ht="18" x14ac:dyDescent="0.45">
      <c r="B782" s="3" t="s">
        <v>446</v>
      </c>
      <c r="C782" s="15" t="s">
        <v>819</v>
      </c>
      <c r="D782">
        <v>3570</v>
      </c>
      <c r="E782">
        <v>1069.4000000000001</v>
      </c>
      <c r="F782">
        <v>907000</v>
      </c>
      <c r="G782" s="5">
        <f t="shared" si="33"/>
        <v>903461.3456129632</v>
      </c>
      <c r="H782" s="6">
        <f t="shared" si="34"/>
        <v>3538.6543870368041</v>
      </c>
    </row>
    <row r="783" spans="2:8" ht="18" x14ac:dyDescent="0.45">
      <c r="B783" s="3" t="s">
        <v>448</v>
      </c>
      <c r="C783" s="15" t="s">
        <v>820</v>
      </c>
      <c r="D783">
        <v>3580</v>
      </c>
      <c r="E783">
        <v>1072</v>
      </c>
      <c r="F783">
        <v>909000</v>
      </c>
      <c r="G783" s="5">
        <f t="shared" si="33"/>
        <v>908168.56483297423</v>
      </c>
      <c r="H783" s="6">
        <f t="shared" si="34"/>
        <v>831.43516702577472</v>
      </c>
    </row>
    <row r="784" spans="2:8" ht="18" x14ac:dyDescent="0.45">
      <c r="B784" s="3" t="s">
        <v>438</v>
      </c>
      <c r="C784" s="15" t="s">
        <v>821</v>
      </c>
      <c r="D784">
        <v>3570</v>
      </c>
      <c r="E784">
        <v>1077.2</v>
      </c>
      <c r="F784">
        <v>906000</v>
      </c>
      <c r="G784" s="5">
        <f t="shared" si="33"/>
        <v>910014.5516123845</v>
      </c>
      <c r="H784" s="6">
        <f t="shared" si="34"/>
        <v>-4014.5516123845009</v>
      </c>
    </row>
    <row r="785" spans="2:8" ht="18" x14ac:dyDescent="0.45">
      <c r="B785" s="3" t="s">
        <v>719</v>
      </c>
      <c r="C785" s="15" t="s">
        <v>822</v>
      </c>
      <c r="D785">
        <v>3590</v>
      </c>
      <c r="E785">
        <v>1077.2</v>
      </c>
      <c r="F785">
        <v>908000</v>
      </c>
      <c r="G785" s="5">
        <f t="shared" si="33"/>
        <v>915084.66114522715</v>
      </c>
      <c r="H785" s="6">
        <f t="shared" si="34"/>
        <v>-7084.6611452271463</v>
      </c>
    </row>
    <row r="786" spans="2:8" ht="18" x14ac:dyDescent="0.45">
      <c r="B786" s="3" t="s">
        <v>442</v>
      </c>
      <c r="C786" s="15" t="s">
        <v>823</v>
      </c>
      <c r="D786">
        <v>3590</v>
      </c>
      <c r="E786">
        <v>1071</v>
      </c>
      <c r="F786">
        <v>904000</v>
      </c>
      <c r="G786" s="5">
        <f t="shared" si="33"/>
        <v>909846.52068932238</v>
      </c>
      <c r="H786" s="6">
        <f t="shared" si="34"/>
        <v>-5846.5206893223803</v>
      </c>
    </row>
    <row r="787" spans="2:8" ht="18" x14ac:dyDescent="0.45">
      <c r="B787" s="3" t="s">
        <v>710</v>
      </c>
      <c r="C787" s="15" t="s">
        <v>824</v>
      </c>
      <c r="D787">
        <v>3598</v>
      </c>
      <c r="E787">
        <v>1074</v>
      </c>
      <c r="F787">
        <v>908000</v>
      </c>
      <c r="G787" s="5">
        <f t="shared" si="33"/>
        <v>914403.12395588821</v>
      </c>
      <c r="H787" s="6">
        <f t="shared" si="34"/>
        <v>-6403.123955888208</v>
      </c>
    </row>
    <row r="788" spans="2:8" ht="18" x14ac:dyDescent="0.45">
      <c r="B788" s="3" t="s">
        <v>446</v>
      </c>
      <c r="C788" s="15" t="s">
        <v>825</v>
      </c>
      <c r="D788">
        <v>3615</v>
      </c>
      <c r="E788">
        <v>1073</v>
      </c>
      <c r="F788">
        <v>910000</v>
      </c>
      <c r="G788" s="5">
        <f t="shared" si="33"/>
        <v>917849.16990322457</v>
      </c>
      <c r="H788" s="6">
        <f t="shared" si="34"/>
        <v>-7849.169903224567</v>
      </c>
    </row>
    <row r="789" spans="2:8" ht="18" x14ac:dyDescent="0.45">
      <c r="B789" s="3" t="s">
        <v>448</v>
      </c>
      <c r="C789" s="15" t="s">
        <v>826</v>
      </c>
      <c r="D789">
        <v>3630</v>
      </c>
      <c r="E789">
        <v>1071</v>
      </c>
      <c r="F789">
        <v>912000</v>
      </c>
      <c r="G789" s="5">
        <f t="shared" si="33"/>
        <v>919928.37607304729</v>
      </c>
      <c r="H789" s="6">
        <f t="shared" si="34"/>
        <v>-7928.3760730472859</v>
      </c>
    </row>
    <row r="790" spans="2:8" ht="18" x14ac:dyDescent="0.45">
      <c r="B790" s="3" t="s">
        <v>438</v>
      </c>
      <c r="C790" s="15" t="s">
        <v>827</v>
      </c>
      <c r="D790">
        <v>3655</v>
      </c>
      <c r="E790">
        <v>1056.5999999999999</v>
      </c>
      <c r="F790">
        <v>907000</v>
      </c>
      <c r="G790" s="5">
        <f t="shared" si="33"/>
        <v>913843.25621644198</v>
      </c>
      <c r="H790" s="6">
        <f t="shared" si="34"/>
        <v>-6843.2562164419796</v>
      </c>
    </row>
    <row r="791" spans="2:8" ht="18" x14ac:dyDescent="0.45">
      <c r="B791" s="3" t="s">
        <v>440</v>
      </c>
      <c r="C791" s="15" t="s">
        <v>828</v>
      </c>
      <c r="D791">
        <v>3660</v>
      </c>
      <c r="E791">
        <v>1056.5999999999999</v>
      </c>
      <c r="F791">
        <v>907000</v>
      </c>
      <c r="G791" s="5">
        <f t="shared" si="33"/>
        <v>915086.54384464503</v>
      </c>
      <c r="H791" s="6">
        <f t="shared" si="34"/>
        <v>-8086.543844645028</v>
      </c>
    </row>
    <row r="792" spans="2:8" ht="18" x14ac:dyDescent="0.45">
      <c r="B792" s="3" t="s">
        <v>442</v>
      </c>
      <c r="C792" s="15" t="s">
        <v>829</v>
      </c>
      <c r="D792">
        <v>3645</v>
      </c>
      <c r="E792">
        <v>1057</v>
      </c>
      <c r="F792">
        <v>909000</v>
      </c>
      <c r="G792" s="5">
        <f t="shared" si="33"/>
        <v>911699.80292897776</v>
      </c>
      <c r="H792" s="6">
        <f t="shared" si="34"/>
        <v>-2699.8029289777623</v>
      </c>
    </row>
    <row r="793" spans="2:8" ht="18" x14ac:dyDescent="0.45">
      <c r="B793" s="3" t="s">
        <v>710</v>
      </c>
      <c r="C793" s="15" t="s">
        <v>830</v>
      </c>
      <c r="D793">
        <v>3650</v>
      </c>
      <c r="E793">
        <v>1068</v>
      </c>
      <c r="F793">
        <v>916000</v>
      </c>
      <c r="G793" s="5">
        <f t="shared" si="33"/>
        <v>922392.35893643694</v>
      </c>
      <c r="H793" s="6">
        <f t="shared" si="34"/>
        <v>-6392.35893643694</v>
      </c>
    </row>
    <row r="794" spans="2:8" ht="18" x14ac:dyDescent="0.45">
      <c r="B794" s="3" t="s">
        <v>448</v>
      </c>
      <c r="C794" s="15" t="s">
        <v>831</v>
      </c>
      <c r="D794">
        <v>3640</v>
      </c>
      <c r="E794">
        <v>1064</v>
      </c>
      <c r="F794">
        <v>911000</v>
      </c>
      <c r="G794" s="5">
        <f t="shared" si="33"/>
        <v>916452.44227244949</v>
      </c>
      <c r="H794" s="6">
        <f t="shared" si="34"/>
        <v>-5452.4422724494943</v>
      </c>
    </row>
    <row r="795" spans="2:8" ht="18" x14ac:dyDescent="0.45">
      <c r="B795" s="3" t="s">
        <v>438</v>
      </c>
      <c r="C795" s="15" t="s">
        <v>832</v>
      </c>
      <c r="D795">
        <v>3630</v>
      </c>
      <c r="E795">
        <v>1086.3</v>
      </c>
      <c r="F795">
        <v>922000</v>
      </c>
      <c r="G795" s="5">
        <f t="shared" si="33"/>
        <v>932998.78144551965</v>
      </c>
      <c r="H795" s="6">
        <f t="shared" si="34"/>
        <v>-10998.781445519649</v>
      </c>
    </row>
    <row r="796" spans="2:8" ht="18" x14ac:dyDescent="0.45">
      <c r="B796" s="3" t="s">
        <v>440</v>
      </c>
      <c r="C796" s="15" t="s">
        <v>833</v>
      </c>
      <c r="D796">
        <v>3620</v>
      </c>
      <c r="E796">
        <v>1086.3</v>
      </c>
      <c r="F796">
        <v>921000</v>
      </c>
      <c r="G796" s="5">
        <f t="shared" si="33"/>
        <v>930442.31097321806</v>
      </c>
      <c r="H796" s="6">
        <f t="shared" si="34"/>
        <v>-9442.3109732180601</v>
      </c>
    </row>
    <row r="797" spans="2:8" ht="18" x14ac:dyDescent="0.45">
      <c r="B797" s="3" t="s">
        <v>442</v>
      </c>
      <c r="C797" s="15" t="s">
        <v>834</v>
      </c>
      <c r="D797">
        <v>3645</v>
      </c>
      <c r="E797">
        <v>1082.4000000000001</v>
      </c>
      <c r="F797">
        <v>924000</v>
      </c>
      <c r="G797" s="5">
        <f t="shared" si="33"/>
        <v>933488.04795678868</v>
      </c>
      <c r="H797" s="6">
        <f t="shared" si="34"/>
        <v>-9488.0479567886796</v>
      </c>
    </row>
    <row r="798" spans="2:8" ht="18" x14ac:dyDescent="0.45">
      <c r="B798" s="3" t="s">
        <v>710</v>
      </c>
      <c r="C798" s="15" t="s">
        <v>835</v>
      </c>
      <c r="D798">
        <v>3640</v>
      </c>
      <c r="E798">
        <v>1072</v>
      </c>
      <c r="F798">
        <v>919000</v>
      </c>
      <c r="G798" s="5">
        <f t="shared" si="33"/>
        <v>923305.46815419721</v>
      </c>
      <c r="H798" s="6">
        <f t="shared" si="34"/>
        <v>-4305.4681541972095</v>
      </c>
    </row>
    <row r="799" spans="2:8" ht="18" x14ac:dyDescent="0.45">
      <c r="B799" s="3" t="s">
        <v>446</v>
      </c>
      <c r="C799" s="15" t="s">
        <v>836</v>
      </c>
      <c r="D799">
        <v>3640</v>
      </c>
      <c r="E799">
        <v>1078</v>
      </c>
      <c r="F799">
        <v>921000</v>
      </c>
      <c r="G799" s="5">
        <f t="shared" si="33"/>
        <v>928445.237565508</v>
      </c>
      <c r="H799" s="6">
        <f t="shared" si="34"/>
        <v>-7445.2375655079959</v>
      </c>
    </row>
    <row r="800" spans="2:8" ht="18" x14ac:dyDescent="0.45">
      <c r="B800" s="3" t="s">
        <v>440</v>
      </c>
      <c r="C800" s="15" t="s">
        <v>837</v>
      </c>
      <c r="D800">
        <v>3640</v>
      </c>
      <c r="E800">
        <v>1074.2</v>
      </c>
      <c r="F800">
        <v>922000</v>
      </c>
      <c r="G800" s="5">
        <f t="shared" si="33"/>
        <v>925190.0502716779</v>
      </c>
      <c r="H800" s="6">
        <f t="shared" si="34"/>
        <v>-3190.050271677901</v>
      </c>
    </row>
    <row r="801" spans="2:8" ht="18" x14ac:dyDescent="0.45">
      <c r="B801" s="3" t="s">
        <v>442</v>
      </c>
      <c r="C801" s="15" t="s">
        <v>838</v>
      </c>
      <c r="D801">
        <v>3635</v>
      </c>
      <c r="E801">
        <v>1069</v>
      </c>
      <c r="F801">
        <v>918000</v>
      </c>
      <c r="G801" s="5">
        <f t="shared" si="33"/>
        <v>919477.70489984879</v>
      </c>
      <c r="H801" s="6">
        <f t="shared" si="34"/>
        <v>-1477.704899848788</v>
      </c>
    </row>
    <row r="802" spans="2:8" ht="18" x14ac:dyDescent="0.45">
      <c r="B802" s="3" t="s">
        <v>671</v>
      </c>
      <c r="C802" s="15" t="s">
        <v>839</v>
      </c>
      <c r="D802">
        <v>3625</v>
      </c>
      <c r="E802">
        <v>1068</v>
      </c>
      <c r="F802">
        <v>910000</v>
      </c>
      <c r="G802" s="5">
        <f t="shared" si="33"/>
        <v>916108.84962865303</v>
      </c>
      <c r="H802" s="6">
        <f t="shared" si="34"/>
        <v>-6108.849628653028</v>
      </c>
    </row>
    <row r="803" spans="2:8" ht="18" x14ac:dyDescent="0.45">
      <c r="B803" s="3" t="s">
        <v>446</v>
      </c>
      <c r="C803" s="15" t="s">
        <v>840</v>
      </c>
      <c r="D803">
        <v>3645</v>
      </c>
      <c r="E803">
        <v>1065</v>
      </c>
      <c r="F803">
        <v>912000</v>
      </c>
      <c r="G803" s="5">
        <f t="shared" si="33"/>
        <v>918562.24230781582</v>
      </c>
      <c r="H803" s="6">
        <f t="shared" si="34"/>
        <v>-6562.2423078158172</v>
      </c>
    </row>
    <row r="804" spans="2:8" ht="18" x14ac:dyDescent="0.45">
      <c r="B804" s="3" t="s">
        <v>448</v>
      </c>
      <c r="C804" s="15" t="s">
        <v>841</v>
      </c>
      <c r="D804">
        <v>3650</v>
      </c>
      <c r="E804">
        <v>1065</v>
      </c>
      <c r="F804">
        <v>913000</v>
      </c>
      <c r="G804" s="5">
        <f t="shared" si="33"/>
        <v>919815.41410796379</v>
      </c>
      <c r="H804" s="6">
        <f t="shared" si="34"/>
        <v>-6815.414107963792</v>
      </c>
    </row>
    <row r="805" spans="2:8" ht="18" x14ac:dyDescent="0.45">
      <c r="B805" s="3" t="s">
        <v>438</v>
      </c>
      <c r="C805" s="15" t="s">
        <v>842</v>
      </c>
      <c r="D805">
        <v>3640</v>
      </c>
      <c r="E805">
        <v>1066.0999999999999</v>
      </c>
      <c r="F805">
        <v>916000</v>
      </c>
      <c r="G805" s="5">
        <f t="shared" si="33"/>
        <v>918251.36156640819</v>
      </c>
      <c r="H805" s="6">
        <f t="shared" si="34"/>
        <v>-2251.3615664081881</v>
      </c>
    </row>
    <row r="806" spans="2:8" ht="18" x14ac:dyDescent="0.45">
      <c r="B806" s="3" t="s">
        <v>719</v>
      </c>
      <c r="C806" s="15" t="s">
        <v>843</v>
      </c>
      <c r="D806">
        <v>3635</v>
      </c>
      <c r="E806">
        <v>1066.0999999999999</v>
      </c>
      <c r="F806">
        <v>917000</v>
      </c>
      <c r="G806" s="5">
        <f t="shared" si="33"/>
        <v>916996.89541041036</v>
      </c>
      <c r="H806" s="6">
        <f t="shared" si="34"/>
        <v>3.1045895896386355</v>
      </c>
    </row>
    <row r="807" spans="2:8" ht="18" x14ac:dyDescent="0.45">
      <c r="B807" s="3" t="s">
        <v>442</v>
      </c>
      <c r="C807" s="15" t="s">
        <v>844</v>
      </c>
      <c r="D807">
        <v>3645</v>
      </c>
      <c r="E807">
        <v>1071</v>
      </c>
      <c r="F807">
        <v>920000</v>
      </c>
      <c r="G807" s="5">
        <f t="shared" si="33"/>
        <v>923709.07184194424</v>
      </c>
      <c r="H807" s="6">
        <f t="shared" si="34"/>
        <v>-3709.0718419442419</v>
      </c>
    </row>
    <row r="808" spans="2:8" ht="18" x14ac:dyDescent="0.45">
      <c r="B808" s="3" t="s">
        <v>710</v>
      </c>
      <c r="C808" s="15" t="s">
        <v>845</v>
      </c>
      <c r="D808">
        <v>3650</v>
      </c>
      <c r="E808">
        <v>1080</v>
      </c>
      <c r="F808">
        <v>924000</v>
      </c>
      <c r="G808" s="5">
        <f t="shared" si="33"/>
        <v>932700.13825032953</v>
      </c>
      <c r="H808" s="6">
        <f t="shared" si="34"/>
        <v>-8700.1382503295317</v>
      </c>
    </row>
    <row r="809" spans="2:8" ht="18" x14ac:dyDescent="0.45">
      <c r="B809" s="3" t="s">
        <v>446</v>
      </c>
      <c r="C809" s="15" t="s">
        <v>846</v>
      </c>
      <c r="D809">
        <v>3660</v>
      </c>
      <c r="E809">
        <v>1073</v>
      </c>
      <c r="F809">
        <v>928000</v>
      </c>
      <c r="G809" s="5">
        <f t="shared" si="33"/>
        <v>929212.43757836847</v>
      </c>
      <c r="H809" s="6">
        <f t="shared" si="34"/>
        <v>-1212.4375783684663</v>
      </c>
    </row>
    <row r="810" spans="2:8" ht="18" x14ac:dyDescent="0.45">
      <c r="B810" s="3" t="s">
        <v>448</v>
      </c>
      <c r="C810" s="15" t="s">
        <v>847</v>
      </c>
      <c r="D810">
        <v>3668</v>
      </c>
      <c r="E810">
        <v>1076</v>
      </c>
      <c r="F810">
        <v>931000</v>
      </c>
      <c r="G810" s="5">
        <f t="shared" si="33"/>
        <v>933822.22710349457</v>
      </c>
      <c r="H810" s="6">
        <f t="shared" si="34"/>
        <v>-2822.2271034945734</v>
      </c>
    </row>
    <row r="811" spans="2:8" ht="18" x14ac:dyDescent="0.45">
      <c r="B811" s="3" t="s">
        <v>438</v>
      </c>
      <c r="C811" s="15" t="s">
        <v>848</v>
      </c>
      <c r="D811">
        <v>3675</v>
      </c>
      <c r="E811">
        <v>1076.0999999999999</v>
      </c>
      <c r="F811">
        <v>938000</v>
      </c>
      <c r="G811" s="5">
        <f t="shared" si="33"/>
        <v>935681.27511011786</v>
      </c>
      <c r="H811" s="6">
        <f t="shared" si="34"/>
        <v>2318.7248898821417</v>
      </c>
    </row>
    <row r="812" spans="2:8" ht="18" x14ac:dyDescent="0.45">
      <c r="B812" s="3" t="s">
        <v>719</v>
      </c>
      <c r="C812" s="15" t="s">
        <v>849</v>
      </c>
      <c r="D812">
        <v>3670</v>
      </c>
      <c r="E812">
        <v>1076.0999999999999</v>
      </c>
      <c r="F812">
        <v>941000</v>
      </c>
      <c r="G812" s="5">
        <f t="shared" si="33"/>
        <v>934415.04208275722</v>
      </c>
      <c r="H812" s="6">
        <f t="shared" si="34"/>
        <v>6584.9579172427766</v>
      </c>
    </row>
    <row r="813" spans="2:8" ht="18" x14ac:dyDescent="0.45">
      <c r="B813" s="3" t="s">
        <v>442</v>
      </c>
      <c r="C813" s="15" t="s">
        <v>850</v>
      </c>
      <c r="D813">
        <v>3665</v>
      </c>
      <c r="E813">
        <v>1068</v>
      </c>
      <c r="F813">
        <v>936000</v>
      </c>
      <c r="G813" s="5">
        <f t="shared" si="33"/>
        <v>926162.46452110715</v>
      </c>
      <c r="H813" s="6">
        <f t="shared" si="34"/>
        <v>9837.5354788928526</v>
      </c>
    </row>
    <row r="814" spans="2:8" ht="18" x14ac:dyDescent="0.45">
      <c r="B814" s="3" t="s">
        <v>446</v>
      </c>
      <c r="C814" s="15" t="s">
        <v>851</v>
      </c>
      <c r="D814">
        <v>3670</v>
      </c>
      <c r="E814">
        <v>1067</v>
      </c>
      <c r="F814">
        <v>933000</v>
      </c>
      <c r="G814" s="5">
        <f t="shared" ref="G814:G877" si="35">E814/31.103*8.133*D814*0.9+5000</f>
        <v>926555.4780246279</v>
      </c>
      <c r="H814" s="6">
        <f t="shared" si="34"/>
        <v>6444.521975372103</v>
      </c>
    </row>
    <row r="815" spans="2:8" ht="18" x14ac:dyDescent="0.45">
      <c r="B815" s="3" t="s">
        <v>448</v>
      </c>
      <c r="C815" s="15" t="s">
        <v>852</v>
      </c>
      <c r="D815">
        <v>3675</v>
      </c>
      <c r="E815">
        <v>1061</v>
      </c>
      <c r="F815">
        <v>934000</v>
      </c>
      <c r="G815" s="5">
        <f t="shared" si="35"/>
        <v>922621.81292801315</v>
      </c>
      <c r="H815" s="6">
        <f t="shared" si="34"/>
        <v>11378.187071986846</v>
      </c>
    </row>
    <row r="816" spans="2:8" ht="18" x14ac:dyDescent="0.45">
      <c r="B816" s="3" t="s">
        <v>438</v>
      </c>
      <c r="C816" s="15" t="s">
        <v>853</v>
      </c>
      <c r="D816">
        <v>3675</v>
      </c>
      <c r="E816">
        <v>1061</v>
      </c>
      <c r="F816">
        <v>933000</v>
      </c>
      <c r="G816" s="5">
        <f t="shared" si="35"/>
        <v>922621.81292801315</v>
      </c>
      <c r="H816" s="6">
        <f t="shared" si="34"/>
        <v>10378.187071986846</v>
      </c>
    </row>
    <row r="817" spans="1:8" ht="18" x14ac:dyDescent="0.45">
      <c r="B817" s="3" t="s">
        <v>719</v>
      </c>
      <c r="C817" s="15" t="s">
        <v>854</v>
      </c>
      <c r="D817">
        <v>3670</v>
      </c>
      <c r="E817">
        <v>1061</v>
      </c>
      <c r="F817">
        <v>933000</v>
      </c>
      <c r="G817" s="5">
        <f t="shared" si="35"/>
        <v>921373.34787641035</v>
      </c>
      <c r="H817" s="6">
        <f t="shared" si="34"/>
        <v>11626.652123589651</v>
      </c>
    </row>
    <row r="818" spans="1:8" ht="18" x14ac:dyDescent="0.45">
      <c r="B818" s="3" t="s">
        <v>442</v>
      </c>
      <c r="C818" s="15" t="s">
        <v>855</v>
      </c>
      <c r="D818">
        <v>3680</v>
      </c>
      <c r="E818">
        <v>1072</v>
      </c>
      <c r="F818">
        <v>937000</v>
      </c>
      <c r="G818" s="5">
        <f t="shared" si="35"/>
        <v>933396.73703501257</v>
      </c>
      <c r="H818" s="6">
        <f t="shared" si="34"/>
        <v>3603.2629649874289</v>
      </c>
    </row>
    <row r="819" spans="1:8" ht="18" x14ac:dyDescent="0.45">
      <c r="B819" s="3" t="s">
        <v>710</v>
      </c>
      <c r="C819" s="15" t="s">
        <v>856</v>
      </c>
      <c r="D819">
        <v>3703</v>
      </c>
      <c r="E819">
        <v>1079</v>
      </c>
      <c r="F819">
        <v>942000</v>
      </c>
      <c r="G819" s="5">
        <f t="shared" si="35"/>
        <v>945299.39809343126</v>
      </c>
      <c r="H819" s="6">
        <f t="shared" si="34"/>
        <v>-3299.3980934312567</v>
      </c>
    </row>
    <row r="820" spans="1:8" ht="18" x14ac:dyDescent="0.45">
      <c r="A820" s="20" t="s">
        <v>857</v>
      </c>
      <c r="B820" s="3" t="s">
        <v>446</v>
      </c>
      <c r="C820" s="15" t="s">
        <v>858</v>
      </c>
      <c r="D820">
        <v>3700</v>
      </c>
      <c r="E820">
        <v>1081</v>
      </c>
      <c r="F820">
        <v>944000</v>
      </c>
      <c r="G820" s="5">
        <f t="shared" si="35"/>
        <v>946279.10780310573</v>
      </c>
      <c r="H820" s="6">
        <f t="shared" si="34"/>
        <v>-2279.1078031057259</v>
      </c>
    </row>
    <row r="821" spans="1:8" ht="18" x14ac:dyDescent="0.45">
      <c r="B821" s="3" t="s">
        <v>448</v>
      </c>
      <c r="C821" s="15" t="s">
        <v>859</v>
      </c>
      <c r="D821">
        <v>3700</v>
      </c>
      <c r="E821">
        <v>1100</v>
      </c>
      <c r="F821">
        <v>949000</v>
      </c>
      <c r="G821" s="5">
        <f t="shared" si="35"/>
        <v>962823.32893933053</v>
      </c>
      <c r="H821" s="6">
        <f t="shared" si="34"/>
        <v>-13823.328939330531</v>
      </c>
    </row>
    <row r="822" spans="1:8" ht="18" x14ac:dyDescent="0.45">
      <c r="B822" s="3" t="s">
        <v>438</v>
      </c>
      <c r="C822" s="15" t="s">
        <v>860</v>
      </c>
      <c r="D822">
        <v>3725</v>
      </c>
      <c r="E822">
        <v>1104</v>
      </c>
      <c r="F822">
        <v>962000</v>
      </c>
      <c r="G822" s="5">
        <f t="shared" si="35"/>
        <v>972801.63585506193</v>
      </c>
      <c r="H822" s="6">
        <f t="shared" si="34"/>
        <v>-10801.635855061933</v>
      </c>
    </row>
    <row r="823" spans="1:8" ht="18" x14ac:dyDescent="0.45">
      <c r="B823" s="3" t="s">
        <v>719</v>
      </c>
      <c r="C823" s="15" t="s">
        <v>861</v>
      </c>
      <c r="D823">
        <v>3720</v>
      </c>
      <c r="E823">
        <v>1104</v>
      </c>
      <c r="F823">
        <v>961000</v>
      </c>
      <c r="G823" s="5">
        <f t="shared" si="35"/>
        <v>971502.57325659879</v>
      </c>
      <c r="H823" s="6">
        <f t="shared" si="34"/>
        <v>-10502.573256598786</v>
      </c>
    </row>
    <row r="824" spans="1:8" ht="18" x14ac:dyDescent="0.45">
      <c r="B824" s="3" t="s">
        <v>442</v>
      </c>
      <c r="C824" s="15" t="s">
        <v>862</v>
      </c>
      <c r="D824">
        <v>3695</v>
      </c>
      <c r="E824">
        <v>1103</v>
      </c>
      <c r="F824">
        <v>952000</v>
      </c>
      <c r="G824" s="5">
        <f t="shared" si="35"/>
        <v>964137.68847056536</v>
      </c>
      <c r="H824" s="6">
        <f t="shared" si="34"/>
        <v>-12137.688470565365</v>
      </c>
    </row>
    <row r="825" spans="1:8" ht="18" x14ac:dyDescent="0.45">
      <c r="B825" s="3" t="s">
        <v>710</v>
      </c>
      <c r="C825" s="15" t="s">
        <v>863</v>
      </c>
      <c r="D825">
        <v>3680</v>
      </c>
      <c r="E825">
        <v>1092</v>
      </c>
      <c r="F825">
        <v>943000</v>
      </c>
      <c r="G825" s="5">
        <f t="shared" si="35"/>
        <v>950717.57168118819</v>
      </c>
      <c r="H825" s="6">
        <f t="shared" si="34"/>
        <v>-7717.5716811881866</v>
      </c>
    </row>
    <row r="826" spans="1:8" ht="18" x14ac:dyDescent="0.45">
      <c r="B826" s="3" t="s">
        <v>446</v>
      </c>
      <c r="C826" s="15" t="s">
        <v>864</v>
      </c>
      <c r="D826">
        <v>3660</v>
      </c>
      <c r="E826">
        <v>1081</v>
      </c>
      <c r="F826">
        <v>932000</v>
      </c>
      <c r="G826" s="5">
        <f t="shared" si="35"/>
        <v>936103.11744847754</v>
      </c>
      <c r="H826" s="6">
        <f t="shared" si="34"/>
        <v>-4103.1174484775402</v>
      </c>
    </row>
    <row r="827" spans="1:8" ht="18" x14ac:dyDescent="0.45">
      <c r="B827" s="3" t="s">
        <v>448</v>
      </c>
      <c r="C827" s="15" t="s">
        <v>865</v>
      </c>
      <c r="D827">
        <v>3640</v>
      </c>
      <c r="E827">
        <v>1087</v>
      </c>
      <c r="F827">
        <v>931000</v>
      </c>
      <c r="G827" s="5">
        <f t="shared" si="35"/>
        <v>936154.89168247418</v>
      </c>
      <c r="H827" s="6">
        <f t="shared" si="34"/>
        <v>-5154.8916824741755</v>
      </c>
    </row>
    <row r="828" spans="1:8" ht="18" x14ac:dyDescent="0.45">
      <c r="B828" s="3" t="s">
        <v>438</v>
      </c>
      <c r="C828" s="15" t="s">
        <v>866</v>
      </c>
      <c r="D828">
        <v>3595</v>
      </c>
      <c r="E828">
        <v>1088.8</v>
      </c>
      <c r="F828">
        <v>922000</v>
      </c>
      <c r="G828" s="5">
        <f t="shared" si="35"/>
        <v>926166.22991994326</v>
      </c>
      <c r="H828" s="6">
        <f t="shared" si="34"/>
        <v>-4166.22991994326</v>
      </c>
    </row>
    <row r="829" spans="1:8" ht="18" x14ac:dyDescent="0.45">
      <c r="B829" s="3" t="s">
        <v>719</v>
      </c>
      <c r="C829" s="15" t="s">
        <v>867</v>
      </c>
      <c r="D829">
        <v>3630</v>
      </c>
      <c r="E829">
        <v>1088.8</v>
      </c>
      <c r="F829">
        <v>923000</v>
      </c>
      <c r="G829" s="5">
        <f t="shared" si="35"/>
        <v>935134.46859788441</v>
      </c>
      <c r="H829" s="6">
        <f t="shared" si="34"/>
        <v>-12134.468597884406</v>
      </c>
    </row>
    <row r="830" spans="1:8" ht="18" x14ac:dyDescent="0.45">
      <c r="B830" s="3" t="s">
        <v>442</v>
      </c>
      <c r="C830" s="15" t="s">
        <v>868</v>
      </c>
      <c r="D830">
        <v>3615</v>
      </c>
      <c r="E830">
        <v>1091</v>
      </c>
      <c r="F830">
        <v>921000</v>
      </c>
      <c r="G830" s="5">
        <f t="shared" si="35"/>
        <v>933162.57629489095</v>
      </c>
      <c r="H830" s="6">
        <f t="shared" si="34"/>
        <v>-12162.576294890954</v>
      </c>
    </row>
    <row r="831" spans="1:8" ht="18" x14ac:dyDescent="0.45">
      <c r="B831" s="3" t="s">
        <v>710</v>
      </c>
      <c r="C831" s="15" t="s">
        <v>869</v>
      </c>
      <c r="D831">
        <v>3595</v>
      </c>
      <c r="E831">
        <v>1086</v>
      </c>
      <c r="F831">
        <v>920000</v>
      </c>
      <c r="G831" s="5">
        <f t="shared" si="35"/>
        <v>923797.32337716583</v>
      </c>
      <c r="H831" s="6">
        <f t="shared" si="34"/>
        <v>-3797.323377165827</v>
      </c>
    </row>
    <row r="832" spans="1:8" ht="18" x14ac:dyDescent="0.45">
      <c r="B832" s="3" t="s">
        <v>446</v>
      </c>
      <c r="C832" s="15" t="s">
        <v>870</v>
      </c>
      <c r="D832">
        <v>3605</v>
      </c>
      <c r="E832">
        <v>1097</v>
      </c>
      <c r="F832">
        <v>925000</v>
      </c>
      <c r="G832" s="5">
        <f t="shared" si="35"/>
        <v>935685.393515095</v>
      </c>
      <c r="H832" s="6">
        <f t="shared" si="34"/>
        <v>-10685.393515094998</v>
      </c>
    </row>
    <row r="833" spans="2:8" ht="18" x14ac:dyDescent="0.45">
      <c r="B833" s="3" t="s">
        <v>448</v>
      </c>
      <c r="C833" s="15" t="s">
        <v>871</v>
      </c>
      <c r="D833">
        <v>3630</v>
      </c>
      <c r="E833">
        <v>1102</v>
      </c>
      <c r="F833">
        <v>933000</v>
      </c>
      <c r="G833" s="5">
        <f t="shared" si="35"/>
        <v>946410.89676237002</v>
      </c>
      <c r="H833" s="6">
        <f t="shared" si="34"/>
        <v>-13410.896762370015</v>
      </c>
    </row>
    <row r="834" spans="2:8" ht="18" x14ac:dyDescent="0.45">
      <c r="B834" s="3" t="s">
        <v>438</v>
      </c>
      <c r="C834" s="15" t="s">
        <v>872</v>
      </c>
      <c r="D834">
        <v>3650</v>
      </c>
      <c r="E834">
        <v>1098</v>
      </c>
      <c r="F834">
        <v>939000</v>
      </c>
      <c r="G834" s="5">
        <f t="shared" si="35"/>
        <v>948161.8072211683</v>
      </c>
      <c r="H834" s="6">
        <f t="shared" ref="H834:H897" si="36">F:F-G:G</f>
        <v>-9161.8072211683029</v>
      </c>
    </row>
    <row r="835" spans="2:8" ht="18" x14ac:dyDescent="0.45">
      <c r="B835" s="3" t="s">
        <v>719</v>
      </c>
      <c r="C835" s="15" t="s">
        <v>873</v>
      </c>
      <c r="D835">
        <v>3650</v>
      </c>
      <c r="E835">
        <v>1098</v>
      </c>
      <c r="F835">
        <v>941000</v>
      </c>
      <c r="G835" s="5">
        <f t="shared" si="35"/>
        <v>948161.8072211683</v>
      </c>
      <c r="H835" s="6">
        <f t="shared" si="36"/>
        <v>-7161.8072211683029</v>
      </c>
    </row>
    <row r="836" spans="2:8" ht="18" x14ac:dyDescent="0.45">
      <c r="B836" s="3" t="s">
        <v>442</v>
      </c>
      <c r="C836" s="15" t="s">
        <v>874</v>
      </c>
      <c r="D836">
        <v>3645</v>
      </c>
      <c r="E836">
        <v>1105</v>
      </c>
      <c r="F836">
        <v>945000</v>
      </c>
      <c r="G836" s="5">
        <f t="shared" si="35"/>
        <v>952874.43920200609</v>
      </c>
      <c r="H836" s="6">
        <f t="shared" si="36"/>
        <v>-7874.4392020060914</v>
      </c>
    </row>
    <row r="837" spans="2:8" ht="18" x14ac:dyDescent="0.45">
      <c r="B837" s="3" t="s">
        <v>710</v>
      </c>
      <c r="C837" s="15" t="s">
        <v>875</v>
      </c>
      <c r="D837">
        <v>3650</v>
      </c>
      <c r="E837">
        <v>1112</v>
      </c>
      <c r="F837">
        <v>954000</v>
      </c>
      <c r="G837" s="5">
        <f t="shared" si="35"/>
        <v>960187.54975404288</v>
      </c>
      <c r="H837" s="6">
        <f t="shared" si="36"/>
        <v>-6187.5497540428769</v>
      </c>
    </row>
    <row r="838" spans="2:8" ht="18" x14ac:dyDescent="0.45">
      <c r="B838" s="3" t="s">
        <v>446</v>
      </c>
      <c r="C838" s="15" t="s">
        <v>876</v>
      </c>
      <c r="D838">
        <v>3653</v>
      </c>
      <c r="E838">
        <v>1119</v>
      </c>
      <c r="F838">
        <v>951000</v>
      </c>
      <c r="G838" s="5">
        <f t="shared" si="35"/>
        <v>966990.44876378449</v>
      </c>
      <c r="H838" s="6">
        <f t="shared" si="36"/>
        <v>-15990.448763784487</v>
      </c>
    </row>
    <row r="839" spans="2:8" ht="18" x14ac:dyDescent="0.45">
      <c r="B839" s="3" t="s">
        <v>448</v>
      </c>
      <c r="C839" s="15" t="s">
        <v>877</v>
      </c>
      <c r="D839">
        <v>3640</v>
      </c>
      <c r="E839">
        <v>1119</v>
      </c>
      <c r="F839">
        <v>949000</v>
      </c>
      <c r="G839" s="5">
        <f t="shared" si="35"/>
        <v>963566.99520946492</v>
      </c>
      <c r="H839" s="6">
        <f t="shared" si="36"/>
        <v>-14566.99520946492</v>
      </c>
    </row>
    <row r="840" spans="2:8" ht="18" x14ac:dyDescent="0.45">
      <c r="B840" s="3" t="s">
        <v>438</v>
      </c>
      <c r="C840" s="15" t="s">
        <v>878</v>
      </c>
      <c r="D840">
        <v>3630</v>
      </c>
      <c r="E840">
        <v>1117.8</v>
      </c>
      <c r="F840">
        <v>947000</v>
      </c>
      <c r="G840" s="5">
        <f t="shared" si="35"/>
        <v>959908.43956531503</v>
      </c>
      <c r="H840" s="6">
        <f t="shared" si="36"/>
        <v>-12908.439565315028</v>
      </c>
    </row>
    <row r="841" spans="2:8" ht="18" x14ac:dyDescent="0.45">
      <c r="B841" s="3" t="s">
        <v>719</v>
      </c>
      <c r="C841" s="15" t="s">
        <v>879</v>
      </c>
      <c r="D841">
        <v>3635</v>
      </c>
      <c r="E841">
        <v>1117.8</v>
      </c>
      <c r="F841">
        <v>947000</v>
      </c>
      <c r="G841" s="5">
        <f t="shared" si="35"/>
        <v>961223.74044625892</v>
      </c>
      <c r="H841" s="6">
        <f t="shared" si="36"/>
        <v>-14223.740446258918</v>
      </c>
    </row>
    <row r="842" spans="2:8" ht="18" x14ac:dyDescent="0.45">
      <c r="B842" s="3" t="s">
        <v>442</v>
      </c>
      <c r="C842" s="15" t="s">
        <v>880</v>
      </c>
      <c r="D842">
        <v>3635</v>
      </c>
      <c r="E842">
        <v>1120</v>
      </c>
      <c r="F842">
        <v>952000</v>
      </c>
      <c r="G842" s="5">
        <f t="shared" si="35"/>
        <v>963105.73385203979</v>
      </c>
      <c r="H842" s="6">
        <f t="shared" si="36"/>
        <v>-11105.73385203979</v>
      </c>
    </row>
    <row r="843" spans="2:8" ht="18" x14ac:dyDescent="0.45">
      <c r="B843" s="3" t="s">
        <v>710</v>
      </c>
      <c r="C843" s="15" t="s">
        <v>881</v>
      </c>
      <c r="D843">
        <v>3630</v>
      </c>
      <c r="E843">
        <v>1124</v>
      </c>
      <c r="F843">
        <v>954000</v>
      </c>
      <c r="G843" s="5">
        <f t="shared" si="35"/>
        <v>965204.9437031796</v>
      </c>
      <c r="H843" s="6">
        <f t="shared" si="36"/>
        <v>-11204.943703179597</v>
      </c>
    </row>
    <row r="844" spans="2:8" ht="18" x14ac:dyDescent="0.45">
      <c r="B844" s="3" t="s">
        <v>446</v>
      </c>
      <c r="C844" s="15" t="s">
        <v>882</v>
      </c>
      <c r="D844">
        <v>3625</v>
      </c>
      <c r="E844">
        <v>1128</v>
      </c>
      <c r="F844">
        <v>955000</v>
      </c>
      <c r="G844" s="5">
        <f t="shared" si="35"/>
        <v>967294.74005722918</v>
      </c>
      <c r="H844" s="6">
        <f t="shared" si="36"/>
        <v>-12294.740057229181</v>
      </c>
    </row>
    <row r="845" spans="2:8" ht="18" x14ac:dyDescent="0.45">
      <c r="B845" s="3" t="s">
        <v>448</v>
      </c>
      <c r="C845" s="15" t="s">
        <v>883</v>
      </c>
      <c r="D845">
        <v>3610</v>
      </c>
      <c r="E845">
        <v>1147</v>
      </c>
      <c r="F845">
        <v>962000</v>
      </c>
      <c r="G845" s="5">
        <f t="shared" si="35"/>
        <v>979454.62492364063</v>
      </c>
      <c r="H845" s="6">
        <f t="shared" si="36"/>
        <v>-17454.624923640629</v>
      </c>
    </row>
    <row r="846" spans="2:8" ht="18" x14ac:dyDescent="0.45">
      <c r="B846" s="3" t="s">
        <v>438</v>
      </c>
      <c r="C846" s="15" t="s">
        <v>884</v>
      </c>
      <c r="D846">
        <v>3590</v>
      </c>
      <c r="E846">
        <v>1173.5</v>
      </c>
      <c r="F846">
        <v>985000</v>
      </c>
      <c r="G846" s="5">
        <f t="shared" si="35"/>
        <v>996444.810484519</v>
      </c>
      <c r="H846" s="6">
        <f t="shared" si="36"/>
        <v>-11444.810484518996</v>
      </c>
    </row>
    <row r="847" spans="2:8" ht="18" x14ac:dyDescent="0.45">
      <c r="B847" s="3" t="s">
        <v>719</v>
      </c>
      <c r="C847" s="15" t="s">
        <v>885</v>
      </c>
      <c r="D847">
        <v>3565</v>
      </c>
      <c r="E847">
        <v>1173.5</v>
      </c>
      <c r="F847">
        <v>978000</v>
      </c>
      <c r="G847" s="5">
        <f t="shared" si="35"/>
        <v>989540.59871234267</v>
      </c>
      <c r="H847" s="6">
        <f t="shared" si="36"/>
        <v>-11540.598712342675</v>
      </c>
    </row>
    <row r="848" spans="2:8" ht="18" x14ac:dyDescent="0.45">
      <c r="B848" s="3" t="s">
        <v>442</v>
      </c>
      <c r="C848" s="15" t="s">
        <v>886</v>
      </c>
      <c r="D848">
        <v>3570</v>
      </c>
      <c r="E848">
        <v>1176</v>
      </c>
      <c r="F848">
        <v>975000</v>
      </c>
      <c r="G848" s="5">
        <f t="shared" si="35"/>
        <v>993021.82760505402</v>
      </c>
      <c r="H848" s="6">
        <f t="shared" si="36"/>
        <v>-18021.827605054015</v>
      </c>
    </row>
    <row r="849" spans="2:8" ht="18" x14ac:dyDescent="0.45">
      <c r="B849" s="3" t="s">
        <v>710</v>
      </c>
      <c r="C849" s="15" t="s">
        <v>887</v>
      </c>
      <c r="D849">
        <v>3530</v>
      </c>
      <c r="E849">
        <v>1195</v>
      </c>
      <c r="F849">
        <v>980000</v>
      </c>
      <c r="G849" s="5">
        <f t="shared" si="35"/>
        <v>997735.6362730281</v>
      </c>
      <c r="H849" s="6">
        <f t="shared" si="36"/>
        <v>-17735.636273028096</v>
      </c>
    </row>
    <row r="850" spans="2:8" ht="18" x14ac:dyDescent="0.45">
      <c r="B850" s="3" t="s">
        <v>446</v>
      </c>
      <c r="C850" s="15" t="s">
        <v>888</v>
      </c>
      <c r="D850">
        <v>3520</v>
      </c>
      <c r="E850">
        <v>1188</v>
      </c>
      <c r="F850">
        <v>976000</v>
      </c>
      <c r="G850" s="5">
        <f t="shared" si="35"/>
        <v>989124.63980966446</v>
      </c>
      <c r="H850" s="6">
        <f t="shared" si="36"/>
        <v>-13124.639809664455</v>
      </c>
    </row>
    <row r="851" spans="2:8" ht="18" x14ac:dyDescent="0.45">
      <c r="B851" s="3" t="s">
        <v>438</v>
      </c>
      <c r="C851" s="15" t="s">
        <v>889</v>
      </c>
      <c r="D851">
        <v>3500</v>
      </c>
      <c r="E851">
        <v>1237.9000000000001</v>
      </c>
      <c r="F851">
        <v>1006000</v>
      </c>
      <c r="G851" s="5">
        <f t="shared" si="35"/>
        <v>1024634.7042085971</v>
      </c>
      <c r="H851" s="6">
        <f t="shared" si="36"/>
        <v>-18634.704208597075</v>
      </c>
    </row>
    <row r="852" spans="2:8" ht="18" x14ac:dyDescent="0.45">
      <c r="B852" s="3" t="s">
        <v>719</v>
      </c>
      <c r="C852" s="15" t="s">
        <v>890</v>
      </c>
      <c r="D852">
        <v>3465</v>
      </c>
      <c r="E852">
        <v>1237.9000000000001</v>
      </c>
      <c r="F852">
        <v>1001000</v>
      </c>
      <c r="G852" s="5">
        <f t="shared" si="35"/>
        <v>1014438.3571665111</v>
      </c>
      <c r="H852" s="6">
        <f t="shared" si="36"/>
        <v>-13438.357166511123</v>
      </c>
    </row>
    <row r="853" spans="2:8" ht="18" x14ac:dyDescent="0.45">
      <c r="B853" s="3" t="s">
        <v>442</v>
      </c>
      <c r="C853" s="15" t="s">
        <v>891</v>
      </c>
      <c r="D853">
        <v>3490</v>
      </c>
      <c r="E853">
        <v>1210</v>
      </c>
      <c r="F853">
        <v>986000</v>
      </c>
      <c r="G853" s="5">
        <f t="shared" si="35"/>
        <v>998806.42156705132</v>
      </c>
      <c r="H853" s="6">
        <f t="shared" si="36"/>
        <v>-12806.421567051322</v>
      </c>
    </row>
    <row r="854" spans="2:8" ht="18" x14ac:dyDescent="0.45">
      <c r="B854" s="3" t="s">
        <v>710</v>
      </c>
      <c r="C854" s="15" t="s">
        <v>892</v>
      </c>
      <c r="D854">
        <v>3455</v>
      </c>
      <c r="E854">
        <v>1212</v>
      </c>
      <c r="F854">
        <v>980000</v>
      </c>
      <c r="G854" s="5">
        <f t="shared" si="35"/>
        <v>990466.06314503402</v>
      </c>
      <c r="H854" s="6">
        <f t="shared" si="36"/>
        <v>-10466.063145034015</v>
      </c>
    </row>
    <row r="855" spans="2:8" ht="18" x14ac:dyDescent="0.45">
      <c r="B855" s="3" t="s">
        <v>446</v>
      </c>
      <c r="C855" s="15" t="s">
        <v>893</v>
      </c>
      <c r="D855">
        <v>3480</v>
      </c>
      <c r="E855">
        <v>1205</v>
      </c>
      <c r="F855">
        <v>978000</v>
      </c>
      <c r="G855" s="5">
        <f t="shared" si="35"/>
        <v>991863.96746294573</v>
      </c>
      <c r="H855" s="6">
        <f t="shared" si="36"/>
        <v>-13863.967462945729</v>
      </c>
    </row>
    <row r="856" spans="2:8" ht="18" x14ac:dyDescent="0.45">
      <c r="B856" s="3" t="s">
        <v>448</v>
      </c>
      <c r="C856" s="15" t="s">
        <v>894</v>
      </c>
      <c r="D856">
        <v>3500</v>
      </c>
      <c r="E856">
        <v>1206</v>
      </c>
      <c r="F856">
        <v>984000</v>
      </c>
      <c r="G856" s="5">
        <f t="shared" si="35"/>
        <v>998359.28045526147</v>
      </c>
      <c r="H856" s="6">
        <f t="shared" si="36"/>
        <v>-14359.280455261469</v>
      </c>
    </row>
    <row r="857" spans="2:8" ht="18" x14ac:dyDescent="0.45">
      <c r="B857" s="3" t="s">
        <v>438</v>
      </c>
      <c r="C857" s="15" t="s">
        <v>895</v>
      </c>
      <c r="D857">
        <v>3465</v>
      </c>
      <c r="E857">
        <v>1226</v>
      </c>
      <c r="F857">
        <v>990000</v>
      </c>
      <c r="G857" s="5">
        <f t="shared" si="35"/>
        <v>1004734.5713596756</v>
      </c>
      <c r="H857" s="6">
        <f t="shared" si="36"/>
        <v>-14734.57135967561</v>
      </c>
    </row>
    <row r="858" spans="2:8" ht="18" x14ac:dyDescent="0.45">
      <c r="B858" s="3" t="s">
        <v>719</v>
      </c>
      <c r="C858" s="15" t="s">
        <v>896</v>
      </c>
      <c r="D858">
        <v>3475</v>
      </c>
      <c r="E858">
        <v>1226</v>
      </c>
      <c r="F858">
        <v>990000</v>
      </c>
      <c r="G858" s="5">
        <f t="shared" si="35"/>
        <v>1007619.8082178566</v>
      </c>
      <c r="H858" s="6">
        <f t="shared" si="36"/>
        <v>-17619.808217856567</v>
      </c>
    </row>
    <row r="859" spans="2:8" ht="18" x14ac:dyDescent="0.45">
      <c r="B859" s="3" t="s">
        <v>442</v>
      </c>
      <c r="C859" s="15" t="s">
        <v>897</v>
      </c>
      <c r="D859">
        <v>3470</v>
      </c>
      <c r="E859">
        <v>1206</v>
      </c>
      <c r="F859">
        <v>987000</v>
      </c>
      <c r="G859" s="5">
        <f t="shared" si="35"/>
        <v>989844.77233707358</v>
      </c>
      <c r="H859" s="6">
        <f t="shared" si="36"/>
        <v>-2844.7723370735766</v>
      </c>
    </row>
    <row r="860" spans="2:8" ht="18" x14ac:dyDescent="0.45">
      <c r="B860" s="3" t="s">
        <v>710</v>
      </c>
      <c r="C860" s="15" t="s">
        <v>898</v>
      </c>
      <c r="D860">
        <v>3480</v>
      </c>
      <c r="E860">
        <v>1217</v>
      </c>
      <c r="F860">
        <v>990000</v>
      </c>
      <c r="G860" s="5">
        <f t="shared" si="35"/>
        <v>1001691.6584252323</v>
      </c>
      <c r="H860" s="6">
        <f t="shared" si="36"/>
        <v>-11691.658425232279</v>
      </c>
    </row>
    <row r="861" spans="2:8" ht="18" x14ac:dyDescent="0.45">
      <c r="B861" s="3" t="s">
        <v>446</v>
      </c>
      <c r="C861" s="15" t="s">
        <v>899</v>
      </c>
      <c r="D861">
        <v>3495</v>
      </c>
      <c r="E861">
        <v>1235</v>
      </c>
      <c r="F861">
        <v>1005000</v>
      </c>
      <c r="G861" s="5">
        <f t="shared" si="35"/>
        <v>1020792.8207086134</v>
      </c>
      <c r="H861" s="6">
        <f t="shared" si="36"/>
        <v>-15792.820708613377</v>
      </c>
    </row>
    <row r="862" spans="2:8" ht="18" x14ac:dyDescent="0.45">
      <c r="B862" s="3" t="s">
        <v>448</v>
      </c>
      <c r="C862" s="15" t="s">
        <v>900</v>
      </c>
      <c r="D862">
        <v>3505</v>
      </c>
      <c r="E862">
        <v>1238</v>
      </c>
      <c r="F862">
        <v>1005000</v>
      </c>
      <c r="G862" s="5">
        <f t="shared" si="35"/>
        <v>1026173.8109828632</v>
      </c>
      <c r="H862" s="6">
        <f t="shared" si="36"/>
        <v>-21173.810982863186</v>
      </c>
    </row>
    <row r="863" spans="2:8" ht="18" x14ac:dyDescent="0.45">
      <c r="B863" s="3" t="s">
        <v>438</v>
      </c>
      <c r="C863" s="15" t="s">
        <v>901</v>
      </c>
      <c r="D863">
        <v>3510</v>
      </c>
      <c r="E863">
        <v>1221.8</v>
      </c>
      <c r="F863">
        <v>1005000</v>
      </c>
      <c r="G863" s="5">
        <f t="shared" si="35"/>
        <v>1014248.7928688548</v>
      </c>
      <c r="H863" s="6">
        <f t="shared" si="36"/>
        <v>-9248.7928688548272</v>
      </c>
    </row>
    <row r="864" spans="2:8" ht="18" x14ac:dyDescent="0.45">
      <c r="B864" s="3" t="s">
        <v>719</v>
      </c>
      <c r="C864" s="15" t="s">
        <v>902</v>
      </c>
      <c r="D864">
        <v>3480</v>
      </c>
      <c r="E864">
        <v>1221.8</v>
      </c>
      <c r="F864">
        <v>993000</v>
      </c>
      <c r="G864" s="5">
        <f t="shared" si="35"/>
        <v>1005622.7348101467</v>
      </c>
      <c r="H864" s="6">
        <f t="shared" si="36"/>
        <v>-12622.734810146736</v>
      </c>
    </row>
    <row r="865" spans="2:18" ht="18" x14ac:dyDescent="0.45">
      <c r="B865" s="3" t="s">
        <v>442</v>
      </c>
      <c r="C865" s="15" t="s">
        <v>903</v>
      </c>
      <c r="D865">
        <v>3475</v>
      </c>
      <c r="E865">
        <v>1230</v>
      </c>
      <c r="F865">
        <v>1001000</v>
      </c>
      <c r="G865" s="5">
        <f t="shared" si="35"/>
        <v>1010890.9984567404</v>
      </c>
      <c r="H865" s="6">
        <f t="shared" si="36"/>
        <v>-9890.9984567404026</v>
      </c>
    </row>
    <row r="866" spans="2:18" ht="18" x14ac:dyDescent="0.45">
      <c r="B866" s="3" t="s">
        <v>710</v>
      </c>
      <c r="C866" s="15" t="s">
        <v>904</v>
      </c>
      <c r="D866">
        <v>3478</v>
      </c>
      <c r="E866">
        <v>1244</v>
      </c>
      <c r="F866">
        <v>1007000</v>
      </c>
      <c r="G866" s="5">
        <f t="shared" si="35"/>
        <v>1023218.4435713595</v>
      </c>
      <c r="H866" s="6">
        <f t="shared" si="36"/>
        <v>-16218.443571359501</v>
      </c>
      <c r="R866" s="20" t="s">
        <v>442</v>
      </c>
    </row>
    <row r="867" spans="2:18" ht="18" x14ac:dyDescent="0.45">
      <c r="B867" s="3" t="s">
        <v>446</v>
      </c>
      <c r="C867" s="15" t="s">
        <v>905</v>
      </c>
      <c r="D867">
        <v>3475</v>
      </c>
      <c r="E867">
        <v>1230</v>
      </c>
      <c r="F867">
        <v>1004000</v>
      </c>
      <c r="G867" s="5">
        <f t="shared" si="35"/>
        <v>1010890.9984567404</v>
      </c>
      <c r="H867" s="6">
        <f t="shared" si="36"/>
        <v>-6890.9984567404026</v>
      </c>
    </row>
    <row r="868" spans="2:18" ht="18" x14ac:dyDescent="0.45">
      <c r="B868" s="3" t="s">
        <v>448</v>
      </c>
      <c r="C868" s="15" t="s">
        <v>906</v>
      </c>
      <c r="D868">
        <v>3460</v>
      </c>
      <c r="E868">
        <v>1245</v>
      </c>
      <c r="F868">
        <v>1005000</v>
      </c>
      <c r="G868" s="5">
        <f t="shared" si="35"/>
        <v>1018763.0353985146</v>
      </c>
      <c r="H868" s="6">
        <f t="shared" si="36"/>
        <v>-13763.035398514592</v>
      </c>
    </row>
    <row r="869" spans="2:18" ht="18" x14ac:dyDescent="0.45">
      <c r="B869" s="3" t="s">
        <v>438</v>
      </c>
      <c r="C869" s="15" t="s">
        <v>907</v>
      </c>
      <c r="D869">
        <v>3440</v>
      </c>
      <c r="E869">
        <v>1259.0999999999999</v>
      </c>
      <c r="F869">
        <v>1013000</v>
      </c>
      <c r="G869" s="5">
        <f t="shared" si="35"/>
        <v>1024317.9400315082</v>
      </c>
      <c r="H869" s="6">
        <f t="shared" si="36"/>
        <v>-11317.940031508217</v>
      </c>
    </row>
    <row r="870" spans="2:18" ht="18" x14ac:dyDescent="0.45">
      <c r="B870" s="3" t="s">
        <v>719</v>
      </c>
      <c r="C870" s="15" t="s">
        <v>908</v>
      </c>
      <c r="D870">
        <v>3445</v>
      </c>
      <c r="E870">
        <v>1259.0999999999999</v>
      </c>
      <c r="F870">
        <v>1014000</v>
      </c>
      <c r="G870" s="5">
        <f t="shared" si="35"/>
        <v>1025799.5068048097</v>
      </c>
      <c r="H870" s="6">
        <f t="shared" si="36"/>
        <v>-11799.506804809673</v>
      </c>
    </row>
    <row r="871" spans="2:18" ht="18" x14ac:dyDescent="0.45">
      <c r="B871" s="3" t="s">
        <v>442</v>
      </c>
      <c r="C871" s="15" t="s">
        <v>909</v>
      </c>
      <c r="D871">
        <v>3430</v>
      </c>
      <c r="E871">
        <v>1270</v>
      </c>
      <c r="F871">
        <v>1013000</v>
      </c>
      <c r="G871" s="5">
        <f t="shared" si="35"/>
        <v>1030153.3668777929</v>
      </c>
      <c r="H871" s="6">
        <f t="shared" si="36"/>
        <v>-17153.366877792869</v>
      </c>
    </row>
    <row r="872" spans="2:18" ht="18" x14ac:dyDescent="0.45">
      <c r="B872" s="3" t="s">
        <v>710</v>
      </c>
      <c r="C872" s="15" t="s">
        <v>910</v>
      </c>
      <c r="D872">
        <v>3415</v>
      </c>
      <c r="E872">
        <v>1274</v>
      </c>
      <c r="F872">
        <v>1016000</v>
      </c>
      <c r="G872" s="5">
        <f t="shared" si="35"/>
        <v>1028884.8981448733</v>
      </c>
      <c r="H872" s="6">
        <f t="shared" si="36"/>
        <v>-12884.898144873325</v>
      </c>
    </row>
    <row r="873" spans="2:18" ht="18" x14ac:dyDescent="0.45">
      <c r="B873" s="3" t="s">
        <v>446</v>
      </c>
      <c r="C873" s="15" t="s">
        <v>911</v>
      </c>
      <c r="D873">
        <v>3430</v>
      </c>
      <c r="E873">
        <v>1256</v>
      </c>
      <c r="F873">
        <v>1012000</v>
      </c>
      <c r="G873" s="5">
        <f t="shared" si="35"/>
        <v>1018852.4636208725</v>
      </c>
      <c r="H873" s="6">
        <f t="shared" si="36"/>
        <v>-6852.4636208724696</v>
      </c>
    </row>
    <row r="874" spans="2:18" ht="18" x14ac:dyDescent="0.45">
      <c r="B874" s="3" t="s">
        <v>448</v>
      </c>
      <c r="C874" s="15" t="s">
        <v>912</v>
      </c>
      <c r="D874">
        <v>3445</v>
      </c>
      <c r="E874">
        <v>1250</v>
      </c>
      <c r="F874">
        <v>1011000</v>
      </c>
      <c r="G874" s="5">
        <f t="shared" si="35"/>
        <v>1018421.7961289907</v>
      </c>
      <c r="H874" s="6">
        <f t="shared" si="36"/>
        <v>-7421.7961289907107</v>
      </c>
    </row>
    <row r="875" spans="2:18" ht="18" x14ac:dyDescent="0.45">
      <c r="B875" s="3" t="s">
        <v>438</v>
      </c>
      <c r="C875" s="15" t="s">
        <v>913</v>
      </c>
      <c r="D875">
        <v>3430</v>
      </c>
      <c r="E875">
        <v>1250.0999999999999</v>
      </c>
      <c r="F875">
        <v>1010000</v>
      </c>
      <c r="G875" s="5">
        <f t="shared" si="35"/>
        <v>1014089.9401054558</v>
      </c>
      <c r="H875" s="6">
        <f t="shared" si="36"/>
        <v>-4089.9401054558111</v>
      </c>
    </row>
    <row r="876" spans="2:18" ht="18" x14ac:dyDescent="0.45">
      <c r="B876" s="3" t="s">
        <v>442</v>
      </c>
      <c r="C876" s="15" t="s">
        <v>914</v>
      </c>
      <c r="D876">
        <v>3427</v>
      </c>
      <c r="E876">
        <v>1256</v>
      </c>
      <c r="F876">
        <v>1018000</v>
      </c>
      <c r="G876" s="5">
        <f t="shared" si="35"/>
        <v>1017965.7121949649</v>
      </c>
      <c r="H876" s="6">
        <f t="shared" si="36"/>
        <v>34.287805035128258</v>
      </c>
    </row>
    <row r="877" spans="2:18" ht="18" x14ac:dyDescent="0.45">
      <c r="B877" s="3" t="s">
        <v>710</v>
      </c>
      <c r="C877" s="15" t="s">
        <v>915</v>
      </c>
      <c r="D877">
        <v>3435</v>
      </c>
      <c r="E877">
        <v>1230</v>
      </c>
      <c r="F877">
        <v>1009000</v>
      </c>
      <c r="G877" s="5">
        <f t="shared" si="35"/>
        <v>999312.39703565568</v>
      </c>
      <c r="H877" s="6">
        <f t="shared" si="36"/>
        <v>9687.602964344318</v>
      </c>
    </row>
    <row r="878" spans="2:18" ht="18" x14ac:dyDescent="0.45">
      <c r="B878" s="3" t="s">
        <v>446</v>
      </c>
      <c r="C878" s="15" t="s">
        <v>916</v>
      </c>
      <c r="D878">
        <v>3440</v>
      </c>
      <c r="E878">
        <v>1233</v>
      </c>
      <c r="F878">
        <v>1012000</v>
      </c>
      <c r="G878" s="5">
        <f t="shared" ref="G878:G941" si="37">E878/31.103*8.133*D878*0.9+5000</f>
        <v>1003188.404462592</v>
      </c>
      <c r="H878" s="6">
        <f t="shared" si="36"/>
        <v>8811.5955374080222</v>
      </c>
    </row>
    <row r="879" spans="2:18" ht="18" x14ac:dyDescent="0.45">
      <c r="B879" s="3" t="s">
        <v>438</v>
      </c>
      <c r="C879" s="15" t="s">
        <v>917</v>
      </c>
      <c r="D879">
        <v>3480</v>
      </c>
      <c r="E879">
        <v>1216.7</v>
      </c>
      <c r="F879">
        <v>1013000</v>
      </c>
      <c r="G879" s="5">
        <f t="shared" si="37"/>
        <v>1001445.966151175</v>
      </c>
      <c r="H879" s="6">
        <f t="shared" si="36"/>
        <v>11554.033848825027</v>
      </c>
    </row>
    <row r="880" spans="2:18" ht="18" x14ac:dyDescent="0.45">
      <c r="B880" s="3" t="s">
        <v>719</v>
      </c>
      <c r="C880" s="15" t="s">
        <v>918</v>
      </c>
      <c r="D880">
        <v>3475</v>
      </c>
      <c r="E880">
        <v>1215.4000000000001</v>
      </c>
      <c r="F880">
        <v>1009000</v>
      </c>
      <c r="G880" s="5">
        <f t="shared" si="37"/>
        <v>998951.15408481495</v>
      </c>
      <c r="H880" s="6">
        <f t="shared" si="36"/>
        <v>10048.845915185055</v>
      </c>
    </row>
    <row r="881" spans="2:8" ht="18" x14ac:dyDescent="0.45">
      <c r="B881" s="3" t="s">
        <v>442</v>
      </c>
      <c r="C881" s="15" t="s">
        <v>919</v>
      </c>
      <c r="D881">
        <v>3480</v>
      </c>
      <c r="E881">
        <v>1219.9000000000001</v>
      </c>
      <c r="F881">
        <v>1008000</v>
      </c>
      <c r="G881" s="5">
        <f t="shared" si="37"/>
        <v>1004066.6837411182</v>
      </c>
      <c r="H881" s="6">
        <f t="shared" si="36"/>
        <v>3933.3162588818232</v>
      </c>
    </row>
    <row r="882" spans="2:8" ht="18" x14ac:dyDescent="0.45">
      <c r="B882" s="3" t="s">
        <v>710</v>
      </c>
      <c r="C882" s="15" t="s">
        <v>920</v>
      </c>
      <c r="D882">
        <v>3520</v>
      </c>
      <c r="E882">
        <v>1235</v>
      </c>
      <c r="F882">
        <v>1012000</v>
      </c>
      <c r="G882" s="5">
        <f t="shared" si="37"/>
        <v>1028058.8637751985</v>
      </c>
      <c r="H882" s="6">
        <f t="shared" si="36"/>
        <v>-16058.863775198464</v>
      </c>
    </row>
    <row r="883" spans="2:8" ht="18" x14ac:dyDescent="0.45">
      <c r="B883" s="3" t="s">
        <v>446</v>
      </c>
      <c r="C883" s="15" t="s">
        <v>921</v>
      </c>
      <c r="D883">
        <v>3510</v>
      </c>
      <c r="E883">
        <v>1228</v>
      </c>
      <c r="F883">
        <v>1017000</v>
      </c>
      <c r="G883" s="5">
        <f t="shared" si="37"/>
        <v>1019370.2059608398</v>
      </c>
      <c r="H883" s="6">
        <f t="shared" si="36"/>
        <v>-2370.205960839754</v>
      </c>
    </row>
    <row r="884" spans="2:8" ht="18" x14ac:dyDescent="0.45">
      <c r="B884" s="3" t="s">
        <v>438</v>
      </c>
      <c r="C884" s="15" t="s">
        <v>922</v>
      </c>
      <c r="D884">
        <v>3500</v>
      </c>
      <c r="E884">
        <v>1221.9000000000001</v>
      </c>
      <c r="F884">
        <v>1020000</v>
      </c>
      <c r="G884" s="5">
        <f t="shared" si="37"/>
        <v>1011455.8082821592</v>
      </c>
      <c r="H884" s="6">
        <f t="shared" si="36"/>
        <v>8544.1917178408476</v>
      </c>
    </row>
    <row r="885" spans="2:8" ht="18" x14ac:dyDescent="0.45">
      <c r="B885" s="3" t="s">
        <v>719</v>
      </c>
      <c r="C885" s="15" t="s">
        <v>923</v>
      </c>
      <c r="D885">
        <v>3465</v>
      </c>
      <c r="E885">
        <v>1221.9000000000001</v>
      </c>
      <c r="F885">
        <v>1017000</v>
      </c>
      <c r="G885" s="5">
        <f t="shared" si="37"/>
        <v>1001391.2501993377</v>
      </c>
      <c r="H885" s="6">
        <f t="shared" si="36"/>
        <v>15608.749800662277</v>
      </c>
    </row>
    <row r="886" spans="2:8" ht="18" x14ac:dyDescent="0.45">
      <c r="B886" s="3" t="s">
        <v>442</v>
      </c>
      <c r="C886" s="15" t="s">
        <v>924</v>
      </c>
      <c r="D886">
        <v>3470</v>
      </c>
      <c r="E886">
        <v>1218</v>
      </c>
      <c r="F886">
        <v>1015000</v>
      </c>
      <c r="G886" s="5">
        <f t="shared" si="37"/>
        <v>999644.22280808922</v>
      </c>
      <c r="H886" s="6">
        <f t="shared" si="36"/>
        <v>15355.777191910776</v>
      </c>
    </row>
    <row r="887" spans="2:8" ht="18" x14ac:dyDescent="0.45">
      <c r="B887" s="3" t="s">
        <v>710</v>
      </c>
      <c r="C887" s="15" t="s">
        <v>925</v>
      </c>
      <c r="D887">
        <v>3497</v>
      </c>
      <c r="E887">
        <v>1232</v>
      </c>
      <c r="F887">
        <v>1027000</v>
      </c>
      <c r="G887" s="5">
        <f t="shared" si="37"/>
        <v>1018905.1792045783</v>
      </c>
      <c r="H887" s="6">
        <f t="shared" si="36"/>
        <v>8094.8207954217214</v>
      </c>
    </row>
    <row r="888" spans="2:8" ht="18" x14ac:dyDescent="0.45">
      <c r="B888" s="3" t="s">
        <v>446</v>
      </c>
      <c r="C888" s="15" t="s">
        <v>926</v>
      </c>
      <c r="D888">
        <v>3490</v>
      </c>
      <c r="E888">
        <v>1226</v>
      </c>
      <c r="F888">
        <v>1024000</v>
      </c>
      <c r="G888" s="5">
        <f t="shared" si="37"/>
        <v>1011947.663505128</v>
      </c>
      <c r="H888" s="6">
        <f t="shared" si="36"/>
        <v>12052.336494871997</v>
      </c>
    </row>
    <row r="889" spans="2:8" ht="18" x14ac:dyDescent="0.45">
      <c r="B889" s="3" t="s">
        <v>448</v>
      </c>
      <c r="C889" s="15" t="s">
        <v>927</v>
      </c>
      <c r="D889">
        <v>3480</v>
      </c>
      <c r="E889">
        <v>1238</v>
      </c>
      <c r="F889">
        <v>1025000</v>
      </c>
      <c r="G889" s="5">
        <f t="shared" si="37"/>
        <v>1018890.1176092336</v>
      </c>
      <c r="H889" s="6">
        <f t="shared" si="36"/>
        <v>6109.8823907664046</v>
      </c>
    </row>
    <row r="890" spans="2:8" ht="18" x14ac:dyDescent="0.45">
      <c r="B890" s="3" t="s">
        <v>438</v>
      </c>
      <c r="C890" s="15" t="s">
        <v>928</v>
      </c>
      <c r="D890">
        <v>3485</v>
      </c>
      <c r="E890">
        <v>1238.4000000000001</v>
      </c>
      <c r="F890">
        <v>1031000</v>
      </c>
      <c r="G890" s="5">
        <f t="shared" si="37"/>
        <v>1020674.916657557</v>
      </c>
      <c r="H890" s="6">
        <f t="shared" si="36"/>
        <v>10325.083342442987</v>
      </c>
    </row>
    <row r="891" spans="2:8" ht="18" x14ac:dyDescent="0.45">
      <c r="B891" s="3" t="s">
        <v>719</v>
      </c>
      <c r="C891" s="15" t="s">
        <v>929</v>
      </c>
      <c r="D891">
        <v>3490</v>
      </c>
      <c r="E891">
        <v>1238.4000000000001</v>
      </c>
      <c r="F891">
        <v>1035000</v>
      </c>
      <c r="G891" s="5">
        <f t="shared" si="37"/>
        <v>1022132.1260071376</v>
      </c>
      <c r="H891" s="6">
        <f t="shared" si="36"/>
        <v>12867.873992862413</v>
      </c>
    </row>
    <row r="892" spans="2:8" ht="18" x14ac:dyDescent="0.45">
      <c r="B892" s="3" t="s">
        <v>442</v>
      </c>
      <c r="C892" s="15" t="s">
        <v>930</v>
      </c>
      <c r="D892">
        <v>3485</v>
      </c>
      <c r="E892">
        <v>1249</v>
      </c>
      <c r="F892">
        <v>1039000</v>
      </c>
      <c r="G892" s="5">
        <f t="shared" si="37"/>
        <v>1029368.5165578881</v>
      </c>
      <c r="H892" s="6">
        <f t="shared" si="36"/>
        <v>9631.4834421118721</v>
      </c>
    </row>
    <row r="893" spans="2:8" ht="18" x14ac:dyDescent="0.45">
      <c r="B893" s="3" t="s">
        <v>710</v>
      </c>
      <c r="C893" s="15" t="s">
        <v>931</v>
      </c>
      <c r="D893">
        <v>3483</v>
      </c>
      <c r="E893">
        <v>1260</v>
      </c>
      <c r="F893">
        <v>1043000</v>
      </c>
      <c r="G893" s="5">
        <f t="shared" si="37"/>
        <v>1037797.126515127</v>
      </c>
      <c r="H893" s="6">
        <f t="shared" si="36"/>
        <v>5202.87348487298</v>
      </c>
    </row>
    <row r="894" spans="2:8" ht="18" x14ac:dyDescent="0.45">
      <c r="B894" s="3" t="s">
        <v>446</v>
      </c>
      <c r="C894" s="15" t="s">
        <v>932</v>
      </c>
      <c r="D894">
        <v>3475</v>
      </c>
      <c r="E894">
        <v>1242</v>
      </c>
      <c r="F894">
        <v>1035000</v>
      </c>
      <c r="G894" s="5">
        <f t="shared" si="37"/>
        <v>1020704.5691733916</v>
      </c>
      <c r="H894" s="6">
        <f t="shared" si="36"/>
        <v>14295.430826608441</v>
      </c>
    </row>
    <row r="895" spans="2:8" ht="18" x14ac:dyDescent="0.45">
      <c r="B895" s="3" t="s">
        <v>448</v>
      </c>
      <c r="C895" s="15" t="s">
        <v>933</v>
      </c>
      <c r="D895">
        <v>3475</v>
      </c>
      <c r="E895">
        <v>1235</v>
      </c>
      <c r="F895">
        <v>1027000</v>
      </c>
      <c r="G895" s="5">
        <f t="shared" si="37"/>
        <v>1014979.9862553452</v>
      </c>
      <c r="H895" s="6">
        <f t="shared" si="36"/>
        <v>12020.013744654832</v>
      </c>
    </row>
    <row r="896" spans="2:8" ht="18" x14ac:dyDescent="0.45">
      <c r="B896" s="3" t="s">
        <v>438</v>
      </c>
      <c r="C896" s="15" t="s">
        <v>934</v>
      </c>
      <c r="D896">
        <v>3480</v>
      </c>
      <c r="E896">
        <v>1234.0999999999999</v>
      </c>
      <c r="F896">
        <v>1028000</v>
      </c>
      <c r="G896" s="5">
        <f t="shared" si="37"/>
        <v>1015696.1180464906</v>
      </c>
      <c r="H896" s="6">
        <f t="shared" si="36"/>
        <v>12303.881953509408</v>
      </c>
    </row>
    <row r="897" spans="2:8" ht="18" x14ac:dyDescent="0.45">
      <c r="B897" s="3" t="s">
        <v>719</v>
      </c>
      <c r="C897" s="15" t="s">
        <v>935</v>
      </c>
      <c r="D897">
        <v>3465</v>
      </c>
      <c r="E897">
        <v>1234.0999999999999</v>
      </c>
      <c r="F897">
        <v>1027000</v>
      </c>
      <c r="G897" s="5">
        <f t="shared" si="37"/>
        <v>1011339.6692618072</v>
      </c>
      <c r="H897" s="6">
        <f t="shared" si="36"/>
        <v>15660.330738192773</v>
      </c>
    </row>
    <row r="898" spans="2:8" ht="18" x14ac:dyDescent="0.45">
      <c r="B898" s="3" t="s">
        <v>442</v>
      </c>
      <c r="C898" s="15" t="s">
        <v>936</v>
      </c>
      <c r="D898">
        <v>3467</v>
      </c>
      <c r="E898">
        <v>1237</v>
      </c>
      <c r="F898">
        <v>1029000</v>
      </c>
      <c r="G898" s="5">
        <f t="shared" si="37"/>
        <v>1014286.6821946435</v>
      </c>
      <c r="H898" s="6">
        <f t="shared" ref="H898:H961" si="38">F:F-G:G</f>
        <v>14713.317805356462</v>
      </c>
    </row>
    <row r="899" spans="2:8" ht="18" x14ac:dyDescent="0.45">
      <c r="B899" s="3" t="s">
        <v>710</v>
      </c>
      <c r="C899" s="15" t="s">
        <v>937</v>
      </c>
      <c r="D899">
        <v>3465</v>
      </c>
      <c r="E899">
        <v>1243</v>
      </c>
      <c r="F899">
        <v>1030000</v>
      </c>
      <c r="G899" s="5">
        <f t="shared" si="37"/>
        <v>1018597.1225122977</v>
      </c>
      <c r="H899" s="6">
        <f t="shared" si="38"/>
        <v>11402.877487702295</v>
      </c>
    </row>
    <row r="900" spans="2:8" ht="18" x14ac:dyDescent="0.45">
      <c r="B900" s="3" t="s">
        <v>446</v>
      </c>
      <c r="C900" s="15" t="s">
        <v>938</v>
      </c>
      <c r="D900">
        <v>3473</v>
      </c>
      <c r="E900">
        <v>1249</v>
      </c>
      <c r="F900">
        <v>1028000</v>
      </c>
      <c r="G900" s="5">
        <f t="shared" si="37"/>
        <v>1025841.2791981481</v>
      </c>
      <c r="H900" s="6">
        <f t="shared" si="38"/>
        <v>2158.720801851945</v>
      </c>
    </row>
    <row r="901" spans="2:8" ht="18" x14ac:dyDescent="0.45">
      <c r="B901" s="3" t="s">
        <v>438</v>
      </c>
      <c r="C901" s="15" t="s">
        <v>939</v>
      </c>
      <c r="D901">
        <v>3470</v>
      </c>
      <c r="E901">
        <v>1232.2</v>
      </c>
      <c r="F901">
        <v>1021000</v>
      </c>
      <c r="G901" s="5">
        <f t="shared" si="37"/>
        <v>1011240.2391987909</v>
      </c>
      <c r="H901" s="6">
        <f t="shared" si="38"/>
        <v>9759.7608012091368</v>
      </c>
    </row>
    <row r="902" spans="2:8" ht="18" x14ac:dyDescent="0.45">
      <c r="B902" s="3" t="s">
        <v>719</v>
      </c>
      <c r="C902" s="15" t="s">
        <v>940</v>
      </c>
      <c r="D902">
        <v>3482</v>
      </c>
      <c r="E902">
        <v>1232.2</v>
      </c>
      <c r="F902">
        <v>1023000</v>
      </c>
      <c r="G902" s="5">
        <f t="shared" si="37"/>
        <v>1014720.032533196</v>
      </c>
      <c r="H902" s="6">
        <f t="shared" si="38"/>
        <v>8279.9674668039661</v>
      </c>
    </row>
    <row r="903" spans="2:8" ht="18" x14ac:dyDescent="0.45">
      <c r="B903" s="3" t="s">
        <v>442</v>
      </c>
      <c r="C903" s="15" t="s">
        <v>941</v>
      </c>
      <c r="D903">
        <v>3480</v>
      </c>
      <c r="E903">
        <v>1233</v>
      </c>
      <c r="F903">
        <v>1024000</v>
      </c>
      <c r="G903" s="5">
        <f t="shared" si="37"/>
        <v>1014795.2463749476</v>
      </c>
      <c r="H903" s="6">
        <f t="shared" si="38"/>
        <v>9204.753625052399</v>
      </c>
    </row>
    <row r="904" spans="2:8" ht="18" x14ac:dyDescent="0.45">
      <c r="B904" s="3" t="s">
        <v>710</v>
      </c>
      <c r="C904" s="15" t="s">
        <v>942</v>
      </c>
      <c r="D904">
        <v>3470</v>
      </c>
      <c r="E904">
        <v>1232</v>
      </c>
      <c r="F904">
        <v>1023000</v>
      </c>
      <c r="G904" s="5">
        <f t="shared" si="37"/>
        <v>1011076.9150242741</v>
      </c>
      <c r="H904" s="6">
        <f t="shared" si="38"/>
        <v>11923.084975725855</v>
      </c>
    </row>
    <row r="905" spans="2:8" ht="18" x14ac:dyDescent="0.45">
      <c r="B905" s="3" t="s">
        <v>446</v>
      </c>
      <c r="C905" s="15" t="s">
        <v>943</v>
      </c>
      <c r="D905">
        <v>3473</v>
      </c>
      <c r="E905">
        <v>1246</v>
      </c>
      <c r="F905">
        <v>1029000</v>
      </c>
      <c r="G905" s="5">
        <f t="shared" si="37"/>
        <v>1023389.2985435487</v>
      </c>
      <c r="H905" s="6">
        <f t="shared" si="38"/>
        <v>5610.7014564513229</v>
      </c>
    </row>
    <row r="906" spans="2:8" ht="18" x14ac:dyDescent="0.45">
      <c r="B906" s="3" t="s">
        <v>448</v>
      </c>
      <c r="C906" s="15" t="s">
        <v>944</v>
      </c>
      <c r="D906">
        <v>3470</v>
      </c>
      <c r="E906">
        <v>1257</v>
      </c>
      <c r="F906">
        <v>1033000</v>
      </c>
      <c r="G906" s="5">
        <f t="shared" si="37"/>
        <v>1031492.43683889</v>
      </c>
      <c r="H906" s="6">
        <f t="shared" si="38"/>
        <v>1507.5631611100398</v>
      </c>
    </row>
    <row r="907" spans="2:8" ht="18" x14ac:dyDescent="0.45">
      <c r="B907" s="3" t="s">
        <v>438</v>
      </c>
      <c r="C907" s="15" t="s">
        <v>945</v>
      </c>
      <c r="D907">
        <v>3460</v>
      </c>
      <c r="E907">
        <v>1292.4000000000001</v>
      </c>
      <c r="F907">
        <v>1050000</v>
      </c>
      <c r="G907" s="5">
        <f t="shared" si="37"/>
        <v>1057359.3148185061</v>
      </c>
      <c r="H907" s="6">
        <f t="shared" si="38"/>
        <v>-7359.3148185061291</v>
      </c>
    </row>
    <row r="908" spans="2:8" ht="18" x14ac:dyDescent="0.45">
      <c r="B908" s="3" t="s">
        <v>719</v>
      </c>
      <c r="C908" s="15" t="s">
        <v>946</v>
      </c>
      <c r="D908">
        <v>3455</v>
      </c>
      <c r="E908">
        <v>1292.4000000000001</v>
      </c>
      <c r="F908">
        <v>1048000</v>
      </c>
      <c r="G908" s="5">
        <f t="shared" si="37"/>
        <v>1055838.5643635662</v>
      </c>
      <c r="H908" s="6">
        <f t="shared" si="38"/>
        <v>-7838.5643635662273</v>
      </c>
    </row>
    <row r="909" spans="2:8" ht="18" x14ac:dyDescent="0.45">
      <c r="B909" s="3" t="s">
        <v>442</v>
      </c>
      <c r="C909" s="15" t="s">
        <v>947</v>
      </c>
      <c r="D909">
        <v>3457</v>
      </c>
      <c r="E909">
        <v>1300</v>
      </c>
      <c r="F909">
        <v>1047000</v>
      </c>
      <c r="G909" s="5">
        <f t="shared" si="37"/>
        <v>1062629.9318393723</v>
      </c>
      <c r="H909" s="6">
        <f t="shared" si="38"/>
        <v>-15629.931839372264</v>
      </c>
    </row>
    <row r="910" spans="2:8" ht="18" x14ac:dyDescent="0.45">
      <c r="B910" s="3" t="s">
        <v>710</v>
      </c>
      <c r="C910" s="15" t="s">
        <v>948</v>
      </c>
      <c r="D910">
        <v>3453</v>
      </c>
      <c r="E910">
        <v>1294</v>
      </c>
      <c r="F910">
        <v>1045000</v>
      </c>
      <c r="G910" s="5">
        <f t="shared" si="37"/>
        <v>1056530.4563997041</v>
      </c>
      <c r="H910" s="6">
        <f t="shared" si="38"/>
        <v>-11530.456399704097</v>
      </c>
    </row>
    <row r="911" spans="2:8" ht="18" x14ac:dyDescent="0.45">
      <c r="B911" s="3" t="s">
        <v>446</v>
      </c>
      <c r="C911" s="15" t="s">
        <v>949</v>
      </c>
      <c r="D911">
        <v>3445</v>
      </c>
      <c r="E911">
        <v>1282</v>
      </c>
      <c r="F911">
        <v>1036000</v>
      </c>
      <c r="G911" s="5">
        <f t="shared" si="37"/>
        <v>1044365.3941098928</v>
      </c>
      <c r="H911" s="6">
        <f t="shared" si="38"/>
        <v>-8365.3941098927753</v>
      </c>
    </row>
    <row r="912" spans="2:8" ht="18" x14ac:dyDescent="0.45">
      <c r="B912" s="3" t="s">
        <v>438</v>
      </c>
      <c r="C912" s="15" t="s">
        <v>950</v>
      </c>
      <c r="D912">
        <v>3440</v>
      </c>
      <c r="E912">
        <v>1287.7</v>
      </c>
      <c r="F912">
        <v>1038000</v>
      </c>
      <c r="G912" s="5">
        <f t="shared" si="37"/>
        <v>1047471.3774748415</v>
      </c>
      <c r="H912" s="6">
        <f t="shared" si="38"/>
        <v>-9471.3774748415453</v>
      </c>
    </row>
    <row r="913" spans="2:8" ht="18" x14ac:dyDescent="0.45">
      <c r="B913" s="3" t="s">
        <v>719</v>
      </c>
      <c r="C913" s="15" t="s">
        <v>951</v>
      </c>
      <c r="D913">
        <v>3453</v>
      </c>
      <c r="E913">
        <v>1287.7</v>
      </c>
      <c r="F913">
        <v>1040000</v>
      </c>
      <c r="G913" s="5">
        <f t="shared" si="37"/>
        <v>1051410.94954088</v>
      </c>
      <c r="H913" s="6">
        <f t="shared" si="38"/>
        <v>-11410.949540880043</v>
      </c>
    </row>
    <row r="914" spans="2:8" ht="18" x14ac:dyDescent="0.45">
      <c r="B914" s="3" t="s">
        <v>442</v>
      </c>
      <c r="C914" s="15" t="s">
        <v>952</v>
      </c>
      <c r="D914">
        <v>3448</v>
      </c>
      <c r="E914">
        <v>1273</v>
      </c>
      <c r="F914">
        <v>1036000</v>
      </c>
      <c r="G914" s="5">
        <f t="shared" si="37"/>
        <v>1037967.5108124617</v>
      </c>
      <c r="H914" s="6">
        <f t="shared" si="38"/>
        <v>-1967.5108124617254</v>
      </c>
    </row>
    <row r="915" spans="2:8" ht="18" x14ac:dyDescent="0.45">
      <c r="B915" s="3" t="s">
        <v>710</v>
      </c>
      <c r="C915" s="15" t="s">
        <v>953</v>
      </c>
      <c r="D915">
        <v>3455</v>
      </c>
      <c r="E915">
        <v>1264</v>
      </c>
      <c r="F915">
        <v>1033000</v>
      </c>
      <c r="G915" s="5">
        <f t="shared" si="37"/>
        <v>1032746.7853261742</v>
      </c>
      <c r="H915" s="6">
        <f t="shared" si="38"/>
        <v>253.21467382577248</v>
      </c>
    </row>
    <row r="916" spans="2:8" ht="18" x14ac:dyDescent="0.45">
      <c r="B916" s="3" t="s">
        <v>446</v>
      </c>
      <c r="C916" s="15" t="s">
        <v>954</v>
      </c>
      <c r="D916">
        <v>3453</v>
      </c>
      <c r="E916">
        <v>1275</v>
      </c>
      <c r="F916">
        <v>1035000</v>
      </c>
      <c r="G916" s="5">
        <f t="shared" si="37"/>
        <v>1041090.6738096004</v>
      </c>
      <c r="H916" s="6">
        <f t="shared" si="38"/>
        <v>-6090.6738096004119</v>
      </c>
    </row>
    <row r="917" spans="2:8" ht="18" x14ac:dyDescent="0.45">
      <c r="B917" s="3" t="s">
        <v>448</v>
      </c>
      <c r="C917" s="15" t="s">
        <v>955</v>
      </c>
      <c r="D917">
        <v>3448</v>
      </c>
      <c r="E917">
        <v>1272</v>
      </c>
      <c r="F917">
        <v>1030000</v>
      </c>
      <c r="G917" s="5">
        <f t="shared" si="37"/>
        <v>1037156.0673632767</v>
      </c>
      <c r="H917" s="6">
        <f t="shared" si="38"/>
        <v>-7156.0673632767284</v>
      </c>
    </row>
    <row r="918" spans="2:8" ht="18" x14ac:dyDescent="0.45">
      <c r="B918" s="3" t="s">
        <v>438</v>
      </c>
      <c r="C918" s="15" t="s">
        <v>956</v>
      </c>
      <c r="D918">
        <v>3442</v>
      </c>
      <c r="E918">
        <v>1272.8</v>
      </c>
      <c r="F918">
        <v>1026000</v>
      </c>
      <c r="G918" s="5">
        <f t="shared" si="37"/>
        <v>1036007.9972581421</v>
      </c>
      <c r="H918" s="6">
        <f t="shared" si="38"/>
        <v>-10007.997258142103</v>
      </c>
    </row>
    <row r="919" spans="2:8" ht="18" x14ac:dyDescent="0.45">
      <c r="B919" s="3" t="s">
        <v>719</v>
      </c>
      <c r="C919" s="15" t="s">
        <v>957</v>
      </c>
      <c r="D919">
        <v>3444</v>
      </c>
      <c r="E919">
        <v>1272.8</v>
      </c>
      <c r="F919">
        <v>1027000</v>
      </c>
      <c r="G919" s="5">
        <f t="shared" si="37"/>
        <v>1036607.0722129695</v>
      </c>
      <c r="H919" s="6">
        <f t="shared" si="38"/>
        <v>-9607.072212969535</v>
      </c>
    </row>
    <row r="920" spans="2:8" ht="18" x14ac:dyDescent="0.45">
      <c r="B920" s="3" t="s">
        <v>442</v>
      </c>
      <c r="C920" s="15" t="s">
        <v>958</v>
      </c>
      <c r="D920">
        <v>3442</v>
      </c>
      <c r="E920">
        <v>1280</v>
      </c>
      <c r="F920">
        <v>1030000</v>
      </c>
      <c r="G920" s="5">
        <f t="shared" si="37"/>
        <v>1041840.2235154165</v>
      </c>
      <c r="H920" s="6">
        <f t="shared" si="38"/>
        <v>-11840.223515416496</v>
      </c>
    </row>
    <row r="921" spans="2:8" ht="18" x14ac:dyDescent="0.45">
      <c r="B921" s="3" t="s">
        <v>710</v>
      </c>
      <c r="C921" s="15" t="s">
        <v>959</v>
      </c>
      <c r="D921">
        <v>3440</v>
      </c>
      <c r="E921">
        <v>1274</v>
      </c>
      <c r="F921">
        <v>1025000</v>
      </c>
      <c r="G921" s="5">
        <f t="shared" si="37"/>
        <v>1036380.395203035</v>
      </c>
      <c r="H921" s="6">
        <f t="shared" si="38"/>
        <v>-11380.395203034976</v>
      </c>
    </row>
    <row r="922" spans="2:8" ht="18" x14ac:dyDescent="0.45">
      <c r="B922" s="3" t="s">
        <v>446</v>
      </c>
      <c r="C922" s="15" t="s">
        <v>960</v>
      </c>
      <c r="D922">
        <v>3442</v>
      </c>
      <c r="E922">
        <v>1272</v>
      </c>
      <c r="F922">
        <v>1024000</v>
      </c>
      <c r="G922" s="5">
        <f t="shared" si="37"/>
        <v>1035359.9721184449</v>
      </c>
      <c r="H922" s="6">
        <f t="shared" si="38"/>
        <v>-11359.972118444857</v>
      </c>
    </row>
    <row r="923" spans="2:8" ht="18" x14ac:dyDescent="0.45">
      <c r="B923" s="3" t="s">
        <v>448</v>
      </c>
      <c r="C923" s="15" t="s">
        <v>961</v>
      </c>
      <c r="D923">
        <v>3445</v>
      </c>
      <c r="E923">
        <v>1252</v>
      </c>
      <c r="F923">
        <v>1013000</v>
      </c>
      <c r="G923" s="5">
        <f t="shared" si="37"/>
        <v>1020043.2710027973</v>
      </c>
      <c r="H923" s="6">
        <f t="shared" si="38"/>
        <v>-7043.2710027972935</v>
      </c>
    </row>
    <row r="924" spans="2:8" ht="18" x14ac:dyDescent="0.45">
      <c r="B924" s="3" t="s">
        <v>438</v>
      </c>
      <c r="C924" s="15" t="s">
        <v>962</v>
      </c>
      <c r="D924">
        <v>3447</v>
      </c>
      <c r="E924">
        <v>1251.9000000000001</v>
      </c>
      <c r="F924">
        <v>1010000</v>
      </c>
      <c r="G924" s="5">
        <f t="shared" si="37"/>
        <v>1020551.4351094748</v>
      </c>
      <c r="H924" s="6">
        <f t="shared" si="38"/>
        <v>-10551.435109474813</v>
      </c>
    </row>
    <row r="925" spans="2:8" ht="18" x14ac:dyDescent="0.45">
      <c r="B925" s="3" t="s">
        <v>442</v>
      </c>
      <c r="C925" s="15" t="s">
        <v>963</v>
      </c>
      <c r="D925">
        <v>3455</v>
      </c>
      <c r="E925">
        <v>1249</v>
      </c>
      <c r="F925">
        <v>1012000</v>
      </c>
      <c r="G925" s="5">
        <f t="shared" si="37"/>
        <v>1020550.4231585377</v>
      </c>
      <c r="H925" s="6">
        <f t="shared" si="38"/>
        <v>-8550.4231585377129</v>
      </c>
    </row>
    <row r="926" spans="2:8" ht="18" x14ac:dyDescent="0.45">
      <c r="B926" s="3" t="s">
        <v>710</v>
      </c>
      <c r="C926" s="15" t="s">
        <v>964</v>
      </c>
      <c r="D926">
        <v>3465</v>
      </c>
      <c r="E926">
        <v>1240</v>
      </c>
      <c r="F926">
        <v>1007000</v>
      </c>
      <c r="G926" s="5">
        <f t="shared" si="37"/>
        <v>1016150.7899559526</v>
      </c>
      <c r="H926" s="6">
        <f t="shared" si="38"/>
        <v>-9150.789955952554</v>
      </c>
    </row>
    <row r="927" spans="2:8" ht="18" x14ac:dyDescent="0.45">
      <c r="B927" s="3" t="s">
        <v>446</v>
      </c>
      <c r="C927" s="15" t="s">
        <v>965</v>
      </c>
      <c r="D927">
        <v>3462</v>
      </c>
      <c r="E927">
        <v>1221</v>
      </c>
      <c r="F927">
        <v>996000</v>
      </c>
      <c r="G927" s="5">
        <f t="shared" si="37"/>
        <v>999795.30943638866</v>
      </c>
      <c r="H927" s="6">
        <f t="shared" si="38"/>
        <v>-3795.309436388663</v>
      </c>
    </row>
    <row r="928" spans="2:8" ht="18" x14ac:dyDescent="0.45">
      <c r="B928" s="3" t="s">
        <v>448</v>
      </c>
      <c r="C928" s="15" t="s">
        <v>966</v>
      </c>
      <c r="D928">
        <v>3470</v>
      </c>
      <c r="E928">
        <v>1228</v>
      </c>
      <c r="F928">
        <v>1005000</v>
      </c>
      <c r="G928" s="5">
        <f t="shared" si="37"/>
        <v>1007810.4315339355</v>
      </c>
      <c r="H928" s="6">
        <f t="shared" si="38"/>
        <v>-2810.4315339354798</v>
      </c>
    </row>
    <row r="929" spans="2:8" ht="18" x14ac:dyDescent="0.45">
      <c r="B929" s="3" t="s">
        <v>438</v>
      </c>
      <c r="C929" s="15" t="s">
        <v>967</v>
      </c>
      <c r="D929">
        <v>3493</v>
      </c>
      <c r="E929">
        <v>1212.8</v>
      </c>
      <c r="F929">
        <v>1000000</v>
      </c>
      <c r="G929" s="5">
        <f t="shared" si="37"/>
        <v>1001962.3906015495</v>
      </c>
      <c r="H929" s="6">
        <f t="shared" si="38"/>
        <v>-1962.3906015495304</v>
      </c>
    </row>
    <row r="930" spans="2:8" ht="18" x14ac:dyDescent="0.45">
      <c r="B930" s="3" t="s">
        <v>719</v>
      </c>
      <c r="C930" s="15" t="s">
        <v>968</v>
      </c>
      <c r="D930">
        <v>3480</v>
      </c>
      <c r="E930">
        <v>1212.8</v>
      </c>
      <c r="F930">
        <v>999000</v>
      </c>
      <c r="G930" s="5">
        <f t="shared" si="37"/>
        <v>998251.96658843174</v>
      </c>
      <c r="H930" s="6">
        <f t="shared" si="38"/>
        <v>748.03341156826355</v>
      </c>
    </row>
    <row r="931" spans="2:8" ht="18" x14ac:dyDescent="0.45">
      <c r="B931" s="3" t="s">
        <v>442</v>
      </c>
      <c r="C931" s="15" t="s">
        <v>969</v>
      </c>
      <c r="D931">
        <v>3470</v>
      </c>
      <c r="E931">
        <v>1209</v>
      </c>
      <c r="F931">
        <v>1000000</v>
      </c>
      <c r="G931" s="5">
        <f t="shared" si="37"/>
        <v>992294.63495482726</v>
      </c>
      <c r="H931" s="6">
        <f t="shared" si="38"/>
        <v>7705.3650451727444</v>
      </c>
    </row>
    <row r="932" spans="2:8" ht="18" x14ac:dyDescent="0.45">
      <c r="B932" s="3" t="s">
        <v>710</v>
      </c>
      <c r="C932" s="15" t="s">
        <v>970</v>
      </c>
      <c r="D932" s="21">
        <v>3473</v>
      </c>
      <c r="E932" s="4">
        <v>1212</v>
      </c>
      <c r="F932" s="21">
        <v>1001000</v>
      </c>
      <c r="G932" s="5">
        <f t="shared" si="37"/>
        <v>995600.18445809081</v>
      </c>
      <c r="H932" s="6">
        <f t="shared" si="38"/>
        <v>5399.8155419091927</v>
      </c>
    </row>
    <row r="933" spans="2:8" ht="18" x14ac:dyDescent="0.45">
      <c r="B933" s="3" t="s">
        <v>446</v>
      </c>
      <c r="C933" s="15" t="s">
        <v>971</v>
      </c>
      <c r="D933" s="21">
        <v>3471</v>
      </c>
      <c r="E933" s="4">
        <v>1217</v>
      </c>
      <c r="F933" s="21">
        <v>1000000</v>
      </c>
      <c r="G933" s="5">
        <f t="shared" si="37"/>
        <v>999114.00758447731</v>
      </c>
      <c r="H933" s="6">
        <f t="shared" si="38"/>
        <v>885.99241552269086</v>
      </c>
    </row>
    <row r="934" spans="2:8" ht="18" x14ac:dyDescent="0.45">
      <c r="B934" s="3" t="s">
        <v>448</v>
      </c>
      <c r="C934" s="15" t="s">
        <v>972</v>
      </c>
      <c r="D934" s="21">
        <v>3482</v>
      </c>
      <c r="E934" s="4">
        <v>1215</v>
      </c>
      <c r="F934" s="21">
        <v>1001000</v>
      </c>
      <c r="G934" s="5">
        <f t="shared" si="37"/>
        <v>1000625.5798797543</v>
      </c>
      <c r="H934" s="6">
        <f t="shared" si="38"/>
        <v>374.42012024566066</v>
      </c>
    </row>
    <row r="935" spans="2:8" ht="18" x14ac:dyDescent="0.45">
      <c r="B935" s="3" t="s">
        <v>719</v>
      </c>
      <c r="C935" s="15" t="s">
        <v>973</v>
      </c>
      <c r="D935" s="21">
        <v>3472</v>
      </c>
      <c r="E935" s="4">
        <v>1243.5</v>
      </c>
      <c r="F935" s="21">
        <v>1013000</v>
      </c>
      <c r="G935" s="5">
        <f t="shared" si="37"/>
        <v>1021053.3392405877</v>
      </c>
      <c r="H935" s="6">
        <f t="shared" si="38"/>
        <v>-8053.3392405876657</v>
      </c>
    </row>
    <row r="936" spans="2:8" ht="18" x14ac:dyDescent="0.45">
      <c r="B936" s="3" t="s">
        <v>442</v>
      </c>
      <c r="C936" s="15" t="s">
        <v>974</v>
      </c>
      <c r="D936" s="21">
        <v>3457</v>
      </c>
      <c r="E936" s="4">
        <v>1242</v>
      </c>
      <c r="F936" s="21">
        <v>1008000</v>
      </c>
      <c r="G936" s="5">
        <f t="shared" si="37"/>
        <v>1015443.3656496156</v>
      </c>
      <c r="H936" s="6">
        <f t="shared" si="38"/>
        <v>-7443.3656496156473</v>
      </c>
    </row>
    <row r="937" spans="2:8" ht="18" x14ac:dyDescent="0.45">
      <c r="B937" s="3" t="s">
        <v>710</v>
      </c>
      <c r="C937" s="15" t="s">
        <v>975</v>
      </c>
      <c r="D937" s="21">
        <v>3460</v>
      </c>
      <c r="E937" s="4">
        <v>1237</v>
      </c>
      <c r="F937" s="21">
        <v>1006000</v>
      </c>
      <c r="G937" s="5">
        <f t="shared" si="37"/>
        <v>1012248.8954120183</v>
      </c>
      <c r="H937" s="6">
        <f t="shared" si="38"/>
        <v>-6248.8954120182898</v>
      </c>
    </row>
    <row r="938" spans="2:8" ht="18" x14ac:dyDescent="0.45">
      <c r="B938" s="3" t="s">
        <v>446</v>
      </c>
      <c r="C938" s="15" t="s">
        <v>976</v>
      </c>
      <c r="D938" s="21">
        <v>3465</v>
      </c>
      <c r="E938" s="4">
        <v>1253</v>
      </c>
      <c r="F938" s="21">
        <v>1011000</v>
      </c>
      <c r="G938" s="5">
        <f t="shared" si="37"/>
        <v>1026751.5643667812</v>
      </c>
      <c r="H938" s="6">
        <f t="shared" si="38"/>
        <v>-15751.564366781153</v>
      </c>
    </row>
    <row r="939" spans="2:8" ht="18" x14ac:dyDescent="0.45">
      <c r="B939" s="3" t="s">
        <v>448</v>
      </c>
      <c r="C939" s="15" t="s">
        <v>977</v>
      </c>
      <c r="D939" s="21">
        <v>3470</v>
      </c>
      <c r="E939" s="4">
        <v>1262</v>
      </c>
      <c r="F939" s="21">
        <v>1019000</v>
      </c>
      <c r="G939" s="5">
        <f t="shared" si="37"/>
        <v>1035575.541201813</v>
      </c>
      <c r="H939" s="6">
        <f t="shared" si="38"/>
        <v>-16575.54120181303</v>
      </c>
    </row>
    <row r="940" spans="2:8" ht="18" x14ac:dyDescent="0.45">
      <c r="B940" s="3" t="s">
        <v>438</v>
      </c>
      <c r="C940" s="15" t="s">
        <v>978</v>
      </c>
      <c r="D940" s="21">
        <v>3467</v>
      </c>
      <c r="E940" s="4">
        <v>1273.3</v>
      </c>
      <c r="F940" s="21">
        <v>1031000</v>
      </c>
      <c r="G940" s="5">
        <f t="shared" si="37"/>
        <v>1043904.3916236373</v>
      </c>
      <c r="H940" s="6">
        <f t="shared" si="38"/>
        <v>-12904.39162363729</v>
      </c>
    </row>
    <row r="941" spans="2:8" ht="18" x14ac:dyDescent="0.45">
      <c r="B941" s="3" t="s">
        <v>719</v>
      </c>
      <c r="C941" s="15" t="s">
        <v>979</v>
      </c>
      <c r="D941" s="21">
        <v>3465</v>
      </c>
      <c r="E941" s="4">
        <v>1273.3</v>
      </c>
      <c r="F941" s="21">
        <v>1029000</v>
      </c>
      <c r="G941" s="5">
        <f t="shared" si="37"/>
        <v>1043305.0813313826</v>
      </c>
      <c r="H941" s="6">
        <f t="shared" si="38"/>
        <v>-14305.081331382622</v>
      </c>
    </row>
    <row r="942" spans="2:8" ht="18" x14ac:dyDescent="0.45">
      <c r="B942" s="3" t="s">
        <v>442</v>
      </c>
      <c r="C942" s="15" t="s">
        <v>980</v>
      </c>
      <c r="D942" s="21">
        <v>3458</v>
      </c>
      <c r="E942" s="4">
        <v>1284</v>
      </c>
      <c r="F942" s="21">
        <v>1032000</v>
      </c>
      <c r="G942" s="5">
        <f t="shared" ref="G942:G1040" si="39">E942/31.103*8.133*D942*0.9+5000</f>
        <v>1049915.1213194868</v>
      </c>
      <c r="H942" s="6">
        <f t="shared" si="38"/>
        <v>-17915.12131948676</v>
      </c>
    </row>
    <row r="943" spans="2:8" ht="18" x14ac:dyDescent="0.45">
      <c r="B943" s="3" t="s">
        <v>710</v>
      </c>
      <c r="C943" s="15" t="s">
        <v>981</v>
      </c>
      <c r="D943" s="21">
        <v>3463</v>
      </c>
      <c r="E943" s="4">
        <v>1281</v>
      </c>
      <c r="F943" s="21">
        <v>1030000</v>
      </c>
      <c r="G943" s="5">
        <f t="shared" si="39"/>
        <v>1048981.0670707007</v>
      </c>
      <c r="H943" s="6">
        <f t="shared" si="38"/>
        <v>-18981.067070700694</v>
      </c>
    </row>
    <row r="944" spans="2:8" ht="18" x14ac:dyDescent="0.45">
      <c r="B944" s="3" t="s">
        <v>446</v>
      </c>
      <c r="C944" s="15" t="s">
        <v>982</v>
      </c>
      <c r="D944" s="21">
        <v>3465</v>
      </c>
      <c r="E944" s="4">
        <v>1281</v>
      </c>
      <c r="F944" s="21">
        <v>1031000</v>
      </c>
      <c r="G944" s="5">
        <f t="shared" si="39"/>
        <v>1049584.001559335</v>
      </c>
      <c r="H944" s="6">
        <f t="shared" si="38"/>
        <v>-18584.00155933504</v>
      </c>
    </row>
    <row r="945" spans="2:8" ht="18" x14ac:dyDescent="0.45">
      <c r="B945" s="3" t="s">
        <v>448</v>
      </c>
      <c r="C945" s="15" t="s">
        <v>983</v>
      </c>
      <c r="D945" s="21">
        <v>3460</v>
      </c>
      <c r="E945" s="4">
        <v>1306</v>
      </c>
      <c r="F945" s="21">
        <v>1048000</v>
      </c>
      <c r="G945" s="5">
        <f t="shared" si="39"/>
        <v>1068433.3527955501</v>
      </c>
      <c r="H945" s="6">
        <f t="shared" si="38"/>
        <v>-20433.352795550134</v>
      </c>
    </row>
    <row r="946" spans="2:8" ht="18" x14ac:dyDescent="0.45">
      <c r="B946" s="3" t="s">
        <v>438</v>
      </c>
      <c r="C946" s="15" t="s">
        <v>984</v>
      </c>
      <c r="D946" s="21">
        <v>3457</v>
      </c>
      <c r="E946" s="4">
        <v>1298.0999999999999</v>
      </c>
      <c r="F946" s="21">
        <v>1043000</v>
      </c>
      <c r="G946" s="5">
        <f t="shared" si="39"/>
        <v>1061084.1650159147</v>
      </c>
      <c r="H946" s="6">
        <f t="shared" si="38"/>
        <v>-18084.16501591471</v>
      </c>
    </row>
    <row r="947" spans="2:8" ht="18" x14ac:dyDescent="0.45">
      <c r="B947" s="3" t="s">
        <v>719</v>
      </c>
      <c r="C947" s="15" t="s">
        <v>985</v>
      </c>
      <c r="D947" s="21">
        <v>3455</v>
      </c>
      <c r="E947" s="4">
        <v>1298.0999999999999</v>
      </c>
      <c r="F947" s="21">
        <v>1042000</v>
      </c>
      <c r="G947" s="5">
        <f t="shared" si="39"/>
        <v>1060473.1819872679</v>
      </c>
      <c r="H947" s="6">
        <f t="shared" si="38"/>
        <v>-18473.181987267919</v>
      </c>
    </row>
    <row r="948" spans="2:8" ht="18" x14ac:dyDescent="0.45">
      <c r="B948" s="3" t="s">
        <v>442</v>
      </c>
      <c r="C948" s="15" t="s">
        <v>986</v>
      </c>
      <c r="D948" s="21">
        <v>3460</v>
      </c>
      <c r="E948" s="4">
        <v>1280</v>
      </c>
      <c r="F948" s="21">
        <v>1034000</v>
      </c>
      <c r="G948" s="5">
        <f t="shared" si="39"/>
        <v>1047262.3978394365</v>
      </c>
      <c r="H948" s="6">
        <f t="shared" si="38"/>
        <v>-13262.39783943654</v>
      </c>
    </row>
    <row r="949" spans="2:8" ht="18" x14ac:dyDescent="0.45">
      <c r="B949" s="3" t="s">
        <v>710</v>
      </c>
      <c r="C949" s="15" t="s">
        <v>987</v>
      </c>
      <c r="D949" s="21">
        <v>3465</v>
      </c>
      <c r="E949" s="4">
        <v>1271</v>
      </c>
      <c r="F949" s="21">
        <v>1033000</v>
      </c>
      <c r="G949" s="5">
        <f t="shared" si="39"/>
        <v>1041429.5597048514</v>
      </c>
      <c r="H949" s="6">
        <f t="shared" si="38"/>
        <v>-8429.5597048513591</v>
      </c>
    </row>
    <row r="950" spans="2:8" ht="18" x14ac:dyDescent="0.45">
      <c r="B950" s="3" t="s">
        <v>446</v>
      </c>
      <c r="C950" s="15" t="s">
        <v>988</v>
      </c>
      <c r="D950" s="21">
        <v>3468</v>
      </c>
      <c r="E950" s="4">
        <v>1265</v>
      </c>
      <c r="F950" s="21">
        <v>1026000</v>
      </c>
      <c r="G950" s="5">
        <f t="shared" si="39"/>
        <v>1037430.0001286048</v>
      </c>
      <c r="H950" s="6">
        <f t="shared" si="38"/>
        <v>-11430.000128604821</v>
      </c>
    </row>
    <row r="951" spans="2:8" ht="18" x14ac:dyDescent="0.45">
      <c r="B951" s="3" t="s">
        <v>448</v>
      </c>
      <c r="C951" s="15" t="s">
        <v>989</v>
      </c>
      <c r="D951" s="21">
        <v>3470</v>
      </c>
      <c r="E951" s="4">
        <v>1264</v>
      </c>
      <c r="F951" s="21">
        <v>1028000</v>
      </c>
      <c r="G951" s="5">
        <f t="shared" si="39"/>
        <v>1037208.7829469824</v>
      </c>
      <c r="H951" s="6">
        <f t="shared" si="38"/>
        <v>-9208.782946982421</v>
      </c>
    </row>
    <row r="952" spans="2:8" ht="18" x14ac:dyDescent="0.45">
      <c r="B952" s="3" t="s">
        <v>438</v>
      </c>
      <c r="C952" s="15" t="s">
        <v>990</v>
      </c>
      <c r="D952" s="21">
        <v>3473</v>
      </c>
      <c r="E952" s="4">
        <v>1315.6</v>
      </c>
      <c r="F952" s="21">
        <v>1059000</v>
      </c>
      <c r="G952" s="5">
        <f t="shared" si="39"/>
        <v>1080275.2497302508</v>
      </c>
      <c r="H952" s="6">
        <f t="shared" si="38"/>
        <v>-21275.249730250798</v>
      </c>
    </row>
    <row r="953" spans="2:8" ht="18" x14ac:dyDescent="0.45">
      <c r="B953" s="3" t="s">
        <v>719</v>
      </c>
      <c r="C953" s="15" t="s">
        <v>991</v>
      </c>
      <c r="D953" s="21">
        <v>3495</v>
      </c>
      <c r="E953" s="4">
        <v>1315.6</v>
      </c>
      <c r="F953" s="21">
        <v>1067000</v>
      </c>
      <c r="G953" s="5">
        <f t="shared" si="39"/>
        <v>1087086.6679548596</v>
      </c>
      <c r="H953" s="6">
        <f t="shared" si="38"/>
        <v>-20086.667954859557</v>
      </c>
    </row>
    <row r="954" spans="2:8" ht="18" x14ac:dyDescent="0.45">
      <c r="B954" s="3" t="s">
        <v>671</v>
      </c>
      <c r="C954" s="15" t="s">
        <v>992</v>
      </c>
      <c r="D954" s="21">
        <v>3503</v>
      </c>
      <c r="E954" s="4">
        <v>1312</v>
      </c>
      <c r="F954" s="21">
        <v>1071000</v>
      </c>
      <c r="G954" s="5">
        <f t="shared" si="39"/>
        <v>1086595.7540815999</v>
      </c>
      <c r="H954" s="6">
        <f t="shared" si="38"/>
        <v>-15595.75408159988</v>
      </c>
    </row>
    <row r="955" spans="2:8" ht="18" x14ac:dyDescent="0.45">
      <c r="B955" s="3" t="s">
        <v>446</v>
      </c>
      <c r="C955" s="15" t="s">
        <v>993</v>
      </c>
      <c r="D955" s="21">
        <v>3528</v>
      </c>
      <c r="E955" s="4">
        <v>1321</v>
      </c>
      <c r="F955" s="21">
        <v>1079000</v>
      </c>
      <c r="G955" s="5">
        <f t="shared" si="39"/>
        <v>1101787.2556859467</v>
      </c>
      <c r="H955" s="6">
        <f t="shared" si="38"/>
        <v>-22787.255685946671</v>
      </c>
    </row>
    <row r="956" spans="2:8" ht="18" x14ac:dyDescent="0.45">
      <c r="B956" s="3" t="s">
        <v>448</v>
      </c>
      <c r="C956" s="15" t="s">
        <v>994</v>
      </c>
      <c r="D956" s="21">
        <v>3543</v>
      </c>
      <c r="E956" s="4">
        <v>1319</v>
      </c>
      <c r="F956" s="21">
        <v>1085000</v>
      </c>
      <c r="G956" s="5">
        <f t="shared" si="39"/>
        <v>1104782.8657975113</v>
      </c>
      <c r="H956" s="6">
        <f t="shared" si="38"/>
        <v>-19782.865797511302</v>
      </c>
    </row>
    <row r="957" spans="2:8" ht="18" x14ac:dyDescent="0.45">
      <c r="B957" s="3" t="s">
        <v>438</v>
      </c>
      <c r="C957" s="15" t="s">
        <v>995</v>
      </c>
      <c r="D957" s="21">
        <v>3525</v>
      </c>
      <c r="E957" s="4">
        <v>1341.9</v>
      </c>
      <c r="F957" s="21">
        <v>1102000</v>
      </c>
      <c r="G957" s="5">
        <f t="shared" si="39"/>
        <v>1118192.5100713756</v>
      </c>
      <c r="H957" s="6">
        <f t="shared" si="38"/>
        <v>-16192.51007137564</v>
      </c>
    </row>
    <row r="958" spans="2:8" ht="18" x14ac:dyDescent="0.45">
      <c r="B958" s="3" t="s">
        <v>719</v>
      </c>
      <c r="C958" s="15" t="s">
        <v>996</v>
      </c>
      <c r="D958" s="21">
        <v>3495</v>
      </c>
      <c r="E958" s="4">
        <v>1341.9</v>
      </c>
      <c r="F958" s="21">
        <v>1098000</v>
      </c>
      <c r="G958" s="5">
        <f t="shared" si="39"/>
        <v>1108718.5312622576</v>
      </c>
      <c r="H958" s="6">
        <f t="shared" si="38"/>
        <v>-10718.531262257602</v>
      </c>
    </row>
    <row r="959" spans="2:8" ht="18" x14ac:dyDescent="0.45">
      <c r="B959" s="3" t="s">
        <v>442</v>
      </c>
      <c r="C959" s="15" t="s">
        <v>997</v>
      </c>
      <c r="D959" s="21">
        <v>3490</v>
      </c>
      <c r="E959" s="4">
        <v>1352</v>
      </c>
      <c r="F959" s="21">
        <v>1101000</v>
      </c>
      <c r="G959" s="5">
        <f t="shared" si="39"/>
        <v>1115434.9437674819</v>
      </c>
      <c r="H959" s="6">
        <f t="shared" si="38"/>
        <v>-14434.943767481949</v>
      </c>
    </row>
    <row r="960" spans="2:8" ht="18" x14ac:dyDescent="0.45">
      <c r="B960" s="3" t="s">
        <v>710</v>
      </c>
      <c r="C960" s="15" t="s">
        <v>998</v>
      </c>
      <c r="D960" s="21">
        <v>3488</v>
      </c>
      <c r="E960" s="4">
        <v>1351</v>
      </c>
      <c r="F960" s="21">
        <v>1100000</v>
      </c>
      <c r="G960" s="5">
        <f t="shared" si="39"/>
        <v>1113977.7344179016</v>
      </c>
      <c r="H960" s="6">
        <f t="shared" si="38"/>
        <v>-13977.734417901607</v>
      </c>
    </row>
    <row r="961" spans="2:8" ht="18" x14ac:dyDescent="0.45">
      <c r="B961" s="3" t="s">
        <v>438</v>
      </c>
      <c r="C961" s="15" t="s">
        <v>999</v>
      </c>
      <c r="D961" s="21">
        <v>3490</v>
      </c>
      <c r="E961" s="4">
        <v>1365.4</v>
      </c>
      <c r="F961" s="21">
        <v>1115000</v>
      </c>
      <c r="G961" s="5">
        <f t="shared" si="39"/>
        <v>1126440.7338906215</v>
      </c>
      <c r="H961" s="6">
        <f t="shared" si="38"/>
        <v>-11440.733890621457</v>
      </c>
    </row>
    <row r="962" spans="2:8" ht="18" x14ac:dyDescent="0.45">
      <c r="B962" s="3" t="s">
        <v>719</v>
      </c>
      <c r="C962" s="15" t="s">
        <v>1000</v>
      </c>
      <c r="D962" s="21">
        <v>3505</v>
      </c>
      <c r="E962" s="4">
        <v>1365.4</v>
      </c>
      <c r="F962" s="21">
        <v>1121000</v>
      </c>
      <c r="G962" s="5">
        <f t="shared" si="39"/>
        <v>1131260.6797382887</v>
      </c>
      <c r="H962" s="6">
        <f t="shared" ref="H962:H1025" si="40">F:F-G:G</f>
        <v>-10260.679738288745</v>
      </c>
    </row>
    <row r="963" spans="2:8" ht="18" x14ac:dyDescent="0.45">
      <c r="B963" s="3" t="s">
        <v>442</v>
      </c>
      <c r="C963" s="15" t="s">
        <v>1001</v>
      </c>
      <c r="D963" s="21">
        <v>3508</v>
      </c>
      <c r="E963" s="4">
        <v>1357</v>
      </c>
      <c r="F963" s="21">
        <v>1117000</v>
      </c>
      <c r="G963" s="5">
        <f t="shared" si="39"/>
        <v>1125289.9338713307</v>
      </c>
      <c r="H963" s="6">
        <f t="shared" si="40"/>
        <v>-8289.9338713306934</v>
      </c>
    </row>
    <row r="964" spans="2:8" ht="18" x14ac:dyDescent="0.45">
      <c r="B964" s="3" t="s">
        <v>710</v>
      </c>
      <c r="C964" s="15" t="s">
        <v>1002</v>
      </c>
      <c r="D964" s="21">
        <v>3512</v>
      </c>
      <c r="E964" s="4">
        <v>1348</v>
      </c>
      <c r="F964" s="21">
        <v>1115000</v>
      </c>
      <c r="G964" s="5">
        <f t="shared" si="39"/>
        <v>1119128.8000257208</v>
      </c>
      <c r="H964" s="6">
        <f t="shared" si="40"/>
        <v>-4128.8000257208478</v>
      </c>
    </row>
    <row r="965" spans="2:8" ht="18" x14ac:dyDescent="0.45">
      <c r="B965" s="3" t="s">
        <v>446</v>
      </c>
      <c r="C965" s="15" t="s">
        <v>1003</v>
      </c>
      <c r="D965" s="21">
        <v>3502</v>
      </c>
      <c r="E965" s="4">
        <v>1340</v>
      </c>
      <c r="F965" s="21">
        <v>1098000</v>
      </c>
      <c r="G965" s="5">
        <f t="shared" si="39"/>
        <v>1109363.2381442306</v>
      </c>
      <c r="H965" s="6">
        <f t="shared" si="40"/>
        <v>-11363.238144230563</v>
      </c>
    </row>
    <row r="966" spans="2:8" ht="18" x14ac:dyDescent="0.45">
      <c r="B966" s="3" t="s">
        <v>448</v>
      </c>
      <c r="C966" s="15" t="s">
        <v>1004</v>
      </c>
      <c r="D966" s="21">
        <v>3515</v>
      </c>
      <c r="E966" s="4">
        <v>1325</v>
      </c>
      <c r="F966" s="21">
        <v>1094000</v>
      </c>
      <c r="G966" s="5">
        <f t="shared" si="39"/>
        <v>1101054.650274893</v>
      </c>
      <c r="H966" s="6">
        <f t="shared" si="40"/>
        <v>-7054.6502748930361</v>
      </c>
    </row>
    <row r="967" spans="2:8" ht="18" x14ac:dyDescent="0.45">
      <c r="B967" s="3" t="s">
        <v>438</v>
      </c>
      <c r="C967" s="15" t="s">
        <v>1005</v>
      </c>
      <c r="D967" s="21">
        <v>3508</v>
      </c>
      <c r="E967" s="4">
        <v>1337.1</v>
      </c>
      <c r="F967" s="21">
        <v>1093000</v>
      </c>
      <c r="G967" s="5">
        <f t="shared" si="39"/>
        <v>1108861.2163444038</v>
      </c>
      <c r="H967" s="6">
        <f t="shared" si="40"/>
        <v>-15861.216344403801</v>
      </c>
    </row>
    <row r="968" spans="2:8" ht="18" x14ac:dyDescent="0.45">
      <c r="B968" s="3" t="s">
        <v>719</v>
      </c>
      <c r="C968" s="15" t="s">
        <v>1006</v>
      </c>
      <c r="D968" s="21">
        <v>3503</v>
      </c>
      <c r="E968" s="4">
        <v>1337.1</v>
      </c>
      <c r="F968" s="21">
        <v>1090000</v>
      </c>
      <c r="G968" s="5">
        <f t="shared" si="39"/>
        <v>1107287.867974472</v>
      </c>
      <c r="H968" s="6">
        <f t="shared" si="40"/>
        <v>-17287.867974471999</v>
      </c>
    </row>
    <row r="969" spans="2:8" ht="18" x14ac:dyDescent="0.45">
      <c r="B969" s="3" t="s">
        <v>442</v>
      </c>
      <c r="C969" s="15" t="s">
        <v>1007</v>
      </c>
      <c r="D969" s="21">
        <v>3501</v>
      </c>
      <c r="E969" s="4">
        <v>1324</v>
      </c>
      <c r="F969" s="21">
        <v>1083000</v>
      </c>
      <c r="G969" s="5">
        <f t="shared" si="39"/>
        <v>1095865.2246664306</v>
      </c>
      <c r="H969" s="6">
        <f t="shared" si="40"/>
        <v>-12865.224666430615</v>
      </c>
    </row>
    <row r="970" spans="2:8" ht="18" x14ac:dyDescent="0.45">
      <c r="B970" s="3" t="s">
        <v>710</v>
      </c>
      <c r="C970" s="15" t="s">
        <v>1008</v>
      </c>
      <c r="D970" s="21">
        <v>3505</v>
      </c>
      <c r="E970" s="4">
        <v>1331</v>
      </c>
      <c r="F970" s="21">
        <v>1087000</v>
      </c>
      <c r="G970" s="5">
        <f t="shared" si="39"/>
        <v>1102885.5754589587</v>
      </c>
      <c r="H970" s="6">
        <f t="shared" si="40"/>
        <v>-15885.575458958745</v>
      </c>
    </row>
    <row r="971" spans="2:8" ht="18" x14ac:dyDescent="0.45">
      <c r="B971" s="3" t="s">
        <v>446</v>
      </c>
      <c r="C971" s="15" t="s">
        <v>1009</v>
      </c>
      <c r="D971" s="21">
        <v>3507</v>
      </c>
      <c r="E971" s="4">
        <v>1320</v>
      </c>
      <c r="F971" s="21">
        <v>1085000</v>
      </c>
      <c r="G971" s="5">
        <f t="shared" si="39"/>
        <v>1094433.4317589942</v>
      </c>
      <c r="H971" s="6">
        <f t="shared" si="40"/>
        <v>-9433.4317589942366</v>
      </c>
    </row>
    <row r="972" spans="2:8" ht="18" x14ac:dyDescent="0.45">
      <c r="B972" s="3" t="s">
        <v>448</v>
      </c>
      <c r="C972" s="15" t="s">
        <v>1010</v>
      </c>
      <c r="D972" s="21">
        <v>3512</v>
      </c>
      <c r="E972" s="4">
        <v>1321</v>
      </c>
      <c r="F972" s="21">
        <v>1086000</v>
      </c>
      <c r="G972" s="5">
        <f t="shared" si="39"/>
        <v>1096813.1638234253</v>
      </c>
      <c r="H972" s="6">
        <f t="shared" si="40"/>
        <v>-10813.163823425304</v>
      </c>
    </row>
    <row r="973" spans="2:8" ht="18" x14ac:dyDescent="0.45">
      <c r="B973" s="3" t="s">
        <v>438</v>
      </c>
      <c r="C973" s="15" t="s">
        <v>1011</v>
      </c>
      <c r="D973" s="21">
        <v>3515</v>
      </c>
      <c r="E973" s="4">
        <v>1322.1</v>
      </c>
      <c r="F973" s="21">
        <v>1087000</v>
      </c>
      <c r="G973" s="5">
        <f t="shared" si="39"/>
        <v>1098655.7382101403</v>
      </c>
      <c r="H973" s="6">
        <f t="shared" si="40"/>
        <v>-11655.738210140262</v>
      </c>
    </row>
    <row r="974" spans="2:8" ht="18" x14ac:dyDescent="0.45">
      <c r="B974" s="3" t="s">
        <v>719</v>
      </c>
      <c r="C974" s="15" t="s">
        <v>1012</v>
      </c>
      <c r="D974" s="21">
        <v>3520</v>
      </c>
      <c r="E974" s="4">
        <v>1322.1</v>
      </c>
      <c r="F974" s="21">
        <v>1088000</v>
      </c>
      <c r="G974" s="5">
        <f t="shared" si="39"/>
        <v>1100211.4362730281</v>
      </c>
      <c r="H974" s="6">
        <f t="shared" si="40"/>
        <v>-12211.436273028143</v>
      </c>
    </row>
    <row r="975" spans="2:8" ht="18" x14ac:dyDescent="0.45">
      <c r="B975" s="3" t="s">
        <v>442</v>
      </c>
      <c r="C975" s="15" t="s">
        <v>1013</v>
      </c>
      <c r="D975" s="21">
        <v>3522</v>
      </c>
      <c r="E975" s="4">
        <v>1317</v>
      </c>
      <c r="F975" s="21">
        <v>1085000</v>
      </c>
      <c r="G975" s="5">
        <f t="shared" si="39"/>
        <v>1096606.5375622928</v>
      </c>
      <c r="H975" s="6">
        <f t="shared" si="40"/>
        <v>-11606.537562292768</v>
      </c>
    </row>
    <row r="976" spans="2:8" ht="18" x14ac:dyDescent="0.45">
      <c r="B976" s="3" t="s">
        <v>710</v>
      </c>
      <c r="C976" s="15" t="s">
        <v>1014</v>
      </c>
      <c r="D976" s="21">
        <v>3530</v>
      </c>
      <c r="E976" s="4">
        <v>1320</v>
      </c>
      <c r="F976" s="21">
        <v>1093000</v>
      </c>
      <c r="G976" s="5">
        <f t="shared" si="39"/>
        <v>1101578.2760505415</v>
      </c>
      <c r="H976" s="6">
        <f t="shared" si="40"/>
        <v>-8578.2760505415499</v>
      </c>
    </row>
    <row r="977" spans="2:8" ht="18" x14ac:dyDescent="0.45">
      <c r="B977" s="3" t="s">
        <v>446</v>
      </c>
      <c r="C977" s="15" t="s">
        <v>1015</v>
      </c>
      <c r="D977" s="21">
        <v>3538</v>
      </c>
      <c r="E977" s="4">
        <v>1319</v>
      </c>
      <c r="F977" s="21">
        <v>1092000</v>
      </c>
      <c r="G977" s="5">
        <f t="shared" si="39"/>
        <v>1103230.815464746</v>
      </c>
      <c r="H977" s="6">
        <f t="shared" si="40"/>
        <v>-11230.815464745974</v>
      </c>
    </row>
    <row r="978" spans="2:8" ht="18" x14ac:dyDescent="0.45">
      <c r="B978" s="3" t="s">
        <v>448</v>
      </c>
      <c r="C978" s="15" t="s">
        <v>1016</v>
      </c>
      <c r="D978" s="21">
        <v>3543</v>
      </c>
      <c r="E978" s="4">
        <v>1340</v>
      </c>
      <c r="F978" s="21">
        <v>1111000</v>
      </c>
      <c r="G978" s="5">
        <f t="shared" si="39"/>
        <v>1122292.6763977751</v>
      </c>
      <c r="H978" s="6">
        <f t="shared" si="40"/>
        <v>-11292.676397775067</v>
      </c>
    </row>
    <row r="979" spans="2:8" ht="18" x14ac:dyDescent="0.45">
      <c r="B979" s="3" t="s">
        <v>440</v>
      </c>
      <c r="C979" s="15" t="s">
        <v>1017</v>
      </c>
      <c r="D979" s="21">
        <v>3540</v>
      </c>
      <c r="E979" s="4">
        <v>1350.4</v>
      </c>
      <c r="F979" s="21">
        <v>1117000</v>
      </c>
      <c r="G979" s="5">
        <f t="shared" si="39"/>
        <v>1130010.8026621225</v>
      </c>
      <c r="H979" s="6">
        <f t="shared" si="40"/>
        <v>-13010.802662122529</v>
      </c>
    </row>
    <row r="980" spans="2:8" ht="18" x14ac:dyDescent="0.45">
      <c r="B980" s="3" t="s">
        <v>442</v>
      </c>
      <c r="C980" s="15" t="s">
        <v>1018</v>
      </c>
      <c r="D980" s="21">
        <v>3535</v>
      </c>
      <c r="E980" s="4">
        <v>1347</v>
      </c>
      <c r="F980" s="21">
        <v>1114000</v>
      </c>
      <c r="G980" s="5">
        <f t="shared" si="39"/>
        <v>1125593.2838150659</v>
      </c>
      <c r="H980" s="6">
        <f t="shared" si="40"/>
        <v>-11593.283815065864</v>
      </c>
    </row>
    <row r="981" spans="2:8" ht="18" x14ac:dyDescent="0.45">
      <c r="B981" s="3" t="s">
        <v>671</v>
      </c>
      <c r="C981" s="15" t="s">
        <v>1019</v>
      </c>
      <c r="D981" s="21">
        <v>3545</v>
      </c>
      <c r="E981" s="4">
        <v>1359</v>
      </c>
      <c r="F981" s="21">
        <v>1126000</v>
      </c>
      <c r="G981" s="5">
        <f t="shared" si="39"/>
        <v>1138774.5331157763</v>
      </c>
      <c r="H981" s="6">
        <f t="shared" si="40"/>
        <v>-12774.533115776256</v>
      </c>
    </row>
    <row r="982" spans="2:8" ht="18" x14ac:dyDescent="0.45">
      <c r="B982" s="3" t="s">
        <v>446</v>
      </c>
      <c r="C982" s="15" t="s">
        <v>1020</v>
      </c>
      <c r="D982" s="21">
        <v>3535</v>
      </c>
      <c r="E982" s="4">
        <v>1363</v>
      </c>
      <c r="F982" s="21">
        <v>1128000</v>
      </c>
      <c r="G982" s="5">
        <f t="shared" si="39"/>
        <v>1138903.9687007682</v>
      </c>
      <c r="H982" s="6">
        <f t="shared" si="40"/>
        <v>-10903.968700768193</v>
      </c>
    </row>
    <row r="983" spans="2:8" ht="18" x14ac:dyDescent="0.45">
      <c r="B983" s="3" t="s">
        <v>448</v>
      </c>
      <c r="C983" s="15" t="s">
        <v>1021</v>
      </c>
      <c r="D983" s="21">
        <v>3530</v>
      </c>
      <c r="E983" s="4">
        <v>1351</v>
      </c>
      <c r="F983" s="21">
        <v>1117000</v>
      </c>
      <c r="G983" s="5">
        <f t="shared" si="39"/>
        <v>1127331.2507153649</v>
      </c>
      <c r="H983" s="6">
        <f t="shared" si="40"/>
        <v>-10331.250715364935</v>
      </c>
    </row>
    <row r="984" spans="2:8" ht="18" x14ac:dyDescent="0.45">
      <c r="B984" s="3" t="s">
        <v>438</v>
      </c>
      <c r="C984" s="15" t="s">
        <v>1022</v>
      </c>
      <c r="D984" s="21">
        <v>3535</v>
      </c>
      <c r="E984" s="4">
        <v>1335.4</v>
      </c>
      <c r="F984" s="21">
        <v>1105000</v>
      </c>
      <c r="G984" s="5">
        <f t="shared" si="39"/>
        <v>1115943.0372729318</v>
      </c>
      <c r="H984" s="6">
        <f t="shared" si="40"/>
        <v>-10943.037272931775</v>
      </c>
    </row>
    <row r="985" spans="2:8" ht="18" x14ac:dyDescent="0.45">
      <c r="B985" s="3" t="s">
        <v>719</v>
      </c>
      <c r="C985" s="15" t="s">
        <v>1023</v>
      </c>
      <c r="D985" s="21">
        <v>3543</v>
      </c>
      <c r="E985" s="4">
        <v>1335.4</v>
      </c>
      <c r="F985" s="21">
        <v>1107000</v>
      </c>
      <c r="G985" s="5">
        <f t="shared" si="39"/>
        <v>1118457.1940758126</v>
      </c>
      <c r="H985" s="6">
        <f t="shared" si="40"/>
        <v>-11457.194075812586</v>
      </c>
    </row>
    <row r="986" spans="2:8" ht="18" x14ac:dyDescent="0.45">
      <c r="B986" s="3" t="s">
        <v>442</v>
      </c>
      <c r="C986" s="15" t="s">
        <v>1024</v>
      </c>
      <c r="D986" s="21">
        <v>3536</v>
      </c>
      <c r="E986" s="4">
        <v>1332</v>
      </c>
      <c r="F986" s="21">
        <v>1106000</v>
      </c>
      <c r="G986" s="5">
        <f t="shared" si="39"/>
        <v>1113427.9861878273</v>
      </c>
      <c r="H986" s="6">
        <f t="shared" si="40"/>
        <v>-7427.9861878273077</v>
      </c>
    </row>
    <row r="987" spans="2:8" ht="18" x14ac:dyDescent="0.45">
      <c r="B987" s="3" t="s">
        <v>710</v>
      </c>
      <c r="C987" s="15" t="s">
        <v>1025</v>
      </c>
      <c r="D987" s="21">
        <v>3538</v>
      </c>
      <c r="E987" s="4">
        <v>1333</v>
      </c>
      <c r="F987" s="21">
        <v>1109000</v>
      </c>
      <c r="G987" s="5">
        <f t="shared" si="39"/>
        <v>1114887.5489116805</v>
      </c>
      <c r="H987" s="6">
        <f t="shared" si="40"/>
        <v>-5887.5489116804674</v>
      </c>
    </row>
    <row r="988" spans="2:8" ht="18" x14ac:dyDescent="0.45">
      <c r="B988" s="3" t="s">
        <v>446</v>
      </c>
      <c r="C988" s="15" t="s">
        <v>1026</v>
      </c>
      <c r="D988" s="21">
        <v>3535</v>
      </c>
      <c r="E988" s="4">
        <v>1352</v>
      </c>
      <c r="F988" s="21">
        <v>1124000</v>
      </c>
      <c r="G988" s="5">
        <f t="shared" si="39"/>
        <v>1129752.8728418478</v>
      </c>
      <c r="H988" s="6">
        <f t="shared" si="40"/>
        <v>-5752.8728418478277</v>
      </c>
    </row>
    <row r="989" spans="2:8" ht="18" x14ac:dyDescent="0.45">
      <c r="B989" s="3" t="s">
        <v>448</v>
      </c>
      <c r="C989" s="15" t="s">
        <v>1027</v>
      </c>
      <c r="D989" s="21">
        <v>3540</v>
      </c>
      <c r="E989" s="4">
        <v>1349</v>
      </c>
      <c r="F989" s="21">
        <v>1120000</v>
      </c>
      <c r="G989" s="5">
        <f t="shared" si="39"/>
        <v>1128844.4703726326</v>
      </c>
      <c r="H989" s="6">
        <f t="shared" si="40"/>
        <v>-8844.4703726326115</v>
      </c>
    </row>
    <row r="990" spans="2:8" ht="18" x14ac:dyDescent="0.45">
      <c r="B990" s="3" t="s">
        <v>438</v>
      </c>
      <c r="C990" s="15" t="s">
        <v>1028</v>
      </c>
      <c r="D990" s="21">
        <v>3537</v>
      </c>
      <c r="E990" s="4">
        <v>1335.7</v>
      </c>
      <c r="F990" s="21">
        <v>1112000</v>
      </c>
      <c r="G990" s="5">
        <f t="shared" si="39"/>
        <v>1116821.2930177152</v>
      </c>
      <c r="H990" s="6">
        <f t="shared" si="40"/>
        <v>-4821.2930177152157</v>
      </c>
    </row>
    <row r="991" spans="2:8" ht="18" x14ac:dyDescent="0.45">
      <c r="B991" s="3" t="s">
        <v>719</v>
      </c>
      <c r="C991" s="15" t="s">
        <v>1029</v>
      </c>
      <c r="D991" s="21">
        <v>3534</v>
      </c>
      <c r="E991" s="4">
        <v>1335.7</v>
      </c>
      <c r="F991" s="21">
        <v>1109000</v>
      </c>
      <c r="G991" s="5">
        <f t="shared" si="39"/>
        <v>1115878.2724129504</v>
      </c>
      <c r="H991" s="6">
        <f t="shared" si="40"/>
        <v>-6878.2724129504059</v>
      </c>
    </row>
    <row r="992" spans="2:8" ht="18" x14ac:dyDescent="0.45">
      <c r="B992" s="3" t="s">
        <v>442</v>
      </c>
      <c r="C992" s="15" t="s">
        <v>1030</v>
      </c>
      <c r="D992" s="21">
        <v>3530</v>
      </c>
      <c r="E992" s="4">
        <v>1339</v>
      </c>
      <c r="F992" s="21">
        <v>1111000</v>
      </c>
      <c r="G992" s="5">
        <f t="shared" si="39"/>
        <v>1117362.3572967236</v>
      </c>
      <c r="H992" s="6">
        <f t="shared" si="40"/>
        <v>-6362.3572967236396</v>
      </c>
    </row>
    <row r="993" spans="2:8" ht="18" x14ac:dyDescent="0.45">
      <c r="B993" s="3" t="s">
        <v>710</v>
      </c>
      <c r="C993" s="15" t="s">
        <v>1031</v>
      </c>
      <c r="D993" s="21">
        <v>3532</v>
      </c>
      <c r="E993" s="4">
        <v>1352</v>
      </c>
      <c r="F993" s="21">
        <v>1121000</v>
      </c>
      <c r="G993" s="5">
        <f t="shared" si="39"/>
        <v>1128798.3442368903</v>
      </c>
      <c r="H993" s="6">
        <f t="shared" si="40"/>
        <v>-7798.3442368903197</v>
      </c>
    </row>
    <row r="994" spans="2:8" ht="18" x14ac:dyDescent="0.45">
      <c r="B994" s="3" t="s">
        <v>446</v>
      </c>
      <c r="C994" s="15" t="s">
        <v>1032</v>
      </c>
      <c r="D994" s="21">
        <v>3538</v>
      </c>
      <c r="E994" s="4">
        <v>1342</v>
      </c>
      <c r="F994" s="21">
        <v>1119000</v>
      </c>
      <c r="G994" s="5">
        <f t="shared" si="39"/>
        <v>1122381.1632704239</v>
      </c>
      <c r="H994" s="6">
        <f t="shared" si="40"/>
        <v>-3381.1632704238873</v>
      </c>
    </row>
    <row r="995" spans="2:8" ht="18" x14ac:dyDescent="0.45">
      <c r="B995" s="3" t="s">
        <v>448</v>
      </c>
      <c r="C995" s="15" t="s">
        <v>1033</v>
      </c>
      <c r="D995" s="21">
        <v>3536</v>
      </c>
      <c r="E995" s="4">
        <v>1355</v>
      </c>
      <c r="F995" s="21">
        <v>1121000</v>
      </c>
      <c r="G995" s="5">
        <f t="shared" si="39"/>
        <v>1132567.5084718515</v>
      </c>
      <c r="H995" s="6">
        <f t="shared" si="40"/>
        <v>-11567.50847185147</v>
      </c>
    </row>
    <row r="996" spans="2:8" ht="18" x14ac:dyDescent="0.45">
      <c r="B996" s="3" t="s">
        <v>438</v>
      </c>
      <c r="C996" s="15" t="s">
        <v>1034</v>
      </c>
      <c r="D996" s="21">
        <v>3533</v>
      </c>
      <c r="E996" s="4">
        <v>1341.1</v>
      </c>
      <c r="F996" s="21">
        <v>1114000</v>
      </c>
      <c r="G996" s="5">
        <f t="shared" si="39"/>
        <v>1120053.7467160721</v>
      </c>
      <c r="H996" s="6">
        <f t="shared" si="40"/>
        <v>-6053.7467160720844</v>
      </c>
    </row>
    <row r="997" spans="2:8" ht="18" x14ac:dyDescent="0.45">
      <c r="B997" s="3" t="s">
        <v>719</v>
      </c>
      <c r="C997" s="15" t="s">
        <v>1035</v>
      </c>
      <c r="D997" s="21">
        <v>3535</v>
      </c>
      <c r="E997" s="4">
        <v>1341</v>
      </c>
      <c r="F997" s="21">
        <v>1115000</v>
      </c>
      <c r="G997" s="5">
        <f t="shared" si="39"/>
        <v>1120601.7769829277</v>
      </c>
      <c r="H997" s="6">
        <f t="shared" si="40"/>
        <v>-5601.7769829276949</v>
      </c>
    </row>
    <row r="998" spans="2:8" ht="18" x14ac:dyDescent="0.45">
      <c r="B998" s="3" t="s">
        <v>442</v>
      </c>
      <c r="C998" s="15" t="s">
        <v>1036</v>
      </c>
      <c r="D998" s="21">
        <v>3539</v>
      </c>
      <c r="E998" s="4">
        <v>1336</v>
      </c>
      <c r="F998" s="21">
        <v>1113000</v>
      </c>
      <c r="G998" s="5">
        <f t="shared" si="39"/>
        <v>1117699.8311674113</v>
      </c>
      <c r="H998" s="6">
        <f t="shared" si="40"/>
        <v>-4699.831167411292</v>
      </c>
    </row>
    <row r="999" spans="2:8" ht="18" x14ac:dyDescent="0.45">
      <c r="B999" s="3" t="s">
        <v>710</v>
      </c>
      <c r="C999" s="15" t="s">
        <v>1037</v>
      </c>
      <c r="D999" s="21">
        <v>3545</v>
      </c>
      <c r="E999" s="4">
        <v>1339</v>
      </c>
      <c r="F999" s="21">
        <v>1116000</v>
      </c>
      <c r="G999" s="5">
        <f t="shared" si="39"/>
        <v>1122089.1095231969</v>
      </c>
      <c r="H999" s="6">
        <f t="shared" si="40"/>
        <v>-6089.1095231969375</v>
      </c>
    </row>
    <row r="1000" spans="2:8" ht="18" x14ac:dyDescent="0.45">
      <c r="B1000" s="3" t="s">
        <v>446</v>
      </c>
      <c r="C1000" s="15" t="s">
        <v>1038</v>
      </c>
      <c r="D1000" s="21">
        <v>3542</v>
      </c>
      <c r="E1000" s="4">
        <v>1337</v>
      </c>
      <c r="F1000" s="21">
        <v>1115000</v>
      </c>
      <c r="G1000" s="5">
        <f t="shared" si="39"/>
        <v>1119476.6287432078</v>
      </c>
      <c r="H1000" s="6">
        <f t="shared" si="40"/>
        <v>-4476.6287432077806</v>
      </c>
    </row>
    <row r="1001" spans="2:8" ht="18" x14ac:dyDescent="0.45">
      <c r="B1001" s="3" t="s">
        <v>448</v>
      </c>
      <c r="C1001" s="15" t="s">
        <v>1039</v>
      </c>
      <c r="D1001" s="21">
        <v>3548</v>
      </c>
      <c r="E1001" s="4">
        <v>1328</v>
      </c>
      <c r="F1001" s="21">
        <v>1111000</v>
      </c>
      <c r="G1001" s="5">
        <f t="shared" si="39"/>
        <v>1113849.7108574735</v>
      </c>
      <c r="H1001" s="6">
        <f t="shared" si="40"/>
        <v>-2849.7108574735466</v>
      </c>
    </row>
    <row r="1002" spans="2:8" ht="18" x14ac:dyDescent="0.45">
      <c r="B1002" s="3" t="s">
        <v>438</v>
      </c>
      <c r="C1002" s="15" t="s">
        <v>1040</v>
      </c>
      <c r="D1002" s="21">
        <v>3554</v>
      </c>
      <c r="E1002" s="4">
        <v>1320.5</v>
      </c>
      <c r="F1002" s="21">
        <v>1110000</v>
      </c>
      <c r="G1002" s="5">
        <f t="shared" si="39"/>
        <v>1109451.9603543065</v>
      </c>
      <c r="H1002" s="6">
        <f t="shared" si="40"/>
        <v>548.03964569349773</v>
      </c>
    </row>
    <row r="1003" spans="2:8" ht="18" x14ac:dyDescent="0.45">
      <c r="B1003" s="3" t="s">
        <v>719</v>
      </c>
      <c r="C1003" s="15" t="s">
        <v>1041</v>
      </c>
      <c r="D1003" s="21">
        <v>3552</v>
      </c>
      <c r="E1003" s="4">
        <v>1320.5</v>
      </c>
      <c r="F1003" s="21">
        <v>1111000</v>
      </c>
      <c r="G1003" s="5">
        <f t="shared" si="39"/>
        <v>1108830.4342089188</v>
      </c>
      <c r="H1003" s="6">
        <f t="shared" si="40"/>
        <v>2169.5657910811715</v>
      </c>
    </row>
    <row r="1004" spans="2:8" ht="18" x14ac:dyDescent="0.45">
      <c r="B1004" s="3" t="s">
        <v>442</v>
      </c>
      <c r="C1004" s="15" t="s">
        <v>1042</v>
      </c>
      <c r="D1004" s="21">
        <v>3555</v>
      </c>
      <c r="E1004" s="4">
        <v>1320</v>
      </c>
      <c r="F1004" s="21">
        <v>1112000</v>
      </c>
      <c r="G1004" s="5">
        <f t="shared" si="39"/>
        <v>1109344.4111500497</v>
      </c>
      <c r="H1004" s="6">
        <f t="shared" si="40"/>
        <v>2655.588849950349</v>
      </c>
    </row>
    <row r="1005" spans="2:8" ht="18" x14ac:dyDescent="0.45">
      <c r="B1005" s="3" t="s">
        <v>710</v>
      </c>
      <c r="C1005" s="15" t="s">
        <v>1043</v>
      </c>
      <c r="D1005" s="21">
        <v>3553</v>
      </c>
      <c r="E1005" s="4">
        <v>1320</v>
      </c>
      <c r="F1005" s="21">
        <v>1115000</v>
      </c>
      <c r="G1005" s="5">
        <f t="shared" si="39"/>
        <v>1108723.1203420891</v>
      </c>
      <c r="H1005" s="6">
        <f t="shared" si="40"/>
        <v>6276.8796579109039</v>
      </c>
    </row>
    <row r="1006" spans="2:8" ht="18" x14ac:dyDescent="0.45">
      <c r="B1006" s="3" t="s">
        <v>446</v>
      </c>
      <c r="C1006" s="15" t="s">
        <v>1044</v>
      </c>
      <c r="D1006" s="21">
        <v>3556</v>
      </c>
      <c r="E1006" s="4">
        <v>1313</v>
      </c>
      <c r="F1006" s="21">
        <v>1112000</v>
      </c>
      <c r="G1006" s="5">
        <f t="shared" si="39"/>
        <v>1103797.0373147284</v>
      </c>
      <c r="H1006" s="6">
        <f t="shared" si="40"/>
        <v>8202.9626852716319</v>
      </c>
    </row>
    <row r="1007" spans="2:8" ht="18" x14ac:dyDescent="0.45">
      <c r="B1007" s="3" t="s">
        <v>448</v>
      </c>
      <c r="C1007" s="15" t="s">
        <v>1045</v>
      </c>
      <c r="D1007" s="21">
        <v>3564</v>
      </c>
      <c r="E1007" s="4">
        <v>1307</v>
      </c>
      <c r="F1007" s="4">
        <v>1110000</v>
      </c>
      <c r="G1007" s="5">
        <f t="shared" si="39"/>
        <v>1101236.5661061632</v>
      </c>
      <c r="H1007" s="6">
        <f t="shared" si="40"/>
        <v>8763.4338938368019</v>
      </c>
    </row>
    <row r="1008" spans="2:8" ht="18" x14ac:dyDescent="0.45">
      <c r="B1008" s="3" t="s">
        <v>438</v>
      </c>
      <c r="C1008" s="15" t="s">
        <v>1046</v>
      </c>
      <c r="D1008" s="21">
        <v>3562</v>
      </c>
      <c r="E1008" s="4">
        <v>1324.8</v>
      </c>
      <c r="F1008" s="21">
        <v>1120000</v>
      </c>
      <c r="G1008" s="5">
        <f t="shared" si="39"/>
        <v>1115542.6341741954</v>
      </c>
      <c r="H1008" s="6">
        <f t="shared" si="40"/>
        <v>4457.3658258046489</v>
      </c>
    </row>
    <row r="1009" spans="2:8" ht="18" x14ac:dyDescent="0.45">
      <c r="B1009" s="3" t="s">
        <v>719</v>
      </c>
      <c r="C1009" s="15" t="s">
        <v>1047</v>
      </c>
      <c r="D1009" s="21">
        <v>3556</v>
      </c>
      <c r="E1009" s="4">
        <v>1324.8</v>
      </c>
      <c r="F1009" s="21">
        <v>1119000</v>
      </c>
      <c r="G1009" s="5">
        <f t="shared" si="39"/>
        <v>1113671.9840324083</v>
      </c>
      <c r="H1009" s="6">
        <f t="shared" si="40"/>
        <v>5328.0159675916657</v>
      </c>
    </row>
    <row r="1010" spans="2:8" ht="18" x14ac:dyDescent="0.45">
      <c r="B1010" s="3" t="s">
        <v>442</v>
      </c>
      <c r="C1010" s="15" t="s">
        <v>1048</v>
      </c>
      <c r="D1010" s="21">
        <v>3550</v>
      </c>
      <c r="E1010" s="4">
        <v>1326</v>
      </c>
      <c r="F1010" s="21">
        <v>1116000</v>
      </c>
      <c r="G1010" s="5">
        <f t="shared" si="39"/>
        <v>1112803.8713307397</v>
      </c>
      <c r="H1010" s="6">
        <f t="shared" si="40"/>
        <v>3196.1286692603026</v>
      </c>
    </row>
    <row r="1011" spans="2:8" ht="18" x14ac:dyDescent="0.45">
      <c r="B1011" s="3" t="s">
        <v>710</v>
      </c>
      <c r="C1011" s="15" t="s">
        <v>1049</v>
      </c>
      <c r="D1011" s="21">
        <v>3554</v>
      </c>
      <c r="E1011" s="4">
        <v>1331</v>
      </c>
      <c r="F1011" s="21">
        <v>1119000</v>
      </c>
      <c r="G1011" s="5">
        <f t="shared" si="39"/>
        <v>1118234.0471272864</v>
      </c>
      <c r="H1011" s="6">
        <f t="shared" si="40"/>
        <v>765.9528727135621</v>
      </c>
    </row>
    <row r="1012" spans="2:8" ht="18" x14ac:dyDescent="0.45">
      <c r="B1012" s="3" t="s">
        <v>446</v>
      </c>
      <c r="C1012" s="15" t="s">
        <v>1050</v>
      </c>
      <c r="D1012" s="21">
        <v>3552</v>
      </c>
      <c r="E1012" s="4">
        <v>1347</v>
      </c>
      <c r="F1012" s="21">
        <v>1124000</v>
      </c>
      <c r="G1012" s="5">
        <f t="shared" si="39"/>
        <v>1130982.2755618426</v>
      </c>
      <c r="H1012" s="6">
        <f t="shared" si="40"/>
        <v>-6982.2755618426017</v>
      </c>
    </row>
    <row r="1013" spans="2:8" ht="18" x14ac:dyDescent="0.45">
      <c r="B1013" s="3" t="s">
        <v>448</v>
      </c>
      <c r="C1013" s="15" t="s">
        <v>1051</v>
      </c>
      <c r="D1013" s="21">
        <v>3550</v>
      </c>
      <c r="E1013" s="4">
        <v>1345</v>
      </c>
      <c r="F1013" s="21">
        <v>1125000</v>
      </c>
      <c r="G1013" s="5">
        <f t="shared" si="39"/>
        <v>1128677.3807992795</v>
      </c>
      <c r="H1013" s="6">
        <f t="shared" si="40"/>
        <v>-3677.3807992795482</v>
      </c>
    </row>
    <row r="1014" spans="2:8" ht="18" x14ac:dyDescent="0.45">
      <c r="B1014" s="3" t="s">
        <v>438</v>
      </c>
      <c r="C1014" s="15" t="s">
        <v>1052</v>
      </c>
      <c r="D1014" s="21">
        <v>3547</v>
      </c>
      <c r="E1014" s="4">
        <v>1327.8</v>
      </c>
      <c r="F1014" s="21">
        <v>1115000</v>
      </c>
      <c r="G1014" s="5">
        <f t="shared" si="39"/>
        <v>1113370.2343831784</v>
      </c>
      <c r="H1014" s="6">
        <f t="shared" si="40"/>
        <v>1629.7656168215908</v>
      </c>
    </row>
    <row r="1015" spans="2:8" ht="18" x14ac:dyDescent="0.45">
      <c r="B1015" s="3" t="s">
        <v>719</v>
      </c>
      <c r="C1015" s="15" t="s">
        <v>1053</v>
      </c>
      <c r="D1015" s="21">
        <v>3549</v>
      </c>
      <c r="E1015" s="4">
        <v>1327.8</v>
      </c>
      <c r="F1015" s="21">
        <v>1117000</v>
      </c>
      <c r="G1015" s="5">
        <f t="shared" si="39"/>
        <v>1113995.1964550042</v>
      </c>
      <c r="H1015" s="6">
        <f t="shared" si="40"/>
        <v>3004.8035449958406</v>
      </c>
    </row>
    <row r="1016" spans="2:8" ht="18" x14ac:dyDescent="0.45">
      <c r="B1016" s="3" t="s">
        <v>671</v>
      </c>
      <c r="C1016" s="15" t="s">
        <v>1054</v>
      </c>
      <c r="D1016" s="21">
        <v>3547</v>
      </c>
      <c r="E1016" s="4">
        <v>1324</v>
      </c>
      <c r="F1016" s="21">
        <v>1116000</v>
      </c>
      <c r="G1016" s="5">
        <f t="shared" si="39"/>
        <v>1110198.2153361412</v>
      </c>
      <c r="H1016" s="6">
        <f t="shared" si="40"/>
        <v>5801.7846638588235</v>
      </c>
    </row>
    <row r="1017" spans="2:8" ht="18" x14ac:dyDescent="0.45">
      <c r="B1017" s="3" t="s">
        <v>446</v>
      </c>
      <c r="C1017" s="15" t="s">
        <v>1055</v>
      </c>
      <c r="D1017" s="21">
        <v>3554</v>
      </c>
      <c r="E1017" s="4">
        <v>1321</v>
      </c>
      <c r="F1017" s="21">
        <v>1117000</v>
      </c>
      <c r="G1017" s="5">
        <f t="shared" si="39"/>
        <v>1109870.1549625436</v>
      </c>
      <c r="H1017" s="6">
        <f t="shared" si="40"/>
        <v>7129.845037456369</v>
      </c>
    </row>
    <row r="1018" spans="2:8" ht="18" x14ac:dyDescent="0.45">
      <c r="B1018" s="3" t="s">
        <v>448</v>
      </c>
      <c r="C1018" s="15" t="s">
        <v>1056</v>
      </c>
      <c r="D1018" s="21">
        <v>3556</v>
      </c>
      <c r="E1018" s="4">
        <v>1322</v>
      </c>
      <c r="F1018" s="21">
        <v>1118000</v>
      </c>
      <c r="G1018" s="5">
        <f t="shared" si="39"/>
        <v>1111328.7763366876</v>
      </c>
      <c r="H1018" s="6">
        <f t="shared" si="40"/>
        <v>6671.223663312383</v>
      </c>
    </row>
    <row r="1019" spans="2:8" ht="18" x14ac:dyDescent="0.45">
      <c r="B1019" s="3" t="s">
        <v>438</v>
      </c>
      <c r="C1019" s="15" t="s">
        <v>1057</v>
      </c>
      <c r="D1019" s="21">
        <v>3560</v>
      </c>
      <c r="E1019" s="4">
        <v>1310</v>
      </c>
      <c r="F1019" s="21">
        <v>1111000</v>
      </c>
      <c r="G1019" s="5">
        <f t="shared" si="39"/>
        <v>1102519.625759573</v>
      </c>
      <c r="H1019" s="6">
        <f t="shared" si="40"/>
        <v>8480.3742404270452</v>
      </c>
    </row>
    <row r="1020" spans="2:8" ht="18" x14ac:dyDescent="0.45">
      <c r="B1020" s="3" t="s">
        <v>719</v>
      </c>
      <c r="C1020" s="15" t="s">
        <v>1058</v>
      </c>
      <c r="D1020" s="21">
        <v>3558</v>
      </c>
      <c r="E1020" s="4">
        <v>1310</v>
      </c>
      <c r="F1020" s="21">
        <v>1113000</v>
      </c>
      <c r="G1020" s="5">
        <f t="shared" si="39"/>
        <v>1101903.0417001573</v>
      </c>
      <c r="H1020" s="6">
        <f t="shared" si="40"/>
        <v>11096.958299842663</v>
      </c>
    </row>
    <row r="1021" spans="2:8" ht="18" x14ac:dyDescent="0.45">
      <c r="B1021" s="3" t="s">
        <v>442</v>
      </c>
      <c r="C1021" s="15" t="s">
        <v>1059</v>
      </c>
      <c r="D1021" s="21">
        <v>3564</v>
      </c>
      <c r="E1021" s="4">
        <v>1316</v>
      </c>
      <c r="F1021" s="21">
        <v>1115000</v>
      </c>
      <c r="G1021" s="5">
        <f t="shared" si="39"/>
        <v>1108785.249422885</v>
      </c>
      <c r="H1021" s="6">
        <f t="shared" si="40"/>
        <v>6214.7505771149881</v>
      </c>
    </row>
    <row r="1022" spans="2:8" ht="18" x14ac:dyDescent="0.45">
      <c r="B1022" s="3" t="s">
        <v>446</v>
      </c>
      <c r="C1022" s="15" t="s">
        <v>1060</v>
      </c>
      <c r="D1022" s="21">
        <v>3566</v>
      </c>
      <c r="E1022" s="4">
        <v>1321</v>
      </c>
      <c r="F1022" s="21">
        <v>1116000</v>
      </c>
      <c r="G1022" s="5">
        <f t="shared" si="39"/>
        <v>1113600.7238594345</v>
      </c>
      <c r="H1022" s="6">
        <f t="shared" si="40"/>
        <v>2399.2761405655183</v>
      </c>
    </row>
    <row r="1023" spans="2:8" ht="18" x14ac:dyDescent="0.45">
      <c r="B1023" s="3" t="s">
        <v>448</v>
      </c>
      <c r="C1023" s="15" t="s">
        <v>1061</v>
      </c>
      <c r="D1023" s="21">
        <v>3565</v>
      </c>
      <c r="E1023" s="4">
        <v>1335</v>
      </c>
      <c r="F1023" s="21">
        <v>1120000</v>
      </c>
      <c r="G1023" s="5">
        <f t="shared" si="39"/>
        <v>1125035.5341124649</v>
      </c>
      <c r="H1023" s="6">
        <f t="shared" si="40"/>
        <v>-5035.5341124648694</v>
      </c>
    </row>
    <row r="1024" spans="2:8" ht="18" x14ac:dyDescent="0.45">
      <c r="B1024" s="3" t="s">
        <v>438</v>
      </c>
      <c r="C1024" s="15" t="s">
        <v>1062</v>
      </c>
      <c r="D1024" s="21">
        <v>3568</v>
      </c>
      <c r="E1024" s="4">
        <v>1337.1</v>
      </c>
      <c r="F1024" s="21">
        <v>1119000</v>
      </c>
      <c r="G1024" s="5">
        <f t="shared" si="39"/>
        <v>1127741.3967835899</v>
      </c>
      <c r="H1024" s="6">
        <f t="shared" si="40"/>
        <v>-8741.3967835898511</v>
      </c>
    </row>
    <row r="1025" spans="2:8" ht="18" x14ac:dyDescent="0.45">
      <c r="B1025" s="3" t="s">
        <v>719</v>
      </c>
      <c r="C1025" s="15" t="s">
        <v>1063</v>
      </c>
      <c r="D1025" s="21">
        <v>3573</v>
      </c>
      <c r="E1025" s="4">
        <v>1337.1</v>
      </c>
      <c r="F1025" s="21">
        <v>1118000</v>
      </c>
      <c r="G1025" s="5">
        <f t="shared" si="39"/>
        <v>1129314.7451535221</v>
      </c>
      <c r="H1025" s="6">
        <f t="shared" si="40"/>
        <v>-11314.745153522119</v>
      </c>
    </row>
    <row r="1026" spans="2:8" ht="18" x14ac:dyDescent="0.45">
      <c r="B1026" s="3" t="s">
        <v>442</v>
      </c>
      <c r="C1026" s="15" t="s">
        <v>1064</v>
      </c>
      <c r="D1026" s="21">
        <v>3571</v>
      </c>
      <c r="E1026" s="4">
        <v>1338</v>
      </c>
      <c r="F1026" s="21">
        <v>1116000</v>
      </c>
      <c r="G1026" s="5">
        <f t="shared" si="39"/>
        <v>1129441.7567630133</v>
      </c>
      <c r="H1026" s="6">
        <f t="shared" ref="H1026:H1089" si="41">F:F-G:G</f>
        <v>-13441.756763013313</v>
      </c>
    </row>
    <row r="1027" spans="2:8" ht="18" x14ac:dyDescent="0.45">
      <c r="B1027" s="3" t="s">
        <v>710</v>
      </c>
      <c r="C1027" s="15" t="s">
        <v>1065</v>
      </c>
      <c r="D1027" s="21">
        <v>3575</v>
      </c>
      <c r="E1027" s="4">
        <v>1334</v>
      </c>
      <c r="F1027" s="21">
        <v>1117000</v>
      </c>
      <c r="G1027" s="5">
        <f t="shared" si="39"/>
        <v>1127335.9574639101</v>
      </c>
      <c r="H1027" s="6">
        <f t="shared" si="41"/>
        <v>-10335.957463910105</v>
      </c>
    </row>
    <row r="1028" spans="2:8" ht="18" x14ac:dyDescent="0.45">
      <c r="B1028" s="3" t="s">
        <v>446</v>
      </c>
      <c r="C1028" s="15" t="s">
        <v>1066</v>
      </c>
      <c r="D1028" s="21">
        <v>3576</v>
      </c>
      <c r="E1028" s="4">
        <v>1326</v>
      </c>
      <c r="F1028" s="21">
        <v>1115000</v>
      </c>
      <c r="G1028" s="5">
        <f t="shared" si="39"/>
        <v>1120917.3644728805</v>
      </c>
      <c r="H1028" s="6">
        <f t="shared" si="41"/>
        <v>-5917.3644728804938</v>
      </c>
    </row>
    <row r="1029" spans="2:8" ht="18" x14ac:dyDescent="0.45">
      <c r="B1029" s="3" t="s">
        <v>448</v>
      </c>
      <c r="C1029" s="15" t="s">
        <v>1067</v>
      </c>
      <c r="D1029" s="21">
        <v>3583</v>
      </c>
      <c r="E1029" s="4">
        <v>1324</v>
      </c>
      <c r="F1029" s="21">
        <v>1116000</v>
      </c>
      <c r="G1029" s="5">
        <f t="shared" si="39"/>
        <v>1121415.3384689577</v>
      </c>
      <c r="H1029" s="6">
        <f t="shared" si="41"/>
        <v>-5415.3384689576924</v>
      </c>
    </row>
    <row r="1030" spans="2:8" ht="18" x14ac:dyDescent="0.45">
      <c r="B1030" s="3" t="s">
        <v>438</v>
      </c>
      <c r="C1030" s="15" t="s">
        <v>1068</v>
      </c>
      <c r="D1030" s="21">
        <v>3585</v>
      </c>
      <c r="E1030" s="4">
        <v>1315.9</v>
      </c>
      <c r="F1030" s="21">
        <v>1115000</v>
      </c>
      <c r="G1030" s="5">
        <f t="shared" si="39"/>
        <v>1115204.6660949106</v>
      </c>
      <c r="H1030" s="6">
        <f t="shared" si="41"/>
        <v>-204.66609491058625</v>
      </c>
    </row>
    <row r="1031" spans="2:8" ht="18" x14ac:dyDescent="0.45">
      <c r="B1031" s="3" t="s">
        <v>719</v>
      </c>
      <c r="C1031" s="15" t="s">
        <v>1069</v>
      </c>
      <c r="D1031" s="21">
        <v>3582</v>
      </c>
      <c r="E1031" s="4">
        <v>1315.9</v>
      </c>
      <c r="F1031" s="21">
        <v>1116000</v>
      </c>
      <c r="G1031" s="5">
        <f t="shared" si="39"/>
        <v>1114275.6245333247</v>
      </c>
      <c r="H1031" s="6">
        <f t="shared" si="41"/>
        <v>1724.3754666752648</v>
      </c>
    </row>
    <row r="1032" spans="2:8" ht="18" x14ac:dyDescent="0.45">
      <c r="B1032" s="3" t="s">
        <v>442</v>
      </c>
      <c r="C1032" s="15" t="s">
        <v>1070</v>
      </c>
      <c r="D1032" s="21">
        <v>3588</v>
      </c>
      <c r="E1032" s="4">
        <v>1316</v>
      </c>
      <c r="F1032" s="21">
        <v>1117000</v>
      </c>
      <c r="G1032" s="5">
        <f t="shared" si="39"/>
        <v>1116218.1467253959</v>
      </c>
      <c r="H1032" s="6">
        <f t="shared" si="41"/>
        <v>781.85327460407279</v>
      </c>
    </row>
    <row r="1033" spans="2:8" ht="18" x14ac:dyDescent="0.45">
      <c r="B1033" s="3" t="s">
        <v>710</v>
      </c>
      <c r="C1033" s="15" t="s">
        <v>1071</v>
      </c>
      <c r="D1033" s="21">
        <v>3586</v>
      </c>
      <c r="E1033" s="4">
        <v>1294</v>
      </c>
      <c r="F1033" s="21">
        <v>1108000</v>
      </c>
      <c r="G1033" s="5">
        <f t="shared" si="39"/>
        <v>1097032.4983056295</v>
      </c>
      <c r="H1033" s="6">
        <f t="shared" si="41"/>
        <v>10967.501694370527</v>
      </c>
    </row>
    <row r="1034" spans="2:8" ht="18" x14ac:dyDescent="0.45">
      <c r="B1034" s="3" t="s">
        <v>446</v>
      </c>
      <c r="C1034" s="15" t="s">
        <v>1072</v>
      </c>
      <c r="D1034" s="21">
        <v>3595</v>
      </c>
      <c r="E1034" s="4">
        <v>1274</v>
      </c>
      <c r="F1034" s="21">
        <v>1091000</v>
      </c>
      <c r="G1034" s="5">
        <f t="shared" si="39"/>
        <v>1082852.4769636367</v>
      </c>
      <c r="H1034" s="6">
        <f t="shared" si="41"/>
        <v>8147.5230363633018</v>
      </c>
    </row>
    <row r="1035" spans="2:8" ht="18" x14ac:dyDescent="0.45">
      <c r="B1035" s="3" t="s">
        <v>448</v>
      </c>
      <c r="C1035" s="15" t="s">
        <v>1073</v>
      </c>
      <c r="D1035" s="21">
        <v>3592</v>
      </c>
      <c r="E1035" s="4">
        <v>1266</v>
      </c>
      <c r="F1035" s="21">
        <v>1088000</v>
      </c>
      <c r="G1035" s="5">
        <f t="shared" si="39"/>
        <v>1075190.3610069766</v>
      </c>
      <c r="H1035" s="6">
        <f t="shared" si="41"/>
        <v>12809.638993023429</v>
      </c>
    </row>
    <row r="1036" spans="2:8" ht="18" x14ac:dyDescent="0.45">
      <c r="B1036" s="3" t="s">
        <v>438</v>
      </c>
      <c r="C1036" s="15" t="s">
        <v>1074</v>
      </c>
      <c r="D1036" s="21">
        <v>3590</v>
      </c>
      <c r="E1036" s="4">
        <v>1257.5999999999999</v>
      </c>
      <c r="F1036" s="21">
        <v>1083000</v>
      </c>
      <c r="G1036" s="5">
        <f t="shared" si="39"/>
        <v>1067497.6511847728</v>
      </c>
      <c r="H1036" s="6">
        <f t="shared" si="41"/>
        <v>15502.34881522716</v>
      </c>
    </row>
    <row r="1037" spans="2:8" ht="18" x14ac:dyDescent="0.45">
      <c r="B1037" s="3" t="s">
        <v>719</v>
      </c>
      <c r="C1037" s="15" t="s">
        <v>1075</v>
      </c>
      <c r="D1037" s="21">
        <v>3586</v>
      </c>
      <c r="E1037" s="4">
        <v>1257.5999999999999</v>
      </c>
      <c r="F1037" s="21">
        <v>1082000</v>
      </c>
      <c r="G1037" s="5">
        <f t="shared" si="39"/>
        <v>1066313.8097906951</v>
      </c>
      <c r="H1037" s="6">
        <f t="shared" si="41"/>
        <v>15686.190209304914</v>
      </c>
    </row>
    <row r="1038" spans="2:8" ht="18" x14ac:dyDescent="0.45">
      <c r="B1038" s="3" t="s">
        <v>442</v>
      </c>
      <c r="C1038" s="15" t="s">
        <v>1076</v>
      </c>
      <c r="D1038" s="21">
        <v>3598</v>
      </c>
      <c r="E1038" s="4">
        <v>1263</v>
      </c>
      <c r="F1038" s="21">
        <v>1085000</v>
      </c>
      <c r="G1038" s="5">
        <f t="shared" si="39"/>
        <v>1074437.7519146062</v>
      </c>
      <c r="H1038" s="6">
        <f t="shared" si="41"/>
        <v>10562.248085393803</v>
      </c>
    </row>
    <row r="1039" spans="2:8" ht="18" x14ac:dyDescent="0.45">
      <c r="B1039" s="3" t="s">
        <v>448</v>
      </c>
      <c r="C1039" s="15" t="s">
        <v>1077</v>
      </c>
      <c r="D1039" s="21">
        <v>3602</v>
      </c>
      <c r="E1039" s="4">
        <v>1261</v>
      </c>
      <c r="F1039" s="21">
        <v>1086000</v>
      </c>
      <c r="G1039" s="5">
        <f t="shared" si="39"/>
        <v>1073931.3057711471</v>
      </c>
      <c r="H1039" s="6">
        <f t="shared" si="41"/>
        <v>12068.694228852866</v>
      </c>
    </row>
    <row r="1040" spans="2:8" ht="18" x14ac:dyDescent="0.45">
      <c r="B1040" s="3" t="s">
        <v>438</v>
      </c>
      <c r="C1040" s="15" t="s">
        <v>1078</v>
      </c>
      <c r="D1040" s="21">
        <v>3604</v>
      </c>
      <c r="E1040" s="4">
        <v>1250.5</v>
      </c>
      <c r="F1040" s="21">
        <v>1084000</v>
      </c>
      <c r="G1040" s="5">
        <f t="shared" si="39"/>
        <v>1065619.1878404012</v>
      </c>
      <c r="H1040" s="6">
        <f t="shared" si="41"/>
        <v>18380.812159598805</v>
      </c>
    </row>
    <row r="1041" spans="2:8" ht="18" x14ac:dyDescent="0.45">
      <c r="B1041" s="3" t="s">
        <v>719</v>
      </c>
      <c r="C1041" s="15" t="s">
        <v>1079</v>
      </c>
      <c r="D1041" s="21">
        <v>3598</v>
      </c>
      <c r="E1041" s="4">
        <v>1250.5</v>
      </c>
      <c r="F1041" s="21">
        <v>1083000</v>
      </c>
      <c r="G1041" s="5">
        <f t="shared" ref="G1041:G1107" si="42">E1041/31.103*8.133*D1041*0.9+5000</f>
        <v>1063853.4511236856</v>
      </c>
      <c r="H1041" s="6">
        <f t="shared" si="41"/>
        <v>19146.548876314424</v>
      </c>
    </row>
    <row r="1042" spans="2:8" ht="18" x14ac:dyDescent="0.45">
      <c r="B1042" s="3" t="s">
        <v>442</v>
      </c>
      <c r="C1042" s="15" t="s">
        <v>1080</v>
      </c>
      <c r="D1042" s="21">
        <v>3591</v>
      </c>
      <c r="E1042" s="4">
        <v>1254</v>
      </c>
      <c r="F1042" s="21">
        <v>1086000</v>
      </c>
      <c r="G1042" s="5">
        <f t="shared" si="42"/>
        <v>1064751.2634086742</v>
      </c>
      <c r="H1042" s="6">
        <f t="shared" si="41"/>
        <v>21248.73659132584</v>
      </c>
    </row>
    <row r="1043" spans="2:8" ht="18" x14ac:dyDescent="0.45">
      <c r="B1043" s="3" t="s">
        <v>710</v>
      </c>
      <c r="C1043" s="15" t="s">
        <v>1081</v>
      </c>
      <c r="D1043" s="21">
        <v>3589</v>
      </c>
      <c r="E1043" s="4">
        <v>1261</v>
      </c>
      <c r="F1043" s="21">
        <v>1092000</v>
      </c>
      <c r="G1043" s="5">
        <f t="shared" si="42"/>
        <v>1070073.4193261098</v>
      </c>
      <c r="H1043" s="6">
        <f t="shared" si="41"/>
        <v>21926.580673890188</v>
      </c>
    </row>
    <row r="1044" spans="2:8" ht="18" x14ac:dyDescent="0.45">
      <c r="B1044" s="3" t="s">
        <v>446</v>
      </c>
      <c r="C1044" s="15" t="s">
        <v>1082</v>
      </c>
      <c r="D1044" s="21">
        <v>3588</v>
      </c>
      <c r="E1044" s="4">
        <v>1270</v>
      </c>
      <c r="F1044" s="21">
        <v>1095000</v>
      </c>
      <c r="G1044" s="5">
        <f t="shared" si="42"/>
        <v>1077376.1750313472</v>
      </c>
      <c r="H1044" s="6">
        <f t="shared" si="41"/>
        <v>17623.8249686528</v>
      </c>
    </row>
    <row r="1045" spans="2:8" ht="18" x14ac:dyDescent="0.45">
      <c r="B1045" s="3" t="s">
        <v>448</v>
      </c>
      <c r="C1045" s="15" t="s">
        <v>1083</v>
      </c>
      <c r="D1045" s="21">
        <v>3593</v>
      </c>
      <c r="E1045" s="4">
        <v>1268</v>
      </c>
      <c r="F1045" s="21">
        <v>1094000</v>
      </c>
      <c r="G1045" s="5">
        <f t="shared" si="42"/>
        <v>1077179.4329421597</v>
      </c>
      <c r="H1045" s="6">
        <f t="shared" si="41"/>
        <v>16820.567057840293</v>
      </c>
    </row>
    <row r="1046" spans="2:8" ht="18" x14ac:dyDescent="0.45">
      <c r="B1046" s="3" t="s">
        <v>438</v>
      </c>
      <c r="C1046" s="15" t="s">
        <v>1084</v>
      </c>
      <c r="D1046" s="21">
        <v>3594</v>
      </c>
      <c r="E1046" s="4">
        <v>1265.7</v>
      </c>
      <c r="F1046" s="21">
        <v>1095000</v>
      </c>
      <c r="G1046" s="5">
        <f t="shared" si="42"/>
        <v>1075532.4945587243</v>
      </c>
      <c r="H1046" s="6">
        <f t="shared" si="41"/>
        <v>19467.505441275658</v>
      </c>
    </row>
    <row r="1047" spans="2:8" ht="18" x14ac:dyDescent="0.45">
      <c r="B1047" s="3" t="s">
        <v>719</v>
      </c>
      <c r="C1047" s="15" t="s">
        <v>1085</v>
      </c>
      <c r="D1047" s="21">
        <v>3595</v>
      </c>
      <c r="E1047" s="4">
        <v>1265.7</v>
      </c>
      <c r="F1047" s="21">
        <v>1096000</v>
      </c>
      <c r="G1047" s="5">
        <f t="shared" si="42"/>
        <v>1075830.3611404046</v>
      </c>
      <c r="H1047" s="6">
        <f t="shared" si="41"/>
        <v>20169.638859595405</v>
      </c>
    </row>
    <row r="1048" spans="2:8" ht="18" x14ac:dyDescent="0.45">
      <c r="B1048" s="3" t="s">
        <v>442</v>
      </c>
      <c r="C1048" s="15" t="s">
        <v>1086</v>
      </c>
      <c r="D1048" s="21">
        <v>3607</v>
      </c>
      <c r="E1048" s="4">
        <v>1266</v>
      </c>
      <c r="F1048" s="21">
        <v>1103000</v>
      </c>
      <c r="G1048" s="5">
        <f t="shared" si="42"/>
        <v>1079659.4187506028</v>
      </c>
      <c r="H1048" s="6">
        <f t="shared" si="41"/>
        <v>23340.581249397248</v>
      </c>
    </row>
    <row r="1049" spans="2:8" ht="18" x14ac:dyDescent="0.45">
      <c r="B1049" s="3" t="s">
        <v>710</v>
      </c>
      <c r="C1049" s="15" t="s">
        <v>1087</v>
      </c>
      <c r="D1049" s="21">
        <v>3620</v>
      </c>
      <c r="E1049" s="4">
        <v>1271</v>
      </c>
      <c r="F1049" s="21">
        <v>1109000</v>
      </c>
      <c r="G1049" s="5">
        <f t="shared" si="42"/>
        <v>1087792.2095617785</v>
      </c>
      <c r="H1049" s="6">
        <f t="shared" si="41"/>
        <v>21207.790438221535</v>
      </c>
    </row>
    <row r="1050" spans="2:8" ht="18" x14ac:dyDescent="0.45">
      <c r="B1050" s="3" t="s">
        <v>446</v>
      </c>
      <c r="C1050" s="15" t="s">
        <v>1088</v>
      </c>
      <c r="D1050" s="21">
        <v>3615</v>
      </c>
      <c r="E1050" s="4">
        <v>1272</v>
      </c>
      <c r="F1050" s="21">
        <v>1112000</v>
      </c>
      <c r="G1050" s="5">
        <f t="shared" si="42"/>
        <v>1087147.3850110918</v>
      </c>
      <c r="H1050" s="6">
        <f t="shared" si="41"/>
        <v>24852.614988908172</v>
      </c>
    </row>
    <row r="1051" spans="2:8" ht="18" x14ac:dyDescent="0.45">
      <c r="B1051" s="3" t="s">
        <v>448</v>
      </c>
      <c r="C1051" s="15" t="s">
        <v>1089</v>
      </c>
      <c r="D1051" s="21">
        <v>3620</v>
      </c>
      <c r="E1051" s="4">
        <v>1269</v>
      </c>
      <c r="F1051" s="21">
        <v>1107000</v>
      </c>
      <c r="G1051" s="5">
        <f t="shared" si="42"/>
        <v>1086088.3665884319</v>
      </c>
      <c r="H1051" s="6">
        <f t="shared" si="41"/>
        <v>20911.633411568124</v>
      </c>
    </row>
    <row r="1052" spans="2:8" ht="18" x14ac:dyDescent="0.45">
      <c r="B1052" s="3" t="s">
        <v>438</v>
      </c>
      <c r="C1052" s="15" t="s">
        <v>1090</v>
      </c>
      <c r="D1052" s="21">
        <v>3621</v>
      </c>
      <c r="E1052" s="4">
        <v>1274.7</v>
      </c>
      <c r="F1052" s="21">
        <v>1111000</v>
      </c>
      <c r="G1052" s="5">
        <f t="shared" si="42"/>
        <v>1091244.3036809952</v>
      </c>
      <c r="H1052" s="6">
        <f t="shared" si="41"/>
        <v>19755.696319004754</v>
      </c>
    </row>
    <row r="1053" spans="2:8" ht="18" x14ac:dyDescent="0.45">
      <c r="B1053" s="3" t="s">
        <v>719</v>
      </c>
      <c r="C1053" s="15" t="s">
        <v>1091</v>
      </c>
      <c r="D1053" s="21">
        <v>3615</v>
      </c>
      <c r="E1053" s="4">
        <v>1274.7</v>
      </c>
      <c r="F1053" s="21">
        <v>1115000</v>
      </c>
      <c r="G1053" s="5">
        <f t="shared" si="42"/>
        <v>1089444.3959698421</v>
      </c>
      <c r="H1053" s="6">
        <f t="shared" si="41"/>
        <v>25555.604030157905</v>
      </c>
    </row>
    <row r="1054" spans="2:8" ht="18" x14ac:dyDescent="0.45">
      <c r="B1054" s="3" t="s">
        <v>442</v>
      </c>
      <c r="C1054" s="15" t="s">
        <v>1092</v>
      </c>
      <c r="D1054" s="21">
        <v>3625</v>
      </c>
      <c r="E1054" s="4">
        <v>1274</v>
      </c>
      <c r="F1054" s="21">
        <v>1113000</v>
      </c>
      <c r="G1054" s="5">
        <f t="shared" si="42"/>
        <v>1091847.0734334306</v>
      </c>
      <c r="H1054" s="6">
        <f t="shared" si="41"/>
        <v>21152.926566569367</v>
      </c>
    </row>
    <row r="1055" spans="2:8" ht="18" x14ac:dyDescent="0.45">
      <c r="B1055" s="3" t="s">
        <v>710</v>
      </c>
      <c r="C1055" s="15" t="s">
        <v>1093</v>
      </c>
      <c r="D1055" s="21">
        <v>3623</v>
      </c>
      <c r="E1055" s="4">
        <v>1286</v>
      </c>
      <c r="F1055" s="21">
        <v>1116000</v>
      </c>
      <c r="G1055" s="5">
        <f t="shared" si="42"/>
        <v>1101478.9636562387</v>
      </c>
      <c r="H1055" s="6">
        <f t="shared" si="41"/>
        <v>14521.036343761254</v>
      </c>
    </row>
    <row r="1056" spans="2:8" ht="18" x14ac:dyDescent="0.45">
      <c r="B1056" s="3" t="s">
        <v>446</v>
      </c>
      <c r="C1056" s="15" t="s">
        <v>1094</v>
      </c>
      <c r="D1056" s="21">
        <v>3625</v>
      </c>
      <c r="E1056" s="4">
        <v>1298</v>
      </c>
      <c r="F1056" s="21">
        <v>1125000</v>
      </c>
      <c r="G1056" s="5">
        <f t="shared" si="42"/>
        <v>1112321.4296048612</v>
      </c>
      <c r="H1056" s="6">
        <f t="shared" si="41"/>
        <v>12678.570395138813</v>
      </c>
    </row>
    <row r="1057" spans="2:8" ht="18" x14ac:dyDescent="0.45">
      <c r="B1057" s="3" t="s">
        <v>448</v>
      </c>
      <c r="C1057" s="15" t="s">
        <v>1095</v>
      </c>
      <c r="D1057" s="21">
        <v>3624</v>
      </c>
      <c r="E1057" s="4">
        <v>1294</v>
      </c>
      <c r="F1057" s="21">
        <v>1123000</v>
      </c>
      <c r="G1057" s="5">
        <f t="shared" si="42"/>
        <v>1108604.5102787511</v>
      </c>
      <c r="H1057" s="6">
        <f t="shared" si="41"/>
        <v>14395.489721248858</v>
      </c>
    </row>
    <row r="1058" spans="2:8" ht="18" x14ac:dyDescent="0.45">
      <c r="B1058" s="3" t="s">
        <v>438</v>
      </c>
      <c r="C1058" s="15" t="s">
        <v>1096</v>
      </c>
      <c r="D1058" s="21">
        <v>3623</v>
      </c>
      <c r="E1058" s="4">
        <v>1304</v>
      </c>
      <c r="F1058" s="21">
        <v>1122000</v>
      </c>
      <c r="G1058" s="5">
        <f t="shared" si="42"/>
        <v>1116826.2586374304</v>
      </c>
      <c r="H1058" s="6">
        <f t="shared" si="41"/>
        <v>5173.7413625696208</v>
      </c>
    </row>
    <row r="1059" spans="2:8" ht="18" x14ac:dyDescent="0.45">
      <c r="B1059" s="3" t="s">
        <v>719</v>
      </c>
      <c r="C1059" s="15" t="s">
        <v>1097</v>
      </c>
      <c r="D1059" s="21">
        <v>3627</v>
      </c>
      <c r="E1059" s="4">
        <v>1304</v>
      </c>
      <c r="F1059" s="21">
        <v>1126000</v>
      </c>
      <c r="G1059" s="5">
        <f t="shared" si="42"/>
        <v>1118053.778658007</v>
      </c>
      <c r="H1059" s="6">
        <f t="shared" si="41"/>
        <v>7946.2213419929612</v>
      </c>
    </row>
    <row r="1060" spans="2:8" ht="18" x14ac:dyDescent="0.45">
      <c r="B1060" s="3" t="s">
        <v>442</v>
      </c>
      <c r="C1060" s="15" t="s">
        <v>1098</v>
      </c>
      <c r="D1060" s="21">
        <v>3629</v>
      </c>
      <c r="E1060" s="4">
        <v>1287</v>
      </c>
      <c r="F1060" s="21">
        <v>1118000</v>
      </c>
      <c r="G1060" s="5">
        <f t="shared" si="42"/>
        <v>1104148.8667684786</v>
      </c>
      <c r="H1060" s="6">
        <f t="shared" si="41"/>
        <v>13851.133231521351</v>
      </c>
    </row>
    <row r="1061" spans="2:8" ht="18" x14ac:dyDescent="0.45">
      <c r="B1061" s="3" t="s">
        <v>710</v>
      </c>
      <c r="C1061" s="15" t="s">
        <v>1099</v>
      </c>
      <c r="D1061" s="21">
        <v>3637</v>
      </c>
      <c r="E1061" s="4">
        <v>1280</v>
      </c>
      <c r="F1061" s="21">
        <v>1119000</v>
      </c>
      <c r="G1061" s="5">
        <f t="shared" si="42"/>
        <v>1100580.4453589686</v>
      </c>
      <c r="H1061" s="6">
        <f t="shared" si="41"/>
        <v>18419.554641031427</v>
      </c>
    </row>
    <row r="1062" spans="2:8" ht="18" x14ac:dyDescent="0.45">
      <c r="B1062" s="3" t="s">
        <v>446</v>
      </c>
      <c r="C1062" s="15" t="s">
        <v>1100</v>
      </c>
      <c r="D1062" s="21">
        <v>3652</v>
      </c>
      <c r="E1062" s="4">
        <v>1303</v>
      </c>
      <c r="F1062" s="21">
        <v>1135000</v>
      </c>
      <c r="G1062" s="5">
        <f t="shared" si="42"/>
        <v>1124866.3265022666</v>
      </c>
      <c r="H1062" s="6">
        <f t="shared" si="41"/>
        <v>10133.673497733427</v>
      </c>
    </row>
    <row r="1063" spans="2:8" ht="18" x14ac:dyDescent="0.45">
      <c r="B1063" s="3" t="s">
        <v>448</v>
      </c>
      <c r="C1063" s="15" t="s">
        <v>1101</v>
      </c>
      <c r="D1063" s="21">
        <v>3657</v>
      </c>
      <c r="E1063" s="4">
        <v>1283</v>
      </c>
      <c r="F1063" s="21">
        <v>1124000</v>
      </c>
      <c r="G1063" s="5">
        <f t="shared" si="42"/>
        <v>1109186.970411214</v>
      </c>
      <c r="H1063" s="6">
        <f t="shared" si="41"/>
        <v>14813.029588785954</v>
      </c>
    </row>
    <row r="1064" spans="2:8" ht="18" x14ac:dyDescent="0.45">
      <c r="B1064" s="3" t="s">
        <v>438</v>
      </c>
      <c r="C1064" s="15" t="s">
        <v>1102</v>
      </c>
      <c r="D1064" s="21">
        <v>3659</v>
      </c>
      <c r="E1064" s="4">
        <v>1227.5999999999999</v>
      </c>
      <c r="F1064" s="21">
        <v>1107000</v>
      </c>
      <c r="G1064" s="5">
        <f t="shared" si="42"/>
        <v>1062085.9258425231</v>
      </c>
      <c r="H1064" s="6">
        <f t="shared" si="41"/>
        <v>44914.074157476891</v>
      </c>
    </row>
    <row r="1065" spans="2:8" ht="18" x14ac:dyDescent="0.45">
      <c r="B1065" s="3" t="s">
        <v>719</v>
      </c>
      <c r="C1065" s="15" t="s">
        <v>1103</v>
      </c>
      <c r="D1065" s="21">
        <v>3660</v>
      </c>
      <c r="E1065" s="4">
        <v>1227.5999999999999</v>
      </c>
      <c r="F1065" s="21">
        <v>1108000</v>
      </c>
      <c r="G1065" s="5">
        <f t="shared" si="42"/>
        <v>1062374.8260682246</v>
      </c>
      <c r="H1065" s="6">
        <f t="shared" si="41"/>
        <v>45625.173931775382</v>
      </c>
    </row>
    <row r="1066" spans="2:8" ht="18" x14ac:dyDescent="0.45">
      <c r="B1066" s="3" t="s">
        <v>442</v>
      </c>
      <c r="C1066" s="15" t="s">
        <v>1104</v>
      </c>
      <c r="D1066" s="21">
        <v>3677</v>
      </c>
      <c r="E1066" s="4">
        <v>1222</v>
      </c>
      <c r="F1066" s="21">
        <v>1110000</v>
      </c>
      <c r="G1066" s="5">
        <f t="shared" si="42"/>
        <v>1062440.2498730025</v>
      </c>
      <c r="H1066" s="6">
        <f t="shared" si="41"/>
        <v>47559.750126997475</v>
      </c>
    </row>
    <row r="1067" spans="2:8" ht="18" x14ac:dyDescent="0.45">
      <c r="B1067" s="3" t="s">
        <v>710</v>
      </c>
      <c r="C1067" s="15" t="s">
        <v>1105</v>
      </c>
      <c r="D1067" s="21">
        <v>3675</v>
      </c>
      <c r="E1067" s="4">
        <v>1225</v>
      </c>
      <c r="F1067" s="21">
        <v>1108000</v>
      </c>
      <c r="G1067" s="5">
        <f t="shared" si="42"/>
        <v>1064459.6803363019</v>
      </c>
      <c r="H1067" s="6">
        <f t="shared" si="41"/>
        <v>43540.319663698087</v>
      </c>
    </row>
    <row r="1068" spans="2:8" ht="18" x14ac:dyDescent="0.45">
      <c r="B1068" s="3" t="s">
        <v>446</v>
      </c>
      <c r="C1068" s="15" t="s">
        <v>1106</v>
      </c>
      <c r="D1068" s="21">
        <v>3691</v>
      </c>
      <c r="E1068" s="4">
        <v>1224</v>
      </c>
      <c r="F1068" s="21">
        <v>1110000</v>
      </c>
      <c r="G1068" s="5">
        <f t="shared" si="42"/>
        <v>1068203.6634665465</v>
      </c>
      <c r="H1068" s="6">
        <f t="shared" si="41"/>
        <v>41796.336533453548</v>
      </c>
    </row>
    <row r="1069" spans="2:8" ht="18" x14ac:dyDescent="0.45">
      <c r="B1069" s="3" t="s">
        <v>448</v>
      </c>
      <c r="C1069" s="15" t="s">
        <v>1107</v>
      </c>
      <c r="D1069" s="21">
        <v>3698</v>
      </c>
      <c r="E1069" s="4">
        <v>1225</v>
      </c>
      <c r="F1069" s="21">
        <v>1113000</v>
      </c>
      <c r="G1069" s="5">
        <f t="shared" si="42"/>
        <v>1071090.3123492911</v>
      </c>
      <c r="H1069" s="6">
        <f t="shared" si="41"/>
        <v>41909.687650708947</v>
      </c>
    </row>
    <row r="1070" spans="2:8" ht="18" x14ac:dyDescent="0.45">
      <c r="B1070" s="3" t="s">
        <v>438</v>
      </c>
      <c r="C1070" s="15" t="s">
        <v>1108</v>
      </c>
      <c r="D1070" s="21">
        <v>3680</v>
      </c>
      <c r="E1070" s="4">
        <v>1207.4000000000001</v>
      </c>
      <c r="F1070" s="21">
        <v>1101000</v>
      </c>
      <c r="G1070" s="5">
        <f t="shared" si="42"/>
        <v>1050658.7875896215</v>
      </c>
      <c r="H1070" s="6">
        <f t="shared" si="41"/>
        <v>50341.212410378503</v>
      </c>
    </row>
    <row r="1071" spans="2:8" ht="18" x14ac:dyDescent="0.45">
      <c r="B1071" s="3" t="s">
        <v>442</v>
      </c>
      <c r="C1071" s="15" t="s">
        <v>1109</v>
      </c>
      <c r="D1071" s="21">
        <v>3683</v>
      </c>
      <c r="E1071" s="4">
        <v>1215</v>
      </c>
      <c r="F1071" s="21">
        <v>1103000</v>
      </c>
      <c r="G1071" s="5">
        <f t="shared" si="42"/>
        <v>1058098.509677523</v>
      </c>
      <c r="H1071" s="6">
        <f t="shared" si="41"/>
        <v>44901.490322476951</v>
      </c>
    </row>
    <row r="1072" spans="2:8" ht="18" x14ac:dyDescent="0.45">
      <c r="B1072" s="3" t="s">
        <v>710</v>
      </c>
      <c r="C1072" s="15" t="s">
        <v>1110</v>
      </c>
      <c r="D1072" s="21">
        <v>3700</v>
      </c>
      <c r="E1072" s="4">
        <v>1216</v>
      </c>
      <c r="F1072" s="21">
        <v>1110000</v>
      </c>
      <c r="G1072" s="5">
        <f t="shared" si="42"/>
        <v>1063830.1527183871</v>
      </c>
      <c r="H1072" s="6">
        <f t="shared" si="41"/>
        <v>46169.847281612922</v>
      </c>
    </row>
    <row r="1073" spans="2:10" ht="18" x14ac:dyDescent="0.45">
      <c r="B1073" s="3" t="s">
        <v>446</v>
      </c>
      <c r="C1073" s="15" t="s">
        <v>1111</v>
      </c>
      <c r="D1073" s="21">
        <v>3730</v>
      </c>
      <c r="E1073" s="4">
        <v>1210</v>
      </c>
      <c r="F1073" s="21">
        <v>1115000</v>
      </c>
      <c r="G1073" s="5">
        <f t="shared" si="42"/>
        <v>1067148.4104427225</v>
      </c>
      <c r="H1073" s="6">
        <f t="shared" si="41"/>
        <v>47851.589557277504</v>
      </c>
    </row>
    <row r="1074" spans="2:10" ht="18" x14ac:dyDescent="0.45">
      <c r="B1074" s="3" t="s">
        <v>448</v>
      </c>
      <c r="C1074" s="15" t="s">
        <v>1112</v>
      </c>
      <c r="D1074" s="21">
        <v>3743</v>
      </c>
      <c r="E1074" s="4">
        <v>1187</v>
      </c>
      <c r="F1074" s="21">
        <v>1109000</v>
      </c>
      <c r="G1074" s="5">
        <f t="shared" si="42"/>
        <v>1050590.3043982894</v>
      </c>
      <c r="H1074" s="6">
        <f t="shared" si="41"/>
        <v>58409.695601710584</v>
      </c>
    </row>
    <row r="1075" spans="2:10" ht="18" x14ac:dyDescent="0.45">
      <c r="B1075" s="3" t="s">
        <v>438</v>
      </c>
      <c r="C1075" s="15" t="s">
        <v>1113</v>
      </c>
      <c r="D1075" s="21">
        <v>3770</v>
      </c>
      <c r="E1075" s="4">
        <v>1183.5999999999999</v>
      </c>
      <c r="F1075" s="21">
        <v>1108000</v>
      </c>
      <c r="G1075" s="5">
        <f t="shared" si="42"/>
        <v>1055116.0784618845</v>
      </c>
      <c r="H1075" s="6">
        <f t="shared" si="41"/>
        <v>52883.921538115479</v>
      </c>
    </row>
    <row r="1076" spans="2:10" ht="18" x14ac:dyDescent="0.45">
      <c r="B1076" s="3" t="s">
        <v>719</v>
      </c>
      <c r="C1076" s="15" t="s">
        <v>1114</v>
      </c>
      <c r="D1076" s="21">
        <v>3818</v>
      </c>
      <c r="E1076" s="4">
        <v>1183.5999999999999</v>
      </c>
      <c r="F1076" s="21">
        <v>1110000</v>
      </c>
      <c r="G1076" s="5">
        <f t="shared" si="42"/>
        <v>1068486.2566491978</v>
      </c>
      <c r="H1076" s="6">
        <f t="shared" si="41"/>
        <v>41513.743350802222</v>
      </c>
    </row>
    <row r="1077" spans="2:10" ht="18" x14ac:dyDescent="0.45">
      <c r="B1077" s="3" t="s">
        <v>671</v>
      </c>
      <c r="C1077" s="15" t="s">
        <v>1115</v>
      </c>
      <c r="D1077" s="21">
        <v>3915</v>
      </c>
      <c r="E1077" s="4">
        <v>1183</v>
      </c>
      <c r="F1077" s="21">
        <v>1126000</v>
      </c>
      <c r="G1077" s="5">
        <f t="shared" si="42"/>
        <v>1094952.3507860978</v>
      </c>
      <c r="H1077" s="6">
        <f t="shared" si="41"/>
        <v>31047.649213902187</v>
      </c>
    </row>
    <row r="1078" spans="2:10" ht="18" x14ac:dyDescent="0.45">
      <c r="B1078" s="3" t="s">
        <v>448</v>
      </c>
      <c r="C1078" s="15" t="s">
        <v>1116</v>
      </c>
      <c r="D1078" s="21">
        <v>3815</v>
      </c>
      <c r="E1078" s="4">
        <v>1172</v>
      </c>
      <c r="F1078" s="21">
        <v>1115000</v>
      </c>
      <c r="G1078" s="5">
        <f t="shared" si="42"/>
        <v>1057235.998006623</v>
      </c>
      <c r="H1078" s="6">
        <f t="shared" si="41"/>
        <v>57764.001993376995</v>
      </c>
    </row>
    <row r="1079" spans="2:10" ht="18" x14ac:dyDescent="0.45">
      <c r="B1079" s="3" t="s">
        <v>438</v>
      </c>
      <c r="C1079" s="15" t="s">
        <v>1117</v>
      </c>
      <c r="D1079" s="21">
        <v>3855</v>
      </c>
      <c r="E1079" s="4">
        <v>1177.0999999999999</v>
      </c>
      <c r="F1079" s="21">
        <v>1128000</v>
      </c>
      <c r="G1079" s="5">
        <f t="shared" si="42"/>
        <v>1072895.468085072</v>
      </c>
      <c r="H1079" s="6">
        <f t="shared" si="41"/>
        <v>55104.531914927997</v>
      </c>
    </row>
    <row r="1080" spans="2:10" ht="18" x14ac:dyDescent="0.45">
      <c r="B1080" s="3" t="s">
        <v>719</v>
      </c>
      <c r="C1080" s="15" t="s">
        <v>1118</v>
      </c>
      <c r="D1080" s="21">
        <v>3900</v>
      </c>
      <c r="E1080" s="4">
        <v>1177.0999999999999</v>
      </c>
      <c r="F1080" s="21">
        <v>1136000</v>
      </c>
      <c r="G1080" s="5">
        <f t="shared" si="42"/>
        <v>1085361.173938205</v>
      </c>
      <c r="H1080" s="6">
        <f t="shared" si="41"/>
        <v>50638.826061795</v>
      </c>
    </row>
    <row r="1081" spans="2:10" ht="18" x14ac:dyDescent="0.45">
      <c r="B1081" s="3" t="s">
        <v>442</v>
      </c>
      <c r="C1081" s="15" t="s">
        <v>1119</v>
      </c>
      <c r="D1081" s="21">
        <v>3910</v>
      </c>
      <c r="E1081" s="4">
        <v>1168</v>
      </c>
      <c r="F1081" s="21">
        <v>1137000</v>
      </c>
      <c r="G1081" s="5">
        <f t="shared" si="42"/>
        <v>1079757.7897951966</v>
      </c>
      <c r="H1081" s="6">
        <f t="shared" si="41"/>
        <v>57242.210204803385</v>
      </c>
    </row>
    <row r="1082" spans="2:10" ht="18" x14ac:dyDescent="0.45">
      <c r="B1082" s="3" t="s">
        <v>710</v>
      </c>
      <c r="C1082" s="15" t="s">
        <v>1120</v>
      </c>
      <c r="D1082" s="21">
        <v>3895</v>
      </c>
      <c r="E1082" s="4">
        <v>1173</v>
      </c>
      <c r="F1082" s="21">
        <v>1136000</v>
      </c>
      <c r="G1082" s="5">
        <f t="shared" si="42"/>
        <v>1080217.8744654856</v>
      </c>
      <c r="H1082" s="6">
        <f t="shared" si="41"/>
        <v>55782.125534514431</v>
      </c>
    </row>
    <row r="1083" spans="2:10" ht="18" x14ac:dyDescent="0.45">
      <c r="B1083" s="3" t="s">
        <v>446</v>
      </c>
      <c r="C1083" s="15" t="s">
        <v>1121</v>
      </c>
      <c r="D1083" s="21">
        <v>3898</v>
      </c>
      <c r="E1083" s="4">
        <v>1173</v>
      </c>
      <c r="F1083" s="21">
        <v>1137000</v>
      </c>
      <c r="G1083" s="5">
        <f t="shared" si="42"/>
        <v>1081046.0268720058</v>
      </c>
      <c r="H1083" s="6">
        <f t="shared" si="41"/>
        <v>55953.973127994221</v>
      </c>
    </row>
    <row r="1084" spans="2:10" ht="18" x14ac:dyDescent="0.45">
      <c r="B1084" s="3" t="s">
        <v>448</v>
      </c>
      <c r="C1084" s="15" t="s">
        <v>1122</v>
      </c>
      <c r="D1084" s="21">
        <v>3910</v>
      </c>
      <c r="E1084" s="4">
        <v>1177</v>
      </c>
      <c r="F1084" s="21">
        <v>1139000</v>
      </c>
      <c r="G1084" s="5">
        <f t="shared" si="42"/>
        <v>1088039.3138603992</v>
      </c>
      <c r="H1084" s="6">
        <f t="shared" si="41"/>
        <v>50960.686139600817</v>
      </c>
    </row>
    <row r="1085" spans="2:10" ht="18" x14ac:dyDescent="0.45">
      <c r="B1085" s="3" t="s">
        <v>438</v>
      </c>
      <c r="C1085" s="15" t="s">
        <v>1123</v>
      </c>
      <c r="D1085" s="21">
        <v>3908</v>
      </c>
      <c r="E1085" s="4">
        <v>1159.5999999999999</v>
      </c>
      <c r="F1085" s="21">
        <v>1138000</v>
      </c>
      <c r="G1085" s="5">
        <f t="shared" si="42"/>
        <v>1071482.5727730442</v>
      </c>
      <c r="H1085" s="6">
        <f t="shared" si="41"/>
        <v>66517.42722695577</v>
      </c>
    </row>
    <row r="1086" spans="2:10" ht="18" x14ac:dyDescent="0.45">
      <c r="B1086" s="3" t="s">
        <v>719</v>
      </c>
      <c r="C1086" s="15" t="s">
        <v>1124</v>
      </c>
      <c r="D1086" s="21">
        <v>3895</v>
      </c>
      <c r="E1086" s="4">
        <v>1159.5999999999999</v>
      </c>
      <c r="F1086" s="21">
        <v>1136000</v>
      </c>
      <c r="G1086" s="5">
        <f t="shared" si="42"/>
        <v>1067934.908124618</v>
      </c>
      <c r="H1086" s="6">
        <f t="shared" si="41"/>
        <v>68065.091875382001</v>
      </c>
    </row>
    <row r="1087" spans="2:10" ht="18" x14ac:dyDescent="0.45">
      <c r="B1087" s="3" t="s">
        <v>442</v>
      </c>
      <c r="C1087" s="15" t="s">
        <v>1125</v>
      </c>
      <c r="D1087" s="21">
        <v>3898</v>
      </c>
      <c r="E1087" s="4">
        <v>1155</v>
      </c>
      <c r="F1087" s="21">
        <v>1137000</v>
      </c>
      <c r="G1087" s="5">
        <f t="shared" si="42"/>
        <v>1064533.8116258881</v>
      </c>
      <c r="H1087" s="6">
        <f t="shared" si="41"/>
        <v>72466.188374111895</v>
      </c>
    </row>
    <row r="1088" spans="2:10" ht="18" x14ac:dyDescent="0.45">
      <c r="B1088" s="3" t="s">
        <v>710</v>
      </c>
      <c r="C1088" s="15" t="s">
        <v>1126</v>
      </c>
      <c r="D1088" s="21">
        <v>3913</v>
      </c>
      <c r="E1088" s="4">
        <v>1160</v>
      </c>
      <c r="F1088" s="21">
        <v>1142000</v>
      </c>
      <c r="G1088" s="5">
        <f t="shared" si="42"/>
        <v>1073215.4093174292</v>
      </c>
      <c r="H1088" s="6">
        <f t="shared" si="41"/>
        <v>68784.590682570823</v>
      </c>
      <c r="J1088" s="2">
        <f>AVERAGE(H1064:H1089)</f>
        <v>52369.110432273526</v>
      </c>
    </row>
    <row r="1089" spans="2:8" ht="18" x14ac:dyDescent="0.45">
      <c r="B1089" s="3" t="s">
        <v>446</v>
      </c>
      <c r="C1089" s="15" t="s">
        <v>1127</v>
      </c>
      <c r="D1089" s="21">
        <v>3935</v>
      </c>
      <c r="E1089" s="4">
        <v>1161</v>
      </c>
      <c r="F1089" s="21">
        <v>1144000</v>
      </c>
      <c r="G1089" s="5">
        <f t="shared" si="42"/>
        <v>1080147.2732373083</v>
      </c>
      <c r="H1089" s="6">
        <f t="shared" si="41"/>
        <v>63852.726762691746</v>
      </c>
    </row>
    <row r="1090" spans="2:8" ht="18" x14ac:dyDescent="0.45">
      <c r="B1090" s="3" t="s">
        <v>448</v>
      </c>
      <c r="C1090" s="15" t="s">
        <v>1128</v>
      </c>
      <c r="D1090" s="21">
        <v>3954</v>
      </c>
      <c r="E1090" s="4">
        <v>1130</v>
      </c>
      <c r="F1090" s="21">
        <v>1139000</v>
      </c>
      <c r="G1090" s="5">
        <f t="shared" si="42"/>
        <v>1056492.3317364885</v>
      </c>
      <c r="H1090" s="6">
        <f t="shared" ref="H1090:H1153" si="43">F:F-G:G</f>
        <v>82507.668263511499</v>
      </c>
    </row>
    <row r="1091" spans="2:8" ht="18" x14ac:dyDescent="0.45">
      <c r="B1091" s="3" t="s">
        <v>440</v>
      </c>
      <c r="C1091" s="15" t="s">
        <v>1129</v>
      </c>
      <c r="D1091" s="21">
        <v>3940</v>
      </c>
      <c r="E1091" s="4">
        <v>1134.5999999999999</v>
      </c>
      <c r="F1091" s="21">
        <v>1137000</v>
      </c>
      <c r="G1091" s="5">
        <f t="shared" si="42"/>
        <v>1057034.5491688901</v>
      </c>
      <c r="H1091" s="6">
        <f t="shared" si="43"/>
        <v>79965.450831109891</v>
      </c>
    </row>
    <row r="1092" spans="2:8" ht="18" x14ac:dyDescent="0.45">
      <c r="B1092" s="3" t="s">
        <v>442</v>
      </c>
      <c r="C1092" s="15" t="s">
        <v>1130</v>
      </c>
      <c r="D1092" s="21">
        <v>3935</v>
      </c>
      <c r="E1092" s="4">
        <v>1138</v>
      </c>
      <c r="F1092" s="21">
        <v>1137000</v>
      </c>
      <c r="G1092" s="5">
        <f t="shared" si="42"/>
        <v>1058848.059383339</v>
      </c>
      <c r="H1092" s="6">
        <f t="shared" si="43"/>
        <v>78151.940616660984</v>
      </c>
    </row>
    <row r="1093" spans="2:8" ht="18" x14ac:dyDescent="0.45">
      <c r="B1093" s="3" t="s">
        <v>710</v>
      </c>
      <c r="C1093" s="15" t="s">
        <v>1131</v>
      </c>
      <c r="D1093" s="21">
        <v>3965</v>
      </c>
      <c r="E1093" s="4">
        <v>1130</v>
      </c>
      <c r="F1093" s="21">
        <v>1140000</v>
      </c>
      <c r="G1093" s="5">
        <f t="shared" si="42"/>
        <v>1059417.5759573032</v>
      </c>
      <c r="H1093" s="6">
        <f t="shared" si="43"/>
        <v>80582.424042696832</v>
      </c>
    </row>
    <row r="1094" spans="2:8" ht="18" x14ac:dyDescent="0.45">
      <c r="B1094" s="3" t="s">
        <v>446</v>
      </c>
      <c r="C1094" s="15" t="s">
        <v>1132</v>
      </c>
      <c r="D1094" s="21">
        <v>4010</v>
      </c>
      <c r="E1094" s="4">
        <v>1135</v>
      </c>
      <c r="F1094" s="21">
        <v>1145000</v>
      </c>
      <c r="G1094" s="5">
        <f t="shared" si="42"/>
        <v>1076102.9995498825</v>
      </c>
      <c r="H1094" s="6">
        <f t="shared" si="43"/>
        <v>68897.000450117514</v>
      </c>
    </row>
    <row r="1095" spans="2:8" ht="18" x14ac:dyDescent="0.45">
      <c r="B1095" s="3" t="s">
        <v>448</v>
      </c>
      <c r="C1095" s="15" t="s">
        <v>1133</v>
      </c>
      <c r="D1095" s="21">
        <v>4005</v>
      </c>
      <c r="E1095" s="4">
        <v>1132</v>
      </c>
      <c r="F1095" s="21">
        <v>1147000</v>
      </c>
      <c r="G1095" s="5">
        <f t="shared" si="42"/>
        <v>1071939.8804616916</v>
      </c>
      <c r="H1095" s="6">
        <f t="shared" si="43"/>
        <v>75060.119538308354</v>
      </c>
    </row>
    <row r="1096" spans="2:8" ht="18" x14ac:dyDescent="0.45">
      <c r="B1096" s="3" t="s">
        <v>438</v>
      </c>
      <c r="C1096" s="15" t="s">
        <v>1134</v>
      </c>
      <c r="D1096" s="21">
        <v>4030</v>
      </c>
      <c r="E1096" s="4">
        <v>1133.5</v>
      </c>
      <c r="F1096" s="21">
        <v>1155000</v>
      </c>
      <c r="G1096" s="5">
        <f t="shared" si="42"/>
        <v>1080022.5444008615</v>
      </c>
      <c r="H1096" s="6">
        <f t="shared" si="43"/>
        <v>74977.455599138513</v>
      </c>
    </row>
    <row r="1097" spans="2:8" ht="18" x14ac:dyDescent="0.45">
      <c r="B1097" s="3" t="s">
        <v>719</v>
      </c>
      <c r="C1097" s="15" t="s">
        <v>1135</v>
      </c>
      <c r="D1097" s="21">
        <v>4075</v>
      </c>
      <c r="E1097" s="4">
        <v>1133.5</v>
      </c>
      <c r="F1097" s="21">
        <v>1166000</v>
      </c>
      <c r="G1097" s="5">
        <f t="shared" si="42"/>
        <v>1092026.5182217148</v>
      </c>
      <c r="H1097" s="6">
        <f t="shared" si="43"/>
        <v>73973.481778285233</v>
      </c>
    </row>
    <row r="1098" spans="2:8" ht="18" x14ac:dyDescent="0.45">
      <c r="B1098" s="3" t="s">
        <v>442</v>
      </c>
      <c r="C1098" s="15" t="s">
        <v>1136</v>
      </c>
      <c r="D1098" s="21">
        <v>4125</v>
      </c>
      <c r="E1098" s="4">
        <v>1133.5</v>
      </c>
      <c r="F1098" s="21">
        <v>1180000</v>
      </c>
      <c r="G1098" s="5">
        <f t="shared" si="42"/>
        <v>1105364.2669115518</v>
      </c>
      <c r="H1098" s="6">
        <f t="shared" si="43"/>
        <v>74635.733088448178</v>
      </c>
    </row>
    <row r="1099" spans="2:8" ht="18" x14ac:dyDescent="0.45">
      <c r="B1099" s="3" t="s">
        <v>710</v>
      </c>
      <c r="C1099" s="15" t="s">
        <v>1137</v>
      </c>
      <c r="D1099" s="21">
        <v>4135</v>
      </c>
      <c r="E1099" s="4">
        <v>1142</v>
      </c>
      <c r="F1099" s="21">
        <v>1217000</v>
      </c>
      <c r="G1099" s="5">
        <f t="shared" si="42"/>
        <v>1116303.3388740635</v>
      </c>
      <c r="H1099" s="6">
        <f t="shared" si="43"/>
        <v>100696.66112593655</v>
      </c>
    </row>
    <row r="1100" spans="2:8" ht="18" x14ac:dyDescent="0.45">
      <c r="B1100" s="3" t="s">
        <v>446</v>
      </c>
      <c r="C1100" s="15" t="s">
        <v>1138</v>
      </c>
      <c r="D1100" s="21">
        <v>4095</v>
      </c>
      <c r="E1100" s="4">
        <v>1137</v>
      </c>
      <c r="F1100" s="21">
        <v>1204000</v>
      </c>
      <c r="G1100" s="5">
        <f t="shared" si="42"/>
        <v>1100734.5913738224</v>
      </c>
      <c r="H1100" s="6">
        <f t="shared" si="43"/>
        <v>103265.40862617758</v>
      </c>
    </row>
    <row r="1101" spans="2:8" ht="18" x14ac:dyDescent="0.45">
      <c r="B1101" s="3" t="s">
        <v>448</v>
      </c>
      <c r="C1101" s="15" t="s">
        <v>1139</v>
      </c>
      <c r="D1101" s="21">
        <v>4030</v>
      </c>
      <c r="E1101" s="4">
        <v>1148</v>
      </c>
      <c r="F1101" s="21">
        <v>1165000</v>
      </c>
      <c r="G1101" s="5">
        <f t="shared" si="42"/>
        <v>1093774.4869626723</v>
      </c>
      <c r="H1101" s="6">
        <f t="shared" si="43"/>
        <v>71225.513037327677</v>
      </c>
    </row>
    <row r="1102" spans="2:8" ht="18" x14ac:dyDescent="0.45">
      <c r="B1102" s="3" t="s">
        <v>438</v>
      </c>
      <c r="C1102" s="15" t="s">
        <v>1140</v>
      </c>
      <c r="D1102" s="21">
        <v>3905</v>
      </c>
      <c r="E1102" s="4">
        <v>1150.9000000000001</v>
      </c>
      <c r="F1102" s="21">
        <v>1135000</v>
      </c>
      <c r="G1102" s="5">
        <f t="shared" si="42"/>
        <v>1062668.6448461565</v>
      </c>
      <c r="H1102" s="6">
        <f t="shared" si="43"/>
        <v>72331.355153843528</v>
      </c>
    </row>
    <row r="1103" spans="2:8" ht="18" x14ac:dyDescent="0.45">
      <c r="B1103" s="3" t="s">
        <v>442</v>
      </c>
      <c r="C1103" s="15" t="s">
        <v>1141</v>
      </c>
      <c r="D1103" s="21">
        <v>3930</v>
      </c>
      <c r="E1103" s="4">
        <v>1150.9000000000001</v>
      </c>
      <c r="F1103" s="21">
        <v>1157000</v>
      </c>
      <c r="G1103" s="5">
        <f t="shared" si="42"/>
        <v>1069439.8909719319</v>
      </c>
      <c r="H1103" s="6">
        <f t="shared" si="43"/>
        <v>87560.109028068138</v>
      </c>
    </row>
    <row r="1104" spans="2:8" ht="18" x14ac:dyDescent="0.45">
      <c r="B1104" s="3" t="s">
        <v>671</v>
      </c>
      <c r="C1104" s="15" t="s">
        <v>1142</v>
      </c>
      <c r="D1104" s="21">
        <v>3930</v>
      </c>
      <c r="E1104" s="4">
        <v>1146</v>
      </c>
      <c r="F1104" s="21">
        <v>1150000</v>
      </c>
      <c r="G1104" s="5">
        <f t="shared" si="42"/>
        <v>1064907.9981352282</v>
      </c>
      <c r="H1104" s="6">
        <f t="shared" si="43"/>
        <v>85092.001864771824</v>
      </c>
    </row>
    <row r="1105" spans="2:8" ht="18" x14ac:dyDescent="0.45">
      <c r="B1105" s="3" t="s">
        <v>446</v>
      </c>
      <c r="C1105" s="15" t="s">
        <v>1143</v>
      </c>
      <c r="D1105" s="21">
        <v>3935</v>
      </c>
      <c r="E1105" s="4">
        <v>1164</v>
      </c>
      <c r="F1105" s="21">
        <v>1164000</v>
      </c>
      <c r="G1105" s="5">
        <f t="shared" si="42"/>
        <v>1082925.4315660866</v>
      </c>
      <c r="H1105" s="6">
        <f t="shared" si="43"/>
        <v>81074.568433913402</v>
      </c>
    </row>
    <row r="1106" spans="2:8" ht="18" x14ac:dyDescent="0.45">
      <c r="B1106" s="3" t="s">
        <v>448</v>
      </c>
      <c r="C1106" s="15" t="s">
        <v>1144</v>
      </c>
      <c r="D1106" s="21">
        <v>3950</v>
      </c>
      <c r="E1106" s="4">
        <v>1172</v>
      </c>
      <c r="F1106" s="21">
        <v>1172000</v>
      </c>
      <c r="G1106" s="5">
        <f t="shared" si="42"/>
        <v>1094471.0857473556</v>
      </c>
      <c r="H1106" s="6">
        <f t="shared" si="43"/>
        <v>77528.914252644405</v>
      </c>
    </row>
    <row r="1107" spans="2:8" ht="18" x14ac:dyDescent="0.45">
      <c r="B1107" s="3" t="s">
        <v>438</v>
      </c>
      <c r="C1107" s="15" t="s">
        <v>1145</v>
      </c>
      <c r="D1107" s="21">
        <v>3948</v>
      </c>
      <c r="E1107" s="4">
        <v>1172.2</v>
      </c>
      <c r="F1107" s="21">
        <v>1182000</v>
      </c>
      <c r="G1107" s="5">
        <f t="shared" si="42"/>
        <v>1094105.2772504259</v>
      </c>
      <c r="H1107" s="6">
        <f t="shared" si="43"/>
        <v>87894.72274957411</v>
      </c>
    </row>
    <row r="1108" spans="2:8" ht="18" x14ac:dyDescent="0.45">
      <c r="B1108" s="3" t="s">
        <v>719</v>
      </c>
      <c r="C1108" s="15" t="s">
        <v>1146</v>
      </c>
      <c r="D1108" s="21">
        <v>3950</v>
      </c>
      <c r="E1108" s="4">
        <v>1172.2</v>
      </c>
      <c r="F1108" s="21">
        <v>1181000</v>
      </c>
      <c r="G1108" s="5">
        <f t="shared" ref="G1108:G1174" si="44">E1108/31.103*8.133*D1108*0.9+5000</f>
        <v>1094657.0023148889</v>
      </c>
      <c r="H1108" s="6">
        <f t="shared" si="43"/>
        <v>86342.997685111128</v>
      </c>
    </row>
    <row r="1109" spans="2:8" ht="18" x14ac:dyDescent="0.45">
      <c r="B1109" s="3" t="s">
        <v>442</v>
      </c>
      <c r="C1109" s="15" t="s">
        <v>1147</v>
      </c>
      <c r="D1109" s="21">
        <v>3967</v>
      </c>
      <c r="E1109" s="4">
        <v>1179</v>
      </c>
      <c r="F1109" s="21">
        <v>1183000</v>
      </c>
      <c r="G1109" s="5">
        <f t="shared" si="44"/>
        <v>1105695.0336655625</v>
      </c>
      <c r="H1109" s="6">
        <f t="shared" si="43"/>
        <v>77304.966334437486</v>
      </c>
    </row>
    <row r="1110" spans="2:8" ht="18" x14ac:dyDescent="0.45">
      <c r="B1110" s="3" t="s">
        <v>446</v>
      </c>
      <c r="C1110" s="15" t="s">
        <v>1148</v>
      </c>
      <c r="D1110" s="21">
        <v>3968</v>
      </c>
      <c r="E1110" s="4">
        <v>1188</v>
      </c>
      <c r="F1110" s="21">
        <v>1195000</v>
      </c>
      <c r="G1110" s="5">
        <f t="shared" si="44"/>
        <v>1114376.8666945309</v>
      </c>
      <c r="H1110" s="6">
        <f t="shared" si="43"/>
        <v>80623.133305469062</v>
      </c>
    </row>
    <row r="1111" spans="2:8" ht="18" x14ac:dyDescent="0.45">
      <c r="B1111" s="3" t="s">
        <v>448</v>
      </c>
      <c r="C1111" s="15" t="s">
        <v>1149</v>
      </c>
      <c r="D1111" s="21">
        <v>3985</v>
      </c>
      <c r="E1111" s="4">
        <v>1200</v>
      </c>
      <c r="F1111" s="21">
        <v>1204000</v>
      </c>
      <c r="G1111" s="5">
        <f t="shared" si="44"/>
        <v>1130383.577146899</v>
      </c>
      <c r="H1111" s="6">
        <f t="shared" si="43"/>
        <v>73616.422853101045</v>
      </c>
    </row>
    <row r="1112" spans="2:8" ht="18" x14ac:dyDescent="0.45">
      <c r="B1112" s="3" t="s">
        <v>438</v>
      </c>
      <c r="C1112" s="15" t="s">
        <v>1150</v>
      </c>
      <c r="D1112" s="21">
        <v>3960</v>
      </c>
      <c r="E1112" s="4">
        <v>1196.9000000000001</v>
      </c>
      <c r="F1112" s="21">
        <v>1190000</v>
      </c>
      <c r="G1112" s="5">
        <f t="shared" si="44"/>
        <v>1120434.4520721473</v>
      </c>
      <c r="H1112" s="6">
        <f t="shared" si="43"/>
        <v>69565.54792785272</v>
      </c>
    </row>
    <row r="1113" spans="2:8" ht="18" x14ac:dyDescent="0.45">
      <c r="B1113" s="3" t="s">
        <v>719</v>
      </c>
      <c r="C1113" s="15" t="s">
        <v>1151</v>
      </c>
      <c r="D1113" s="21">
        <v>3940</v>
      </c>
      <c r="E1113" s="4">
        <v>1196.9000000000001</v>
      </c>
      <c r="F1113" s="21">
        <v>1181000</v>
      </c>
      <c r="G1113" s="5">
        <f t="shared" si="44"/>
        <v>1114800.9447384493</v>
      </c>
      <c r="H1113" s="6">
        <f t="shared" si="43"/>
        <v>66199.055261550704</v>
      </c>
    </row>
    <row r="1114" spans="2:8" ht="18" x14ac:dyDescent="0.45">
      <c r="B1114" s="3" t="s">
        <v>442</v>
      </c>
      <c r="C1114" s="15" t="s">
        <v>1152</v>
      </c>
      <c r="D1114" s="21">
        <v>3935</v>
      </c>
      <c r="E1114" s="4">
        <v>1204</v>
      </c>
      <c r="F1114" s="21">
        <v>1190000</v>
      </c>
      <c r="G1114" s="5">
        <f t="shared" si="44"/>
        <v>1119967.5426164677</v>
      </c>
      <c r="H1114" s="6">
        <f t="shared" si="43"/>
        <v>70032.45738353231</v>
      </c>
    </row>
    <row r="1115" spans="2:8" ht="18" x14ac:dyDescent="0.45">
      <c r="B1115" s="3" t="s">
        <v>710</v>
      </c>
      <c r="C1115" s="15" t="s">
        <v>1153</v>
      </c>
      <c r="D1115" s="21">
        <v>3890</v>
      </c>
      <c r="E1115" s="4">
        <v>1214</v>
      </c>
      <c r="F1115" s="21">
        <v>1184000</v>
      </c>
      <c r="G1115" s="5">
        <f t="shared" si="44"/>
        <v>1116371.5867279682</v>
      </c>
      <c r="H1115" s="6">
        <f t="shared" si="43"/>
        <v>67628.413272031816</v>
      </c>
    </row>
    <row r="1116" spans="2:8" ht="18" x14ac:dyDescent="0.45">
      <c r="B1116" s="3" t="s">
        <v>446</v>
      </c>
      <c r="C1116" s="15" t="s">
        <v>1154</v>
      </c>
      <c r="D1116" s="21">
        <v>3870</v>
      </c>
      <c r="E1116" s="4">
        <v>1213</v>
      </c>
      <c r="F1116" s="21">
        <v>1183000</v>
      </c>
      <c r="G1116" s="5">
        <f t="shared" si="44"/>
        <v>1109746.8381506605</v>
      </c>
      <c r="H1116" s="6">
        <f t="shared" si="43"/>
        <v>73253.161849339493</v>
      </c>
    </row>
    <row r="1117" spans="2:8" ht="18" x14ac:dyDescent="0.45">
      <c r="B1117" s="3" t="s">
        <v>448</v>
      </c>
      <c r="C1117" s="15" t="s">
        <v>1155</v>
      </c>
      <c r="D1117" s="21">
        <v>3855</v>
      </c>
      <c r="E1117" s="4">
        <v>1202</v>
      </c>
      <c r="F1117" s="21">
        <v>1184000</v>
      </c>
      <c r="G1117" s="5">
        <f t="shared" si="44"/>
        <v>1095485.3900588369</v>
      </c>
      <c r="H1117" s="6">
        <f t="shared" si="43"/>
        <v>88514.6099411631</v>
      </c>
    </row>
    <row r="1118" spans="2:8" ht="18" x14ac:dyDescent="0.45">
      <c r="B1118" s="3" t="s">
        <v>438</v>
      </c>
      <c r="C1118" s="15" t="s">
        <v>1156</v>
      </c>
      <c r="D1118" s="21">
        <v>3815</v>
      </c>
      <c r="E1118" s="4">
        <v>1210</v>
      </c>
      <c r="F1118" s="21">
        <v>1170000</v>
      </c>
      <c r="G1118" s="5">
        <f t="shared" si="44"/>
        <v>1091352.8648361894</v>
      </c>
      <c r="H1118" s="6">
        <f t="shared" si="43"/>
        <v>78647.13516381057</v>
      </c>
    </row>
    <row r="1119" spans="2:8" ht="18" x14ac:dyDescent="0.45">
      <c r="B1119" s="3" t="s">
        <v>719</v>
      </c>
      <c r="C1119" s="15" t="s">
        <v>1157</v>
      </c>
      <c r="D1119" s="21">
        <v>3840</v>
      </c>
      <c r="E1119" s="4">
        <v>1210</v>
      </c>
      <c r="F1119" s="21">
        <v>1174000</v>
      </c>
      <c r="G1119" s="5">
        <f t="shared" si="44"/>
        <v>1098471.8220107383</v>
      </c>
      <c r="H1119" s="6">
        <f t="shared" si="43"/>
        <v>75528.177989261691</v>
      </c>
    </row>
    <row r="1120" spans="2:8" ht="18" x14ac:dyDescent="0.45">
      <c r="B1120" s="3" t="s">
        <v>442</v>
      </c>
      <c r="C1120" s="15" t="s">
        <v>1158</v>
      </c>
      <c r="D1120" s="21">
        <v>3860</v>
      </c>
      <c r="E1120" s="4">
        <v>1214</v>
      </c>
      <c r="F1120" s="21">
        <v>1186000</v>
      </c>
      <c r="G1120" s="5">
        <f t="shared" si="44"/>
        <v>1107800.5976272384</v>
      </c>
      <c r="H1120" s="6">
        <f t="shared" si="43"/>
        <v>78199.40237276163</v>
      </c>
    </row>
    <row r="1121" spans="2:8" ht="18" x14ac:dyDescent="0.45">
      <c r="B1121" s="3" t="s">
        <v>710</v>
      </c>
      <c r="C1121" s="15" t="s">
        <v>1159</v>
      </c>
      <c r="D1121" s="21">
        <v>3858</v>
      </c>
      <c r="E1121" s="4">
        <v>1212</v>
      </c>
      <c r="F1121" s="21">
        <v>1183000</v>
      </c>
      <c r="G1121" s="5">
        <f t="shared" si="44"/>
        <v>1105413.3347651351</v>
      </c>
      <c r="H1121" s="6">
        <f t="shared" si="43"/>
        <v>77586.665234864922</v>
      </c>
    </row>
    <row r="1122" spans="2:8" ht="18" x14ac:dyDescent="0.45">
      <c r="B1122" s="3" t="s">
        <v>446</v>
      </c>
      <c r="C1122" s="15" t="s">
        <v>1160</v>
      </c>
      <c r="D1122" s="21">
        <v>3865</v>
      </c>
      <c r="E1122" s="4">
        <v>1206</v>
      </c>
      <c r="F1122" s="21">
        <v>1183000</v>
      </c>
      <c r="G1122" s="5">
        <f t="shared" si="44"/>
        <v>1101952.4625598816</v>
      </c>
      <c r="H1122" s="6">
        <f t="shared" si="43"/>
        <v>81047.53744011838</v>
      </c>
    </row>
    <row r="1123" spans="2:8" ht="18" x14ac:dyDescent="0.45">
      <c r="B1123" s="3" t="s">
        <v>448</v>
      </c>
      <c r="C1123" s="15" t="s">
        <v>1161</v>
      </c>
      <c r="D1123" s="21">
        <v>3872</v>
      </c>
      <c r="E1123" s="4">
        <v>1193</v>
      </c>
      <c r="F1123" s="21">
        <v>1176000</v>
      </c>
      <c r="G1123" s="5">
        <f t="shared" si="44"/>
        <v>1092093.2363823424</v>
      </c>
      <c r="H1123" s="6">
        <f t="shared" si="43"/>
        <v>83906.763617657591</v>
      </c>
    </row>
    <row r="1124" spans="2:8" ht="18" x14ac:dyDescent="0.45">
      <c r="B1124" s="3" t="s">
        <v>438</v>
      </c>
      <c r="C1124" s="15" t="s">
        <v>1162</v>
      </c>
      <c r="D1124" s="21">
        <v>3865</v>
      </c>
      <c r="E1124" s="4">
        <v>1191.3</v>
      </c>
      <c r="F1124" s="21">
        <v>1172000</v>
      </c>
      <c r="G1124" s="5">
        <f t="shared" si="44"/>
        <v>1088581.6489615149</v>
      </c>
      <c r="H1124" s="6">
        <f t="shared" si="43"/>
        <v>83418.351038485067</v>
      </c>
    </row>
    <row r="1125" spans="2:8" ht="18" x14ac:dyDescent="0.45">
      <c r="B1125" s="3" t="s">
        <v>719</v>
      </c>
      <c r="C1125" s="15" t="s">
        <v>1163</v>
      </c>
      <c r="D1125" s="21">
        <v>3862</v>
      </c>
      <c r="E1125" s="4">
        <v>1191.3</v>
      </c>
      <c r="F1125" s="21">
        <v>1176000</v>
      </c>
      <c r="G1125" s="5">
        <f t="shared" si="44"/>
        <v>1087740.5765302381</v>
      </c>
      <c r="H1125" s="6">
        <f t="shared" si="43"/>
        <v>88259.423469761852</v>
      </c>
    </row>
    <row r="1126" spans="2:8" ht="18" x14ac:dyDescent="0.45">
      <c r="B1126" s="3" t="s">
        <v>442</v>
      </c>
      <c r="C1126" s="15" t="s">
        <v>1164</v>
      </c>
      <c r="D1126" s="21">
        <v>3830</v>
      </c>
      <c r="E1126" s="4">
        <v>1190</v>
      </c>
      <c r="F1126" s="21">
        <v>1169000</v>
      </c>
      <c r="G1126" s="5">
        <f t="shared" si="44"/>
        <v>1077597.3922129699</v>
      </c>
      <c r="H1126" s="6">
        <f t="shared" si="43"/>
        <v>91402.607787030051</v>
      </c>
    </row>
    <row r="1127" spans="2:8" ht="18" x14ac:dyDescent="0.45">
      <c r="B1127" s="3" t="s">
        <v>710</v>
      </c>
      <c r="C1127" s="15" t="s">
        <v>1165</v>
      </c>
      <c r="D1127" s="21">
        <v>3835</v>
      </c>
      <c r="E1127" s="4">
        <v>1205</v>
      </c>
      <c r="F1127" s="21">
        <v>1183000</v>
      </c>
      <c r="G1127" s="5">
        <f t="shared" si="44"/>
        <v>1092535.4354081601</v>
      </c>
      <c r="H1127" s="6">
        <f t="shared" si="43"/>
        <v>90464.56459183991</v>
      </c>
    </row>
    <row r="1128" spans="2:8" ht="18" x14ac:dyDescent="0.45">
      <c r="B1128" s="3" t="s">
        <v>446</v>
      </c>
      <c r="C1128" s="15" t="s">
        <v>1166</v>
      </c>
      <c r="D1128" s="21">
        <v>3832</v>
      </c>
      <c r="E1128" s="4">
        <v>1210</v>
      </c>
      <c r="F1128" s="21">
        <v>1185000</v>
      </c>
      <c r="G1128" s="5">
        <f t="shared" si="44"/>
        <v>1096193.7557148826</v>
      </c>
      <c r="H1128" s="6">
        <f t="shared" si="43"/>
        <v>88806.244285117369</v>
      </c>
    </row>
    <row r="1129" spans="2:8" ht="18" x14ac:dyDescent="0.45">
      <c r="B1129" s="3" t="s">
        <v>448</v>
      </c>
      <c r="C1129" s="15" t="s">
        <v>1167</v>
      </c>
      <c r="D1129" s="21">
        <v>3830</v>
      </c>
      <c r="E1129" s="4">
        <v>1220</v>
      </c>
      <c r="F1129" s="21">
        <v>1190000</v>
      </c>
      <c r="G1129" s="5">
        <f t="shared" si="44"/>
        <v>1104637.6626048936</v>
      </c>
      <c r="H1129" s="6">
        <f t="shared" si="43"/>
        <v>85362.337395106442</v>
      </c>
    </row>
    <row r="1130" spans="2:8" ht="18" x14ac:dyDescent="0.45">
      <c r="B1130" s="3" t="s">
        <v>438</v>
      </c>
      <c r="C1130" s="15" t="s">
        <v>1168</v>
      </c>
      <c r="D1130" s="21">
        <v>3846</v>
      </c>
      <c r="E1130" s="4">
        <v>1219.5</v>
      </c>
      <c r="F1130" s="21">
        <v>1193000</v>
      </c>
      <c r="G1130" s="5">
        <f t="shared" si="44"/>
        <v>1108778.8953123493</v>
      </c>
      <c r="H1130" s="6">
        <f t="shared" si="43"/>
        <v>84221.104687650688</v>
      </c>
    </row>
    <row r="1131" spans="2:8" ht="18" x14ac:dyDescent="0.45">
      <c r="B1131" s="3" t="s">
        <v>719</v>
      </c>
      <c r="C1131" s="15" t="s">
        <v>1169</v>
      </c>
      <c r="D1131" s="21">
        <v>3865</v>
      </c>
      <c r="E1131" s="4">
        <v>1219.5</v>
      </c>
      <c r="F1131" s="21">
        <v>1201000</v>
      </c>
      <c r="G1131" s="5">
        <f t="shared" si="44"/>
        <v>1114231.7811706266</v>
      </c>
      <c r="H1131" s="6">
        <f t="shared" si="43"/>
        <v>86768.218829373363</v>
      </c>
    </row>
    <row r="1132" spans="2:8" ht="18" x14ac:dyDescent="0.45">
      <c r="B1132" s="3" t="s">
        <v>442</v>
      </c>
      <c r="C1132" s="15" t="s">
        <v>1170</v>
      </c>
      <c r="D1132" s="21">
        <v>3850</v>
      </c>
      <c r="E1132" s="4">
        <v>1227</v>
      </c>
      <c r="F1132" s="21">
        <v>1209000</v>
      </c>
      <c r="G1132" s="5">
        <f t="shared" si="44"/>
        <v>1116722.2394945824</v>
      </c>
      <c r="H1132" s="6">
        <f t="shared" si="43"/>
        <v>92277.760505417595</v>
      </c>
    </row>
    <row r="1133" spans="2:8" ht="18" x14ac:dyDescent="0.45">
      <c r="B1133" s="3" t="s">
        <v>710</v>
      </c>
      <c r="C1133" s="15" t="s">
        <v>1171</v>
      </c>
      <c r="D1133" s="21">
        <v>3835</v>
      </c>
      <c r="E1133" s="4">
        <v>1230</v>
      </c>
      <c r="F1133" s="21">
        <v>1215000</v>
      </c>
      <c r="G1133" s="5">
        <f t="shared" si="44"/>
        <v>1115098.4112465035</v>
      </c>
      <c r="H1133" s="6">
        <f t="shared" si="43"/>
        <v>99901.58875349653</v>
      </c>
    </row>
    <row r="1134" spans="2:8" ht="18" x14ac:dyDescent="0.45">
      <c r="B1134" s="3" t="s">
        <v>446</v>
      </c>
      <c r="C1134" s="15" t="s">
        <v>1172</v>
      </c>
      <c r="D1134" s="21">
        <v>3830</v>
      </c>
      <c r="E1134" s="4">
        <v>1237</v>
      </c>
      <c r="F1134" s="21">
        <v>1209000</v>
      </c>
      <c r="G1134" s="5">
        <f t="shared" si="44"/>
        <v>1119960.4824936502</v>
      </c>
      <c r="H1134" s="6">
        <f t="shared" si="43"/>
        <v>89039.517506349832</v>
      </c>
    </row>
    <row r="1135" spans="2:8" ht="18" x14ac:dyDescent="0.45">
      <c r="B1135" s="3" t="s">
        <v>448</v>
      </c>
      <c r="C1135" s="15" t="s">
        <v>1173</v>
      </c>
      <c r="D1135" s="21">
        <v>3840</v>
      </c>
      <c r="E1135" s="4">
        <v>1235</v>
      </c>
      <c r="F1135" s="21">
        <v>1201000</v>
      </c>
      <c r="G1135" s="5">
        <f t="shared" si="44"/>
        <v>1121064.2150274892</v>
      </c>
      <c r="H1135" s="6">
        <f t="shared" si="43"/>
        <v>79935.784972510766</v>
      </c>
    </row>
    <row r="1136" spans="2:8" ht="18" x14ac:dyDescent="0.45">
      <c r="B1136" s="3" t="s">
        <v>438</v>
      </c>
      <c r="C1136" s="15" t="s">
        <v>1174</v>
      </c>
      <c r="D1136" s="21">
        <v>3834</v>
      </c>
      <c r="E1136" s="4">
        <v>1232.9000000000001</v>
      </c>
      <c r="F1136" s="21">
        <v>1199000</v>
      </c>
      <c r="G1136" s="5">
        <f t="shared" si="44"/>
        <v>1117425.568929685</v>
      </c>
      <c r="H1136" s="6">
        <f t="shared" si="43"/>
        <v>81574.431070314953</v>
      </c>
    </row>
    <row r="1137" spans="2:8" ht="18" x14ac:dyDescent="0.45">
      <c r="B1137" s="3" t="s">
        <v>719</v>
      </c>
      <c r="C1137" s="15" t="s">
        <v>1175</v>
      </c>
      <c r="D1137" s="21">
        <v>3825</v>
      </c>
      <c r="E1137" s="4">
        <v>1239.2</v>
      </c>
      <c r="F1137" s="21">
        <v>1202000</v>
      </c>
      <c r="G1137" s="5">
        <f t="shared" si="44"/>
        <v>1120485.284956435</v>
      </c>
      <c r="H1137" s="6">
        <f t="shared" si="43"/>
        <v>81514.715043565026</v>
      </c>
    </row>
    <row r="1138" spans="2:8" ht="18" x14ac:dyDescent="0.45">
      <c r="B1138" s="3" t="s">
        <v>442</v>
      </c>
      <c r="C1138" s="15" t="s">
        <v>1176</v>
      </c>
      <c r="D1138" s="21">
        <v>3815</v>
      </c>
      <c r="E1138" s="4">
        <v>1229</v>
      </c>
      <c r="F1138" s="21">
        <v>1190000</v>
      </c>
      <c r="G1138" s="5">
        <f t="shared" si="44"/>
        <v>1108411.2982509723</v>
      </c>
      <c r="H1138" s="6">
        <f t="shared" si="43"/>
        <v>81588.701749027707</v>
      </c>
    </row>
    <row r="1139" spans="2:8" ht="18" x14ac:dyDescent="0.45">
      <c r="B1139" s="3" t="s">
        <v>710</v>
      </c>
      <c r="C1139" s="15" t="s">
        <v>1177</v>
      </c>
      <c r="D1139" s="21">
        <v>3808</v>
      </c>
      <c r="E1139" s="4">
        <v>1229</v>
      </c>
      <c r="F1139" s="21">
        <v>1189000</v>
      </c>
      <c r="G1139" s="5">
        <f t="shared" si="44"/>
        <v>1106386.6903642733</v>
      </c>
      <c r="H1139" s="6">
        <f t="shared" si="43"/>
        <v>82613.309635726735</v>
      </c>
    </row>
    <row r="1140" spans="2:8" ht="18" x14ac:dyDescent="0.45">
      <c r="B1140" s="3" t="s">
        <v>446</v>
      </c>
      <c r="C1140" s="15" t="s">
        <v>1178</v>
      </c>
      <c r="D1140" s="21">
        <v>3816</v>
      </c>
      <c r="E1140" s="4">
        <v>1226</v>
      </c>
      <c r="F1140" s="21">
        <v>1190000</v>
      </c>
      <c r="G1140" s="5">
        <f t="shared" si="44"/>
        <v>1106006.3850818246</v>
      </c>
      <c r="H1140" s="6">
        <f t="shared" si="43"/>
        <v>83993.614918175386</v>
      </c>
    </row>
    <row r="1141" spans="2:8" ht="18" x14ac:dyDescent="0.45">
      <c r="B1141" s="3" t="s">
        <v>448</v>
      </c>
      <c r="C1141" s="15" t="s">
        <v>1179</v>
      </c>
      <c r="D1141" s="21">
        <v>3811</v>
      </c>
      <c r="E1141" s="4">
        <v>1238</v>
      </c>
      <c r="F1141" s="21">
        <v>1198000</v>
      </c>
      <c r="G1141" s="5">
        <f t="shared" si="44"/>
        <v>1115326.2178760888</v>
      </c>
      <c r="H1141" s="6">
        <f t="shared" si="43"/>
        <v>82673.782123911195</v>
      </c>
    </row>
    <row r="1142" spans="2:8" ht="18" x14ac:dyDescent="0.45">
      <c r="B1142" s="3" t="s">
        <v>438</v>
      </c>
      <c r="C1142" s="15" t="s">
        <v>1180</v>
      </c>
      <c r="D1142" s="21">
        <v>3797</v>
      </c>
      <c r="E1142" s="4">
        <v>1234.5999999999999</v>
      </c>
      <c r="F1142" s="21">
        <v>1190000</v>
      </c>
      <c r="G1142" s="5">
        <f t="shared" si="44"/>
        <v>1108209.1904684433</v>
      </c>
      <c r="H1142" s="6">
        <f t="shared" si="43"/>
        <v>81790.809531556675</v>
      </c>
    </row>
    <row r="1143" spans="2:8" ht="18" x14ac:dyDescent="0.45">
      <c r="B1143" s="3" t="s">
        <v>719</v>
      </c>
      <c r="C1143" s="15" t="s">
        <v>1181</v>
      </c>
      <c r="D1143" s="21">
        <v>3790</v>
      </c>
      <c r="E1143" s="4">
        <v>1234.5999999999999</v>
      </c>
      <c r="F1143" s="21">
        <v>1188000</v>
      </c>
      <c r="G1143" s="5">
        <f t="shared" si="44"/>
        <v>1106175.3573545958</v>
      </c>
      <c r="H1143" s="6">
        <f t="shared" si="43"/>
        <v>81824.642645404208</v>
      </c>
    </row>
    <row r="1144" spans="2:8" ht="18" x14ac:dyDescent="0.45">
      <c r="B1144" s="3" t="s">
        <v>442</v>
      </c>
      <c r="C1144" s="15" t="s">
        <v>1182</v>
      </c>
      <c r="D1144" s="21">
        <v>3787</v>
      </c>
      <c r="E1144" s="4">
        <v>1236</v>
      </c>
      <c r="F1144" s="21">
        <v>1192000</v>
      </c>
      <c r="G1144" s="5">
        <f t="shared" si="44"/>
        <v>1106551.426563354</v>
      </c>
      <c r="H1144" s="6">
        <f t="shared" si="43"/>
        <v>85448.573436646024</v>
      </c>
    </row>
    <row r="1145" spans="2:8" ht="18" x14ac:dyDescent="0.45">
      <c r="B1145" s="3" t="s">
        <v>710</v>
      </c>
      <c r="C1145" s="15" t="s">
        <v>1183</v>
      </c>
      <c r="D1145" s="21">
        <v>3786</v>
      </c>
      <c r="E1145" s="4">
        <v>1230</v>
      </c>
      <c r="F1145" s="21">
        <v>1189000</v>
      </c>
      <c r="G1145" s="5">
        <f t="shared" si="44"/>
        <v>1100914.6245056747</v>
      </c>
      <c r="H1145" s="6">
        <f t="shared" si="43"/>
        <v>88085.375494325301</v>
      </c>
    </row>
    <row r="1146" spans="2:8" ht="18" x14ac:dyDescent="0.45">
      <c r="B1146" s="3" t="s">
        <v>446</v>
      </c>
      <c r="C1146" s="15" t="s">
        <v>1184</v>
      </c>
      <c r="D1146" s="21">
        <v>3780</v>
      </c>
      <c r="E1146" s="4">
        <v>1236</v>
      </c>
      <c r="F1146" s="21">
        <v>1193000</v>
      </c>
      <c r="G1146" s="5">
        <f t="shared" si="44"/>
        <v>1104515.2871427194</v>
      </c>
      <c r="H1146" s="6">
        <f t="shared" si="43"/>
        <v>88484.712857280625</v>
      </c>
    </row>
    <row r="1147" spans="2:8" ht="18" x14ac:dyDescent="0.45">
      <c r="B1147" s="3" t="s">
        <v>448</v>
      </c>
      <c r="C1147" s="15" t="s">
        <v>1185</v>
      </c>
      <c r="D1147" s="21">
        <v>3782</v>
      </c>
      <c r="E1147" s="4">
        <v>1242</v>
      </c>
      <c r="F1147" s="21">
        <v>1199000</v>
      </c>
      <c r="G1147" s="5">
        <f t="shared" si="44"/>
        <v>1110437.318162235</v>
      </c>
      <c r="H1147" s="6">
        <f t="shared" si="43"/>
        <v>88562.681837765034</v>
      </c>
    </row>
    <row r="1148" spans="2:8" ht="18" x14ac:dyDescent="0.45">
      <c r="B1148" s="3" t="s">
        <v>438</v>
      </c>
      <c r="C1148" s="15" t="s">
        <v>1186</v>
      </c>
      <c r="D1148" s="21">
        <v>3775</v>
      </c>
      <c r="E1148" s="4">
        <v>1256.9000000000001</v>
      </c>
      <c r="F1148" s="21">
        <v>1206000</v>
      </c>
      <c r="G1148" s="5">
        <f t="shared" si="44"/>
        <v>1121628.4365093398</v>
      </c>
      <c r="H1148" s="6">
        <f t="shared" si="43"/>
        <v>84371.563490660163</v>
      </c>
    </row>
    <row r="1149" spans="2:8" ht="18" x14ac:dyDescent="0.45">
      <c r="B1149" s="3" t="s">
        <v>719</v>
      </c>
      <c r="C1149" s="15" t="s">
        <v>1187</v>
      </c>
      <c r="D1149" s="21">
        <v>3780</v>
      </c>
      <c r="E1149" s="4">
        <v>1256.9000000000001</v>
      </c>
      <c r="F1149" s="21">
        <v>1213000</v>
      </c>
      <c r="G1149" s="5">
        <f t="shared" si="44"/>
        <v>1123107.4145709416</v>
      </c>
      <c r="H1149" s="6">
        <f t="shared" si="43"/>
        <v>89892.58542905841</v>
      </c>
    </row>
    <row r="1150" spans="2:8" ht="18" x14ac:dyDescent="0.45">
      <c r="B1150" s="3" t="s">
        <v>442</v>
      </c>
      <c r="C1150" s="15" t="s">
        <v>1188</v>
      </c>
      <c r="D1150" s="21">
        <v>3778</v>
      </c>
      <c r="E1150" s="4">
        <v>1254</v>
      </c>
      <c r="F1150" s="21">
        <v>1203000</v>
      </c>
      <c r="G1150" s="5">
        <f t="shared" si="44"/>
        <v>1119937.4194257788</v>
      </c>
      <c r="H1150" s="6">
        <f t="shared" si="43"/>
        <v>83062.580574221211</v>
      </c>
    </row>
    <row r="1151" spans="2:8" ht="18" x14ac:dyDescent="0.45">
      <c r="B1151" s="3" t="s">
        <v>710</v>
      </c>
      <c r="C1151" s="15" t="s">
        <v>1189</v>
      </c>
      <c r="D1151" s="21">
        <v>3776</v>
      </c>
      <c r="E1151" s="4">
        <v>1254</v>
      </c>
      <c r="F1151" s="21">
        <v>1201000</v>
      </c>
      <c r="G1151" s="5">
        <f t="shared" si="44"/>
        <v>1119347.1931582161</v>
      </c>
      <c r="H1151" s="6">
        <f t="shared" si="43"/>
        <v>81652.806841783924</v>
      </c>
    </row>
    <row r="1152" spans="2:8" ht="18" x14ac:dyDescent="0.45">
      <c r="B1152" s="3" t="s">
        <v>446</v>
      </c>
      <c r="C1152" s="15" t="s">
        <v>1190</v>
      </c>
      <c r="D1152" s="21">
        <v>3785</v>
      </c>
      <c r="E1152" s="4">
        <v>1242</v>
      </c>
      <c r="F1152" s="21">
        <v>1200000</v>
      </c>
      <c r="G1152" s="5">
        <f t="shared" si="44"/>
        <v>1111314.1854161976</v>
      </c>
      <c r="H1152" s="6">
        <f t="shared" si="43"/>
        <v>88685.814583802363</v>
      </c>
    </row>
    <row r="1153" spans="2:10" ht="18" x14ac:dyDescent="0.45">
      <c r="B1153" s="3" t="s">
        <v>438</v>
      </c>
      <c r="C1153" s="15" t="s">
        <v>1191</v>
      </c>
      <c r="D1153" s="21">
        <v>3780</v>
      </c>
      <c r="E1153" s="4">
        <v>1234.4000000000001</v>
      </c>
      <c r="F1153" s="21">
        <v>1201000</v>
      </c>
      <c r="G1153" s="5">
        <f t="shared" si="44"/>
        <v>1103091.9663826642</v>
      </c>
      <c r="H1153" s="6">
        <f t="shared" si="43"/>
        <v>97908.033617335837</v>
      </c>
    </row>
    <row r="1154" spans="2:10" ht="18" x14ac:dyDescent="0.45">
      <c r="B1154" s="3" t="s">
        <v>719</v>
      </c>
      <c r="C1154" s="15" t="s">
        <v>1192</v>
      </c>
      <c r="D1154" s="21">
        <v>3770</v>
      </c>
      <c r="E1154" s="4">
        <v>1234.4000000000001</v>
      </c>
      <c r="F1154" s="21">
        <v>1200000</v>
      </c>
      <c r="G1154" s="5">
        <f t="shared" si="44"/>
        <v>1100186.9611805936</v>
      </c>
      <c r="H1154" s="6">
        <f t="shared" ref="H1154:H1217" si="45">F:F-G:G</f>
        <v>99813.038819406414</v>
      </c>
    </row>
    <row r="1155" spans="2:10" ht="18" x14ac:dyDescent="0.45">
      <c r="B1155" s="3" t="s">
        <v>442</v>
      </c>
      <c r="C1155" s="15" t="s">
        <v>1193</v>
      </c>
      <c r="D1155" s="21">
        <v>3759</v>
      </c>
      <c r="E1155" s="4">
        <v>1231</v>
      </c>
      <c r="F1155" s="21">
        <v>1201000</v>
      </c>
      <c r="G1155" s="5">
        <f t="shared" si="44"/>
        <v>1093983.7019355043</v>
      </c>
      <c r="H1155" s="6">
        <f t="shared" si="45"/>
        <v>107016.29806449567</v>
      </c>
    </row>
    <row r="1156" spans="2:10" ht="18" x14ac:dyDescent="0.45">
      <c r="B1156" s="3" t="s">
        <v>710</v>
      </c>
      <c r="C1156" s="15" t="s">
        <v>1194</v>
      </c>
      <c r="D1156" s="21">
        <v>3749</v>
      </c>
      <c r="E1156" s="4">
        <v>1222</v>
      </c>
      <c r="F1156" s="21">
        <v>1200000</v>
      </c>
      <c r="G1156" s="5">
        <f t="shared" si="44"/>
        <v>1083146.1780728549</v>
      </c>
      <c r="H1156" s="6">
        <f t="shared" si="45"/>
        <v>116853.82192714512</v>
      </c>
    </row>
    <row r="1157" spans="2:10" ht="18" x14ac:dyDescent="0.45">
      <c r="B1157" s="3" t="s">
        <v>446</v>
      </c>
      <c r="C1157" s="15" t="s">
        <v>1195</v>
      </c>
      <c r="D1157" s="21">
        <v>3720</v>
      </c>
      <c r="E1157" s="4">
        <v>1212</v>
      </c>
      <c r="F1157" s="21">
        <v>1186000</v>
      </c>
      <c r="G1157" s="5">
        <f t="shared" si="44"/>
        <v>1066051.738031701</v>
      </c>
      <c r="H1157" s="6">
        <f t="shared" si="45"/>
        <v>119948.26196829905</v>
      </c>
    </row>
    <row r="1158" spans="2:10" ht="18" x14ac:dyDescent="0.45">
      <c r="B1158" s="3" t="s">
        <v>448</v>
      </c>
      <c r="C1158" s="15" t="s">
        <v>1196</v>
      </c>
      <c r="D1158" s="21">
        <v>3762</v>
      </c>
      <c r="E1158" s="4">
        <v>1206</v>
      </c>
      <c r="F1158" s="21">
        <v>1193000</v>
      </c>
      <c r="G1158" s="5">
        <f t="shared" si="44"/>
        <v>1072719.3180207696</v>
      </c>
      <c r="H1158" s="6">
        <f t="shared" si="45"/>
        <v>120280.68197923037</v>
      </c>
    </row>
    <row r="1159" spans="2:10" ht="18" x14ac:dyDescent="0.45">
      <c r="B1159" s="3" t="s">
        <v>438</v>
      </c>
      <c r="C1159" s="15" t="s">
        <v>1197</v>
      </c>
      <c r="D1159" s="21">
        <v>3755</v>
      </c>
      <c r="E1159" s="4">
        <v>1204.5</v>
      </c>
      <c r="F1159" s="21">
        <v>1188000</v>
      </c>
      <c r="G1159" s="5">
        <f t="shared" si="44"/>
        <v>1069407.0614008293</v>
      </c>
      <c r="H1159" s="6">
        <f t="shared" si="45"/>
        <v>118592.93859917065</v>
      </c>
    </row>
    <row r="1160" spans="2:10" ht="18" x14ac:dyDescent="0.45">
      <c r="B1160" s="3" t="s">
        <v>719</v>
      </c>
      <c r="C1160" s="15" t="s">
        <v>1198</v>
      </c>
      <c r="D1160" s="21">
        <v>3752</v>
      </c>
      <c r="E1160" s="4">
        <v>1204.5</v>
      </c>
      <c r="F1160" s="21">
        <v>1193000</v>
      </c>
      <c r="G1160" s="5">
        <f t="shared" si="44"/>
        <v>1068556.6696074333</v>
      </c>
      <c r="H1160" s="6">
        <f t="shared" si="45"/>
        <v>124443.33039256674</v>
      </c>
    </row>
    <row r="1161" spans="2:10" ht="18" x14ac:dyDescent="0.45">
      <c r="B1161" s="3" t="s">
        <v>442</v>
      </c>
      <c r="C1161" s="15" t="s">
        <v>1199</v>
      </c>
      <c r="D1161" s="21">
        <v>3750</v>
      </c>
      <c r="E1161" s="4">
        <v>1203</v>
      </c>
      <c r="F1161" s="21">
        <v>1220000</v>
      </c>
      <c r="G1161" s="5">
        <f t="shared" si="44"/>
        <v>1066665.968716844</v>
      </c>
      <c r="H1161" s="6">
        <f t="shared" si="45"/>
        <v>153334.03128315601</v>
      </c>
    </row>
    <row r="1162" spans="2:10" ht="18" x14ac:dyDescent="0.45">
      <c r="B1162" s="3" t="s">
        <v>710</v>
      </c>
      <c r="C1162" s="15" t="s">
        <v>1200</v>
      </c>
      <c r="D1162" s="21">
        <v>3768</v>
      </c>
      <c r="E1162" s="4">
        <v>1205</v>
      </c>
      <c r="F1162" s="21">
        <v>1217000</v>
      </c>
      <c r="G1162" s="5">
        <f t="shared" si="44"/>
        <v>1073535.4682184998</v>
      </c>
      <c r="H1162" s="6">
        <f t="shared" si="45"/>
        <v>143464.53178150021</v>
      </c>
    </row>
    <row r="1163" spans="2:10" ht="18" x14ac:dyDescent="0.45">
      <c r="B1163" s="3" t="s">
        <v>446</v>
      </c>
      <c r="C1163" s="15" t="s">
        <v>1201</v>
      </c>
      <c r="D1163" s="21">
        <v>3793</v>
      </c>
      <c r="E1163" s="4">
        <v>1202</v>
      </c>
      <c r="F1163" s="21">
        <v>1200000</v>
      </c>
      <c r="G1163" s="5">
        <f t="shared" si="44"/>
        <v>1077947.1036298748</v>
      </c>
      <c r="H1163" s="6">
        <f t="shared" si="45"/>
        <v>122052.89637012524</v>
      </c>
    </row>
    <row r="1164" spans="2:10" ht="18" x14ac:dyDescent="0.45">
      <c r="B1164" s="3" t="s">
        <v>448</v>
      </c>
      <c r="C1164" s="15" t="s">
        <v>1202</v>
      </c>
      <c r="D1164" s="21">
        <v>3755</v>
      </c>
      <c r="E1164" s="4">
        <v>1226</v>
      </c>
      <c r="F1164" s="21">
        <v>1213000</v>
      </c>
      <c r="G1164" s="5">
        <f t="shared" si="44"/>
        <v>1088406.4402469213</v>
      </c>
      <c r="H1164" s="6">
        <f t="shared" si="45"/>
        <v>124593.55975307873</v>
      </c>
    </row>
    <row r="1165" spans="2:10" ht="18" x14ac:dyDescent="0.45">
      <c r="B1165" s="3" t="s">
        <v>438</v>
      </c>
      <c r="C1165" s="15" t="s">
        <v>1203</v>
      </c>
      <c r="D1165" s="21">
        <v>3810</v>
      </c>
      <c r="E1165" s="4">
        <v>1248.2</v>
      </c>
      <c r="F1165" s="21">
        <v>1206000</v>
      </c>
      <c r="G1165" s="5">
        <f t="shared" si="44"/>
        <v>1124180.5532392373</v>
      </c>
      <c r="H1165" s="6">
        <f t="shared" si="45"/>
        <v>81819.446760762716</v>
      </c>
      <c r="I1165" s="1">
        <f>G1165*1.09</f>
        <v>1225356.8030307686</v>
      </c>
      <c r="J1165" s="2">
        <f>F1165-I1165</f>
        <v>-19356.803030768642</v>
      </c>
    </row>
    <row r="1166" spans="2:10" ht="18" x14ac:dyDescent="0.45">
      <c r="B1166" s="3" t="s">
        <v>719</v>
      </c>
      <c r="C1166" s="15" t="s">
        <v>1204</v>
      </c>
      <c r="D1166" s="21">
        <v>3800</v>
      </c>
      <c r="E1166" s="4">
        <v>1248.2</v>
      </c>
      <c r="F1166" s="21">
        <v>1206000</v>
      </c>
      <c r="G1166" s="5">
        <f t="shared" si="44"/>
        <v>1121243.071472205</v>
      </c>
      <c r="H1166" s="6">
        <f t="shared" si="45"/>
        <v>84756.928527795011</v>
      </c>
      <c r="I1166" s="1">
        <f t="shared" ref="I1166:I1229" si="46">G1166*1.09</f>
        <v>1222154.9479047034</v>
      </c>
      <c r="J1166" s="2">
        <f t="shared" ref="J1166:J1229" si="47">F1166-I1166</f>
        <v>-16154.94790470344</v>
      </c>
    </row>
    <row r="1167" spans="2:10" ht="18" x14ac:dyDescent="0.45">
      <c r="B1167" s="3" t="s">
        <v>442</v>
      </c>
      <c r="C1167" s="15" t="s">
        <v>1205</v>
      </c>
      <c r="D1167" s="21">
        <v>3810</v>
      </c>
      <c r="E1167" s="4">
        <v>1255</v>
      </c>
      <c r="F1167" s="21">
        <v>1208000</v>
      </c>
      <c r="G1167" s="5">
        <f t="shared" si="44"/>
        <v>1130277.6753046326</v>
      </c>
      <c r="H1167" s="6">
        <f t="shared" si="45"/>
        <v>77722.324695367366</v>
      </c>
      <c r="I1167" s="1">
        <f t="shared" si="46"/>
        <v>1232002.6660820497</v>
      </c>
      <c r="J1167" s="2">
        <f t="shared" si="47"/>
        <v>-24002.66608204972</v>
      </c>
    </row>
    <row r="1168" spans="2:10" ht="18" x14ac:dyDescent="0.45">
      <c r="B1168" s="3" t="s">
        <v>710</v>
      </c>
      <c r="C1168" s="15" t="s">
        <v>1206</v>
      </c>
      <c r="D1168" s="21">
        <v>3815</v>
      </c>
      <c r="E1168" s="4">
        <v>1255</v>
      </c>
      <c r="F1168" s="21">
        <v>1206000</v>
      </c>
      <c r="G1168" s="5">
        <f t="shared" si="44"/>
        <v>1131754.4176606757</v>
      </c>
      <c r="H1168" s="6">
        <f t="shared" si="45"/>
        <v>74245.58233932429</v>
      </c>
      <c r="I1168" s="1">
        <f t="shared" si="46"/>
        <v>1233612.3152501367</v>
      </c>
      <c r="J1168" s="2">
        <f t="shared" si="47"/>
        <v>-27612.315250136657</v>
      </c>
    </row>
    <row r="1169" spans="2:10" ht="18" x14ac:dyDescent="0.45">
      <c r="B1169" s="3" t="s">
        <v>446</v>
      </c>
      <c r="C1169" s="15" t="s">
        <v>1207</v>
      </c>
      <c r="D1169" s="21">
        <v>3785</v>
      </c>
      <c r="E1169" s="4">
        <v>1253</v>
      </c>
      <c r="F1169" s="21">
        <v>1204000</v>
      </c>
      <c r="G1169" s="5">
        <f t="shared" si="44"/>
        <v>1121112.459200077</v>
      </c>
      <c r="H1169" s="6">
        <f t="shared" si="45"/>
        <v>82887.540799923008</v>
      </c>
      <c r="I1169" s="1">
        <f t="shared" si="46"/>
        <v>1222012.580528084</v>
      </c>
      <c r="J1169" s="2">
        <f t="shared" si="47"/>
        <v>-18012.580528083956</v>
      </c>
    </row>
    <row r="1170" spans="2:10" ht="18" x14ac:dyDescent="0.45">
      <c r="B1170" s="3" t="s">
        <v>448</v>
      </c>
      <c r="C1170" s="15" t="s">
        <v>1208</v>
      </c>
      <c r="D1170" s="21">
        <v>3785</v>
      </c>
      <c r="E1170" s="4">
        <v>1245</v>
      </c>
      <c r="F1170" s="21">
        <v>1204000</v>
      </c>
      <c r="G1170" s="5">
        <f t="shared" si="44"/>
        <v>1113986.4419027104</v>
      </c>
      <c r="H1170" s="6">
        <f t="shared" si="45"/>
        <v>90013.558097289642</v>
      </c>
      <c r="I1170" s="1">
        <f t="shared" si="46"/>
        <v>1214245.2216739543</v>
      </c>
      <c r="J1170" s="2">
        <f t="shared" si="47"/>
        <v>-10245.221673954278</v>
      </c>
    </row>
    <row r="1171" spans="2:10" ht="18" x14ac:dyDescent="0.45">
      <c r="B1171" s="3" t="s">
        <v>442</v>
      </c>
      <c r="C1171" s="15" t="s">
        <v>1209</v>
      </c>
      <c r="D1171" s="21">
        <v>3775</v>
      </c>
      <c r="E1171" s="4">
        <v>1245</v>
      </c>
      <c r="F1171" s="21">
        <v>1203000</v>
      </c>
      <c r="G1171" s="5">
        <f t="shared" si="44"/>
        <v>1111056.4909333503</v>
      </c>
      <c r="H1171" s="6">
        <f t="shared" si="45"/>
        <v>91943.509066649713</v>
      </c>
      <c r="I1171" s="1">
        <f t="shared" si="46"/>
        <v>1211051.575117352</v>
      </c>
      <c r="J1171" s="2">
        <f t="shared" si="47"/>
        <v>-8051.5751173519529</v>
      </c>
    </row>
    <row r="1172" spans="2:10" ht="18" x14ac:dyDescent="0.45">
      <c r="B1172" s="3" t="s">
        <v>710</v>
      </c>
      <c r="C1172" s="15" t="s">
        <v>1210</v>
      </c>
      <c r="D1172" s="21">
        <v>3760</v>
      </c>
      <c r="E1172" s="4">
        <v>1258</v>
      </c>
      <c r="F1172" s="21">
        <v>1208000</v>
      </c>
      <c r="G1172" s="5">
        <f t="shared" si="44"/>
        <v>1118164.8579236728</v>
      </c>
      <c r="H1172" s="6">
        <f t="shared" si="45"/>
        <v>89835.142076327233</v>
      </c>
      <c r="I1172" s="1">
        <f t="shared" si="46"/>
        <v>1218799.6951368034</v>
      </c>
      <c r="J1172" s="2">
        <f t="shared" si="47"/>
        <v>-10799.695136803435</v>
      </c>
    </row>
    <row r="1173" spans="2:10" ht="18" x14ac:dyDescent="0.45">
      <c r="B1173" s="3" t="s">
        <v>446</v>
      </c>
      <c r="C1173" s="15" t="s">
        <v>1211</v>
      </c>
      <c r="D1173" s="21">
        <v>3768</v>
      </c>
      <c r="E1173" s="4">
        <v>1253</v>
      </c>
      <c r="F1173" s="21">
        <v>1210000</v>
      </c>
      <c r="G1173" s="5">
        <f t="shared" si="44"/>
        <v>1116099.5366620582</v>
      </c>
      <c r="H1173" s="6">
        <f t="shared" si="45"/>
        <v>93900.463337941794</v>
      </c>
      <c r="I1173" s="1">
        <f t="shared" si="46"/>
        <v>1216548.4949616436</v>
      </c>
      <c r="J1173" s="2">
        <f t="shared" si="47"/>
        <v>-6548.4949616435915</v>
      </c>
    </row>
    <row r="1174" spans="2:10" ht="18" x14ac:dyDescent="0.45">
      <c r="B1174" s="3" t="s">
        <v>448</v>
      </c>
      <c r="C1174" s="15" t="s">
        <v>1212</v>
      </c>
      <c r="D1174" s="21">
        <v>3767</v>
      </c>
      <c r="E1174" s="4">
        <v>1255</v>
      </c>
      <c r="F1174" s="21">
        <v>1210000</v>
      </c>
      <c r="G1174" s="5">
        <f t="shared" si="44"/>
        <v>1117577.6910426647</v>
      </c>
      <c r="H1174" s="6">
        <f t="shared" si="45"/>
        <v>92422.308957335306</v>
      </c>
      <c r="I1174" s="1">
        <f t="shared" si="46"/>
        <v>1218159.6832365047</v>
      </c>
      <c r="J1174" s="2">
        <f t="shared" si="47"/>
        <v>-8159.6832365046721</v>
      </c>
    </row>
    <row r="1175" spans="2:10" ht="18" x14ac:dyDescent="0.45">
      <c r="B1175" s="3" t="s">
        <v>438</v>
      </c>
      <c r="C1175" s="15" t="s">
        <v>1213</v>
      </c>
      <c r="D1175" s="21">
        <v>3763</v>
      </c>
      <c r="E1175" s="4">
        <v>1253.8</v>
      </c>
      <c r="F1175" s="21">
        <v>1205000</v>
      </c>
      <c r="G1175" s="5">
        <f t="shared" ref="G1175:G1238" si="48">E1175/31.103*8.133*D1175*0.9+5000</f>
        <v>1115333.6074713047</v>
      </c>
      <c r="H1175" s="6">
        <f t="shared" si="45"/>
        <v>89666.392528695287</v>
      </c>
      <c r="I1175" s="1">
        <f t="shared" si="46"/>
        <v>1215713.6321437221</v>
      </c>
      <c r="J1175" s="2">
        <f t="shared" si="47"/>
        <v>-10713.632143722149</v>
      </c>
    </row>
    <row r="1176" spans="2:10" ht="18" x14ac:dyDescent="0.45">
      <c r="B1176" s="3" t="s">
        <v>719</v>
      </c>
      <c r="C1176" s="15" t="s">
        <v>1214</v>
      </c>
      <c r="D1176" s="21">
        <v>3764</v>
      </c>
      <c r="E1176" s="4">
        <v>1253.8</v>
      </c>
      <c r="F1176" s="21">
        <v>1207000</v>
      </c>
      <c r="G1176" s="5">
        <f t="shared" si="48"/>
        <v>1115628.6735376008</v>
      </c>
      <c r="H1176" s="6">
        <f t="shared" si="45"/>
        <v>91371.326462399215</v>
      </c>
      <c r="I1176" s="1">
        <f t="shared" si="46"/>
        <v>1216035.2541559848</v>
      </c>
      <c r="J1176" s="2">
        <f t="shared" si="47"/>
        <v>-9035.2541559848469</v>
      </c>
    </row>
    <row r="1177" spans="2:10" ht="18" x14ac:dyDescent="0.45">
      <c r="B1177" s="3" t="s">
        <v>442</v>
      </c>
      <c r="C1177" s="15" t="s">
        <v>1215</v>
      </c>
      <c r="D1177" s="21">
        <v>3769</v>
      </c>
      <c r="E1177" s="4">
        <v>1251</v>
      </c>
      <c r="F1177" s="21">
        <v>1203000</v>
      </c>
      <c r="G1177" s="5">
        <f t="shared" si="48"/>
        <v>1114620.4409317428</v>
      </c>
      <c r="H1177" s="6">
        <f t="shared" si="45"/>
        <v>88379.559068257222</v>
      </c>
      <c r="I1177" s="1">
        <f t="shared" si="46"/>
        <v>1214936.2806155998</v>
      </c>
      <c r="J1177" s="2">
        <f t="shared" si="47"/>
        <v>-11936.280615599826</v>
      </c>
    </row>
    <row r="1178" spans="2:10" ht="18" x14ac:dyDescent="0.45">
      <c r="B1178" s="3" t="s">
        <v>446</v>
      </c>
      <c r="C1178" s="15" t="s">
        <v>1216</v>
      </c>
      <c r="D1178" s="21">
        <v>3767</v>
      </c>
      <c r="E1178" s="4">
        <v>1273</v>
      </c>
      <c r="F1178" s="21">
        <v>1210000</v>
      </c>
      <c r="G1178" s="5">
        <f t="shared" si="48"/>
        <v>1133534.9806353084</v>
      </c>
      <c r="H1178" s="6">
        <f t="shared" si="45"/>
        <v>76465.019364691572</v>
      </c>
      <c r="I1178" s="1">
        <f t="shared" si="46"/>
        <v>1235553.1288924862</v>
      </c>
      <c r="J1178" s="2">
        <f t="shared" si="47"/>
        <v>-25553.128892486217</v>
      </c>
    </row>
    <row r="1179" spans="2:10" ht="18" x14ac:dyDescent="0.45">
      <c r="B1179" s="3" t="s">
        <v>448</v>
      </c>
      <c r="C1179" s="15" t="s">
        <v>1217</v>
      </c>
      <c r="D1179" s="21">
        <v>3762</v>
      </c>
      <c r="E1179" s="4">
        <v>1276</v>
      </c>
      <c r="F1179" s="21">
        <v>1211000</v>
      </c>
      <c r="G1179" s="5">
        <f t="shared" si="48"/>
        <v>1134693.0761148441</v>
      </c>
      <c r="H1179" s="6">
        <f t="shared" si="45"/>
        <v>76306.923885155935</v>
      </c>
      <c r="I1179" s="1">
        <f t="shared" si="46"/>
        <v>1236815.4529651802</v>
      </c>
      <c r="J1179" s="2">
        <f t="shared" si="47"/>
        <v>-25815.452965180157</v>
      </c>
    </row>
    <row r="1180" spans="2:10" ht="18" x14ac:dyDescent="0.45">
      <c r="B1180" s="3" t="s">
        <v>438</v>
      </c>
      <c r="C1180" s="15" t="s">
        <v>1218</v>
      </c>
      <c r="D1180" s="21">
        <v>3764</v>
      </c>
      <c r="E1180" s="4">
        <v>1287.8</v>
      </c>
      <c r="F1180" s="21">
        <v>1217000</v>
      </c>
      <c r="G1180" s="5">
        <f t="shared" si="48"/>
        <v>1145746.2161283477</v>
      </c>
      <c r="H1180" s="6">
        <f t="shared" si="45"/>
        <v>71253.783871652326</v>
      </c>
      <c r="I1180" s="1">
        <f t="shared" si="46"/>
        <v>1248863.3755798989</v>
      </c>
      <c r="J1180" s="2">
        <f t="shared" si="47"/>
        <v>-31863.375579898944</v>
      </c>
    </row>
    <row r="1181" spans="2:10" ht="18" x14ac:dyDescent="0.45">
      <c r="B1181" s="3" t="s">
        <v>719</v>
      </c>
      <c r="C1181" s="15" t="s">
        <v>1219</v>
      </c>
      <c r="D1181" s="21">
        <v>3757</v>
      </c>
      <c r="E1181" s="4">
        <v>1287.8</v>
      </c>
      <c r="F1181" s="21">
        <v>1219000</v>
      </c>
      <c r="G1181" s="5">
        <f t="shared" si="48"/>
        <v>1143624.7433565892</v>
      </c>
      <c r="H1181" s="6">
        <f t="shared" si="45"/>
        <v>75375.256643410772</v>
      </c>
      <c r="I1181" s="1">
        <f t="shared" si="46"/>
        <v>1246550.9702586823</v>
      </c>
      <c r="J1181" s="2">
        <f t="shared" si="47"/>
        <v>-27550.970258682268</v>
      </c>
    </row>
    <row r="1182" spans="2:10" ht="18" x14ac:dyDescent="0.45">
      <c r="B1182" s="3" t="s">
        <v>442</v>
      </c>
      <c r="C1182" s="15" t="s">
        <v>1220</v>
      </c>
      <c r="D1182" s="21">
        <v>3754</v>
      </c>
      <c r="E1182" s="4">
        <v>1288</v>
      </c>
      <c r="F1182" s="21">
        <v>1227000</v>
      </c>
      <c r="G1182" s="5">
        <f t="shared" si="48"/>
        <v>1142892.2320805066</v>
      </c>
      <c r="H1182" s="6">
        <f t="shared" si="45"/>
        <v>84107.767919493373</v>
      </c>
      <c r="I1182" s="1">
        <f t="shared" si="46"/>
        <v>1245752.5329677523</v>
      </c>
      <c r="J1182" s="2">
        <f t="shared" si="47"/>
        <v>-18752.532967752311</v>
      </c>
    </row>
    <row r="1183" spans="2:10" ht="18" x14ac:dyDescent="0.45">
      <c r="B1183" s="3" t="s">
        <v>710</v>
      </c>
      <c r="C1183" s="15" t="s">
        <v>1221</v>
      </c>
      <c r="D1183" s="21">
        <v>3747</v>
      </c>
      <c r="E1183" s="4">
        <v>1284</v>
      </c>
      <c r="F1183" s="21">
        <v>1224000</v>
      </c>
      <c r="G1183" s="5">
        <f t="shared" si="48"/>
        <v>1137243.1924766097</v>
      </c>
      <c r="H1183" s="6">
        <f t="shared" si="45"/>
        <v>86756.807523390278</v>
      </c>
      <c r="I1183" s="1">
        <f t="shared" si="46"/>
        <v>1239595.0797995047</v>
      </c>
      <c r="J1183" s="2">
        <f t="shared" si="47"/>
        <v>-15595.079799504718</v>
      </c>
    </row>
    <row r="1184" spans="2:10" ht="18" x14ac:dyDescent="0.45">
      <c r="B1184" s="3" t="s">
        <v>446</v>
      </c>
      <c r="C1184" s="15" t="s">
        <v>1222</v>
      </c>
      <c r="D1184" s="21">
        <v>3752</v>
      </c>
      <c r="E1184" s="4">
        <v>1282</v>
      </c>
      <c r="F1184" s="21">
        <v>1218000</v>
      </c>
      <c r="G1184" s="5">
        <f t="shared" si="48"/>
        <v>1136988.0867054623</v>
      </c>
      <c r="H1184" s="6">
        <f t="shared" si="45"/>
        <v>81011.913294537691</v>
      </c>
      <c r="I1184" s="1">
        <f t="shared" si="46"/>
        <v>1239317.014508954</v>
      </c>
      <c r="J1184" s="2">
        <f t="shared" si="47"/>
        <v>-21317.014508954016</v>
      </c>
    </row>
    <row r="1185" spans="2:10" ht="18" x14ac:dyDescent="0.45">
      <c r="B1185" s="3" t="s">
        <v>448</v>
      </c>
      <c r="C1185" s="15" t="s">
        <v>1223</v>
      </c>
      <c r="D1185" s="21">
        <v>3750</v>
      </c>
      <c r="E1185" s="4">
        <v>1280</v>
      </c>
      <c r="F1185" s="21">
        <v>1216000</v>
      </c>
      <c r="G1185" s="5">
        <f t="shared" si="48"/>
        <v>1134619.6508375397</v>
      </c>
      <c r="H1185" s="6">
        <f t="shared" si="45"/>
        <v>81380.349162460305</v>
      </c>
      <c r="I1185" s="1">
        <f t="shared" si="46"/>
        <v>1236735.4194129184</v>
      </c>
      <c r="J1185" s="2">
        <f t="shared" si="47"/>
        <v>-20735.419412918389</v>
      </c>
    </row>
    <row r="1186" spans="2:10" ht="18" x14ac:dyDescent="0.45">
      <c r="B1186" s="3" t="s">
        <v>438</v>
      </c>
      <c r="C1186" s="15" t="s">
        <v>1224</v>
      </c>
      <c r="D1186" s="21">
        <v>3747</v>
      </c>
      <c r="E1186" s="4">
        <v>1283.9000000000001</v>
      </c>
      <c r="F1186" s="21">
        <v>1221000</v>
      </c>
      <c r="G1186" s="5">
        <f t="shared" si="48"/>
        <v>1137155.0115426164</v>
      </c>
      <c r="H1186" s="6">
        <f t="shared" si="45"/>
        <v>83844.988457383588</v>
      </c>
      <c r="I1186" s="1">
        <f t="shared" si="46"/>
        <v>1239498.962581452</v>
      </c>
      <c r="J1186" s="2">
        <f t="shared" si="47"/>
        <v>-18498.962581451982</v>
      </c>
    </row>
    <row r="1187" spans="2:10" ht="18" x14ac:dyDescent="0.45">
      <c r="B1187" s="3" t="s">
        <v>719</v>
      </c>
      <c r="C1187" s="15" t="s">
        <v>1225</v>
      </c>
      <c r="D1187" s="21">
        <v>3755</v>
      </c>
      <c r="E1187" s="4">
        <v>1283.9000000000001</v>
      </c>
      <c r="F1187" s="21">
        <v>1224000</v>
      </c>
      <c r="G1187" s="5">
        <f t="shared" si="48"/>
        <v>1139572.209325467</v>
      </c>
      <c r="H1187" s="6">
        <f t="shared" si="45"/>
        <v>84427.790674532996</v>
      </c>
      <c r="I1187" s="1">
        <f t="shared" si="46"/>
        <v>1242133.7081647592</v>
      </c>
      <c r="J1187" s="2">
        <f t="shared" si="47"/>
        <v>-18133.708164759213</v>
      </c>
    </row>
    <row r="1188" spans="2:10" ht="18" x14ac:dyDescent="0.45">
      <c r="B1188" s="3" t="s">
        <v>442</v>
      </c>
      <c r="C1188" s="15" t="s">
        <v>1226</v>
      </c>
      <c r="D1188" s="21">
        <v>3756</v>
      </c>
      <c r="E1188" s="4">
        <v>1273</v>
      </c>
      <c r="F1188" s="21">
        <v>1220000</v>
      </c>
      <c r="G1188" s="5">
        <f t="shared" si="48"/>
        <v>1130239.550641417</v>
      </c>
      <c r="H1188" s="6">
        <f t="shared" si="45"/>
        <v>89760.449358582962</v>
      </c>
      <c r="I1188" s="1">
        <f t="shared" si="46"/>
        <v>1231961.1101991446</v>
      </c>
      <c r="J1188" s="2">
        <f t="shared" si="47"/>
        <v>-11961.110199144576</v>
      </c>
    </row>
    <row r="1189" spans="2:10" ht="18" x14ac:dyDescent="0.45">
      <c r="B1189" s="3" t="s">
        <v>446</v>
      </c>
      <c r="C1189" s="15" t="s">
        <v>1227</v>
      </c>
      <c r="D1189" s="21">
        <v>3761</v>
      </c>
      <c r="E1189" s="4">
        <v>1264</v>
      </c>
      <c r="F1189" s="21">
        <v>1220000</v>
      </c>
      <c r="G1189" s="5">
        <f t="shared" si="48"/>
        <v>1123771.5367906631</v>
      </c>
      <c r="H1189" s="6">
        <f t="shared" si="45"/>
        <v>96228.463209336856</v>
      </c>
      <c r="I1189" s="1">
        <f t="shared" si="46"/>
        <v>1224910.975101823</v>
      </c>
      <c r="J1189" s="2">
        <f t="shared" si="47"/>
        <v>-4910.9751018229872</v>
      </c>
    </row>
    <row r="1190" spans="2:10" ht="18" x14ac:dyDescent="0.45">
      <c r="B1190" s="3" t="s">
        <v>448</v>
      </c>
      <c r="C1190" s="15" t="s">
        <v>1228</v>
      </c>
      <c r="D1190" s="21">
        <v>3764</v>
      </c>
      <c r="E1190" s="4">
        <v>1265</v>
      </c>
      <c r="F1190" s="21">
        <v>1220000</v>
      </c>
      <c r="G1190" s="5">
        <f>E1190/31.103*8.133*D1190*0.9+5000</f>
        <v>1125549.7463910235</v>
      </c>
      <c r="H1190" s="6">
        <f t="shared" si="45"/>
        <v>94450.253608976491</v>
      </c>
      <c r="I1190" s="1">
        <f t="shared" si="46"/>
        <v>1226849.2235662157</v>
      </c>
      <c r="J1190" s="2">
        <f t="shared" si="47"/>
        <v>-6849.2235662157182</v>
      </c>
    </row>
    <row r="1191" spans="2:10" ht="18" x14ac:dyDescent="0.45">
      <c r="B1191" s="3" t="s">
        <v>438</v>
      </c>
      <c r="C1191" s="15" t="s">
        <v>1229</v>
      </c>
      <c r="D1191" s="21">
        <v>3776</v>
      </c>
      <c r="E1191" s="4">
        <v>1267.7</v>
      </c>
      <c r="F1191" s="21">
        <v>1219000</v>
      </c>
      <c r="G1191" s="5">
        <f t="shared" si="48"/>
        <v>1131521.4806751758</v>
      </c>
      <c r="H1191" s="6">
        <f t="shared" si="45"/>
        <v>87478.519324824214</v>
      </c>
      <c r="I1191" s="1">
        <f t="shared" si="46"/>
        <v>1233358.4139359416</v>
      </c>
      <c r="J1191" s="2">
        <f t="shared" si="47"/>
        <v>-14358.413935941644</v>
      </c>
    </row>
    <row r="1192" spans="2:10" ht="18" x14ac:dyDescent="0.45">
      <c r="B1192" s="3" t="s">
        <v>719</v>
      </c>
      <c r="C1192" s="15" t="s">
        <v>1230</v>
      </c>
      <c r="D1192" s="21">
        <v>3778</v>
      </c>
      <c r="E1192" s="4">
        <v>1267.7</v>
      </c>
      <c r="F1192" s="21">
        <v>1221000</v>
      </c>
      <c r="G1192" s="5">
        <f t="shared" si="48"/>
        <v>1132118.1551882452</v>
      </c>
      <c r="H1192" s="6">
        <f t="shared" si="45"/>
        <v>88881.844811754767</v>
      </c>
      <c r="I1192" s="1">
        <f t="shared" si="46"/>
        <v>1234008.7891551873</v>
      </c>
      <c r="J1192" s="2">
        <f t="shared" si="47"/>
        <v>-13008.789155187318</v>
      </c>
    </row>
    <row r="1193" spans="2:10" ht="18" x14ac:dyDescent="0.45">
      <c r="B1193" s="3" t="s">
        <v>442</v>
      </c>
      <c r="C1193" s="15" t="s">
        <v>1231</v>
      </c>
      <c r="D1193" s="21">
        <v>3766</v>
      </c>
      <c r="E1193" s="4">
        <v>1262</v>
      </c>
      <c r="F1193" s="21">
        <v>1216000</v>
      </c>
      <c r="G1193" s="5">
        <f t="shared" si="48"/>
        <v>1123486.3078288266</v>
      </c>
      <c r="H1193" s="6">
        <f t="shared" si="45"/>
        <v>92513.692171173403</v>
      </c>
      <c r="I1193" s="1">
        <f t="shared" si="46"/>
        <v>1224600.075533421</v>
      </c>
      <c r="J1193" s="2">
        <f t="shared" si="47"/>
        <v>-8600.0755334210116</v>
      </c>
    </row>
    <row r="1194" spans="2:10" ht="18" x14ac:dyDescent="0.45">
      <c r="B1194" s="3" t="s">
        <v>710</v>
      </c>
      <c r="C1194" s="15" t="s">
        <v>1232</v>
      </c>
      <c r="D1194" s="21">
        <v>3767</v>
      </c>
      <c r="E1194" s="4">
        <v>1254</v>
      </c>
      <c r="F1194" s="21">
        <v>1209000</v>
      </c>
      <c r="G1194" s="5">
        <f t="shared" si="48"/>
        <v>1116691.1749541841</v>
      </c>
      <c r="H1194" s="6">
        <f t="shared" si="45"/>
        <v>92308.825045815902</v>
      </c>
      <c r="I1194" s="1">
        <f t="shared" si="46"/>
        <v>1217193.3807000609</v>
      </c>
      <c r="J1194" s="2">
        <f t="shared" si="47"/>
        <v>-8193.3807000608649</v>
      </c>
    </row>
    <row r="1195" spans="2:10" ht="18" x14ac:dyDescent="0.45">
      <c r="B1195" s="3" t="s">
        <v>446</v>
      </c>
      <c r="C1195" s="15" t="s">
        <v>1233</v>
      </c>
      <c r="D1195" s="21">
        <v>3770</v>
      </c>
      <c r="E1195" s="4">
        <v>1253</v>
      </c>
      <c r="F1195" s="21">
        <v>1212000</v>
      </c>
      <c r="G1195" s="5">
        <f t="shared" si="48"/>
        <v>1116689.2922547662</v>
      </c>
      <c r="H1195" s="6">
        <f t="shared" si="45"/>
        <v>95310.707745233783</v>
      </c>
      <c r="I1195" s="1">
        <f t="shared" si="46"/>
        <v>1217191.3285576953</v>
      </c>
      <c r="J1195" s="2">
        <f t="shared" si="47"/>
        <v>-5191.3285576952621</v>
      </c>
    </row>
    <row r="1196" spans="2:10" ht="18" x14ac:dyDescent="0.45">
      <c r="B1196" s="3" t="s">
        <v>448</v>
      </c>
      <c r="C1196" s="15" t="s">
        <v>1234</v>
      </c>
      <c r="D1196" s="21">
        <v>3774</v>
      </c>
      <c r="E1196" s="4">
        <v>1230</v>
      </c>
      <c r="F1196" s="21">
        <v>1207000</v>
      </c>
      <c r="G1196" s="5">
        <f t="shared" si="48"/>
        <v>1097441.0440793491</v>
      </c>
      <c r="H1196" s="6">
        <f t="shared" si="45"/>
        <v>109558.95592065086</v>
      </c>
      <c r="I1196" s="1">
        <f t="shared" si="46"/>
        <v>1196210.7380464906</v>
      </c>
      <c r="J1196" s="2">
        <f t="shared" si="47"/>
        <v>10789.261953509413</v>
      </c>
    </row>
    <row r="1197" spans="2:10" ht="18" x14ac:dyDescent="0.45">
      <c r="B1197" s="3" t="s">
        <v>438</v>
      </c>
      <c r="C1197" s="15" t="s">
        <v>1235</v>
      </c>
      <c r="D1197" s="21">
        <v>3766</v>
      </c>
      <c r="E1197" s="4">
        <v>1227.9000000000001</v>
      </c>
      <c r="F1197" s="21">
        <v>1200000</v>
      </c>
      <c r="G1197" s="5">
        <f t="shared" si="48"/>
        <v>1093264.1342179209</v>
      </c>
      <c r="H1197" s="6">
        <f t="shared" si="45"/>
        <v>106735.86578207905</v>
      </c>
      <c r="I1197" s="1">
        <f t="shared" si="46"/>
        <v>1191657.906297534</v>
      </c>
      <c r="J1197" s="2">
        <f t="shared" si="47"/>
        <v>8342.0937024659943</v>
      </c>
    </row>
    <row r="1198" spans="2:10" ht="18" x14ac:dyDescent="0.45">
      <c r="B1198" s="3" t="s">
        <v>719</v>
      </c>
      <c r="C1198" s="15" t="s">
        <v>1236</v>
      </c>
      <c r="D1198" s="21">
        <v>3758</v>
      </c>
      <c r="E1198" s="4">
        <v>1227.9000000000001</v>
      </c>
      <c r="F1198" s="21">
        <v>1197000</v>
      </c>
      <c r="G1198" s="5">
        <f t="shared" si="48"/>
        <v>1090952.367602482</v>
      </c>
      <c r="H1198" s="6">
        <f t="shared" si="45"/>
        <v>106047.63239751803</v>
      </c>
      <c r="I1198" s="1">
        <f t="shared" si="46"/>
        <v>1189138.0806867054</v>
      </c>
      <c r="J1198" s="2">
        <f t="shared" si="47"/>
        <v>7861.9193132945802</v>
      </c>
    </row>
    <row r="1199" spans="2:10" ht="18" x14ac:dyDescent="0.45">
      <c r="B1199" s="3" t="s">
        <v>442</v>
      </c>
      <c r="C1199" s="15" t="s">
        <v>1237</v>
      </c>
      <c r="D1199" s="21">
        <v>3759</v>
      </c>
      <c r="E1199" s="4">
        <v>1232</v>
      </c>
      <c r="F1199" s="21">
        <v>1201000</v>
      </c>
      <c r="G1199" s="5">
        <f t="shared" si="48"/>
        <v>1094868.3353245668</v>
      </c>
      <c r="H1199" s="6">
        <f t="shared" si="45"/>
        <v>106131.66467543319</v>
      </c>
      <c r="I1199" s="1">
        <f t="shared" si="46"/>
        <v>1193406.4855037779</v>
      </c>
      <c r="J1199" s="2">
        <f t="shared" si="47"/>
        <v>7593.5144962221384</v>
      </c>
    </row>
    <row r="1200" spans="2:10" ht="18" x14ac:dyDescent="0.45">
      <c r="B1200" s="3" t="s">
        <v>710</v>
      </c>
      <c r="C1200" s="15" t="s">
        <v>1238</v>
      </c>
      <c r="D1200" s="21">
        <v>3758</v>
      </c>
      <c r="E1200" s="4">
        <v>1224</v>
      </c>
      <c r="F1200" s="21">
        <v>1204000</v>
      </c>
      <c r="G1200" s="5">
        <f t="shared" si="48"/>
        <v>1087503.2152011057</v>
      </c>
      <c r="H1200" s="6">
        <f t="shared" si="45"/>
        <v>116496.78479889431</v>
      </c>
      <c r="I1200" s="1">
        <f t="shared" si="46"/>
        <v>1185378.5045692052</v>
      </c>
      <c r="J1200" s="2">
        <f t="shared" si="47"/>
        <v>18621.495430794777</v>
      </c>
    </row>
    <row r="1201" spans="2:10" ht="18" x14ac:dyDescent="0.45">
      <c r="B1201" s="3" t="s">
        <v>446</v>
      </c>
      <c r="C1201" s="15" t="s">
        <v>1239</v>
      </c>
      <c r="D1201" s="21">
        <v>3765</v>
      </c>
      <c r="E1201" s="4">
        <v>1223</v>
      </c>
      <c r="F1201" s="21">
        <v>1205000</v>
      </c>
      <c r="G1201" s="5">
        <f t="shared" si="48"/>
        <v>1088633.540864225</v>
      </c>
      <c r="H1201" s="6">
        <f t="shared" si="45"/>
        <v>116366.45913577499</v>
      </c>
      <c r="I1201" s="1">
        <f t="shared" si="46"/>
        <v>1186610.5595420054</v>
      </c>
      <c r="J1201" s="2">
        <f t="shared" si="47"/>
        <v>18389.440457994584</v>
      </c>
    </row>
    <row r="1202" spans="2:10" ht="18" x14ac:dyDescent="0.45">
      <c r="B1202" s="3" t="s">
        <v>448</v>
      </c>
      <c r="C1202" s="15" t="s">
        <v>1240</v>
      </c>
      <c r="D1202" s="21">
        <v>3767</v>
      </c>
      <c r="E1202" s="4">
        <v>1224</v>
      </c>
      <c r="F1202" s="21">
        <v>1209000</v>
      </c>
      <c r="G1202" s="5">
        <f t="shared" si="48"/>
        <v>1090095.6922997779</v>
      </c>
      <c r="H1202" s="6">
        <f t="shared" si="45"/>
        <v>118904.30770022213</v>
      </c>
      <c r="I1202" s="1">
        <f t="shared" si="46"/>
        <v>1188204.3046067581</v>
      </c>
      <c r="J1202" s="2">
        <f t="shared" si="47"/>
        <v>20795.695393241942</v>
      </c>
    </row>
    <row r="1203" spans="2:10" ht="18" x14ac:dyDescent="0.45">
      <c r="B1203" s="3" t="s">
        <v>438</v>
      </c>
      <c r="C1203" s="15" t="s">
        <v>1241</v>
      </c>
      <c r="D1203" s="21">
        <v>3763</v>
      </c>
      <c r="E1203" s="4">
        <v>1227.7</v>
      </c>
      <c r="F1203" s="21">
        <v>1208000</v>
      </c>
      <c r="G1203" s="5">
        <f t="shared" si="48"/>
        <v>1092220.1067893771</v>
      </c>
      <c r="H1203" s="6">
        <f t="shared" si="45"/>
        <v>115779.89321062295</v>
      </c>
      <c r="I1203" s="1">
        <f t="shared" si="46"/>
        <v>1190519.9164004212</v>
      </c>
      <c r="J1203" s="2">
        <f t="shared" si="47"/>
        <v>17480.083599578822</v>
      </c>
    </row>
    <row r="1204" spans="2:10" ht="18" x14ac:dyDescent="0.45">
      <c r="B1204" s="3" t="s">
        <v>719</v>
      </c>
      <c r="C1204" s="15" t="s">
        <v>1242</v>
      </c>
      <c r="D1204" s="21">
        <v>3762</v>
      </c>
      <c r="E1204" s="4">
        <v>1227.7</v>
      </c>
      <c r="F1204" s="21">
        <v>1214000</v>
      </c>
      <c r="G1204" s="5">
        <f t="shared" si="48"/>
        <v>1091931.1830299329</v>
      </c>
      <c r="H1204" s="6">
        <f t="shared" si="45"/>
        <v>122068.8169700671</v>
      </c>
      <c r="I1204" s="1">
        <f t="shared" si="46"/>
        <v>1190204.9895026269</v>
      </c>
      <c r="J1204" s="2">
        <f t="shared" si="47"/>
        <v>23795.010497373063</v>
      </c>
    </row>
    <row r="1205" spans="2:10" ht="18" x14ac:dyDescent="0.45">
      <c r="B1205" s="3" t="s">
        <v>442</v>
      </c>
      <c r="C1205" s="15" t="s">
        <v>1243</v>
      </c>
      <c r="D1205" s="21">
        <v>3758</v>
      </c>
      <c r="E1205" s="4">
        <v>1231</v>
      </c>
      <c r="F1205" s="21">
        <v>1214000</v>
      </c>
      <c r="G1205" s="5">
        <f t="shared" si="48"/>
        <v>1093694.00156255</v>
      </c>
      <c r="H1205" s="6">
        <f t="shared" si="45"/>
        <v>120305.99843745003</v>
      </c>
      <c r="I1205" s="1">
        <f t="shared" si="46"/>
        <v>1192126.4617031796</v>
      </c>
      <c r="J1205" s="2">
        <f t="shared" si="47"/>
        <v>21873.538296820363</v>
      </c>
    </row>
    <row r="1206" spans="2:10" ht="18" x14ac:dyDescent="0.45">
      <c r="B1206" s="3" t="s">
        <v>710</v>
      </c>
      <c r="C1206" s="15" t="s">
        <v>1244</v>
      </c>
      <c r="D1206" s="21">
        <v>3777</v>
      </c>
      <c r="E1206" s="4">
        <v>1234</v>
      </c>
      <c r="F1206" s="21">
        <v>1215000</v>
      </c>
      <c r="G1206" s="5">
        <f t="shared" si="48"/>
        <v>1101864.9170369415</v>
      </c>
      <c r="H1206" s="6">
        <f t="shared" si="45"/>
        <v>113135.08296305849</v>
      </c>
      <c r="I1206" s="1">
        <f t="shared" si="46"/>
        <v>1201032.7595702664</v>
      </c>
      <c r="J1206" s="2">
        <f t="shared" si="47"/>
        <v>13967.240429733647</v>
      </c>
    </row>
    <row r="1207" spans="2:10" ht="18" x14ac:dyDescent="0.45">
      <c r="B1207" s="3" t="s">
        <v>446</v>
      </c>
      <c r="C1207" s="15" t="s">
        <v>1245</v>
      </c>
      <c r="D1207" s="21">
        <v>3786</v>
      </c>
      <c r="E1207" s="4">
        <v>1246</v>
      </c>
      <c r="F1207" s="21">
        <v>1220000</v>
      </c>
      <c r="G1207" s="5">
        <f t="shared" si="48"/>
        <v>1115170.4244992442</v>
      </c>
      <c r="H1207" s="6">
        <f t="shared" si="45"/>
        <v>104829.5755007558</v>
      </c>
      <c r="I1207" s="1">
        <f t="shared" si="46"/>
        <v>1215535.7627041764</v>
      </c>
      <c r="J1207" s="2">
        <f t="shared" si="47"/>
        <v>4464.2372958236374</v>
      </c>
    </row>
    <row r="1208" spans="2:10" ht="18" x14ac:dyDescent="0.45">
      <c r="B1208" s="3" t="s">
        <v>448</v>
      </c>
      <c r="C1208" s="15" t="s">
        <v>1246</v>
      </c>
      <c r="D1208" s="21">
        <v>3786</v>
      </c>
      <c r="E1208" s="4">
        <v>1260</v>
      </c>
      <c r="F1208" s="21">
        <v>1224000</v>
      </c>
      <c r="G1208" s="5">
        <f t="shared" si="48"/>
        <v>1127644.2494936178</v>
      </c>
      <c r="H1208" s="6">
        <f t="shared" si="45"/>
        <v>96355.750506382203</v>
      </c>
      <c r="I1208" s="1">
        <f t="shared" si="46"/>
        <v>1229132.2319480435</v>
      </c>
      <c r="J1208" s="2">
        <f t="shared" si="47"/>
        <v>-5132.2319480434526</v>
      </c>
    </row>
    <row r="1209" spans="2:10" ht="18" x14ac:dyDescent="0.45">
      <c r="B1209" s="3" t="s">
        <v>438</v>
      </c>
      <c r="C1209" s="15" t="s">
        <v>1247</v>
      </c>
      <c r="D1209" s="21">
        <v>3748</v>
      </c>
      <c r="E1209" s="4">
        <v>1255.5999999999999</v>
      </c>
      <c r="F1209" s="21">
        <v>1218000</v>
      </c>
      <c r="G1209" s="5">
        <f t="shared" si="48"/>
        <v>1112495.2968961189</v>
      </c>
      <c r="H1209" s="6">
        <f t="shared" si="45"/>
        <v>105504.7031038811</v>
      </c>
      <c r="I1209" s="1">
        <f t="shared" si="46"/>
        <v>1212619.8736167697</v>
      </c>
      <c r="J1209" s="2">
        <f t="shared" si="47"/>
        <v>5380.126383230323</v>
      </c>
    </row>
    <row r="1210" spans="2:10" ht="18" x14ac:dyDescent="0.45">
      <c r="B1210" s="3" t="s">
        <v>719</v>
      </c>
      <c r="C1210" s="15" t="s">
        <v>1248</v>
      </c>
      <c r="D1210" s="21">
        <v>3750</v>
      </c>
      <c r="E1210" s="4">
        <v>1255.5999999999999</v>
      </c>
      <c r="F1210" s="21">
        <v>1217000</v>
      </c>
      <c r="G1210" s="5">
        <f t="shared" si="48"/>
        <v>1113086.276243449</v>
      </c>
      <c r="H1210" s="6">
        <f t="shared" si="45"/>
        <v>103913.72375655104</v>
      </c>
      <c r="I1210" s="1">
        <f t="shared" si="46"/>
        <v>1213264.0411053596</v>
      </c>
      <c r="J1210" s="2">
        <f t="shared" si="47"/>
        <v>3735.9588946404401</v>
      </c>
    </row>
    <row r="1211" spans="2:10" ht="18" x14ac:dyDescent="0.45">
      <c r="B1211" s="3" t="s">
        <v>442</v>
      </c>
      <c r="C1211" s="15" t="s">
        <v>1249</v>
      </c>
      <c r="D1211" s="21">
        <v>3735</v>
      </c>
      <c r="E1211" s="4">
        <v>1255</v>
      </c>
      <c r="F1211" s="21">
        <v>1212000</v>
      </c>
      <c r="G1211" s="5">
        <f t="shared" si="48"/>
        <v>1108126.5399639904</v>
      </c>
      <c r="H1211" s="6">
        <f t="shared" si="45"/>
        <v>103873.46003600955</v>
      </c>
      <c r="I1211" s="1">
        <f t="shared" si="46"/>
        <v>1207857.9285607496</v>
      </c>
      <c r="J1211" s="2">
        <f t="shared" si="47"/>
        <v>4142.0714392503724</v>
      </c>
    </row>
    <row r="1212" spans="2:10" ht="18" x14ac:dyDescent="0.45">
      <c r="B1212" s="3" t="s">
        <v>710</v>
      </c>
      <c r="C1212" s="15" t="s">
        <v>1250</v>
      </c>
      <c r="D1212" s="21">
        <v>3747</v>
      </c>
      <c r="E1212" s="4">
        <v>1259</v>
      </c>
      <c r="F1212" s="21">
        <v>1212000</v>
      </c>
      <c r="G1212" s="5">
        <f t="shared" si="48"/>
        <v>1115197.9589782334</v>
      </c>
      <c r="H1212" s="6">
        <f t="shared" si="45"/>
        <v>96802.041021766607</v>
      </c>
      <c r="I1212" s="1">
        <f t="shared" si="46"/>
        <v>1215565.7752862745</v>
      </c>
      <c r="J1212" s="2">
        <f t="shared" si="47"/>
        <v>-3565.7752862744965</v>
      </c>
    </row>
    <row r="1213" spans="2:10" ht="18" x14ac:dyDescent="0.45">
      <c r="B1213" s="3" t="s">
        <v>446</v>
      </c>
      <c r="C1213" s="15" t="s">
        <v>1251</v>
      </c>
      <c r="D1213" s="21">
        <v>3739</v>
      </c>
      <c r="E1213" s="4">
        <v>1251</v>
      </c>
      <c r="F1213" s="21">
        <v>1204000</v>
      </c>
      <c r="G1213" s="5">
        <f t="shared" si="48"/>
        <v>1105788.227286757</v>
      </c>
      <c r="H1213" s="6">
        <f t="shared" si="45"/>
        <v>98211.77271324303</v>
      </c>
      <c r="I1213" s="1">
        <f t="shared" si="46"/>
        <v>1205309.1677425653</v>
      </c>
      <c r="J1213" s="2">
        <f t="shared" si="47"/>
        <v>-1309.1677425652742</v>
      </c>
    </row>
    <row r="1214" spans="2:10" ht="18" x14ac:dyDescent="0.45">
      <c r="B1214" s="3" t="s">
        <v>448</v>
      </c>
      <c r="C1214" s="15" t="s">
        <v>1252</v>
      </c>
      <c r="D1214" s="21">
        <v>3740</v>
      </c>
      <c r="E1214" s="4">
        <v>1255</v>
      </c>
      <c r="F1214" s="21">
        <v>1202000</v>
      </c>
      <c r="G1214" s="5">
        <f t="shared" si="48"/>
        <v>1109603.2823200333</v>
      </c>
      <c r="H1214" s="6">
        <f t="shared" si="45"/>
        <v>92396.717679966707</v>
      </c>
      <c r="I1214" s="1">
        <f t="shared" si="46"/>
        <v>1209467.5777288363</v>
      </c>
      <c r="J1214" s="2">
        <f t="shared" si="47"/>
        <v>-7467.5777288363315</v>
      </c>
    </row>
    <row r="1215" spans="2:10" ht="18" x14ac:dyDescent="0.45">
      <c r="B1215" s="3" t="s">
        <v>438</v>
      </c>
      <c r="C1215" s="15" t="s">
        <v>1253</v>
      </c>
      <c r="D1215" s="21">
        <v>3736</v>
      </c>
      <c r="E1215" s="4">
        <v>1266.7</v>
      </c>
      <c r="F1215" s="21">
        <v>1206000</v>
      </c>
      <c r="G1215" s="5">
        <f t="shared" si="48"/>
        <v>1118708.7697855511</v>
      </c>
      <c r="H1215" s="6">
        <f t="shared" si="45"/>
        <v>87291.230214448879</v>
      </c>
      <c r="I1215" s="1">
        <f t="shared" si="46"/>
        <v>1219392.5590662509</v>
      </c>
      <c r="J1215" s="2">
        <f t="shared" si="47"/>
        <v>-13392.55906625092</v>
      </c>
    </row>
    <row r="1216" spans="2:10" ht="18" x14ac:dyDescent="0.45">
      <c r="B1216" s="3" t="s">
        <v>719</v>
      </c>
      <c r="C1216" s="15" t="s">
        <v>1254</v>
      </c>
      <c r="D1216" s="21">
        <v>3730</v>
      </c>
      <c r="E1216" s="4">
        <v>1266.7</v>
      </c>
      <c r="F1216" s="21">
        <v>1205000</v>
      </c>
      <c r="G1216" s="5">
        <f t="shared" si="48"/>
        <v>1116920.1582709062</v>
      </c>
      <c r="H1216" s="6">
        <f t="shared" si="45"/>
        <v>88079.841729093809</v>
      </c>
      <c r="I1216" s="1">
        <f t="shared" si="46"/>
        <v>1217442.9725152878</v>
      </c>
      <c r="J1216" s="2">
        <f t="shared" si="47"/>
        <v>-12442.972515287809</v>
      </c>
    </row>
    <row r="1217" spans="2:10" ht="18" x14ac:dyDescent="0.45">
      <c r="B1217" s="3" t="s">
        <v>442</v>
      </c>
      <c r="C1217" s="15" t="s">
        <v>1255</v>
      </c>
      <c r="D1217" s="21">
        <v>3735</v>
      </c>
      <c r="E1217" s="4">
        <v>1267</v>
      </c>
      <c r="F1217" s="21">
        <v>1206000</v>
      </c>
      <c r="G1217" s="5">
        <f t="shared" si="48"/>
        <v>1118674.363453686</v>
      </c>
      <c r="H1217" s="6">
        <f t="shared" si="45"/>
        <v>87325.636546313995</v>
      </c>
      <c r="I1217" s="1">
        <f t="shared" si="46"/>
        <v>1219355.0561645178</v>
      </c>
      <c r="J1217" s="2">
        <f t="shared" si="47"/>
        <v>-13355.056164517766</v>
      </c>
    </row>
    <row r="1218" spans="2:10" ht="18" x14ac:dyDescent="0.45">
      <c r="B1218" s="3" t="s">
        <v>710</v>
      </c>
      <c r="C1218" s="15" t="s">
        <v>1256</v>
      </c>
      <c r="D1218" s="21">
        <v>3734</v>
      </c>
      <c r="E1218" s="4">
        <v>1263</v>
      </c>
      <c r="F1218" s="21">
        <v>1200000</v>
      </c>
      <c r="G1218" s="5">
        <f t="shared" si="48"/>
        <v>1114861.1911198276</v>
      </c>
      <c r="H1218" s="6">
        <f t="shared" ref="H1218:H1281" si="49">F:F-G:G</f>
        <v>85138.808880172437</v>
      </c>
      <c r="I1218" s="1">
        <f t="shared" si="46"/>
        <v>1215198.6983206121</v>
      </c>
      <c r="J1218" s="2">
        <f t="shared" si="47"/>
        <v>-15198.698320612079</v>
      </c>
    </row>
    <row r="1219" spans="2:10" ht="18" x14ac:dyDescent="0.45">
      <c r="B1219" s="3" t="s">
        <v>446</v>
      </c>
      <c r="C1219" s="15" t="s">
        <v>1257</v>
      </c>
      <c r="D1219" s="21">
        <v>3736</v>
      </c>
      <c r="E1219" s="4">
        <v>1264</v>
      </c>
      <c r="F1219" s="21">
        <v>1199000</v>
      </c>
      <c r="G1219" s="5">
        <f t="shared" si="48"/>
        <v>1116334.874089316</v>
      </c>
      <c r="H1219" s="6">
        <f t="shared" si="49"/>
        <v>82665.125910684001</v>
      </c>
      <c r="I1219" s="1">
        <f t="shared" si="46"/>
        <v>1216805.0127573544</v>
      </c>
      <c r="J1219" s="2">
        <f t="shared" si="47"/>
        <v>-17805.012757354416</v>
      </c>
    </row>
    <row r="1220" spans="2:10" ht="18" x14ac:dyDescent="0.45">
      <c r="B1220" s="3" t="s">
        <v>448</v>
      </c>
      <c r="C1220" s="15" t="s">
        <v>1258</v>
      </c>
      <c r="D1220" s="21">
        <v>3731</v>
      </c>
      <c r="E1220" s="4">
        <v>1262</v>
      </c>
      <c r="F1220" s="21">
        <v>1201000</v>
      </c>
      <c r="G1220" s="5">
        <f t="shared" si="48"/>
        <v>1113091.4536668486</v>
      </c>
      <c r="H1220" s="6">
        <f t="shared" si="49"/>
        <v>87908.546333151404</v>
      </c>
      <c r="I1220" s="1">
        <f t="shared" si="46"/>
        <v>1213269.6844968651</v>
      </c>
      <c r="J1220" s="2">
        <f t="shared" si="47"/>
        <v>-12269.684496865142</v>
      </c>
    </row>
    <row r="1221" spans="2:10" ht="18" x14ac:dyDescent="0.45">
      <c r="B1221" s="3" t="s">
        <v>438</v>
      </c>
      <c r="C1221" s="15" t="s">
        <v>1259</v>
      </c>
      <c r="D1221" s="21">
        <v>3728</v>
      </c>
      <c r="E1221" s="4">
        <v>1282.3</v>
      </c>
      <c r="F1221" s="21">
        <v>1204000</v>
      </c>
      <c r="G1221" s="5">
        <f t="shared" si="48"/>
        <v>1130010.4261222389</v>
      </c>
      <c r="H1221" s="6">
        <f t="shared" si="49"/>
        <v>73989.57387776114</v>
      </c>
      <c r="I1221" s="1">
        <f t="shared" si="46"/>
        <v>1231711.3644732405</v>
      </c>
      <c r="J1221" s="2">
        <f t="shared" si="47"/>
        <v>-27711.36447324045</v>
      </c>
    </row>
    <row r="1222" spans="2:10" ht="18" x14ac:dyDescent="0.45">
      <c r="B1222" s="3" t="s">
        <v>671</v>
      </c>
      <c r="C1222" s="15" t="s">
        <v>1260</v>
      </c>
      <c r="D1222" s="21">
        <v>3729</v>
      </c>
      <c r="E1222" s="4">
        <v>1294</v>
      </c>
      <c r="F1222" s="21">
        <v>1206000</v>
      </c>
      <c r="G1222" s="5">
        <f t="shared" si="48"/>
        <v>1140579.8065202711</v>
      </c>
      <c r="H1222" s="6">
        <f t="shared" si="49"/>
        <v>65420.193479728885</v>
      </c>
      <c r="I1222" s="1">
        <f t="shared" si="46"/>
        <v>1243231.9891070956</v>
      </c>
      <c r="J1222" s="2">
        <f t="shared" si="47"/>
        <v>-37231.989107095636</v>
      </c>
    </row>
    <row r="1223" spans="2:10" ht="18" x14ac:dyDescent="0.45">
      <c r="B1223" s="3" t="s">
        <v>446</v>
      </c>
      <c r="C1223" s="15" t="s">
        <v>1261</v>
      </c>
      <c r="D1223" s="21">
        <v>3735</v>
      </c>
      <c r="E1223" s="4">
        <v>1290</v>
      </c>
      <c r="F1223" s="21">
        <v>1207000</v>
      </c>
      <c r="G1223" s="5">
        <f t="shared" si="48"/>
        <v>1138891.025142269</v>
      </c>
      <c r="H1223" s="6">
        <f t="shared" si="49"/>
        <v>68108.974857731024</v>
      </c>
      <c r="I1223" s="1">
        <f t="shared" si="46"/>
        <v>1241391.2174050733</v>
      </c>
      <c r="J1223" s="2">
        <f t="shared" si="47"/>
        <v>-34391.217405073345</v>
      </c>
    </row>
    <row r="1224" spans="2:10" ht="18" x14ac:dyDescent="0.45">
      <c r="B1224" s="3" t="s">
        <v>448</v>
      </c>
      <c r="C1224" s="15" t="s">
        <v>1262</v>
      </c>
      <c r="D1224" s="21">
        <v>3733</v>
      </c>
      <c r="E1224" s="4">
        <v>1285</v>
      </c>
      <c r="F1224" s="21">
        <v>1204000</v>
      </c>
      <c r="G1224" s="5">
        <f t="shared" si="48"/>
        <v>1133891.2815001768</v>
      </c>
      <c r="H1224" s="6">
        <f t="shared" si="49"/>
        <v>70108.718499823241</v>
      </c>
      <c r="I1224" s="1">
        <f t="shared" si="46"/>
        <v>1235941.4968351927</v>
      </c>
      <c r="J1224" s="2">
        <f t="shared" si="47"/>
        <v>-31941.496835192665</v>
      </c>
    </row>
    <row r="1225" spans="2:10" ht="18" x14ac:dyDescent="0.45">
      <c r="B1225" s="3" t="s">
        <v>438</v>
      </c>
      <c r="C1225" s="15" t="s">
        <v>1263</v>
      </c>
      <c r="D1225" s="21">
        <v>3734</v>
      </c>
      <c r="E1225" s="4">
        <v>1266.4000000000001</v>
      </c>
      <c r="F1225" s="21">
        <v>1199000</v>
      </c>
      <c r="G1225" s="5">
        <f t="shared" si="48"/>
        <v>1117848.9409613218</v>
      </c>
      <c r="H1225" s="6">
        <f t="shared" si="49"/>
        <v>81151.059038678184</v>
      </c>
      <c r="I1225" s="1">
        <f t="shared" si="46"/>
        <v>1218455.3456478408</v>
      </c>
      <c r="J1225" s="2">
        <f t="shared" si="47"/>
        <v>-19455.345647840761</v>
      </c>
    </row>
    <row r="1226" spans="2:10" ht="18" x14ac:dyDescent="0.45">
      <c r="B1226" s="3" t="s">
        <v>719</v>
      </c>
      <c r="C1226" s="15" t="s">
        <v>1264</v>
      </c>
      <c r="D1226" s="21">
        <v>3735</v>
      </c>
      <c r="E1226" s="4">
        <v>1266.4000000000001</v>
      </c>
      <c r="F1226" s="21">
        <v>1201000</v>
      </c>
      <c r="G1226" s="5">
        <f t="shared" si="48"/>
        <v>1118146.9722792013</v>
      </c>
      <c r="H1226" s="6">
        <f t="shared" si="49"/>
        <v>82853.027720798738</v>
      </c>
      <c r="I1226" s="1">
        <f t="shared" si="46"/>
        <v>1218780.1997843294</v>
      </c>
      <c r="J1226" s="2">
        <f t="shared" si="47"/>
        <v>-17780.199784329394</v>
      </c>
    </row>
    <row r="1227" spans="2:10" ht="18" x14ac:dyDescent="0.45">
      <c r="B1227" s="3" t="s">
        <v>442</v>
      </c>
      <c r="C1227" s="15" t="s">
        <v>1265</v>
      </c>
      <c r="D1227" s="21">
        <v>3730</v>
      </c>
      <c r="E1227" s="4">
        <v>1268</v>
      </c>
      <c r="F1227" s="21">
        <v>1200000</v>
      </c>
      <c r="G1227" s="5">
        <f t="shared" si="48"/>
        <v>1118061.3094556793</v>
      </c>
      <c r="H1227" s="6">
        <f t="shared" si="49"/>
        <v>81938.690544320736</v>
      </c>
      <c r="I1227" s="1">
        <f t="shared" si="46"/>
        <v>1218686.8273066904</v>
      </c>
      <c r="J1227" s="2">
        <f t="shared" si="47"/>
        <v>-18686.827306690393</v>
      </c>
    </row>
    <row r="1228" spans="2:10" ht="18" x14ac:dyDescent="0.45">
      <c r="B1228" s="3" t="s">
        <v>710</v>
      </c>
      <c r="C1228" s="15" t="s">
        <v>1266</v>
      </c>
      <c r="D1228" s="21">
        <v>3727</v>
      </c>
      <c r="E1228" s="4">
        <v>1262</v>
      </c>
      <c r="F1228" s="21">
        <v>1199000</v>
      </c>
      <c r="G1228" s="5">
        <f t="shared" si="48"/>
        <v>1111903.4703340512</v>
      </c>
      <c r="H1228" s="6">
        <f t="shared" si="49"/>
        <v>87096.529665948823</v>
      </c>
      <c r="I1228" s="1">
        <f t="shared" si="46"/>
        <v>1211974.7826641158</v>
      </c>
      <c r="J1228" s="2">
        <f t="shared" si="47"/>
        <v>-12974.782664115774</v>
      </c>
    </row>
    <row r="1229" spans="2:10" ht="18" x14ac:dyDescent="0.45">
      <c r="B1229" s="3" t="s">
        <v>446</v>
      </c>
      <c r="C1229" s="15" t="s">
        <v>1267</v>
      </c>
      <c r="D1229" s="21">
        <v>3724</v>
      </c>
      <c r="E1229" s="4">
        <v>1265</v>
      </c>
      <c r="F1229" s="21">
        <v>1200000</v>
      </c>
      <c r="G1229" s="5">
        <f t="shared" si="48"/>
        <v>1113641.6725717776</v>
      </c>
      <c r="H1229" s="6">
        <f t="shared" si="49"/>
        <v>86358.327428222401</v>
      </c>
      <c r="I1229" s="1">
        <f t="shared" si="46"/>
        <v>1213869.4231032378</v>
      </c>
      <c r="J1229" s="2">
        <f t="shared" si="47"/>
        <v>-13869.423103237757</v>
      </c>
    </row>
    <row r="1230" spans="2:10" ht="18" x14ac:dyDescent="0.45">
      <c r="B1230" s="3" t="s">
        <v>448</v>
      </c>
      <c r="C1230" s="15" t="s">
        <v>1268</v>
      </c>
      <c r="D1230" s="21">
        <v>3726</v>
      </c>
      <c r="E1230" s="4">
        <v>1260</v>
      </c>
      <c r="F1230" s="21">
        <v>1201000</v>
      </c>
      <c r="G1230" s="5">
        <f t="shared" si="48"/>
        <v>1109852.7399929266</v>
      </c>
      <c r="H1230" s="6">
        <f t="shared" si="49"/>
        <v>91147.260007073404</v>
      </c>
      <c r="I1230" s="1">
        <f t="shared" ref="I1230:I1293" si="50">G1230*1.09</f>
        <v>1209739.48659229</v>
      </c>
      <c r="J1230" s="2">
        <f t="shared" ref="J1230:J1293" si="51">F1230-I1230</f>
        <v>-8739.4865922899917</v>
      </c>
    </row>
    <row r="1231" spans="2:10" ht="18" x14ac:dyDescent="0.45">
      <c r="B1231" s="3" t="s">
        <v>438</v>
      </c>
      <c r="C1231" s="15" t="s">
        <v>1269</v>
      </c>
      <c r="D1231" s="21">
        <v>3733</v>
      </c>
      <c r="E1231" s="4">
        <v>1253.4000000000001</v>
      </c>
      <c r="F1231" s="21">
        <v>1214000</v>
      </c>
      <c r="G1231" s="5">
        <f t="shared" si="48"/>
        <v>1106130.219636048</v>
      </c>
      <c r="H1231" s="6">
        <f t="shared" si="49"/>
        <v>107869.78036395204</v>
      </c>
      <c r="I1231" s="1">
        <f t="shared" si="50"/>
        <v>1205681.9394032923</v>
      </c>
      <c r="J1231" s="2">
        <f t="shared" si="51"/>
        <v>8318.0605967077427</v>
      </c>
    </row>
    <row r="1232" spans="2:10" ht="18" x14ac:dyDescent="0.45">
      <c r="B1232" s="3" t="s">
        <v>719</v>
      </c>
      <c r="C1232" s="15" t="s">
        <v>1270</v>
      </c>
      <c r="D1232" s="21">
        <v>3746</v>
      </c>
      <c r="E1232" s="4">
        <v>1253.4000000000001</v>
      </c>
      <c r="F1232" s="21">
        <v>1220000</v>
      </c>
      <c r="G1232" s="5">
        <f t="shared" si="48"/>
        <v>1109964.8547432723</v>
      </c>
      <c r="H1232" s="6">
        <f t="shared" si="49"/>
        <v>110035.1452567277</v>
      </c>
      <c r="I1232" s="1">
        <f t="shared" si="50"/>
        <v>1209861.6916701668</v>
      </c>
      <c r="J1232" s="2">
        <f t="shared" si="51"/>
        <v>10138.308329833206</v>
      </c>
    </row>
    <row r="1233" spans="2:10" ht="18" x14ac:dyDescent="0.45">
      <c r="B1233" s="3" t="s">
        <v>442</v>
      </c>
      <c r="C1233" s="15" t="s">
        <v>1271</v>
      </c>
      <c r="D1233" s="21">
        <v>3745</v>
      </c>
      <c r="E1233" s="4">
        <v>1249</v>
      </c>
      <c r="F1233" s="21">
        <v>1217000</v>
      </c>
      <c r="G1233" s="5">
        <f t="shared" si="48"/>
        <v>1105791.9926855927</v>
      </c>
      <c r="H1233" s="6">
        <f t="shared" si="49"/>
        <v>111208.00731440727</v>
      </c>
      <c r="I1233" s="1">
        <f t="shared" si="50"/>
        <v>1205313.2720272962</v>
      </c>
      <c r="J1233" s="2">
        <f t="shared" si="51"/>
        <v>11686.727972703753</v>
      </c>
    </row>
    <row r="1234" spans="2:10" ht="18" x14ac:dyDescent="0.45">
      <c r="B1234" s="3" t="s">
        <v>710</v>
      </c>
      <c r="C1234" s="15" t="s">
        <v>1272</v>
      </c>
      <c r="D1234" s="21">
        <v>3746</v>
      </c>
      <c r="E1234" s="4">
        <v>1245</v>
      </c>
      <c r="F1234" s="21">
        <v>1215000</v>
      </c>
      <c r="G1234" s="5">
        <f t="shared" si="48"/>
        <v>1102559.6331222067</v>
      </c>
      <c r="H1234" s="6">
        <f t="shared" si="49"/>
        <v>112440.36687779333</v>
      </c>
      <c r="I1234" s="1">
        <f t="shared" si="50"/>
        <v>1201790.0001032054</v>
      </c>
      <c r="J1234" s="2">
        <f t="shared" si="51"/>
        <v>13209.999896794558</v>
      </c>
    </row>
    <row r="1235" spans="2:10" ht="18" x14ac:dyDescent="0.45">
      <c r="B1235" s="3" t="s">
        <v>446</v>
      </c>
      <c r="C1235" s="15" t="s">
        <v>1273</v>
      </c>
      <c r="D1235" s="21">
        <v>3739</v>
      </c>
      <c r="E1235" s="4">
        <v>1243</v>
      </c>
      <c r="F1235" s="21">
        <v>1209000</v>
      </c>
      <c r="G1235" s="5">
        <f t="shared" si="48"/>
        <v>1098748.8141626208</v>
      </c>
      <c r="H1235" s="6">
        <f t="shared" si="49"/>
        <v>110251.18583737919</v>
      </c>
      <c r="I1235" s="1">
        <f t="shared" si="50"/>
        <v>1197636.2074372568</v>
      </c>
      <c r="J1235" s="2">
        <f t="shared" si="51"/>
        <v>11363.792562743183</v>
      </c>
    </row>
    <row r="1236" spans="2:10" ht="18" x14ac:dyDescent="0.45">
      <c r="B1236" s="3" t="s">
        <v>448</v>
      </c>
      <c r="C1236" s="15" t="s">
        <v>1274</v>
      </c>
      <c r="D1236" s="21">
        <v>3745</v>
      </c>
      <c r="E1236" s="4">
        <v>1253</v>
      </c>
      <c r="F1236" s="21">
        <v>1212000</v>
      </c>
      <c r="G1236" s="5">
        <f t="shared" si="48"/>
        <v>1109317.3473459149</v>
      </c>
      <c r="H1236" s="6">
        <f t="shared" si="49"/>
        <v>102682.65265408508</v>
      </c>
      <c r="I1236" s="1">
        <f t="shared" si="50"/>
        <v>1209155.9086070473</v>
      </c>
      <c r="J1236" s="2">
        <f t="shared" si="51"/>
        <v>2844.091392952716</v>
      </c>
    </row>
    <row r="1237" spans="2:10" ht="18" x14ac:dyDescent="0.45">
      <c r="B1237" s="3" t="s">
        <v>438</v>
      </c>
      <c r="C1237" s="15" t="s">
        <v>1275</v>
      </c>
      <c r="D1237" s="21">
        <v>3758</v>
      </c>
      <c r="E1237" s="4">
        <v>1256.5999999999999</v>
      </c>
      <c r="F1237" s="21">
        <v>1214000</v>
      </c>
      <c r="G1237" s="5">
        <f t="shared" si="48"/>
        <v>1116334.5916844031</v>
      </c>
      <c r="H1237" s="6">
        <f t="shared" si="49"/>
        <v>97665.408315596869</v>
      </c>
      <c r="I1237" s="1">
        <f t="shared" si="50"/>
        <v>1216804.7049359996</v>
      </c>
      <c r="J1237" s="2">
        <f t="shared" si="51"/>
        <v>-2804.7049359995872</v>
      </c>
    </row>
    <row r="1238" spans="2:10" ht="18" x14ac:dyDescent="0.45">
      <c r="B1238" s="3" t="s">
        <v>719</v>
      </c>
      <c r="C1238" s="15" t="s">
        <v>1276</v>
      </c>
      <c r="D1238" s="21">
        <v>3759</v>
      </c>
      <c r="E1238" s="4">
        <v>1256.5999999999999</v>
      </c>
      <c r="F1238" s="21">
        <v>1213000</v>
      </c>
      <c r="G1238" s="5">
        <f t="shared" si="48"/>
        <v>1116630.3166954953</v>
      </c>
      <c r="H1238" s="6">
        <f t="shared" si="49"/>
        <v>96369.683304504724</v>
      </c>
      <c r="I1238" s="1">
        <f t="shared" si="50"/>
        <v>1217127.0451980899</v>
      </c>
      <c r="J1238" s="2">
        <f t="shared" si="51"/>
        <v>-4127.0451980899088</v>
      </c>
    </row>
    <row r="1239" spans="2:10" ht="18" x14ac:dyDescent="0.45">
      <c r="B1239" s="3" t="s">
        <v>446</v>
      </c>
      <c r="C1239" s="15" t="s">
        <v>1277</v>
      </c>
      <c r="D1239" s="21">
        <v>3761</v>
      </c>
      <c r="E1239" s="4">
        <v>1252</v>
      </c>
      <c r="F1239" s="21">
        <v>1214000</v>
      </c>
      <c r="G1239" s="5">
        <f t="shared" ref="G1239:G1302" si="52">E1239/31.103*8.133*D1239*0.9+5000</f>
        <v>1113150.2880236635</v>
      </c>
      <c r="H1239" s="6">
        <f t="shared" si="49"/>
        <v>100849.71197633655</v>
      </c>
      <c r="I1239" s="1">
        <f t="shared" si="50"/>
        <v>1213333.8139457933</v>
      </c>
      <c r="J1239" s="2">
        <f t="shared" si="51"/>
        <v>666.18605420668609</v>
      </c>
    </row>
    <row r="1240" spans="2:10" ht="18" x14ac:dyDescent="0.45">
      <c r="B1240" s="3" t="s">
        <v>448</v>
      </c>
      <c r="C1240" s="15" t="s">
        <v>1278</v>
      </c>
      <c r="D1240" s="21">
        <v>3770</v>
      </c>
      <c r="E1240" s="4">
        <v>1247</v>
      </c>
      <c r="F1240" s="21">
        <v>1216000</v>
      </c>
      <c r="G1240" s="5">
        <f t="shared" si="52"/>
        <v>1111365.9596501945</v>
      </c>
      <c r="H1240" s="6">
        <f t="shared" si="49"/>
        <v>104634.04034980549</v>
      </c>
      <c r="I1240" s="1">
        <f t="shared" si="50"/>
        <v>1211388.8960187121</v>
      </c>
      <c r="J1240" s="2">
        <f t="shared" si="51"/>
        <v>4611.1039812879171</v>
      </c>
    </row>
    <row r="1241" spans="2:10" ht="18" x14ac:dyDescent="0.45">
      <c r="B1241" s="3" t="s">
        <v>438</v>
      </c>
      <c r="C1241" s="15" t="s">
        <v>1279</v>
      </c>
      <c r="D1241" s="21">
        <v>3785</v>
      </c>
      <c r="E1241" s="4">
        <v>1241.2</v>
      </c>
      <c r="F1241" s="21">
        <v>1218000</v>
      </c>
      <c r="G1241" s="5">
        <f t="shared" si="52"/>
        <v>1110601.5836864612</v>
      </c>
      <c r="H1241" s="6">
        <f t="shared" si="49"/>
        <v>107398.41631353879</v>
      </c>
      <c r="I1241" s="1">
        <f t="shared" si="50"/>
        <v>1210555.7262182429</v>
      </c>
      <c r="J1241" s="2">
        <f t="shared" si="51"/>
        <v>7444.2737817571033</v>
      </c>
    </row>
    <row r="1242" spans="2:10" ht="18" x14ac:dyDescent="0.45">
      <c r="B1242" s="3" t="s">
        <v>719</v>
      </c>
      <c r="C1242" s="15" t="s">
        <v>1280</v>
      </c>
      <c r="D1242" s="21">
        <v>3776</v>
      </c>
      <c r="E1242" s="4">
        <v>1241.2</v>
      </c>
      <c r="F1242" s="21">
        <v>1219000</v>
      </c>
      <c r="G1242" s="5">
        <f t="shared" si="52"/>
        <v>1107972.6763540495</v>
      </c>
      <c r="H1242" s="6">
        <f t="shared" si="49"/>
        <v>111027.32364595053</v>
      </c>
      <c r="I1242" s="1">
        <f t="shared" si="50"/>
        <v>1207690.2172259141</v>
      </c>
      <c r="J1242" s="2">
        <f t="shared" si="51"/>
        <v>11309.782774085877</v>
      </c>
    </row>
    <row r="1243" spans="2:10" ht="18" x14ac:dyDescent="0.45">
      <c r="B1243" s="3" t="s">
        <v>442</v>
      </c>
      <c r="C1243" s="15" t="s">
        <v>1281</v>
      </c>
      <c r="D1243" s="21">
        <v>3779</v>
      </c>
      <c r="E1243" s="4">
        <v>1233</v>
      </c>
      <c r="F1243" s="21">
        <v>1216000</v>
      </c>
      <c r="G1243" s="5">
        <f t="shared" si="52"/>
        <v>1101556.3896698067</v>
      </c>
      <c r="H1243" s="6">
        <f t="shared" si="49"/>
        <v>114443.6103301933</v>
      </c>
      <c r="I1243" s="1">
        <f t="shared" si="50"/>
        <v>1200696.4647400894</v>
      </c>
      <c r="J1243" s="2">
        <f t="shared" si="51"/>
        <v>15303.535259910626</v>
      </c>
    </row>
    <row r="1244" spans="2:10" ht="18" x14ac:dyDescent="0.45">
      <c r="B1244" s="3" t="s">
        <v>710</v>
      </c>
      <c r="C1244" s="15" t="s">
        <v>1282</v>
      </c>
      <c r="G1244" s="5">
        <f t="shared" si="52"/>
        <v>5000</v>
      </c>
      <c r="H1244" s="6">
        <f t="shared" si="49"/>
        <v>-5000</v>
      </c>
      <c r="I1244" s="1">
        <f t="shared" si="50"/>
        <v>5450</v>
      </c>
      <c r="J1244" s="2">
        <f t="shared" si="51"/>
        <v>-5450</v>
      </c>
    </row>
    <row r="1245" spans="2:10" ht="18" x14ac:dyDescent="0.45">
      <c r="G1245" s="5">
        <f t="shared" si="52"/>
        <v>5000</v>
      </c>
      <c r="H1245" s="6">
        <f t="shared" si="49"/>
        <v>-5000</v>
      </c>
      <c r="I1245" s="1">
        <f t="shared" si="50"/>
        <v>5450</v>
      </c>
      <c r="J1245" s="2">
        <f t="shared" si="51"/>
        <v>-5450</v>
      </c>
    </row>
    <row r="1246" spans="2:10" ht="18" x14ac:dyDescent="0.45">
      <c r="G1246" s="5">
        <f t="shared" si="52"/>
        <v>5000</v>
      </c>
      <c r="H1246" s="6">
        <f t="shared" si="49"/>
        <v>-5000</v>
      </c>
      <c r="I1246" s="1">
        <f t="shared" si="50"/>
        <v>5450</v>
      </c>
      <c r="J1246" s="2">
        <f t="shared" si="51"/>
        <v>-5450</v>
      </c>
    </row>
    <row r="1247" spans="2:10" ht="18" x14ac:dyDescent="0.45">
      <c r="B1247" s="3" t="s">
        <v>442</v>
      </c>
      <c r="C1247" s="15" t="s">
        <v>1283</v>
      </c>
      <c r="D1247">
        <v>3789</v>
      </c>
      <c r="E1247">
        <v>1210</v>
      </c>
      <c r="F1247">
        <v>1209000</v>
      </c>
      <c r="G1247" s="5">
        <f t="shared" si="52"/>
        <v>1083949.1493746582</v>
      </c>
      <c r="H1247" s="6">
        <f t="shared" si="49"/>
        <v>125050.85062534176</v>
      </c>
      <c r="I1247" s="1">
        <f t="shared" si="50"/>
        <v>1181504.5728183775</v>
      </c>
      <c r="J1247" s="2">
        <f t="shared" si="51"/>
        <v>27495.427181622479</v>
      </c>
    </row>
    <row r="1248" spans="2:10" ht="18" x14ac:dyDescent="0.45">
      <c r="B1248" s="3" t="s">
        <v>710</v>
      </c>
      <c r="C1248" s="15" t="s">
        <v>1284</v>
      </c>
      <c r="D1248">
        <v>3793</v>
      </c>
      <c r="E1248">
        <v>1209</v>
      </c>
      <c r="F1248">
        <v>1212000</v>
      </c>
      <c r="G1248" s="5">
        <f t="shared" si="52"/>
        <v>1084195.5476609971</v>
      </c>
      <c r="H1248" s="6">
        <f t="shared" si="49"/>
        <v>127804.45233900286</v>
      </c>
      <c r="I1248" s="1">
        <f t="shared" si="50"/>
        <v>1181773.146950487</v>
      </c>
      <c r="J1248" s="2">
        <f t="shared" si="51"/>
        <v>30226.853049512953</v>
      </c>
    </row>
    <row r="1249" spans="2:10" ht="18" x14ac:dyDescent="0.45">
      <c r="B1249" s="3" t="s">
        <v>446</v>
      </c>
      <c r="C1249" s="15" t="s">
        <v>1285</v>
      </c>
      <c r="D1249">
        <v>3786</v>
      </c>
      <c r="E1249">
        <v>1216</v>
      </c>
      <c r="F1249">
        <v>1214000</v>
      </c>
      <c r="G1249" s="5">
        <f t="shared" si="52"/>
        <v>1088440.7995113011</v>
      </c>
      <c r="H1249" s="6">
        <f t="shared" si="49"/>
        <v>125559.2004886989</v>
      </c>
      <c r="I1249" s="1">
        <f t="shared" si="50"/>
        <v>1186400.4714673182</v>
      </c>
      <c r="J1249" s="2">
        <f t="shared" si="51"/>
        <v>27599.528532681754</v>
      </c>
    </row>
    <row r="1250" spans="2:10" ht="18" x14ac:dyDescent="0.45">
      <c r="B1250" s="3" t="s">
        <v>448</v>
      </c>
      <c r="C1250" s="15" t="s">
        <v>1286</v>
      </c>
      <c r="D1250">
        <v>3783</v>
      </c>
      <c r="E1250">
        <v>1219</v>
      </c>
      <c r="F1250">
        <v>1207000</v>
      </c>
      <c r="G1250" s="5">
        <f t="shared" si="52"/>
        <v>1090253.1330386135</v>
      </c>
      <c r="H1250" s="6">
        <f t="shared" si="49"/>
        <v>116746.86696138652</v>
      </c>
      <c r="I1250" s="1">
        <f t="shared" si="50"/>
        <v>1188375.9150120888</v>
      </c>
      <c r="J1250" s="2">
        <f t="shared" si="51"/>
        <v>18624.084987911163</v>
      </c>
    </row>
    <row r="1251" spans="2:10" ht="18" x14ac:dyDescent="0.45">
      <c r="B1251" s="3" t="s">
        <v>438</v>
      </c>
      <c r="C1251" s="15" t="s">
        <v>1287</v>
      </c>
      <c r="D1251">
        <v>3784</v>
      </c>
      <c r="E1251">
        <v>1228.4000000000001</v>
      </c>
      <c r="F1251">
        <v>1210000</v>
      </c>
      <c r="G1251" s="5">
        <f t="shared" si="52"/>
        <v>1098910.8675150308</v>
      </c>
      <c r="H1251" s="6">
        <f t="shared" si="49"/>
        <v>111089.13248496922</v>
      </c>
      <c r="I1251" s="1">
        <f t="shared" si="50"/>
        <v>1197812.8455913838</v>
      </c>
      <c r="J1251" s="2">
        <f t="shared" si="51"/>
        <v>12187.154408616247</v>
      </c>
    </row>
    <row r="1252" spans="2:10" ht="18" x14ac:dyDescent="0.45">
      <c r="B1252" s="3" t="s">
        <v>719</v>
      </c>
      <c r="C1252" s="15" t="s">
        <v>1288</v>
      </c>
      <c r="D1252">
        <v>3778</v>
      </c>
      <c r="E1252">
        <v>1228.4000000000001</v>
      </c>
      <c r="F1252">
        <v>1207000</v>
      </c>
      <c r="G1252" s="5">
        <f t="shared" si="52"/>
        <v>1097176.3365411698</v>
      </c>
      <c r="H1252" s="6">
        <f t="shared" si="49"/>
        <v>109823.66345883021</v>
      </c>
      <c r="I1252" s="1">
        <f t="shared" si="50"/>
        <v>1195922.2068298752</v>
      </c>
      <c r="J1252" s="2">
        <f t="shared" si="51"/>
        <v>11077.793170124758</v>
      </c>
    </row>
    <row r="1253" spans="2:10" ht="18" x14ac:dyDescent="0.45">
      <c r="B1253" s="3" t="s">
        <v>442</v>
      </c>
      <c r="C1253" s="15" t="s">
        <v>1289</v>
      </c>
      <c r="D1253">
        <v>3779</v>
      </c>
      <c r="E1253">
        <v>1233</v>
      </c>
      <c r="F1253">
        <v>1208000</v>
      </c>
      <c r="G1253" s="5">
        <f t="shared" si="52"/>
        <v>1101556.3896698067</v>
      </c>
      <c r="H1253" s="6">
        <f t="shared" si="49"/>
        <v>106443.6103301933</v>
      </c>
      <c r="I1253" s="1">
        <f t="shared" si="50"/>
        <v>1200696.4647400894</v>
      </c>
      <c r="J1253" s="2">
        <f t="shared" si="51"/>
        <v>7303.5352599106263</v>
      </c>
    </row>
    <row r="1254" spans="2:10" ht="18" x14ac:dyDescent="0.45">
      <c r="B1254" s="3" t="s">
        <v>710</v>
      </c>
      <c r="C1254" s="15" t="s">
        <v>1290</v>
      </c>
      <c r="D1254">
        <v>3775</v>
      </c>
      <c r="E1254">
        <v>1236</v>
      </c>
      <c r="F1254">
        <v>1204000</v>
      </c>
      <c r="G1254" s="5">
        <f t="shared" si="52"/>
        <v>1103060.9018422659</v>
      </c>
      <c r="H1254" s="6">
        <f t="shared" si="49"/>
        <v>100939.09815773414</v>
      </c>
      <c r="I1254" s="1">
        <f t="shared" si="50"/>
        <v>1202336.3830080698</v>
      </c>
      <c r="J1254" s="2">
        <f t="shared" si="51"/>
        <v>1663.6169919301756</v>
      </c>
    </row>
    <row r="1255" spans="2:10" ht="18" x14ac:dyDescent="0.45">
      <c r="B1255" s="3" t="s">
        <v>446</v>
      </c>
      <c r="C1255" s="15" t="s">
        <v>1291</v>
      </c>
      <c r="D1255">
        <v>3777</v>
      </c>
      <c r="E1255">
        <v>1239</v>
      </c>
      <c r="F1255">
        <v>1206000</v>
      </c>
      <c r="G1255" s="5">
        <f t="shared" si="52"/>
        <v>1106309.2643507055</v>
      </c>
      <c r="H1255" s="6">
        <f t="shared" si="49"/>
        <v>99690.735649294453</v>
      </c>
      <c r="I1255" s="1">
        <f t="shared" si="50"/>
        <v>1205877.0981422691</v>
      </c>
      <c r="J1255" s="2">
        <f t="shared" si="51"/>
        <v>122.90185773093253</v>
      </c>
    </row>
    <row r="1256" spans="2:10" ht="18" x14ac:dyDescent="0.45">
      <c r="B1256" s="3" t="s">
        <v>438</v>
      </c>
      <c r="C1256" s="15" t="s">
        <v>1292</v>
      </c>
      <c r="D1256">
        <v>3771</v>
      </c>
      <c r="E1256">
        <v>1254.5</v>
      </c>
      <c r="F1256">
        <v>1204000</v>
      </c>
      <c r="G1256" s="5">
        <f t="shared" si="52"/>
        <v>1118315.3562084043</v>
      </c>
      <c r="H1256" s="6">
        <f t="shared" si="49"/>
        <v>85684.643791595707</v>
      </c>
      <c r="I1256" s="1">
        <f t="shared" si="50"/>
        <v>1218963.7382671607</v>
      </c>
      <c r="J1256" s="2">
        <f t="shared" si="51"/>
        <v>-14963.738267160719</v>
      </c>
    </row>
    <row r="1257" spans="2:10" ht="18" x14ac:dyDescent="0.45">
      <c r="B1257" s="3" t="s">
        <v>719</v>
      </c>
      <c r="C1257" s="15" t="s">
        <v>1293</v>
      </c>
      <c r="D1257">
        <v>3770</v>
      </c>
      <c r="E1257">
        <v>1254.5</v>
      </c>
      <c r="F1257">
        <v>1201000</v>
      </c>
      <c r="G1257" s="5">
        <f t="shared" si="52"/>
        <v>1118020.1254059095</v>
      </c>
      <c r="H1257" s="6">
        <f t="shared" si="49"/>
        <v>82979.874594090506</v>
      </c>
      <c r="I1257" s="1">
        <f t="shared" si="50"/>
        <v>1218641.9366924413</v>
      </c>
      <c r="J1257" s="2">
        <f t="shared" si="51"/>
        <v>-17641.936692441348</v>
      </c>
    </row>
    <row r="1258" spans="2:10" ht="18" x14ac:dyDescent="0.45">
      <c r="B1258" s="3" t="s">
        <v>442</v>
      </c>
      <c r="C1258" s="15" t="s">
        <v>1294</v>
      </c>
      <c r="D1258">
        <v>3772</v>
      </c>
      <c r="E1258">
        <v>1255</v>
      </c>
      <c r="F1258">
        <v>1199000</v>
      </c>
      <c r="G1258" s="5">
        <f t="shared" si="52"/>
        <v>1119054.4333987075</v>
      </c>
      <c r="H1258" s="6">
        <f t="shared" si="49"/>
        <v>79945.566601292463</v>
      </c>
      <c r="I1258" s="1">
        <f t="shared" si="50"/>
        <v>1219769.3324045914</v>
      </c>
      <c r="J1258" s="2">
        <f t="shared" si="51"/>
        <v>-20769.332404591376</v>
      </c>
    </row>
    <row r="1259" spans="2:10" ht="18" x14ac:dyDescent="0.45">
      <c r="B1259" s="3" t="s">
        <v>710</v>
      </c>
      <c r="C1259" s="15" t="s">
        <v>1295</v>
      </c>
      <c r="D1259">
        <v>3777</v>
      </c>
      <c r="E1259">
        <v>1250</v>
      </c>
      <c r="F1259">
        <v>1204000</v>
      </c>
      <c r="G1259" s="5">
        <f t="shared" si="52"/>
        <v>1116086.8284409863</v>
      </c>
      <c r="H1259" s="6">
        <f t="shared" si="49"/>
        <v>87913.171559013659</v>
      </c>
      <c r="I1259" s="1">
        <f t="shared" si="50"/>
        <v>1216534.6430006751</v>
      </c>
      <c r="J1259" s="2">
        <f t="shared" si="51"/>
        <v>-12534.643000675132</v>
      </c>
    </row>
    <row r="1260" spans="2:10" ht="18" x14ac:dyDescent="0.45">
      <c r="B1260" s="3" t="s">
        <v>446</v>
      </c>
      <c r="C1260" s="15" t="s">
        <v>1296</v>
      </c>
      <c r="D1260">
        <v>3797</v>
      </c>
      <c r="E1260">
        <v>1247</v>
      </c>
      <c r="F1260">
        <v>1210000</v>
      </c>
      <c r="G1260" s="5">
        <f t="shared" si="52"/>
        <v>1119289.535488538</v>
      </c>
      <c r="H1260" s="6">
        <f t="shared" si="49"/>
        <v>90710.464511462022</v>
      </c>
      <c r="I1260" s="1">
        <f t="shared" si="50"/>
        <v>1220025.5936825066</v>
      </c>
      <c r="J1260" s="2">
        <f t="shared" si="51"/>
        <v>-10025.593682506587</v>
      </c>
    </row>
    <row r="1261" spans="2:10" ht="18" x14ac:dyDescent="0.45">
      <c r="B1261" s="3" t="s">
        <v>448</v>
      </c>
      <c r="C1261" s="15" t="s">
        <v>1297</v>
      </c>
      <c r="D1261">
        <v>3793</v>
      </c>
      <c r="E1261">
        <v>1260</v>
      </c>
      <c r="F1261">
        <v>1214000</v>
      </c>
      <c r="G1261" s="5">
        <f t="shared" si="52"/>
        <v>1129719.9256020319</v>
      </c>
      <c r="H1261" s="6">
        <f t="shared" si="49"/>
        <v>84280.074397968128</v>
      </c>
      <c r="I1261" s="1">
        <f t="shared" si="50"/>
        <v>1231394.7189062149</v>
      </c>
      <c r="J1261" s="2">
        <f t="shared" si="51"/>
        <v>-17394.718906214926</v>
      </c>
    </row>
    <row r="1262" spans="2:10" ht="18" x14ac:dyDescent="0.45">
      <c r="B1262" s="3" t="s">
        <v>438</v>
      </c>
      <c r="C1262" s="15" t="s">
        <v>1298</v>
      </c>
      <c r="D1262">
        <v>3805</v>
      </c>
      <c r="E1262">
        <v>1269.0999999999999</v>
      </c>
      <c r="F1262">
        <v>1220000</v>
      </c>
      <c r="G1262" s="5">
        <f t="shared" si="52"/>
        <v>1141426.9035896857</v>
      </c>
      <c r="H1262" s="6">
        <f t="shared" si="49"/>
        <v>78573.09641031432</v>
      </c>
      <c r="I1262" s="1">
        <f t="shared" si="50"/>
        <v>1244155.3249127574</v>
      </c>
      <c r="J1262" s="2">
        <f t="shared" si="51"/>
        <v>-24155.32491275738</v>
      </c>
    </row>
    <row r="1263" spans="2:10" ht="18" x14ac:dyDescent="0.45">
      <c r="B1263" s="3" t="s">
        <v>719</v>
      </c>
      <c r="C1263" s="15" t="s">
        <v>1299</v>
      </c>
      <c r="D1263">
        <v>3810</v>
      </c>
      <c r="E1263">
        <v>1269.0999999999999</v>
      </c>
      <c r="F1263">
        <v>1223000</v>
      </c>
      <c r="G1263" s="5">
        <f t="shared" si="52"/>
        <v>1142920.2372343501</v>
      </c>
      <c r="H1263" s="6">
        <f t="shared" si="49"/>
        <v>80079.762765649939</v>
      </c>
      <c r="I1263" s="1">
        <f t="shared" si="50"/>
        <v>1245783.0585854417</v>
      </c>
      <c r="J1263" s="2">
        <f t="shared" si="51"/>
        <v>-22783.058585441671</v>
      </c>
    </row>
    <row r="1264" spans="2:10" ht="18" x14ac:dyDescent="0.45">
      <c r="B1264" s="3" t="s">
        <v>442</v>
      </c>
      <c r="C1264" s="15" t="s">
        <v>1300</v>
      </c>
      <c r="D1264">
        <v>3809</v>
      </c>
      <c r="E1264">
        <v>1267</v>
      </c>
      <c r="F1264">
        <v>1216000</v>
      </c>
      <c r="G1264" s="5">
        <f t="shared" si="52"/>
        <v>1140739.1299585248</v>
      </c>
      <c r="H1264" s="6">
        <f t="shared" si="49"/>
        <v>75260.870041475166</v>
      </c>
      <c r="I1264" s="1">
        <f t="shared" si="50"/>
        <v>1243405.6516547923</v>
      </c>
      <c r="J1264" s="2">
        <f t="shared" si="51"/>
        <v>-27405.651654792251</v>
      </c>
    </row>
    <row r="1265" spans="2:10" ht="18" x14ac:dyDescent="0.45">
      <c r="B1265" s="3" t="s">
        <v>710</v>
      </c>
      <c r="C1265" s="15" t="s">
        <v>1301</v>
      </c>
      <c r="D1265">
        <v>3818</v>
      </c>
      <c r="E1265">
        <v>1266</v>
      </c>
      <c r="F1265">
        <v>1217000</v>
      </c>
      <c r="G1265" s="5">
        <f t="shared" si="52"/>
        <v>1142524.1643442754</v>
      </c>
      <c r="H1265" s="6">
        <f t="shared" si="49"/>
        <v>74475.83565572463</v>
      </c>
      <c r="I1265" s="1">
        <f t="shared" si="50"/>
        <v>1245351.3391352603</v>
      </c>
      <c r="J1265" s="2">
        <f t="shared" si="51"/>
        <v>-28351.339135260321</v>
      </c>
    </row>
    <row r="1266" spans="2:10" ht="18" x14ac:dyDescent="0.45">
      <c r="B1266" s="3" t="s">
        <v>446</v>
      </c>
      <c r="C1266" s="15" t="s">
        <v>1302</v>
      </c>
      <c r="D1266">
        <v>3819</v>
      </c>
      <c r="E1266">
        <v>1266</v>
      </c>
      <c r="F1266">
        <v>1220000</v>
      </c>
      <c r="G1266" s="5">
        <f t="shared" si="52"/>
        <v>1142822.1015271838</v>
      </c>
      <c r="H1266" s="6">
        <f t="shared" si="49"/>
        <v>77177.898472816218</v>
      </c>
      <c r="I1266" s="1">
        <f t="shared" si="50"/>
        <v>1245676.0906646305</v>
      </c>
      <c r="J1266" s="2">
        <f t="shared" si="51"/>
        <v>-25676.090664630523</v>
      </c>
    </row>
    <row r="1267" spans="2:10" ht="18" x14ac:dyDescent="0.45">
      <c r="B1267" s="3" t="s">
        <v>448</v>
      </c>
      <c r="C1267" s="15" t="s">
        <v>1303</v>
      </c>
      <c r="D1267">
        <v>3832</v>
      </c>
      <c r="E1267">
        <v>1261</v>
      </c>
      <c r="F1267">
        <v>1221000</v>
      </c>
      <c r="G1267" s="5">
        <f t="shared" si="52"/>
        <v>1142186.219798733</v>
      </c>
      <c r="H1267" s="6">
        <f t="shared" si="49"/>
        <v>78813.780201266985</v>
      </c>
      <c r="I1267" s="1">
        <f t="shared" si="50"/>
        <v>1244982.9795806191</v>
      </c>
      <c r="J1267" s="2">
        <f t="shared" si="51"/>
        <v>-23982.97958061914</v>
      </c>
    </row>
    <row r="1268" spans="2:10" ht="18" x14ac:dyDescent="0.45">
      <c r="B1268" s="3" t="s">
        <v>438</v>
      </c>
      <c r="C1268" s="15" t="s">
        <v>1304</v>
      </c>
      <c r="D1268">
        <v>3830</v>
      </c>
      <c r="E1268">
        <v>1258.4000000000001</v>
      </c>
      <c r="F1268">
        <v>1218000</v>
      </c>
      <c r="G1268" s="5">
        <f t="shared" si="52"/>
        <v>1139249.2087065557</v>
      </c>
      <c r="H1268" s="6">
        <f t="shared" si="49"/>
        <v>78750.791293444345</v>
      </c>
      <c r="I1268" s="1">
        <f t="shared" si="50"/>
        <v>1241781.6374901459</v>
      </c>
      <c r="J1268" s="2">
        <f t="shared" si="51"/>
        <v>-23781.637490145862</v>
      </c>
    </row>
    <row r="1269" spans="2:10" ht="18" x14ac:dyDescent="0.45">
      <c r="B1269" s="3" t="s">
        <v>719</v>
      </c>
      <c r="C1269" s="15" t="s">
        <v>1305</v>
      </c>
      <c r="D1269">
        <v>3815</v>
      </c>
      <c r="E1269">
        <v>1258.4000000000001</v>
      </c>
      <c r="F1269">
        <v>1215000</v>
      </c>
      <c r="G1269" s="5">
        <f t="shared" si="52"/>
        <v>1134806.9794296368</v>
      </c>
      <c r="H1269" s="6">
        <f t="shared" si="49"/>
        <v>80193.020570363151</v>
      </c>
      <c r="I1269" s="1">
        <f t="shared" si="50"/>
        <v>1236939.6075783044</v>
      </c>
      <c r="J1269" s="2">
        <f t="shared" si="51"/>
        <v>-21939.607578304363</v>
      </c>
    </row>
    <row r="1270" spans="2:10" ht="18" x14ac:dyDescent="0.45">
      <c r="B1270" s="3" t="s">
        <v>442</v>
      </c>
      <c r="C1270" s="15" t="s">
        <v>1306</v>
      </c>
      <c r="D1270">
        <v>3812</v>
      </c>
      <c r="E1270">
        <v>1256</v>
      </c>
      <c r="F1270">
        <v>1216000</v>
      </c>
      <c r="G1270" s="5">
        <f t="shared" si="52"/>
        <v>1131765.4785197568</v>
      </c>
      <c r="H1270" s="6">
        <f t="shared" si="49"/>
        <v>84234.521480243187</v>
      </c>
      <c r="I1270" s="1">
        <f t="shared" si="50"/>
        <v>1233624.3715865351</v>
      </c>
      <c r="J1270" s="2">
        <f t="shared" si="51"/>
        <v>-17624.371586535126</v>
      </c>
    </row>
    <row r="1271" spans="2:10" ht="18" x14ac:dyDescent="0.45">
      <c r="B1271" s="3" t="s">
        <v>710</v>
      </c>
      <c r="C1271" s="15" t="s">
        <v>1307</v>
      </c>
      <c r="D1271">
        <v>3810</v>
      </c>
      <c r="E1271">
        <v>1263</v>
      </c>
      <c r="F1271">
        <v>1220000</v>
      </c>
      <c r="G1271" s="5">
        <f t="shared" si="52"/>
        <v>1137450.7600874512</v>
      </c>
      <c r="H1271" s="6">
        <f t="shared" si="49"/>
        <v>82549.239912548801</v>
      </c>
      <c r="I1271" s="1">
        <f t="shared" si="50"/>
        <v>1239821.3284953218</v>
      </c>
      <c r="J1271" s="2">
        <f t="shared" si="51"/>
        <v>-19821.328495321795</v>
      </c>
    </row>
    <row r="1272" spans="2:10" ht="18" x14ac:dyDescent="0.45">
      <c r="B1272" s="3" t="s">
        <v>446</v>
      </c>
      <c r="C1272" s="15" t="s">
        <v>1308</v>
      </c>
      <c r="D1272">
        <v>3807</v>
      </c>
      <c r="E1272">
        <v>1268</v>
      </c>
      <c r="F1272">
        <v>1221000</v>
      </c>
      <c r="G1272" s="5">
        <f t="shared" si="52"/>
        <v>1141038.7145034238</v>
      </c>
      <c r="H1272" s="6">
        <f t="shared" si="49"/>
        <v>79961.285496576224</v>
      </c>
      <c r="I1272" s="1">
        <f t="shared" si="50"/>
        <v>1243732.198808732</v>
      </c>
      <c r="J1272" s="2">
        <f t="shared" si="51"/>
        <v>-22732.198808731977</v>
      </c>
    </row>
    <row r="1273" spans="2:10" ht="18" x14ac:dyDescent="0.45">
      <c r="B1273" s="3" t="s">
        <v>448</v>
      </c>
      <c r="C1273" s="15" t="s">
        <v>1309</v>
      </c>
      <c r="D1273">
        <v>3809</v>
      </c>
      <c r="E1273">
        <v>1284</v>
      </c>
      <c r="F1273">
        <v>1223000</v>
      </c>
      <c r="G1273" s="5">
        <f t="shared" si="52"/>
        <v>1155977.9343857502</v>
      </c>
      <c r="H1273" s="6">
        <f t="shared" si="49"/>
        <v>67022.06561424979</v>
      </c>
      <c r="I1273" s="1">
        <f t="shared" si="50"/>
        <v>1260015.9484804678</v>
      </c>
      <c r="J1273" s="2">
        <f t="shared" si="51"/>
        <v>-37015.948480467778</v>
      </c>
    </row>
    <row r="1274" spans="2:10" ht="18" x14ac:dyDescent="0.45">
      <c r="B1274" s="3" t="s">
        <v>438</v>
      </c>
      <c r="C1274" s="15" t="s">
        <v>1310</v>
      </c>
      <c r="D1274">
        <v>3808</v>
      </c>
      <c r="E1274">
        <v>1288.7</v>
      </c>
      <c r="F1274">
        <v>1227000</v>
      </c>
      <c r="G1274" s="5">
        <f t="shared" si="52"/>
        <v>1159887.7362672412</v>
      </c>
      <c r="H1274" s="6">
        <f t="shared" si="49"/>
        <v>67112.263732758816</v>
      </c>
      <c r="I1274" s="1">
        <f t="shared" si="50"/>
        <v>1264277.632531293</v>
      </c>
      <c r="J1274" s="2">
        <f t="shared" si="51"/>
        <v>-37277.632531292969</v>
      </c>
    </row>
    <row r="1275" spans="2:10" ht="18" x14ac:dyDescent="0.45">
      <c r="B1275" s="3" t="s">
        <v>719</v>
      </c>
      <c r="C1275" s="15" t="s">
        <v>1311</v>
      </c>
      <c r="D1275">
        <v>3809</v>
      </c>
      <c r="E1275">
        <v>1288.7</v>
      </c>
      <c r="F1275">
        <v>1225000</v>
      </c>
      <c r="G1275" s="5">
        <f t="shared" si="52"/>
        <v>1160191.0156097482</v>
      </c>
      <c r="H1275" s="6">
        <f t="shared" si="49"/>
        <v>64808.984390251804</v>
      </c>
      <c r="I1275" s="1">
        <f t="shared" si="50"/>
        <v>1264608.2070146257</v>
      </c>
      <c r="J1275" s="2">
        <f t="shared" si="51"/>
        <v>-39608.207014625659</v>
      </c>
    </row>
    <row r="1276" spans="2:10" ht="18" x14ac:dyDescent="0.45">
      <c r="B1276" s="3" t="s">
        <v>442</v>
      </c>
      <c r="C1276" s="15" t="s">
        <v>1312</v>
      </c>
      <c r="D1276">
        <v>3810</v>
      </c>
      <c r="E1276">
        <v>1282</v>
      </c>
      <c r="F1276">
        <v>1218000</v>
      </c>
      <c r="G1276" s="5">
        <f t="shared" si="52"/>
        <v>1154486.8364466447</v>
      </c>
      <c r="H1276" s="6">
        <f t="shared" si="49"/>
        <v>63513.163553355262</v>
      </c>
      <c r="I1276" s="1">
        <f t="shared" si="50"/>
        <v>1258390.6517268429</v>
      </c>
      <c r="J1276" s="2">
        <f t="shared" si="51"/>
        <v>-40390.651726842858</v>
      </c>
    </row>
    <row r="1277" spans="2:10" ht="18" x14ac:dyDescent="0.45">
      <c r="B1277" s="3" t="s">
        <v>710</v>
      </c>
      <c r="C1277" s="15" t="s">
        <v>1313</v>
      </c>
      <c r="D1277">
        <v>3816</v>
      </c>
      <c r="E1277">
        <v>1273</v>
      </c>
      <c r="F1277">
        <v>1214000</v>
      </c>
      <c r="G1277" s="5">
        <f t="shared" si="52"/>
        <v>1148214.6233353694</v>
      </c>
      <c r="H1277" s="6">
        <f t="shared" si="49"/>
        <v>65785.376664630603</v>
      </c>
      <c r="I1277" s="1">
        <f t="shared" si="50"/>
        <v>1251553.9394355528</v>
      </c>
      <c r="J1277" s="2">
        <f t="shared" si="51"/>
        <v>-37553.939435552806</v>
      </c>
    </row>
    <row r="1278" spans="2:10" ht="18" x14ac:dyDescent="0.45">
      <c r="B1278" s="3" t="s">
        <v>446</v>
      </c>
      <c r="C1278" s="15" t="s">
        <v>1314</v>
      </c>
      <c r="D1278">
        <v>3819</v>
      </c>
      <c r="E1278">
        <v>1270</v>
      </c>
      <c r="F1278">
        <v>1211000</v>
      </c>
      <c r="G1278" s="5">
        <f t="shared" si="52"/>
        <v>1146417.1160659741</v>
      </c>
      <c r="H1278" s="6">
        <f t="shared" si="49"/>
        <v>64582.883934025886</v>
      </c>
      <c r="I1278" s="1">
        <f t="shared" si="50"/>
        <v>1249594.6565119119</v>
      </c>
      <c r="J1278" s="2">
        <f t="shared" si="51"/>
        <v>-38594.65651191189</v>
      </c>
    </row>
    <row r="1279" spans="2:10" ht="18" x14ac:dyDescent="0.45">
      <c r="B1279" s="3" t="s">
        <v>448</v>
      </c>
      <c r="C1279" s="15" t="s">
        <v>1315</v>
      </c>
      <c r="D1279">
        <v>3816</v>
      </c>
      <c r="E1279">
        <v>1285</v>
      </c>
      <c r="F1279">
        <v>1211000</v>
      </c>
      <c r="G1279" s="5">
        <f t="shared" si="52"/>
        <v>1158991.1948043597</v>
      </c>
      <c r="H1279" s="6">
        <f t="shared" si="49"/>
        <v>52008.805195640307</v>
      </c>
      <c r="I1279" s="1">
        <f t="shared" si="50"/>
        <v>1263300.402336752</v>
      </c>
      <c r="J1279" s="2">
        <f t="shared" si="51"/>
        <v>-52300.402336752042</v>
      </c>
    </row>
    <row r="1280" spans="2:10" ht="18" x14ac:dyDescent="0.45">
      <c r="B1280" s="3" t="s">
        <v>438</v>
      </c>
      <c r="C1280" s="15" t="s">
        <v>1316</v>
      </c>
      <c r="D1280">
        <v>3822</v>
      </c>
      <c r="E1280">
        <v>1284.2</v>
      </c>
      <c r="F1280">
        <v>1212000</v>
      </c>
      <c r="G1280" s="5">
        <f t="shared" si="52"/>
        <v>1160086.0786509339</v>
      </c>
      <c r="H1280" s="6">
        <f t="shared" si="49"/>
        <v>51913.921349066077</v>
      </c>
      <c r="I1280" s="1">
        <f t="shared" si="50"/>
        <v>1264493.825729518</v>
      </c>
      <c r="J1280" s="2">
        <f t="shared" si="51"/>
        <v>-52493.825729517965</v>
      </c>
    </row>
    <row r="1281" spans="2:10" ht="18" x14ac:dyDescent="0.45">
      <c r="B1281" s="3" t="s">
        <v>719</v>
      </c>
      <c r="C1281" s="15" t="s">
        <v>1317</v>
      </c>
      <c r="D1281">
        <v>3825</v>
      </c>
      <c r="E1281">
        <v>1284.2</v>
      </c>
      <c r="F1281">
        <v>1209000</v>
      </c>
      <c r="G1281" s="5">
        <f t="shared" si="52"/>
        <v>1160992.7396231873</v>
      </c>
      <c r="H1281" s="6">
        <f t="shared" si="49"/>
        <v>48007.260376812657</v>
      </c>
      <c r="I1281" s="1">
        <f t="shared" si="50"/>
        <v>1265482.0861892742</v>
      </c>
      <c r="J1281" s="2">
        <f t="shared" si="51"/>
        <v>-56482.08618927421</v>
      </c>
    </row>
    <row r="1282" spans="2:10" ht="18" x14ac:dyDescent="0.45">
      <c r="B1282" s="3" t="s">
        <v>442</v>
      </c>
      <c r="C1282" s="15" t="s">
        <v>1318</v>
      </c>
      <c r="D1282">
        <v>3827</v>
      </c>
      <c r="E1282">
        <v>1288</v>
      </c>
      <c r="F1282">
        <v>1211000</v>
      </c>
      <c r="G1282" s="5">
        <f t="shared" si="52"/>
        <v>1165019.5983409961</v>
      </c>
      <c r="H1282" s="6">
        <f t="shared" ref="H1282:H1345" si="53">F:F-G:G</f>
        <v>45980.401659003925</v>
      </c>
      <c r="I1282" s="1">
        <f t="shared" si="50"/>
        <v>1269871.3621916857</v>
      </c>
      <c r="J1282" s="2">
        <f t="shared" si="51"/>
        <v>-58871.362191685708</v>
      </c>
    </row>
    <row r="1283" spans="2:10" ht="18" x14ac:dyDescent="0.45">
      <c r="B1283" s="3" t="s">
        <v>710</v>
      </c>
      <c r="C1283" s="15" t="s">
        <v>1319</v>
      </c>
      <c r="D1283">
        <v>3830</v>
      </c>
      <c r="E1283">
        <v>1284</v>
      </c>
      <c r="F1283">
        <v>1212000</v>
      </c>
      <c r="G1283" s="5">
        <f t="shared" si="52"/>
        <v>1162323.5727743302</v>
      </c>
      <c r="H1283" s="6">
        <f t="shared" si="53"/>
        <v>49676.427225669846</v>
      </c>
      <c r="I1283" s="1">
        <f t="shared" si="50"/>
        <v>1266932.6943240201</v>
      </c>
      <c r="J1283" s="2">
        <f t="shared" si="51"/>
        <v>-54932.694324020064</v>
      </c>
    </row>
    <row r="1284" spans="2:10" ht="18" x14ac:dyDescent="0.45">
      <c r="B1284" s="3" t="s">
        <v>446</v>
      </c>
      <c r="C1284" s="15" t="s">
        <v>1320</v>
      </c>
      <c r="D1284">
        <v>3832</v>
      </c>
      <c r="E1284">
        <v>1285</v>
      </c>
      <c r="F1284">
        <v>1211000</v>
      </c>
      <c r="G1284" s="5">
        <f t="shared" si="52"/>
        <v>1163829.7323087805</v>
      </c>
      <c r="H1284" s="6">
        <f t="shared" si="53"/>
        <v>47170.267691219458</v>
      </c>
      <c r="I1284" s="1">
        <f t="shared" si="50"/>
        <v>1268574.408216571</v>
      </c>
      <c r="J1284" s="2">
        <f t="shared" si="51"/>
        <v>-57574.40821657097</v>
      </c>
    </row>
    <row r="1285" spans="2:10" ht="18" x14ac:dyDescent="0.45">
      <c r="B1285" s="3" t="s">
        <v>448</v>
      </c>
      <c r="C1285" s="15" t="s">
        <v>1321</v>
      </c>
      <c r="D1285">
        <v>3839</v>
      </c>
      <c r="E1285">
        <v>1288</v>
      </c>
      <c r="F1285">
        <v>1212000</v>
      </c>
      <c r="G1285" s="5">
        <f t="shared" si="52"/>
        <v>1168656.9736166927</v>
      </c>
      <c r="H1285" s="6">
        <f t="shared" si="53"/>
        <v>43343.026383307297</v>
      </c>
      <c r="I1285" s="1">
        <f t="shared" si="50"/>
        <v>1273836.1012421951</v>
      </c>
      <c r="J1285" s="2">
        <f t="shared" si="51"/>
        <v>-61836.101242195116</v>
      </c>
    </row>
    <row r="1286" spans="2:10" ht="18" x14ac:dyDescent="0.45">
      <c r="B1286" s="3" t="s">
        <v>438</v>
      </c>
      <c r="C1286" s="15" t="s">
        <v>1322</v>
      </c>
      <c r="D1286">
        <v>3849</v>
      </c>
      <c r="E1286">
        <v>1290.8</v>
      </c>
      <c r="F1286">
        <v>1216000</v>
      </c>
      <c r="G1286" s="5">
        <f t="shared" si="52"/>
        <v>1174224.3982008165</v>
      </c>
      <c r="H1286" s="6">
        <f t="shared" si="53"/>
        <v>41775.601799183525</v>
      </c>
      <c r="I1286" s="1">
        <f t="shared" si="50"/>
        <v>1279904.59403889</v>
      </c>
      <c r="J1286" s="2">
        <f t="shared" si="51"/>
        <v>-63904.594038889976</v>
      </c>
    </row>
    <row r="1287" spans="2:10" ht="18" x14ac:dyDescent="0.45">
      <c r="B1287" s="3" t="s">
        <v>719</v>
      </c>
      <c r="C1287" s="15" t="s">
        <v>1323</v>
      </c>
      <c r="D1287">
        <v>3859</v>
      </c>
      <c r="E1287">
        <v>1290.8</v>
      </c>
      <c r="F1287">
        <v>1222000</v>
      </c>
      <c r="G1287" s="5">
        <f t="shared" si="52"/>
        <v>1177262.1337118605</v>
      </c>
      <c r="H1287" s="6">
        <f t="shared" si="53"/>
        <v>44737.866288139485</v>
      </c>
      <c r="I1287" s="1">
        <f t="shared" si="50"/>
        <v>1283215.725745928</v>
      </c>
      <c r="J1287" s="2">
        <f t="shared" si="51"/>
        <v>-61215.725745928008</v>
      </c>
    </row>
    <row r="1288" spans="2:10" ht="18" x14ac:dyDescent="0.45">
      <c r="B1288" s="3" t="s">
        <v>442</v>
      </c>
      <c r="C1288" s="15" t="s">
        <v>1324</v>
      </c>
      <c r="D1288">
        <v>3853</v>
      </c>
      <c r="E1288">
        <v>1298</v>
      </c>
      <c r="F1288">
        <v>1223000</v>
      </c>
      <c r="G1288" s="5">
        <f t="shared" si="52"/>
        <v>1181968.1291772497</v>
      </c>
      <c r="H1288" s="6">
        <f t="shared" si="53"/>
        <v>41031.870822750265</v>
      </c>
      <c r="I1288" s="1">
        <f t="shared" si="50"/>
        <v>1288345.2608032024</v>
      </c>
      <c r="J1288" s="2">
        <f t="shared" si="51"/>
        <v>-65345.2608032024</v>
      </c>
    </row>
    <row r="1289" spans="2:10" ht="18" x14ac:dyDescent="0.45">
      <c r="B1289" s="3" t="s">
        <v>710</v>
      </c>
      <c r="C1289" s="15" t="s">
        <v>1325</v>
      </c>
      <c r="D1289">
        <v>3868</v>
      </c>
      <c r="E1289">
        <v>1320</v>
      </c>
      <c r="F1289">
        <v>1233000</v>
      </c>
      <c r="G1289" s="5">
        <f t="shared" si="52"/>
        <v>1206576.4225958909</v>
      </c>
      <c r="H1289" s="6">
        <f t="shared" si="53"/>
        <v>26423.577404109063</v>
      </c>
      <c r="I1289" s="1">
        <f t="shared" si="50"/>
        <v>1315168.3006295213</v>
      </c>
      <c r="J1289" s="2">
        <f t="shared" si="51"/>
        <v>-82168.300629521254</v>
      </c>
    </row>
    <row r="1290" spans="2:10" ht="18" x14ac:dyDescent="0.45">
      <c r="B1290" s="3" t="s">
        <v>446</v>
      </c>
      <c r="C1290" s="15" t="s">
        <v>1326</v>
      </c>
      <c r="D1290">
        <v>3871</v>
      </c>
      <c r="E1290">
        <v>1315</v>
      </c>
      <c r="F1290">
        <v>1225000</v>
      </c>
      <c r="G1290" s="5">
        <f t="shared" si="52"/>
        <v>1202953.4029032567</v>
      </c>
      <c r="H1290" s="6">
        <f t="shared" si="53"/>
        <v>22046.597096743295</v>
      </c>
      <c r="I1290" s="1">
        <f t="shared" si="50"/>
        <v>1311219.2091645498</v>
      </c>
      <c r="J1290" s="2">
        <f t="shared" si="51"/>
        <v>-86219.209164549829</v>
      </c>
    </row>
    <row r="1291" spans="2:10" ht="18" x14ac:dyDescent="0.45">
      <c r="B1291" s="3" t="s">
        <v>448</v>
      </c>
      <c r="C1291" s="15" t="s">
        <v>1327</v>
      </c>
      <c r="D1291">
        <v>3874</v>
      </c>
      <c r="E1291">
        <v>1310</v>
      </c>
      <c r="F1291">
        <v>1224000</v>
      </c>
      <c r="G1291" s="5">
        <f t="shared" si="52"/>
        <v>1199323.3230878052</v>
      </c>
      <c r="H1291" s="6">
        <f t="shared" si="53"/>
        <v>24676.676912194816</v>
      </c>
      <c r="I1291" s="1">
        <f t="shared" si="50"/>
        <v>1307262.4221657077</v>
      </c>
      <c r="J1291" s="2">
        <f t="shared" si="51"/>
        <v>-83262.422165707685</v>
      </c>
    </row>
    <row r="1292" spans="2:10" ht="18" x14ac:dyDescent="0.45">
      <c r="B1292" s="3" t="s">
        <v>438</v>
      </c>
      <c r="C1292" s="15" t="s">
        <v>1328</v>
      </c>
      <c r="D1292">
        <v>3891</v>
      </c>
      <c r="E1292">
        <v>1324.4</v>
      </c>
      <c r="F1292">
        <v>1241000</v>
      </c>
      <c r="G1292" s="5">
        <f t="shared" si="52"/>
        <v>1217750.3377770633</v>
      </c>
      <c r="H1292" s="6">
        <f t="shared" si="53"/>
        <v>23249.662222936749</v>
      </c>
      <c r="I1292" s="1">
        <f t="shared" si="50"/>
        <v>1327347.868176999</v>
      </c>
      <c r="J1292" s="2">
        <f t="shared" si="51"/>
        <v>-86347.868176999036</v>
      </c>
    </row>
    <row r="1293" spans="2:10" ht="18" x14ac:dyDescent="0.45">
      <c r="B1293" s="3" t="s">
        <v>719</v>
      </c>
      <c r="C1293" s="15" t="s">
        <v>1329</v>
      </c>
      <c r="D1293">
        <v>3894</v>
      </c>
      <c r="E1293">
        <v>1324.4</v>
      </c>
      <c r="F1293">
        <v>1256000</v>
      </c>
      <c r="G1293" s="5">
        <f t="shared" si="52"/>
        <v>1218685.380443044</v>
      </c>
      <c r="H1293" s="6">
        <f t="shared" si="53"/>
        <v>37314.619556955993</v>
      </c>
      <c r="I1293" s="1">
        <f t="shared" si="50"/>
        <v>1328367.0646829181</v>
      </c>
      <c r="J1293" s="2">
        <f t="shared" si="51"/>
        <v>-72367.064682918135</v>
      </c>
    </row>
    <row r="1294" spans="2:10" ht="18" x14ac:dyDescent="0.45">
      <c r="B1294" s="3" t="s">
        <v>442</v>
      </c>
      <c r="C1294" s="15" t="s">
        <v>1330</v>
      </c>
      <c r="D1294">
        <v>3884</v>
      </c>
      <c r="E1294">
        <v>1334</v>
      </c>
      <c r="F1294">
        <v>1266000</v>
      </c>
      <c r="G1294" s="5">
        <f t="shared" si="52"/>
        <v>1224343.4570041473</v>
      </c>
      <c r="H1294" s="6">
        <f t="shared" si="53"/>
        <v>41656.542995852651</v>
      </c>
      <c r="I1294" s="1">
        <f t="shared" ref="I1294:I1357" si="54">G1294*1.09</f>
        <v>1334534.3681345207</v>
      </c>
      <c r="J1294" s="2">
        <f t="shared" ref="J1294:J1357" si="55">F1294-I1294</f>
        <v>-68534.368134520715</v>
      </c>
    </row>
    <row r="1295" spans="2:10" ht="18" x14ac:dyDescent="0.45">
      <c r="B1295" s="3" t="s">
        <v>710</v>
      </c>
      <c r="C1295" s="15" t="s">
        <v>1331</v>
      </c>
      <c r="D1295">
        <v>3885</v>
      </c>
      <c r="E1295">
        <v>1330</v>
      </c>
      <c r="F1295">
        <v>1255000</v>
      </c>
      <c r="G1295" s="5">
        <f t="shared" si="52"/>
        <v>1221000.2535125227</v>
      </c>
      <c r="H1295" s="6">
        <f t="shared" si="53"/>
        <v>33999.746487477329</v>
      </c>
      <c r="I1295" s="1">
        <f t="shared" si="54"/>
        <v>1330890.2763286498</v>
      </c>
      <c r="J1295" s="2">
        <f t="shared" si="55"/>
        <v>-75890.276328649838</v>
      </c>
    </row>
    <row r="1296" spans="2:10" ht="18" x14ac:dyDescent="0.45">
      <c r="B1296" s="3" t="s">
        <v>446</v>
      </c>
      <c r="C1296" s="15" t="s">
        <v>1332</v>
      </c>
      <c r="D1296">
        <v>3895</v>
      </c>
      <c r="E1296">
        <v>1339</v>
      </c>
      <c r="F1296">
        <v>1267000</v>
      </c>
      <c r="G1296" s="5">
        <f t="shared" si="52"/>
        <v>1232379.9948075747</v>
      </c>
      <c r="H1296" s="6">
        <f t="shared" si="53"/>
        <v>34620.005192425335</v>
      </c>
      <c r="I1296" s="1">
        <f t="shared" si="54"/>
        <v>1343294.1943402565</v>
      </c>
      <c r="J1296" s="2">
        <f t="shared" si="55"/>
        <v>-76294.194340256508</v>
      </c>
    </row>
    <row r="1297" spans="2:10" ht="18" x14ac:dyDescent="0.45">
      <c r="B1297" s="3" t="s">
        <v>448</v>
      </c>
      <c r="C1297" s="15" t="s">
        <v>1333</v>
      </c>
      <c r="D1297">
        <v>3908</v>
      </c>
      <c r="E1297">
        <v>1340</v>
      </c>
      <c r="F1297">
        <v>1271000</v>
      </c>
      <c r="G1297" s="5">
        <f t="shared" si="52"/>
        <v>1237396.2120695752</v>
      </c>
      <c r="H1297" s="6">
        <f t="shared" si="53"/>
        <v>33603.787930424791</v>
      </c>
      <c r="I1297" s="1">
        <f t="shared" si="54"/>
        <v>1348761.8711558371</v>
      </c>
      <c r="J1297" s="2">
        <f t="shared" si="55"/>
        <v>-77761.871155837085</v>
      </c>
    </row>
    <row r="1298" spans="2:10" ht="18" x14ac:dyDescent="0.45">
      <c r="B1298" s="3" t="s">
        <v>440</v>
      </c>
      <c r="C1298" s="15" t="s">
        <v>1334</v>
      </c>
      <c r="D1298">
        <v>3905</v>
      </c>
      <c r="E1298">
        <v>1346</v>
      </c>
      <c r="F1298">
        <v>1273000</v>
      </c>
      <c r="G1298" s="5">
        <f t="shared" si="52"/>
        <v>1241964.1115326495</v>
      </c>
      <c r="H1298" s="6">
        <f t="shared" si="53"/>
        <v>31035.888467350509</v>
      </c>
      <c r="I1298" s="1">
        <f t="shared" si="54"/>
        <v>1353740.8815705881</v>
      </c>
      <c r="J1298" s="2">
        <f t="shared" si="55"/>
        <v>-80740.881570588099</v>
      </c>
    </row>
    <row r="1299" spans="2:10" ht="18" x14ac:dyDescent="0.45">
      <c r="B1299" s="3" t="s">
        <v>442</v>
      </c>
      <c r="C1299" s="15" t="s">
        <v>1335</v>
      </c>
      <c r="D1299">
        <v>3901</v>
      </c>
      <c r="E1299">
        <v>1335</v>
      </c>
      <c r="F1299">
        <v>1260000</v>
      </c>
      <c r="G1299" s="5">
        <f t="shared" si="52"/>
        <v>1230598.490483233</v>
      </c>
      <c r="H1299" s="6">
        <f t="shared" si="53"/>
        <v>29401.509516766993</v>
      </c>
      <c r="I1299" s="1">
        <f t="shared" si="54"/>
        <v>1341352.354626724</v>
      </c>
      <c r="J1299" s="2">
        <f t="shared" si="55"/>
        <v>-81352.354626724031</v>
      </c>
    </row>
    <row r="1300" spans="2:10" ht="18" x14ac:dyDescent="0.45">
      <c r="B1300" s="3" t="s">
        <v>671</v>
      </c>
      <c r="C1300" s="15" t="s">
        <v>1336</v>
      </c>
      <c r="D1300">
        <v>3913</v>
      </c>
      <c r="E1300">
        <v>1326</v>
      </c>
      <c r="F1300">
        <v>1263000</v>
      </c>
      <c r="G1300" s="5">
        <f t="shared" si="52"/>
        <v>1226080.7178921646</v>
      </c>
      <c r="H1300" s="6">
        <f t="shared" si="53"/>
        <v>36919.282107835403</v>
      </c>
      <c r="I1300" s="1">
        <f t="shared" si="54"/>
        <v>1336427.9825024595</v>
      </c>
      <c r="J1300" s="2">
        <f t="shared" si="55"/>
        <v>-73427.982502459548</v>
      </c>
    </row>
    <row r="1301" spans="2:10" ht="18" x14ac:dyDescent="0.45">
      <c r="B1301" s="3" t="s">
        <v>446</v>
      </c>
      <c r="C1301" s="15" t="s">
        <v>1337</v>
      </c>
      <c r="D1301">
        <v>3918</v>
      </c>
      <c r="E1301">
        <v>1332</v>
      </c>
      <c r="F1301">
        <v>1267000</v>
      </c>
      <c r="G1301" s="5">
        <f t="shared" si="52"/>
        <v>1233173.3172748606</v>
      </c>
      <c r="H1301" s="6">
        <f t="shared" si="53"/>
        <v>33826.682725139428</v>
      </c>
      <c r="I1301" s="1">
        <f t="shared" si="54"/>
        <v>1344158.9158295982</v>
      </c>
      <c r="J1301" s="2">
        <f t="shared" si="55"/>
        <v>-77158.915829598205</v>
      </c>
    </row>
    <row r="1302" spans="2:10" ht="18" x14ac:dyDescent="0.45">
      <c r="B1302" s="3" t="s">
        <v>448</v>
      </c>
      <c r="C1302" s="15" t="s">
        <v>1338</v>
      </c>
      <c r="D1302">
        <v>3915</v>
      </c>
      <c r="E1302">
        <v>1325</v>
      </c>
      <c r="F1302">
        <v>1262000</v>
      </c>
      <c r="G1302" s="5">
        <f t="shared" si="52"/>
        <v>1225783.4867215382</v>
      </c>
      <c r="H1302" s="6">
        <f t="shared" si="53"/>
        <v>36216.51327846176</v>
      </c>
      <c r="I1302" s="1">
        <f t="shared" si="54"/>
        <v>1336104.0005264769</v>
      </c>
      <c r="J1302" s="2">
        <f t="shared" si="55"/>
        <v>-74104.000526476884</v>
      </c>
    </row>
    <row r="1303" spans="2:10" ht="18" x14ac:dyDescent="0.45">
      <c r="B1303" s="3" t="s">
        <v>438</v>
      </c>
      <c r="C1303" s="15" t="s">
        <v>1339</v>
      </c>
      <c r="D1303">
        <v>3913</v>
      </c>
      <c r="E1303">
        <v>1319.2</v>
      </c>
      <c r="F1303">
        <v>1258000</v>
      </c>
      <c r="G1303" s="5">
        <f t="shared" ref="G1303:G1463" si="56">E1303/31.103*8.133*D1303*0.9+5000</f>
        <v>1219818.7654927177</v>
      </c>
      <c r="H1303" s="6">
        <f t="shared" si="53"/>
        <v>38181.234507282265</v>
      </c>
      <c r="I1303" s="1">
        <f t="shared" si="54"/>
        <v>1329602.4543870625</v>
      </c>
      <c r="J1303" s="2">
        <f t="shared" si="55"/>
        <v>-71602.454387062462</v>
      </c>
    </row>
    <row r="1304" spans="2:10" ht="18" x14ac:dyDescent="0.45">
      <c r="B1304" s="3" t="s">
        <v>719</v>
      </c>
      <c r="C1304" s="15" t="s">
        <v>1340</v>
      </c>
      <c r="D1304">
        <v>3904</v>
      </c>
      <c r="E1304">
        <v>1319.2</v>
      </c>
      <c r="F1304">
        <v>1251000</v>
      </c>
      <c r="G1304" s="5">
        <f t="shared" si="56"/>
        <v>1217024.6512863711</v>
      </c>
      <c r="H1304" s="6">
        <f t="shared" si="53"/>
        <v>33975.348713628948</v>
      </c>
      <c r="I1304" s="1">
        <f t="shared" si="54"/>
        <v>1326556.8699021447</v>
      </c>
      <c r="J1304" s="2">
        <f t="shared" si="55"/>
        <v>-75556.869902144652</v>
      </c>
    </row>
    <row r="1305" spans="2:10" ht="18" x14ac:dyDescent="0.45">
      <c r="B1305" s="3" t="s">
        <v>442</v>
      </c>
      <c r="C1305" s="15" t="s">
        <v>1341</v>
      </c>
      <c r="D1305">
        <v>3901</v>
      </c>
      <c r="E1305">
        <v>1314</v>
      </c>
      <c r="F1305">
        <v>1244000</v>
      </c>
      <c r="G1305" s="5">
        <f t="shared" si="56"/>
        <v>1211319.4131048447</v>
      </c>
      <c r="H1305" s="6">
        <f t="shared" si="53"/>
        <v>32680.586895155255</v>
      </c>
      <c r="I1305" s="1">
        <f t="shared" si="54"/>
        <v>1320338.1602842808</v>
      </c>
      <c r="J1305" s="2">
        <f t="shared" si="55"/>
        <v>-76338.160284280777</v>
      </c>
    </row>
    <row r="1306" spans="2:10" ht="18" x14ac:dyDescent="0.45">
      <c r="B1306" s="3" t="s">
        <v>710</v>
      </c>
      <c r="C1306" s="15" t="s">
        <v>1342</v>
      </c>
      <c r="D1306">
        <v>3900</v>
      </c>
      <c r="E1306">
        <v>1307</v>
      </c>
      <c r="F1306">
        <v>1246000</v>
      </c>
      <c r="G1306" s="5">
        <f t="shared" si="56"/>
        <v>1204585.4679612897</v>
      </c>
      <c r="H1306" s="6">
        <f t="shared" si="53"/>
        <v>41414.532038710313</v>
      </c>
      <c r="I1306" s="1">
        <f t="shared" si="54"/>
        <v>1312998.1600778059</v>
      </c>
      <c r="J1306" s="2">
        <f t="shared" si="55"/>
        <v>-66998.160077805864</v>
      </c>
    </row>
    <row r="1307" spans="2:10" ht="18" x14ac:dyDescent="0.45">
      <c r="B1307" s="3" t="s">
        <v>446</v>
      </c>
      <c r="C1307" s="15" t="s">
        <v>1343</v>
      </c>
      <c r="D1307">
        <v>3900</v>
      </c>
      <c r="E1307">
        <v>1313</v>
      </c>
      <c r="F1307">
        <v>1247000</v>
      </c>
      <c r="G1307" s="5">
        <f t="shared" si="56"/>
        <v>1210092.363759123</v>
      </c>
      <c r="H1307" s="6">
        <f t="shared" si="53"/>
        <v>36907.636240876978</v>
      </c>
      <c r="I1307" s="1">
        <f t="shared" si="54"/>
        <v>1319000.6764974443</v>
      </c>
      <c r="J1307" s="2">
        <f t="shared" si="55"/>
        <v>-72000.676497444278</v>
      </c>
    </row>
    <row r="1308" spans="2:10" ht="18" x14ac:dyDescent="0.45">
      <c r="B1308" s="3" t="s">
        <v>448</v>
      </c>
      <c r="C1308" s="15" t="s">
        <v>1344</v>
      </c>
      <c r="D1308">
        <v>3898</v>
      </c>
      <c r="E1308">
        <v>1294</v>
      </c>
      <c r="F1308">
        <v>1234000</v>
      </c>
      <c r="G1308" s="5">
        <f t="shared" si="56"/>
        <v>1192044.807137575</v>
      </c>
      <c r="H1308" s="6">
        <f t="shared" si="53"/>
        <v>41955.192862424999</v>
      </c>
      <c r="I1308" s="1">
        <f t="shared" si="54"/>
        <v>1299328.8397799567</v>
      </c>
      <c r="J1308" s="2">
        <f t="shared" si="55"/>
        <v>-65328.839779956732</v>
      </c>
    </row>
    <row r="1309" spans="2:10" ht="18" x14ac:dyDescent="0.45">
      <c r="B1309" s="3" t="s">
        <v>438</v>
      </c>
      <c r="C1309" s="15" t="s">
        <v>1345</v>
      </c>
      <c r="D1309">
        <v>3896</v>
      </c>
      <c r="E1309">
        <v>1297.0999999999999</v>
      </c>
      <c r="F1309">
        <v>1240000</v>
      </c>
      <c r="G1309" s="5">
        <f t="shared" si="56"/>
        <v>1194278.0651872808</v>
      </c>
      <c r="H1309" s="6">
        <f t="shared" si="53"/>
        <v>45721.934812719235</v>
      </c>
      <c r="I1309" s="1">
        <f t="shared" si="54"/>
        <v>1301763.0910541362</v>
      </c>
      <c r="J1309" s="2">
        <f t="shared" si="55"/>
        <v>-61763.091054136166</v>
      </c>
    </row>
    <row r="1310" spans="2:10" ht="18" x14ac:dyDescent="0.45">
      <c r="B1310" s="3" t="s">
        <v>719</v>
      </c>
      <c r="C1310" s="15" t="s">
        <v>1346</v>
      </c>
      <c r="D1310">
        <v>3895</v>
      </c>
      <c r="E1310">
        <v>1297.0999999999999</v>
      </c>
      <c r="F1310">
        <v>1241000</v>
      </c>
      <c r="G1310" s="5">
        <f t="shared" si="56"/>
        <v>1193972.8090103846</v>
      </c>
      <c r="H1310" s="6">
        <f t="shared" si="53"/>
        <v>47027.190989615396</v>
      </c>
      <c r="I1310" s="1">
        <f t="shared" si="54"/>
        <v>1301430.3618213192</v>
      </c>
      <c r="J1310" s="2">
        <f t="shared" si="55"/>
        <v>-60430.361821319209</v>
      </c>
    </row>
    <row r="1311" spans="2:10" ht="18" x14ac:dyDescent="0.45">
      <c r="B1311" s="3" t="s">
        <v>442</v>
      </c>
      <c r="C1311" s="15" t="s">
        <v>1347</v>
      </c>
      <c r="D1311">
        <v>3900</v>
      </c>
      <c r="E1311">
        <v>1292</v>
      </c>
      <c r="F1311">
        <v>1242000</v>
      </c>
      <c r="G1311" s="5">
        <f t="shared" si="56"/>
        <v>1190818.228466707</v>
      </c>
      <c r="H1311" s="6">
        <f t="shared" si="53"/>
        <v>51181.771533292951</v>
      </c>
      <c r="I1311" s="1">
        <f t="shared" si="54"/>
        <v>1297991.8690287108</v>
      </c>
      <c r="J1311" s="2">
        <f t="shared" si="55"/>
        <v>-55991.86902871076</v>
      </c>
    </row>
    <row r="1312" spans="2:10" ht="18" x14ac:dyDescent="0.45">
      <c r="B1312" s="3" t="s">
        <v>710</v>
      </c>
      <c r="C1312" s="15" t="s">
        <v>1348</v>
      </c>
      <c r="D1312">
        <v>3908</v>
      </c>
      <c r="E1312">
        <v>1300</v>
      </c>
      <c r="F1312">
        <v>1248000</v>
      </c>
      <c r="G1312" s="5">
        <f t="shared" si="56"/>
        <v>1200608.2654406326</v>
      </c>
      <c r="H1312" s="6">
        <f t="shared" si="53"/>
        <v>47391.734559367411</v>
      </c>
      <c r="I1312" s="1">
        <f t="shared" si="54"/>
        <v>1308663.0093302897</v>
      </c>
      <c r="J1312" s="2">
        <f t="shared" si="55"/>
        <v>-60663.009330289671</v>
      </c>
    </row>
    <row r="1313" spans="2:10" ht="18" x14ac:dyDescent="0.45">
      <c r="B1313" s="3" t="s">
        <v>446</v>
      </c>
      <c r="C1313" s="15" t="s">
        <v>1349</v>
      </c>
      <c r="D1313">
        <v>3916</v>
      </c>
      <c r="E1313">
        <v>1289</v>
      </c>
      <c r="F1313">
        <v>1245000</v>
      </c>
      <c r="G1313" s="5">
        <f t="shared" si="56"/>
        <v>1192918.3796675559</v>
      </c>
      <c r="H1313" s="6">
        <f t="shared" si="53"/>
        <v>52081.620332444087</v>
      </c>
      <c r="I1313" s="1">
        <f t="shared" si="54"/>
        <v>1300281.033837636</v>
      </c>
      <c r="J1313" s="2">
        <f t="shared" si="55"/>
        <v>-55281.033837636001</v>
      </c>
    </row>
    <row r="1314" spans="2:10" ht="18" x14ac:dyDescent="0.45">
      <c r="B1314" s="3" t="s">
        <v>448</v>
      </c>
      <c r="C1314" s="15" t="s">
        <v>1350</v>
      </c>
      <c r="D1314">
        <v>3917</v>
      </c>
      <c r="E1314">
        <v>1285</v>
      </c>
      <c r="F1314">
        <v>1247000</v>
      </c>
      <c r="G1314" s="5">
        <f t="shared" si="56"/>
        <v>1189534.4628010157</v>
      </c>
      <c r="H1314" s="6">
        <f t="shared" si="53"/>
        <v>57465.537198984297</v>
      </c>
      <c r="I1314" s="1">
        <f t="shared" si="54"/>
        <v>1296592.5644531073</v>
      </c>
      <c r="J1314" s="2">
        <f t="shared" si="55"/>
        <v>-49592.564453107305</v>
      </c>
    </row>
    <row r="1315" spans="2:10" ht="18" x14ac:dyDescent="0.45">
      <c r="B1315" s="3" t="s">
        <v>442</v>
      </c>
      <c r="C1315" s="15" t="s">
        <v>1351</v>
      </c>
      <c r="D1315">
        <v>3920</v>
      </c>
      <c r="E1315">
        <v>1274</v>
      </c>
      <c r="F1315">
        <v>1241000</v>
      </c>
      <c r="G1315" s="5">
        <f t="shared" si="56"/>
        <v>1180293.9387197376</v>
      </c>
      <c r="H1315" s="6">
        <f t="shared" si="53"/>
        <v>60706.061280262424</v>
      </c>
      <c r="I1315" s="1">
        <f t="shared" si="54"/>
        <v>1286520.3932045139</v>
      </c>
      <c r="J1315" s="2">
        <f t="shared" si="55"/>
        <v>-45520.393204513937</v>
      </c>
    </row>
    <row r="1316" spans="2:10" ht="18" x14ac:dyDescent="0.45">
      <c r="B1316" s="3" t="s">
        <v>710</v>
      </c>
      <c r="C1316" s="15" t="s">
        <v>1352</v>
      </c>
      <c r="D1316">
        <v>3924</v>
      </c>
      <c r="E1316">
        <v>1270</v>
      </c>
      <c r="F1316">
        <v>1245000</v>
      </c>
      <c r="G1316" s="5">
        <f t="shared" si="56"/>
        <v>1177799.3619908046</v>
      </c>
      <c r="H1316" s="6">
        <f t="shared" si="53"/>
        <v>67200.638009195449</v>
      </c>
      <c r="I1316" s="1">
        <f t="shared" si="54"/>
        <v>1283801.3045699771</v>
      </c>
      <c r="J1316" s="2">
        <f t="shared" si="55"/>
        <v>-38801.304569977103</v>
      </c>
    </row>
    <row r="1317" spans="2:10" ht="18" x14ac:dyDescent="0.45">
      <c r="B1317" s="3" t="s">
        <v>446</v>
      </c>
      <c r="C1317" s="15" t="s">
        <v>1353</v>
      </c>
      <c r="D1317">
        <v>3940</v>
      </c>
      <c r="E1317">
        <v>1277</v>
      </c>
      <c r="F1317">
        <v>1252000</v>
      </c>
      <c r="G1317" s="5">
        <f t="shared" si="56"/>
        <v>1189072.0247564542</v>
      </c>
      <c r="H1317" s="6">
        <f t="shared" si="53"/>
        <v>62927.975243545836</v>
      </c>
      <c r="I1317" s="1">
        <f t="shared" si="54"/>
        <v>1296088.5069845351</v>
      </c>
      <c r="J1317" s="2">
        <f t="shared" si="55"/>
        <v>-44088.506984535139</v>
      </c>
    </row>
    <row r="1318" spans="2:10" ht="18" x14ac:dyDescent="0.45">
      <c r="B1318" s="3" t="s">
        <v>448</v>
      </c>
      <c r="C1318" s="15" t="s">
        <v>1354</v>
      </c>
      <c r="D1318">
        <v>3949</v>
      </c>
      <c r="E1318">
        <v>1280</v>
      </c>
      <c r="F1318">
        <v>1255000</v>
      </c>
      <c r="G1318" s="5">
        <f t="shared" si="56"/>
        <v>1194564.800308652</v>
      </c>
      <c r="H1318" s="6">
        <f t="shared" si="53"/>
        <v>60435.199691348011</v>
      </c>
      <c r="I1318" s="1">
        <f t="shared" si="54"/>
        <v>1302075.6323364307</v>
      </c>
      <c r="J1318" s="2">
        <f t="shared" si="55"/>
        <v>-47075.632336430717</v>
      </c>
    </row>
    <row r="1319" spans="2:10" ht="18" x14ac:dyDescent="0.45">
      <c r="B1319" s="3" t="s">
        <v>438</v>
      </c>
      <c r="C1319" s="15" t="s">
        <v>1355</v>
      </c>
      <c r="D1319">
        <v>3962</v>
      </c>
      <c r="E1319">
        <v>1276.0999999999999</v>
      </c>
      <c r="F1319">
        <v>1263000</v>
      </c>
      <c r="G1319" s="5">
        <f t="shared" si="56"/>
        <v>1194844.4282397195</v>
      </c>
      <c r="H1319" s="6">
        <f t="shared" si="53"/>
        <v>68155.571760280523</v>
      </c>
      <c r="I1319" s="1">
        <f t="shared" si="54"/>
        <v>1302380.4267812944</v>
      </c>
      <c r="J1319" s="2">
        <f t="shared" si="55"/>
        <v>-39380.426781294402</v>
      </c>
    </row>
    <row r="1320" spans="2:10" ht="18" x14ac:dyDescent="0.45">
      <c r="B1320" s="3" t="s">
        <v>719</v>
      </c>
      <c r="C1320" s="15" t="s">
        <v>1356</v>
      </c>
      <c r="D1320">
        <v>3999</v>
      </c>
      <c r="E1320">
        <v>1276.0999999999999</v>
      </c>
      <c r="F1320">
        <v>1293000</v>
      </c>
      <c r="G1320" s="5">
        <f t="shared" si="56"/>
        <v>1205956.0496038967</v>
      </c>
      <c r="H1320" s="6">
        <f t="shared" si="53"/>
        <v>87043.950396103319</v>
      </c>
      <c r="I1320" s="1">
        <f t="shared" si="54"/>
        <v>1314492.0940682476</v>
      </c>
      <c r="J1320" s="2">
        <f t="shared" si="55"/>
        <v>-21492.094068247592</v>
      </c>
    </row>
    <row r="1321" spans="2:10" ht="18" x14ac:dyDescent="0.45">
      <c r="B1321" s="3" t="s">
        <v>442</v>
      </c>
      <c r="C1321" s="15" t="s">
        <v>1357</v>
      </c>
      <c r="D1321">
        <v>4050</v>
      </c>
      <c r="E1321">
        <v>1280</v>
      </c>
      <c r="F1321">
        <v>1318000</v>
      </c>
      <c r="G1321" s="5">
        <f t="shared" si="56"/>
        <v>1224989.2229045429</v>
      </c>
      <c r="H1321" s="6">
        <f t="shared" si="53"/>
        <v>93010.777095457073</v>
      </c>
      <c r="I1321" s="1">
        <f t="shared" si="54"/>
        <v>1335238.2529659518</v>
      </c>
      <c r="J1321" s="2">
        <f t="shared" si="55"/>
        <v>-17238.252965951804</v>
      </c>
    </row>
    <row r="1322" spans="2:10" ht="18" x14ac:dyDescent="0.45">
      <c r="B1322" s="3" t="s">
        <v>710</v>
      </c>
      <c r="C1322" s="15" t="s">
        <v>1358</v>
      </c>
      <c r="D1322">
        <v>4040</v>
      </c>
      <c r="E1322">
        <v>1289</v>
      </c>
      <c r="F1322">
        <v>1310000</v>
      </c>
      <c r="G1322" s="5">
        <f t="shared" si="56"/>
        <v>1230533.7726907369</v>
      </c>
      <c r="H1322" s="6">
        <f t="shared" si="53"/>
        <v>79466.227309263078</v>
      </c>
      <c r="I1322" s="1">
        <f t="shared" si="54"/>
        <v>1341281.8122329034</v>
      </c>
      <c r="J1322" s="2">
        <f t="shared" si="55"/>
        <v>-31281.812232903438</v>
      </c>
    </row>
    <row r="1323" spans="2:10" ht="18" x14ac:dyDescent="0.45">
      <c r="B1323" s="3" t="s">
        <v>446</v>
      </c>
      <c r="C1323" s="15" t="s">
        <v>1359</v>
      </c>
      <c r="D1323">
        <v>4025</v>
      </c>
      <c r="E1323">
        <v>1289</v>
      </c>
      <c r="F1323">
        <v>1309000</v>
      </c>
      <c r="G1323" s="5">
        <f t="shared" si="56"/>
        <v>1225983.523534707</v>
      </c>
      <c r="H1323" s="6">
        <f t="shared" si="53"/>
        <v>83016.476465292973</v>
      </c>
      <c r="I1323" s="1">
        <f t="shared" si="54"/>
        <v>1336322.0406528309</v>
      </c>
      <c r="J1323" s="2">
        <f t="shared" si="55"/>
        <v>-27322.040652830852</v>
      </c>
    </row>
    <row r="1324" spans="2:10" ht="18" x14ac:dyDescent="0.45">
      <c r="B1324" s="3" t="s">
        <v>448</v>
      </c>
      <c r="C1324" s="15" t="s">
        <v>1360</v>
      </c>
      <c r="D1324">
        <v>4035</v>
      </c>
      <c r="E1324">
        <v>1295</v>
      </c>
      <c r="F1324">
        <v>1318000</v>
      </c>
      <c r="G1324" s="5">
        <f t="shared" si="56"/>
        <v>1234714.5420859724</v>
      </c>
      <c r="H1324" s="6">
        <f t="shared" si="53"/>
        <v>83285.457914027618</v>
      </c>
      <c r="I1324" s="1">
        <f t="shared" si="54"/>
        <v>1345838.8508737099</v>
      </c>
      <c r="J1324" s="2">
        <f t="shared" si="55"/>
        <v>-27838.850873709889</v>
      </c>
    </row>
    <row r="1325" spans="2:10" ht="18" x14ac:dyDescent="0.45">
      <c r="B1325" s="3" t="s">
        <v>438</v>
      </c>
      <c r="C1325" s="15" t="s">
        <v>1361</v>
      </c>
      <c r="D1325">
        <v>4005</v>
      </c>
      <c r="E1325">
        <v>1303.3</v>
      </c>
      <c r="F1325">
        <v>1311000</v>
      </c>
      <c r="G1325" s="5">
        <f t="shared" si="56"/>
        <v>1233394.6521251965</v>
      </c>
      <c r="H1325" s="6">
        <f t="shared" si="53"/>
        <v>77605.347874803469</v>
      </c>
      <c r="I1325" s="1">
        <f t="shared" si="54"/>
        <v>1344400.1708164643</v>
      </c>
      <c r="J1325" s="2">
        <f t="shared" si="55"/>
        <v>-33400.17081646435</v>
      </c>
    </row>
    <row r="1326" spans="2:10" ht="18" x14ac:dyDescent="0.45">
      <c r="B1326" s="3" t="s">
        <v>719</v>
      </c>
      <c r="C1326" s="15" t="s">
        <v>1362</v>
      </c>
      <c r="D1326">
        <v>4008</v>
      </c>
      <c r="E1326">
        <v>1303.3</v>
      </c>
      <c r="F1326">
        <v>1312000</v>
      </c>
      <c r="G1326" s="5">
        <f t="shared" si="56"/>
        <v>1234314.7979320318</v>
      </c>
      <c r="H1326" s="6">
        <f t="shared" si="53"/>
        <v>77685.202067968203</v>
      </c>
      <c r="I1326" s="1">
        <f t="shared" si="54"/>
        <v>1345403.1297459148</v>
      </c>
      <c r="J1326" s="2">
        <f t="shared" si="55"/>
        <v>-33403.129745914834</v>
      </c>
    </row>
    <row r="1327" spans="2:10" ht="18" x14ac:dyDescent="0.45">
      <c r="B1327" s="3" t="s">
        <v>442</v>
      </c>
      <c r="C1327" s="15" t="s">
        <v>1363</v>
      </c>
      <c r="D1327">
        <v>4009</v>
      </c>
      <c r="E1327">
        <v>1305</v>
      </c>
      <c r="F1327">
        <v>1313000</v>
      </c>
      <c r="G1327" s="5">
        <f t="shared" si="56"/>
        <v>1236225.4083689675</v>
      </c>
      <c r="H1327" s="6">
        <f t="shared" si="53"/>
        <v>76774.591631032526</v>
      </c>
      <c r="I1327" s="1">
        <f t="shared" si="54"/>
        <v>1347485.6951221747</v>
      </c>
      <c r="J1327" s="2">
        <f t="shared" si="55"/>
        <v>-34485.695122174686</v>
      </c>
    </row>
    <row r="1328" spans="2:10" ht="18" x14ac:dyDescent="0.45">
      <c r="B1328" s="3" t="s">
        <v>710</v>
      </c>
      <c r="C1328" s="15" t="s">
        <v>1364</v>
      </c>
      <c r="D1328">
        <v>4014</v>
      </c>
      <c r="E1328">
        <v>1285</v>
      </c>
      <c r="F1328">
        <v>1306000</v>
      </c>
      <c r="G1328" s="5">
        <f t="shared" si="56"/>
        <v>1218868.0964215668</v>
      </c>
      <c r="H1328" s="6">
        <f t="shared" si="53"/>
        <v>87131.903578433208</v>
      </c>
      <c r="I1328" s="1">
        <f t="shared" si="54"/>
        <v>1328566.225099508</v>
      </c>
      <c r="J1328" s="2">
        <f t="shared" si="55"/>
        <v>-22566.225099507952</v>
      </c>
    </row>
    <row r="1329" spans="2:10" ht="18" x14ac:dyDescent="0.45">
      <c r="B1329" s="3" t="s">
        <v>446</v>
      </c>
      <c r="C1329" s="15" t="s">
        <v>1365</v>
      </c>
      <c r="D1329">
        <v>4023</v>
      </c>
      <c r="E1329">
        <v>1278</v>
      </c>
      <c r="F1329">
        <v>1308000</v>
      </c>
      <c r="G1329" s="5">
        <f t="shared" si="56"/>
        <v>1214962.4364787962</v>
      </c>
      <c r="H1329" s="6">
        <f t="shared" si="53"/>
        <v>93037.563521203818</v>
      </c>
      <c r="I1329" s="1">
        <f t="shared" si="54"/>
        <v>1324309.0557618879</v>
      </c>
      <c r="J1329" s="2">
        <f t="shared" si="55"/>
        <v>-16309.055761887925</v>
      </c>
    </row>
    <row r="1330" spans="2:10" ht="18" x14ac:dyDescent="0.45">
      <c r="B1330" s="3" t="s">
        <v>448</v>
      </c>
      <c r="C1330" s="15" t="s">
        <v>1366</v>
      </c>
      <c r="D1330">
        <v>4020</v>
      </c>
      <c r="E1330">
        <v>1290</v>
      </c>
      <c r="F1330">
        <v>1310000</v>
      </c>
      <c r="G1330" s="5">
        <f t="shared" si="56"/>
        <v>1225412.8302736068</v>
      </c>
      <c r="H1330" s="6">
        <f t="shared" si="53"/>
        <v>84587.169726393186</v>
      </c>
      <c r="I1330" s="1">
        <f t="shared" si="54"/>
        <v>1335699.9849982315</v>
      </c>
      <c r="J1330" s="2">
        <f t="shared" si="55"/>
        <v>-25699.984998231521</v>
      </c>
    </row>
    <row r="1331" spans="2:10" ht="18" x14ac:dyDescent="0.45">
      <c r="B1331" s="3" t="s">
        <v>438</v>
      </c>
      <c r="C1331" s="15" t="s">
        <v>1367</v>
      </c>
      <c r="D1331">
        <v>4012</v>
      </c>
      <c r="E1331">
        <v>1280</v>
      </c>
      <c r="F1331">
        <v>1298000</v>
      </c>
      <c r="G1331" s="5">
        <f t="shared" si="56"/>
        <v>1213542.4104427225</v>
      </c>
      <c r="H1331" s="6">
        <f t="shared" si="53"/>
        <v>84457.589557277504</v>
      </c>
      <c r="I1331" s="1">
        <f t="shared" si="54"/>
        <v>1322761.2273825677</v>
      </c>
      <c r="J1331" s="2">
        <f t="shared" si="55"/>
        <v>-24761.227382567711</v>
      </c>
    </row>
    <row r="1332" spans="2:10" ht="18" x14ac:dyDescent="0.45">
      <c r="B1332" s="3" t="s">
        <v>719</v>
      </c>
      <c r="C1332" s="15" t="s">
        <v>1368</v>
      </c>
      <c r="D1332">
        <v>4013</v>
      </c>
      <c r="E1332">
        <v>1280</v>
      </c>
      <c r="F1332">
        <v>1296000</v>
      </c>
      <c r="G1332" s="5">
        <f t="shared" si="56"/>
        <v>1213843.6423496124</v>
      </c>
      <c r="H1332" s="6">
        <f t="shared" si="53"/>
        <v>82156.357650387567</v>
      </c>
      <c r="I1332" s="1">
        <f t="shared" si="54"/>
        <v>1323089.5701610777</v>
      </c>
      <c r="J1332" s="2">
        <f t="shared" si="55"/>
        <v>-27089.57016107766</v>
      </c>
    </row>
    <row r="1333" spans="2:10" ht="18" x14ac:dyDescent="0.45">
      <c r="B1333" s="3" t="s">
        <v>442</v>
      </c>
      <c r="C1333" s="15" t="s">
        <v>1369</v>
      </c>
      <c r="D1333">
        <v>4016</v>
      </c>
      <c r="E1333">
        <v>1274</v>
      </c>
      <c r="F1333">
        <v>1298000</v>
      </c>
      <c r="G1333" s="5">
        <f t="shared" si="56"/>
        <v>1209076.6474230778</v>
      </c>
      <c r="H1333" s="6">
        <f t="shared" si="53"/>
        <v>88923.35257692216</v>
      </c>
      <c r="I1333" s="1">
        <f t="shared" si="54"/>
        <v>1317893.5456911549</v>
      </c>
      <c r="J1333" s="2">
        <f t="shared" si="55"/>
        <v>-19893.545691154897</v>
      </c>
    </row>
    <row r="1334" spans="2:10" ht="18" x14ac:dyDescent="0.45">
      <c r="B1334" s="3" t="s">
        <v>710</v>
      </c>
      <c r="C1334" s="15" t="s">
        <v>1370</v>
      </c>
      <c r="D1334">
        <v>4023</v>
      </c>
      <c r="E1334">
        <v>1276</v>
      </c>
      <c r="F1334">
        <v>1310000</v>
      </c>
      <c r="G1334" s="5">
        <f t="shared" si="56"/>
        <v>1213068.9115390796</v>
      </c>
      <c r="H1334" s="6">
        <f t="shared" si="53"/>
        <v>96931.088460920379</v>
      </c>
      <c r="I1334" s="1">
        <f t="shared" si="54"/>
        <v>1322245.1135775968</v>
      </c>
      <c r="J1334" s="2">
        <f t="shared" si="55"/>
        <v>-12245.113577596843</v>
      </c>
    </row>
    <row r="1335" spans="2:10" ht="18" x14ac:dyDescent="0.45">
      <c r="B1335" s="3" t="s">
        <v>446</v>
      </c>
      <c r="C1335" s="15" t="s">
        <v>1371</v>
      </c>
      <c r="D1335">
        <v>4027</v>
      </c>
      <c r="E1335">
        <v>1272</v>
      </c>
      <c r="F1335">
        <v>1308000</v>
      </c>
      <c r="G1335" s="5">
        <f t="shared" si="56"/>
        <v>1210479.2584895345</v>
      </c>
      <c r="H1335" s="6">
        <f t="shared" si="53"/>
        <v>97520.741510465508</v>
      </c>
      <c r="I1335" s="1">
        <f t="shared" si="54"/>
        <v>1319422.3917535928</v>
      </c>
      <c r="J1335" s="2">
        <f t="shared" si="55"/>
        <v>-11422.391753592761</v>
      </c>
    </row>
    <row r="1336" spans="2:10" ht="18" x14ac:dyDescent="0.45">
      <c r="B1336" s="3" t="s">
        <v>448</v>
      </c>
      <c r="C1336" s="15" t="s">
        <v>1372</v>
      </c>
      <c r="D1336">
        <v>4030</v>
      </c>
      <c r="E1336">
        <v>1277</v>
      </c>
      <c r="F1336">
        <v>1311000</v>
      </c>
      <c r="G1336" s="5">
        <f t="shared" si="56"/>
        <v>1216119.3552711955</v>
      </c>
      <c r="H1336" s="6">
        <f t="shared" si="53"/>
        <v>94880.644728804473</v>
      </c>
      <c r="I1336" s="1">
        <f t="shared" si="54"/>
        <v>1325570.0972456033</v>
      </c>
      <c r="J1336" s="2">
        <f t="shared" si="55"/>
        <v>-14570.097245603334</v>
      </c>
    </row>
    <row r="1337" spans="2:10" ht="18" x14ac:dyDescent="0.45">
      <c r="B1337" s="3" t="s">
        <v>438</v>
      </c>
      <c r="C1337" s="15" t="s">
        <v>1373</v>
      </c>
      <c r="D1337">
        <v>4049</v>
      </c>
      <c r="E1337">
        <v>1273.2</v>
      </c>
      <c r="F1337">
        <v>1313000</v>
      </c>
      <c r="G1337" s="5">
        <f t="shared" si="56"/>
        <v>1218208.398545478</v>
      </c>
      <c r="H1337" s="6">
        <f t="shared" si="53"/>
        <v>94791.601454521995</v>
      </c>
      <c r="I1337" s="1">
        <f t="shared" si="54"/>
        <v>1327847.1544145711</v>
      </c>
      <c r="J1337" s="2">
        <f t="shared" si="55"/>
        <v>-14847.154414571123</v>
      </c>
    </row>
    <row r="1338" spans="2:10" ht="18" x14ac:dyDescent="0.45">
      <c r="B1338" s="3" t="s">
        <v>719</v>
      </c>
      <c r="C1338" s="15" t="s">
        <v>1374</v>
      </c>
      <c r="D1338">
        <v>4070</v>
      </c>
      <c r="E1338">
        <v>1273.2</v>
      </c>
      <c r="F1338">
        <v>1320000</v>
      </c>
      <c r="G1338" s="5">
        <f t="shared" si="56"/>
        <v>1224500.6624055558</v>
      </c>
      <c r="H1338" s="6">
        <f t="shared" si="53"/>
        <v>95499.337594444165</v>
      </c>
      <c r="I1338" s="1">
        <f t="shared" si="54"/>
        <v>1334705.7220220559</v>
      </c>
      <c r="J1338" s="2">
        <f t="shared" si="55"/>
        <v>-14705.722022055881</v>
      </c>
    </row>
    <row r="1339" spans="2:10" ht="18" x14ac:dyDescent="0.45">
      <c r="B1339" s="3" t="s">
        <v>442</v>
      </c>
      <c r="C1339" s="15" t="s">
        <v>1375</v>
      </c>
      <c r="D1339">
        <v>4060</v>
      </c>
      <c r="E1339">
        <v>1270</v>
      </c>
      <c r="F1339">
        <v>1314000</v>
      </c>
      <c r="G1339" s="5">
        <f t="shared" si="56"/>
        <v>1218446.8424267753</v>
      </c>
      <c r="H1339" s="6">
        <f t="shared" si="53"/>
        <v>95553.157573224744</v>
      </c>
      <c r="I1339" s="1">
        <f t="shared" si="54"/>
        <v>1328107.0582451851</v>
      </c>
      <c r="J1339" s="2">
        <f t="shared" si="55"/>
        <v>-14107.058245185064</v>
      </c>
    </row>
    <row r="1340" spans="2:10" ht="18" x14ac:dyDescent="0.45">
      <c r="B1340" s="3" t="s">
        <v>710</v>
      </c>
      <c r="C1340" s="15" t="s">
        <v>1376</v>
      </c>
      <c r="D1340">
        <v>4058</v>
      </c>
      <c r="E1340">
        <v>1270</v>
      </c>
      <c r="F1340">
        <v>1315000</v>
      </c>
      <c r="G1340" s="5">
        <f t="shared" si="56"/>
        <v>1217849.0853615406</v>
      </c>
      <c r="H1340" s="6">
        <f t="shared" si="53"/>
        <v>97150.91463845945</v>
      </c>
      <c r="I1340" s="1">
        <f t="shared" si="54"/>
        <v>1327455.5030440793</v>
      </c>
      <c r="J1340" s="2">
        <f t="shared" si="55"/>
        <v>-12455.503044079291</v>
      </c>
    </row>
    <row r="1341" spans="2:10" ht="18" x14ac:dyDescent="0.45">
      <c r="B1341" s="3" t="s">
        <v>446</v>
      </c>
      <c r="C1341" s="15" t="s">
        <v>1377</v>
      </c>
      <c r="D1341">
        <v>4062</v>
      </c>
      <c r="E1341">
        <v>1273</v>
      </c>
      <c r="F1341">
        <v>1319000</v>
      </c>
      <c r="G1341" s="5">
        <f t="shared" si="56"/>
        <v>1221912.4213805741</v>
      </c>
      <c r="H1341" s="6">
        <f t="shared" si="53"/>
        <v>97087.578619425884</v>
      </c>
      <c r="I1341" s="1">
        <f t="shared" si="54"/>
        <v>1331884.5393048259</v>
      </c>
      <c r="J1341" s="2">
        <f t="shared" si="55"/>
        <v>-12884.539304825943</v>
      </c>
    </row>
    <row r="1342" spans="2:10" ht="18" x14ac:dyDescent="0.45">
      <c r="B1342" s="3" t="s">
        <v>448</v>
      </c>
      <c r="C1342" s="15" t="s">
        <v>1378</v>
      </c>
      <c r="D1342">
        <v>4057</v>
      </c>
      <c r="E1342">
        <v>1276</v>
      </c>
      <c r="F1342">
        <v>1318000</v>
      </c>
      <c r="G1342" s="5">
        <f t="shared" si="56"/>
        <v>1223278.7904832331</v>
      </c>
      <c r="H1342" s="6">
        <f t="shared" si="53"/>
        <v>94721.209516766947</v>
      </c>
      <c r="I1342" s="1">
        <f t="shared" si="54"/>
        <v>1333373.881626724</v>
      </c>
      <c r="J1342" s="2">
        <f t="shared" si="55"/>
        <v>-15373.881626724033</v>
      </c>
    </row>
    <row r="1343" spans="2:10" ht="18" x14ac:dyDescent="0.45">
      <c r="B1343" s="3" t="s">
        <v>438</v>
      </c>
      <c r="C1343" s="15" t="s">
        <v>1379</v>
      </c>
      <c r="D1343">
        <v>4051</v>
      </c>
      <c r="E1343">
        <v>1269.4000000000001</v>
      </c>
      <c r="F1343">
        <v>1317000</v>
      </c>
      <c r="G1343" s="5">
        <f t="shared" si="56"/>
        <v>1215184.9244825258</v>
      </c>
      <c r="H1343" s="6">
        <f t="shared" si="53"/>
        <v>101815.07551747421</v>
      </c>
      <c r="I1343" s="1">
        <f t="shared" si="54"/>
        <v>1324551.5676859531</v>
      </c>
      <c r="J1343" s="2">
        <f t="shared" si="55"/>
        <v>-7551.5676859531086</v>
      </c>
    </row>
    <row r="1344" spans="2:10" ht="18" x14ac:dyDescent="0.45">
      <c r="B1344" s="3" t="s">
        <v>719</v>
      </c>
      <c r="C1344" s="15" t="s">
        <v>1380</v>
      </c>
      <c r="D1344">
        <v>4068</v>
      </c>
      <c r="E1344">
        <v>1269.4000000000001</v>
      </c>
      <c r="F1344">
        <v>1323000</v>
      </c>
      <c r="G1344" s="5">
        <f t="shared" si="56"/>
        <v>1220263.4590952639</v>
      </c>
      <c r="H1344" s="6">
        <f t="shared" si="53"/>
        <v>102736.54090473615</v>
      </c>
      <c r="I1344" s="1">
        <f t="shared" si="54"/>
        <v>1330087.1704138378</v>
      </c>
      <c r="J1344" s="2">
        <f t="shared" si="55"/>
        <v>-7087.1704138377681</v>
      </c>
    </row>
    <row r="1345" spans="2:10" ht="18" x14ac:dyDescent="0.45">
      <c r="B1345" s="3" t="s">
        <v>442</v>
      </c>
      <c r="C1345" s="15" t="s">
        <v>1381</v>
      </c>
      <c r="D1345">
        <v>4075</v>
      </c>
      <c r="E1345">
        <v>1271</v>
      </c>
      <c r="F1345">
        <v>1337000</v>
      </c>
      <c r="G1345" s="5">
        <f t="shared" si="56"/>
        <v>1223889.0204321125</v>
      </c>
      <c r="H1345" s="6">
        <f t="shared" si="53"/>
        <v>113110.97956788749</v>
      </c>
      <c r="I1345" s="1">
        <f t="shared" si="54"/>
        <v>1334039.0322710027</v>
      </c>
      <c r="J1345" s="2">
        <f t="shared" si="55"/>
        <v>2960.9677289973479</v>
      </c>
    </row>
    <row r="1346" spans="2:10" ht="18" x14ac:dyDescent="0.45">
      <c r="B1346" s="3" t="s">
        <v>710</v>
      </c>
      <c r="C1346" s="15" t="s">
        <v>1382</v>
      </c>
      <c r="D1346">
        <v>4074</v>
      </c>
      <c r="E1346">
        <v>1276</v>
      </c>
      <c r="F1346">
        <v>1345000</v>
      </c>
      <c r="G1346" s="5">
        <f t="shared" si="56"/>
        <v>1228383.7299553095</v>
      </c>
      <c r="H1346" s="6">
        <f t="shared" ref="H1346:H1409" si="57">F:F-G:G</f>
        <v>116616.27004469046</v>
      </c>
      <c r="I1346" s="1">
        <f t="shared" si="54"/>
        <v>1338938.2656512875</v>
      </c>
      <c r="J1346" s="2">
        <f t="shared" si="55"/>
        <v>6061.734348712489</v>
      </c>
    </row>
    <row r="1347" spans="2:10" ht="18" x14ac:dyDescent="0.45">
      <c r="B1347" s="3" t="s">
        <v>446</v>
      </c>
      <c r="C1347" s="15" t="s">
        <v>1383</v>
      </c>
      <c r="D1347">
        <v>4073</v>
      </c>
      <c r="E1347">
        <v>1282</v>
      </c>
      <c r="F1347">
        <v>1349000</v>
      </c>
      <c r="G1347" s="5">
        <f t="shared" si="56"/>
        <v>1233834.6154454551</v>
      </c>
      <c r="H1347" s="6">
        <f t="shared" si="57"/>
        <v>115165.38455454493</v>
      </c>
      <c r="I1347" s="1">
        <f t="shared" si="54"/>
        <v>1344879.730835546</v>
      </c>
      <c r="J1347" s="2">
        <f t="shared" si="55"/>
        <v>4120.2691644539591</v>
      </c>
    </row>
    <row r="1348" spans="2:10" ht="18" x14ac:dyDescent="0.45">
      <c r="B1348" s="3" t="s">
        <v>438</v>
      </c>
      <c r="C1348" s="15" t="s">
        <v>1384</v>
      </c>
      <c r="D1348">
        <v>4079</v>
      </c>
      <c r="E1348">
        <v>1274.9000000000001</v>
      </c>
      <c r="F1348">
        <v>1360000</v>
      </c>
      <c r="G1348" s="5">
        <f t="shared" si="56"/>
        <v>1228829.2472388514</v>
      </c>
      <c r="H1348" s="6">
        <f t="shared" si="57"/>
        <v>131170.75276114861</v>
      </c>
      <c r="I1348" s="1">
        <f t="shared" si="54"/>
        <v>1339423.879490348</v>
      </c>
      <c r="J1348" s="2">
        <f t="shared" si="55"/>
        <v>20576.120509651955</v>
      </c>
    </row>
    <row r="1349" spans="2:10" ht="18" x14ac:dyDescent="0.45">
      <c r="B1349" s="3" t="s">
        <v>719</v>
      </c>
      <c r="C1349" s="15" t="s">
        <v>1385</v>
      </c>
      <c r="D1349">
        <v>4093</v>
      </c>
      <c r="E1349">
        <v>1274.9000000000001</v>
      </c>
      <c r="F1349">
        <v>1355000</v>
      </c>
      <c r="G1349" s="5">
        <f t="shared" si="56"/>
        <v>1233029.6908430054</v>
      </c>
      <c r="H1349" s="6">
        <f t="shared" si="57"/>
        <v>121970.30915699457</v>
      </c>
      <c r="I1349" s="1">
        <f t="shared" si="54"/>
        <v>1344002.3630188759</v>
      </c>
      <c r="J1349" s="2">
        <f t="shared" si="55"/>
        <v>10997.636981124058</v>
      </c>
    </row>
    <row r="1350" spans="2:10" ht="18" x14ac:dyDescent="0.45">
      <c r="B1350" s="3" t="s">
        <v>442</v>
      </c>
      <c r="C1350" s="15" t="s">
        <v>1386</v>
      </c>
      <c r="D1350">
        <v>4120</v>
      </c>
      <c r="E1350">
        <v>1277</v>
      </c>
      <c r="F1350">
        <v>1385000</v>
      </c>
      <c r="G1350" s="5">
        <f t="shared" si="56"/>
        <v>1243166.6857859367</v>
      </c>
      <c r="H1350" s="6">
        <f t="shared" si="57"/>
        <v>141833.31421406334</v>
      </c>
      <c r="I1350" s="1">
        <f t="shared" si="54"/>
        <v>1355051.6875066711</v>
      </c>
      <c r="J1350" s="2">
        <f t="shared" si="55"/>
        <v>29948.312493328936</v>
      </c>
    </row>
    <row r="1351" spans="2:10" ht="18" x14ac:dyDescent="0.45">
      <c r="B1351" s="3" t="s">
        <v>710</v>
      </c>
      <c r="C1351" s="15" t="s">
        <v>1387</v>
      </c>
      <c r="D1351">
        <v>4121</v>
      </c>
      <c r="E1351">
        <v>1272</v>
      </c>
      <c r="F1351">
        <v>1389000</v>
      </c>
      <c r="G1351" s="5">
        <f t="shared" si="56"/>
        <v>1238618.0839918978</v>
      </c>
      <c r="H1351" s="6">
        <f t="shared" si="57"/>
        <v>150381.91600810224</v>
      </c>
      <c r="I1351" s="1">
        <f t="shared" si="54"/>
        <v>1350093.7115511687</v>
      </c>
      <c r="J1351" s="2">
        <f t="shared" si="55"/>
        <v>38906.288448831299</v>
      </c>
    </row>
    <row r="1352" spans="2:10" ht="18" x14ac:dyDescent="0.45">
      <c r="B1352" s="3" t="s">
        <v>446</v>
      </c>
      <c r="C1352" s="15" t="s">
        <v>1388</v>
      </c>
      <c r="D1352">
        <v>4097</v>
      </c>
      <c r="E1352">
        <v>1285</v>
      </c>
      <c r="F1352">
        <v>1390000</v>
      </c>
      <c r="G1352" s="5">
        <f t="shared" si="56"/>
        <v>1243968.0097257497</v>
      </c>
      <c r="H1352" s="6">
        <f t="shared" si="57"/>
        <v>146031.99027425027</v>
      </c>
      <c r="I1352" s="1">
        <f t="shared" si="54"/>
        <v>1355925.1306010673</v>
      </c>
      <c r="J1352" s="2">
        <f t="shared" si="55"/>
        <v>34074.869398932671</v>
      </c>
    </row>
    <row r="1353" spans="2:10" ht="18" x14ac:dyDescent="0.45">
      <c r="B1353" s="3" t="s">
        <v>448</v>
      </c>
      <c r="C1353" s="15" t="s">
        <v>1389</v>
      </c>
      <c r="D1353">
        <v>4101</v>
      </c>
      <c r="E1353">
        <v>1278</v>
      </c>
      <c r="F1353">
        <v>1391000</v>
      </c>
      <c r="G1353" s="5">
        <f t="shared" si="56"/>
        <v>1238421.812577565</v>
      </c>
      <c r="H1353" s="6">
        <f t="shared" si="57"/>
        <v>152578.18742243503</v>
      </c>
      <c r="I1353" s="1">
        <f t="shared" si="54"/>
        <v>1349879.7757095459</v>
      </c>
      <c r="J1353" s="2">
        <f t="shared" si="55"/>
        <v>41120.224290454062</v>
      </c>
    </row>
    <row r="1354" spans="2:10" ht="18" x14ac:dyDescent="0.45">
      <c r="B1354" s="3" t="s">
        <v>438</v>
      </c>
      <c r="C1354" s="15" t="s">
        <v>1390</v>
      </c>
      <c r="D1354">
        <v>4097</v>
      </c>
      <c r="E1354">
        <v>1293.4000000000001</v>
      </c>
      <c r="F1354">
        <v>1407000</v>
      </c>
      <c r="G1354" s="5">
        <f t="shared" si="56"/>
        <v>1252067.1002173424</v>
      </c>
      <c r="H1354" s="6">
        <f t="shared" si="57"/>
        <v>154932.89978265762</v>
      </c>
      <c r="I1354" s="1">
        <f t="shared" si="54"/>
        <v>1364753.1392369033</v>
      </c>
      <c r="J1354" s="2">
        <f t="shared" si="55"/>
        <v>42246.860763096716</v>
      </c>
    </row>
    <row r="1355" spans="2:10" ht="18" x14ac:dyDescent="0.45">
      <c r="B1355" s="3" t="s">
        <v>442</v>
      </c>
      <c r="C1355" s="15" t="s">
        <v>1391</v>
      </c>
      <c r="D1355">
        <v>4098</v>
      </c>
      <c r="E1355">
        <v>1289</v>
      </c>
      <c r="F1355">
        <v>1437000</v>
      </c>
      <c r="G1355" s="5">
        <f t="shared" si="56"/>
        <v>1248128.0694273864</v>
      </c>
      <c r="H1355" s="6">
        <f t="shared" si="57"/>
        <v>188871.93057261361</v>
      </c>
      <c r="I1355" s="1">
        <f t="shared" si="54"/>
        <v>1360459.5956758512</v>
      </c>
      <c r="J1355" s="2">
        <f t="shared" si="55"/>
        <v>76540.404324148782</v>
      </c>
    </row>
    <row r="1356" spans="2:10" ht="18" x14ac:dyDescent="0.45">
      <c r="B1356" s="3" t="s">
        <v>710</v>
      </c>
      <c r="C1356" s="15" t="s">
        <v>1392</v>
      </c>
      <c r="D1356">
        <v>4093</v>
      </c>
      <c r="E1356">
        <v>1277</v>
      </c>
      <c r="F1356">
        <v>1421000</v>
      </c>
      <c r="G1356" s="5">
        <f t="shared" si="56"/>
        <v>1235052.4866315145</v>
      </c>
      <c r="H1356" s="6">
        <f t="shared" si="57"/>
        <v>185947.5133684855</v>
      </c>
      <c r="I1356" s="1">
        <f t="shared" si="54"/>
        <v>1346207.2104283508</v>
      </c>
      <c r="J1356" s="2">
        <f t="shared" si="55"/>
        <v>74792.789571649162</v>
      </c>
    </row>
    <row r="1357" spans="2:10" ht="18" x14ac:dyDescent="0.45">
      <c r="B1357" s="3" t="s">
        <v>446</v>
      </c>
      <c r="C1357" s="15" t="s">
        <v>1393</v>
      </c>
      <c r="D1357">
        <v>4120</v>
      </c>
      <c r="E1357">
        <v>1283</v>
      </c>
      <c r="F1357">
        <v>1430000</v>
      </c>
      <c r="G1357" s="5">
        <f t="shared" si="56"/>
        <v>1248984.2269877503</v>
      </c>
      <c r="H1357" s="6">
        <f t="shared" si="57"/>
        <v>181015.77301224973</v>
      </c>
      <c r="I1357" s="1">
        <f t="shared" si="54"/>
        <v>1361392.8074166479</v>
      </c>
      <c r="J1357" s="2">
        <f t="shared" si="55"/>
        <v>68607.192583352095</v>
      </c>
    </row>
    <row r="1358" spans="2:10" ht="18" x14ac:dyDescent="0.45">
      <c r="B1358" s="3" t="s">
        <v>448</v>
      </c>
      <c r="C1358" s="15" t="s">
        <v>1394</v>
      </c>
      <c r="D1358">
        <v>4126</v>
      </c>
      <c r="E1358">
        <v>1289</v>
      </c>
      <c r="F1358">
        <v>1405000</v>
      </c>
      <c r="G1358" s="5">
        <f t="shared" si="56"/>
        <v>1256621.8678519754</v>
      </c>
      <c r="H1358" s="6">
        <f t="shared" si="57"/>
        <v>148378.13214802463</v>
      </c>
      <c r="I1358" s="1">
        <f t="shared" ref="I1358:I1421" si="58">G1358*1.09</f>
        <v>1369717.8359586534</v>
      </c>
      <c r="J1358" s="2">
        <f t="shared" ref="J1358:J1401" si="59">F1358-I1358</f>
        <v>35282.164041346638</v>
      </c>
    </row>
    <row r="1359" spans="2:10" ht="18" x14ac:dyDescent="0.45">
      <c r="B1359" s="3" t="s">
        <v>438</v>
      </c>
      <c r="C1359" s="15" t="s">
        <v>1395</v>
      </c>
      <c r="D1359">
        <v>4127</v>
      </c>
      <c r="E1359">
        <v>1287.9000000000001</v>
      </c>
      <c r="F1359">
        <v>1390000</v>
      </c>
      <c r="G1359" s="5">
        <f t="shared" si="56"/>
        <v>1255856.8564771884</v>
      </c>
      <c r="H1359" s="6">
        <f t="shared" si="57"/>
        <v>134143.14352281159</v>
      </c>
      <c r="I1359" s="1">
        <f t="shared" si="58"/>
        <v>1368883.9735601356</v>
      </c>
      <c r="J1359" s="2">
        <f t="shared" si="59"/>
        <v>21116.026439864421</v>
      </c>
    </row>
    <row r="1360" spans="2:10" ht="18" x14ac:dyDescent="0.45">
      <c r="B1360" s="3" t="s">
        <v>719</v>
      </c>
      <c r="C1360" s="15" t="s">
        <v>1396</v>
      </c>
      <c r="D1360">
        <v>4114</v>
      </c>
      <c r="E1360">
        <v>1287.9000000000001</v>
      </c>
      <c r="F1360">
        <v>1354000</v>
      </c>
      <c r="G1360" s="5">
        <f t="shared" si="56"/>
        <v>1251916.672533839</v>
      </c>
      <c r="H1360" s="6">
        <f t="shared" si="57"/>
        <v>102083.32746616099</v>
      </c>
      <c r="I1360" s="1">
        <f t="shared" si="58"/>
        <v>1364589.1730618847</v>
      </c>
      <c r="J1360" s="2">
        <f t="shared" si="59"/>
        <v>-10589.173061884707</v>
      </c>
    </row>
    <row r="1361" spans="2:10" ht="18" x14ac:dyDescent="0.45">
      <c r="B1361" s="3" t="s">
        <v>446</v>
      </c>
      <c r="C1361" s="15" t="s">
        <v>1397</v>
      </c>
      <c r="D1361">
        <v>4140</v>
      </c>
      <c r="E1361">
        <v>1293</v>
      </c>
      <c r="F1361">
        <v>1369000</v>
      </c>
      <c r="G1361" s="5">
        <f t="shared" si="56"/>
        <v>1264765.9548596598</v>
      </c>
      <c r="H1361" s="6">
        <f t="shared" si="57"/>
        <v>104234.04514034023</v>
      </c>
      <c r="I1361" s="1">
        <f t="shared" si="58"/>
        <v>1378594.8907970292</v>
      </c>
      <c r="J1361" s="2">
        <f t="shared" si="59"/>
        <v>-9594.8907970292494</v>
      </c>
    </row>
    <row r="1362" spans="2:10" ht="18" x14ac:dyDescent="0.45">
      <c r="B1362" s="3" t="s">
        <v>448</v>
      </c>
      <c r="C1362" s="15" t="s">
        <v>1398</v>
      </c>
      <c r="D1362">
        <v>4136</v>
      </c>
      <c r="E1362">
        <v>1279</v>
      </c>
      <c r="F1362">
        <v>1382000</v>
      </c>
      <c r="G1362" s="5">
        <f t="shared" si="56"/>
        <v>1249921.8112979454</v>
      </c>
      <c r="H1362" s="6">
        <f t="shared" si="57"/>
        <v>132078.18870205455</v>
      </c>
      <c r="I1362" s="1">
        <f t="shared" si="58"/>
        <v>1362414.7743147607</v>
      </c>
      <c r="J1362" s="2">
        <f t="shared" si="59"/>
        <v>19585.225685239304</v>
      </c>
    </row>
    <row r="1363" spans="2:10" ht="18" x14ac:dyDescent="0.45">
      <c r="B1363" s="3" t="s">
        <v>438</v>
      </c>
      <c r="C1363" s="15" t="s">
        <v>1399</v>
      </c>
      <c r="D1363">
        <v>4152</v>
      </c>
      <c r="E1363">
        <v>1279.5999999999999</v>
      </c>
      <c r="F1363">
        <v>1384000</v>
      </c>
      <c r="G1363" s="5">
        <f t="shared" si="56"/>
        <v>1255324.029008134</v>
      </c>
      <c r="H1363" s="6">
        <f t="shared" si="57"/>
        <v>128675.97099186596</v>
      </c>
      <c r="I1363" s="1">
        <f t="shared" si="58"/>
        <v>1368303.1916188663</v>
      </c>
      <c r="J1363" s="2">
        <f t="shared" si="59"/>
        <v>15696.808381133713</v>
      </c>
    </row>
    <row r="1364" spans="2:10" ht="18" x14ac:dyDescent="0.45">
      <c r="B1364" s="3" t="s">
        <v>719</v>
      </c>
      <c r="C1364" s="15" t="s">
        <v>1400</v>
      </c>
      <c r="D1364">
        <v>4159</v>
      </c>
      <c r="E1364">
        <v>1279.5999999999999</v>
      </c>
      <c r="F1364">
        <v>1401000</v>
      </c>
      <c r="G1364" s="5">
        <f t="shared" si="56"/>
        <v>1257431.9934115678</v>
      </c>
      <c r="H1364" s="6">
        <f t="shared" si="57"/>
        <v>143568.00658843224</v>
      </c>
      <c r="I1364" s="1">
        <f t="shared" si="58"/>
        <v>1370600.872818609</v>
      </c>
      <c r="J1364" s="2">
        <f t="shared" si="59"/>
        <v>30399.127181390999</v>
      </c>
    </row>
    <row r="1365" spans="2:10" ht="18" x14ac:dyDescent="0.45">
      <c r="B1365" s="3" t="s">
        <v>442</v>
      </c>
      <c r="C1365" s="15" t="s">
        <v>1401</v>
      </c>
      <c r="D1365">
        <v>4189</v>
      </c>
      <c r="E1365">
        <v>1272</v>
      </c>
      <c r="F1365">
        <v>1409000</v>
      </c>
      <c r="G1365" s="5">
        <f t="shared" si="56"/>
        <v>1258973.8300999899</v>
      </c>
      <c r="H1365" s="6">
        <f t="shared" si="57"/>
        <v>150026.16990001011</v>
      </c>
      <c r="I1365" s="1">
        <f t="shared" si="58"/>
        <v>1372281.4748089891</v>
      </c>
      <c r="J1365" s="2">
        <f t="shared" si="59"/>
        <v>36718.525191010907</v>
      </c>
    </row>
    <row r="1366" spans="2:10" ht="18" x14ac:dyDescent="0.45">
      <c r="B1366" s="3" t="s">
        <v>710</v>
      </c>
      <c r="C1366" s="15" t="s">
        <v>1402</v>
      </c>
      <c r="D1366">
        <v>4210</v>
      </c>
      <c r="E1366">
        <v>1274</v>
      </c>
      <c r="F1366">
        <v>1430000</v>
      </c>
      <c r="G1366" s="5">
        <f t="shared" si="56"/>
        <v>1267241.7045944119</v>
      </c>
      <c r="H1366" s="6">
        <f t="shared" si="57"/>
        <v>162758.29540558811</v>
      </c>
      <c r="I1366" s="1">
        <f t="shared" si="58"/>
        <v>1381293.4580079091</v>
      </c>
      <c r="J1366" s="2">
        <f t="shared" si="59"/>
        <v>48706.541992090875</v>
      </c>
    </row>
    <row r="1367" spans="2:10" ht="18" x14ac:dyDescent="0.45">
      <c r="B1367" s="3" t="s">
        <v>448</v>
      </c>
      <c r="C1367" s="15" t="s">
        <v>1403</v>
      </c>
      <c r="D1367">
        <v>4198</v>
      </c>
      <c r="E1367">
        <v>1256</v>
      </c>
      <c r="F1367">
        <v>1415000</v>
      </c>
      <c r="G1367" s="5">
        <f t="shared" si="56"/>
        <v>1245860.8286531845</v>
      </c>
      <c r="H1367" s="6">
        <f t="shared" si="57"/>
        <v>169139.17134681554</v>
      </c>
      <c r="I1367" s="1">
        <f t="shared" si="58"/>
        <v>1357988.3032319711</v>
      </c>
      <c r="J1367" s="2">
        <f t="shared" si="59"/>
        <v>57011.696768028894</v>
      </c>
    </row>
    <row r="1368" spans="2:10" ht="18" x14ac:dyDescent="0.45">
      <c r="B1368" s="3" t="s">
        <v>438</v>
      </c>
      <c r="C1368" s="15" t="s">
        <v>1404</v>
      </c>
      <c r="D1368">
        <v>4190</v>
      </c>
      <c r="E1368">
        <v>1255.0999999999999</v>
      </c>
      <c r="F1368">
        <v>1401000</v>
      </c>
      <c r="G1368" s="5">
        <f t="shared" si="56"/>
        <v>1242608.7007459085</v>
      </c>
      <c r="H1368" s="6">
        <f t="shared" si="57"/>
        <v>158391.29925409146</v>
      </c>
      <c r="I1368" s="1">
        <f t="shared" si="58"/>
        <v>1354443.4838130404</v>
      </c>
      <c r="J1368" s="2">
        <f t="shared" si="59"/>
        <v>46556.516186959576</v>
      </c>
    </row>
    <row r="1369" spans="2:10" ht="18" x14ac:dyDescent="0.45">
      <c r="B1369" s="3" t="s">
        <v>719</v>
      </c>
      <c r="C1369" s="15" t="s">
        <v>1405</v>
      </c>
      <c r="D1369">
        <v>4180</v>
      </c>
      <c r="E1369">
        <v>1255.0999999999999</v>
      </c>
      <c r="F1369">
        <v>1389000</v>
      </c>
      <c r="G1369" s="5">
        <f t="shared" si="56"/>
        <v>1239654.9806963955</v>
      </c>
      <c r="H1369" s="6">
        <f t="shared" si="57"/>
        <v>149345.01930360449</v>
      </c>
      <c r="I1369" s="1">
        <f t="shared" si="58"/>
        <v>1351223.9289590712</v>
      </c>
      <c r="J1369" s="2">
        <f t="shared" si="59"/>
        <v>37776.071040928829</v>
      </c>
    </row>
    <row r="1370" spans="2:10" ht="18" x14ac:dyDescent="0.45">
      <c r="B1370" s="3" t="s">
        <v>442</v>
      </c>
      <c r="C1370" s="15" t="s">
        <v>1406</v>
      </c>
      <c r="D1370">
        <v>4181</v>
      </c>
      <c r="E1370">
        <v>1258</v>
      </c>
      <c r="F1370">
        <v>1388000</v>
      </c>
      <c r="G1370" s="5">
        <f t="shared" si="56"/>
        <v>1242803.7954731053</v>
      </c>
      <c r="H1370" s="6">
        <f t="shared" si="57"/>
        <v>145196.20452689473</v>
      </c>
      <c r="I1370" s="1">
        <f t="shared" si="58"/>
        <v>1354656.1370656849</v>
      </c>
      <c r="J1370" s="2">
        <f t="shared" si="59"/>
        <v>33343.862934315111</v>
      </c>
    </row>
    <row r="1371" spans="2:10" ht="18" x14ac:dyDescent="0.45">
      <c r="B1371" s="3" t="s">
        <v>710</v>
      </c>
      <c r="C1371" s="15" t="s">
        <v>1407</v>
      </c>
      <c r="D1371">
        <v>4191</v>
      </c>
      <c r="E1371">
        <v>1263</v>
      </c>
      <c r="F1371">
        <v>1395000</v>
      </c>
      <c r="G1371" s="5">
        <f t="shared" si="56"/>
        <v>1250695.8360961964</v>
      </c>
      <c r="H1371" s="6">
        <f t="shared" si="57"/>
        <v>144304.16390380356</v>
      </c>
      <c r="I1371" s="1">
        <f t="shared" si="58"/>
        <v>1363258.4613448542</v>
      </c>
      <c r="J1371" s="2">
        <f t="shared" si="59"/>
        <v>31741.538655145792</v>
      </c>
    </row>
    <row r="1372" spans="2:10" ht="18" x14ac:dyDescent="0.45">
      <c r="B1372" s="3" t="s">
        <v>446</v>
      </c>
      <c r="C1372" s="15" t="s">
        <v>1408</v>
      </c>
      <c r="D1372">
        <v>4180</v>
      </c>
      <c r="E1372">
        <v>1265</v>
      </c>
      <c r="F1372">
        <v>1392000</v>
      </c>
      <c r="G1372" s="5">
        <f t="shared" si="56"/>
        <v>1249393.7141111791</v>
      </c>
      <c r="H1372" s="6">
        <f t="shared" si="57"/>
        <v>142606.28588882089</v>
      </c>
      <c r="I1372" s="1">
        <f t="shared" si="58"/>
        <v>1361839.1483811853</v>
      </c>
      <c r="J1372" s="2">
        <f t="shared" si="59"/>
        <v>30160.851618814748</v>
      </c>
    </row>
    <row r="1373" spans="2:10" ht="18" x14ac:dyDescent="0.45">
      <c r="B1373" s="3" t="s">
        <v>448</v>
      </c>
      <c r="C1373" s="15" t="s">
        <v>1409</v>
      </c>
      <c r="D1373">
        <v>4187</v>
      </c>
      <c r="E1373">
        <v>1268</v>
      </c>
      <c r="F1373">
        <v>1391000</v>
      </c>
      <c r="G1373" s="5">
        <f t="shared" si="56"/>
        <v>1254433.7004533322</v>
      </c>
      <c r="H1373" s="6">
        <f t="shared" si="57"/>
        <v>136566.29954666784</v>
      </c>
      <c r="I1373" s="1">
        <f t="shared" si="58"/>
        <v>1367332.7334941321</v>
      </c>
      <c r="J1373" s="2">
        <f t="shared" si="59"/>
        <v>23667.266505867941</v>
      </c>
    </row>
    <row r="1374" spans="2:10" ht="18" x14ac:dyDescent="0.45">
      <c r="B1374" s="3" t="s">
        <v>438</v>
      </c>
      <c r="C1374" s="15" t="s">
        <v>1410</v>
      </c>
      <c r="D1374">
        <v>4186</v>
      </c>
      <c r="E1374">
        <v>1274.5</v>
      </c>
      <c r="F1374">
        <v>1398000</v>
      </c>
      <c r="G1374" s="5">
        <f t="shared" si="56"/>
        <v>1260538.5886538276</v>
      </c>
      <c r="H1374" s="6">
        <f t="shared" si="57"/>
        <v>137461.41134617245</v>
      </c>
      <c r="I1374" s="1">
        <f t="shared" si="58"/>
        <v>1373987.0616326721</v>
      </c>
      <c r="J1374" s="2">
        <f t="shared" si="59"/>
        <v>24012.938367327908</v>
      </c>
    </row>
    <row r="1375" spans="2:10" ht="18" x14ac:dyDescent="0.45">
      <c r="B1375" s="3" t="s">
        <v>719</v>
      </c>
      <c r="C1375" s="15" t="s">
        <v>1411</v>
      </c>
      <c r="D1375">
        <v>4190</v>
      </c>
      <c r="E1375">
        <v>1274.5</v>
      </c>
      <c r="F1375">
        <v>1399000</v>
      </c>
      <c r="G1375" s="5">
        <f t="shared" si="56"/>
        <v>1261738.3388579877</v>
      </c>
      <c r="H1375" s="6">
        <f t="shared" si="57"/>
        <v>137261.66114201234</v>
      </c>
      <c r="I1375" s="1">
        <f t="shared" si="58"/>
        <v>1375294.7893552068</v>
      </c>
      <c r="J1375" s="2">
        <f t="shared" si="59"/>
        <v>23705.210644793231</v>
      </c>
    </row>
    <row r="1376" spans="2:10" ht="18" x14ac:dyDescent="0.45">
      <c r="B1376" s="3" t="s">
        <v>442</v>
      </c>
      <c r="C1376" s="15" t="s">
        <v>1412</v>
      </c>
      <c r="D1376">
        <v>4180</v>
      </c>
      <c r="E1376">
        <v>1274.5</v>
      </c>
      <c r="F1376">
        <v>1396000</v>
      </c>
      <c r="G1376" s="5">
        <f t="shared" si="56"/>
        <v>1258738.963347587</v>
      </c>
      <c r="H1376" s="6">
        <f t="shared" si="57"/>
        <v>137261.03665241296</v>
      </c>
      <c r="I1376" s="1">
        <f t="shared" si="58"/>
        <v>1372025.47004887</v>
      </c>
      <c r="J1376" s="2">
        <f t="shared" si="59"/>
        <v>23974.52995113004</v>
      </c>
    </row>
    <row r="1377" spans="2:10" ht="18" x14ac:dyDescent="0.45">
      <c r="B1377" s="3" t="s">
        <v>710</v>
      </c>
      <c r="C1377" s="15" t="s">
        <v>1413</v>
      </c>
      <c r="D1377">
        <v>4182</v>
      </c>
      <c r="E1377">
        <v>1277</v>
      </c>
      <c r="F1377">
        <v>1401000</v>
      </c>
      <c r="G1377" s="5">
        <f t="shared" si="56"/>
        <v>1261799.2912516475</v>
      </c>
      <c r="H1377" s="6">
        <f t="shared" si="57"/>
        <v>139200.70874835248</v>
      </c>
      <c r="I1377" s="1">
        <f t="shared" si="58"/>
        <v>1375361.2274642959</v>
      </c>
      <c r="J1377" s="2">
        <f t="shared" si="59"/>
        <v>25638.772535704076</v>
      </c>
    </row>
    <row r="1378" spans="2:10" ht="18" x14ac:dyDescent="0.45">
      <c r="B1378" s="3" t="s">
        <v>446</v>
      </c>
      <c r="C1378" s="15" t="s">
        <v>1414</v>
      </c>
      <c r="D1378">
        <v>4195</v>
      </c>
      <c r="E1378">
        <v>1285</v>
      </c>
      <c r="F1378">
        <v>1410000</v>
      </c>
      <c r="G1378" s="5">
        <f t="shared" si="56"/>
        <v>1273604.0519403273</v>
      </c>
      <c r="H1378" s="6">
        <f t="shared" si="57"/>
        <v>136395.94805967272</v>
      </c>
      <c r="I1378" s="1">
        <f t="shared" si="58"/>
        <v>1388228.4166149569</v>
      </c>
      <c r="J1378" s="2">
        <f t="shared" si="59"/>
        <v>21771.583385043079</v>
      </c>
    </row>
    <row r="1379" spans="2:10" ht="18" x14ac:dyDescent="0.45">
      <c r="B1379" s="3" t="s">
        <v>448</v>
      </c>
      <c r="C1379" s="15" t="s">
        <v>1415</v>
      </c>
      <c r="D1379">
        <v>4205</v>
      </c>
      <c r="E1379">
        <v>1290</v>
      </c>
      <c r="F1379">
        <v>1413000</v>
      </c>
      <c r="G1379" s="5">
        <f t="shared" si="56"/>
        <v>1281576.1072886859</v>
      </c>
      <c r="H1379" s="6">
        <f t="shared" si="57"/>
        <v>131423.89271131414</v>
      </c>
      <c r="I1379" s="1">
        <f t="shared" si="58"/>
        <v>1396917.9569446677</v>
      </c>
      <c r="J1379" s="2">
        <f t="shared" si="59"/>
        <v>16082.043055332266</v>
      </c>
    </row>
    <row r="1380" spans="2:10" ht="18" x14ac:dyDescent="0.45">
      <c r="B1380" s="3" t="s">
        <v>438</v>
      </c>
      <c r="C1380" s="15" t="s">
        <v>1416</v>
      </c>
      <c r="D1380">
        <v>4240</v>
      </c>
      <c r="E1380">
        <v>1302.5</v>
      </c>
      <c r="F1380">
        <v>1432000</v>
      </c>
      <c r="G1380" s="5">
        <f t="shared" si="56"/>
        <v>1304674.4757740411</v>
      </c>
      <c r="H1380" s="6">
        <f t="shared" si="57"/>
        <v>127325.52422595886</v>
      </c>
      <c r="I1380" s="1">
        <f t="shared" si="58"/>
        <v>1422095.1785937049</v>
      </c>
      <c r="J1380" s="2">
        <f t="shared" si="59"/>
        <v>9904.8214062950574</v>
      </c>
    </row>
    <row r="1381" spans="2:10" ht="18" x14ac:dyDescent="0.45">
      <c r="B1381" s="3" t="s">
        <v>719</v>
      </c>
      <c r="C1381" s="15" t="s">
        <v>1417</v>
      </c>
      <c r="D1381">
        <v>4297</v>
      </c>
      <c r="E1381">
        <v>1302.5</v>
      </c>
      <c r="F1381">
        <v>1456000</v>
      </c>
      <c r="G1381" s="5">
        <f t="shared" si="56"/>
        <v>1322146.5147172299</v>
      </c>
      <c r="H1381" s="6">
        <f t="shared" si="57"/>
        <v>133853.48528277013</v>
      </c>
      <c r="I1381" s="1">
        <f t="shared" si="58"/>
        <v>1441139.7010417806</v>
      </c>
      <c r="J1381" s="2">
        <f t="shared" si="59"/>
        <v>14860.298958219355</v>
      </c>
    </row>
    <row r="1382" spans="2:10" ht="18" x14ac:dyDescent="0.45">
      <c r="B1382" s="3" t="s">
        <v>442</v>
      </c>
      <c r="C1382" s="15" t="s">
        <v>1418</v>
      </c>
      <c r="D1382">
        <v>4305</v>
      </c>
      <c r="E1382">
        <v>1302.5</v>
      </c>
      <c r="F1382">
        <v>1490000</v>
      </c>
      <c r="G1382" s="5">
        <f t="shared" si="56"/>
        <v>1324598.7307092561</v>
      </c>
      <c r="H1382" s="6">
        <f t="shared" si="57"/>
        <v>165401.26929074386</v>
      </c>
      <c r="I1382" s="1">
        <f t="shared" si="58"/>
        <v>1443812.6164730892</v>
      </c>
      <c r="J1382" s="2">
        <f t="shared" si="59"/>
        <v>46187.383526910795</v>
      </c>
    </row>
    <row r="1383" spans="2:10" ht="18" x14ac:dyDescent="0.45">
      <c r="B1383" s="3" t="s">
        <v>710</v>
      </c>
      <c r="C1383" s="15" t="s">
        <v>1419</v>
      </c>
      <c r="D1383">
        <v>4330</v>
      </c>
      <c r="E1383">
        <v>1310</v>
      </c>
      <c r="F1383">
        <v>1494000</v>
      </c>
      <c r="G1383" s="5">
        <f t="shared" si="56"/>
        <v>1339904.488634537</v>
      </c>
      <c r="H1383" s="6">
        <f t="shared" si="57"/>
        <v>154095.51136546303</v>
      </c>
      <c r="I1383" s="1">
        <f t="shared" si="58"/>
        <v>1460495.8926116454</v>
      </c>
      <c r="J1383" s="2">
        <f t="shared" si="59"/>
        <v>33504.107388354605</v>
      </c>
    </row>
    <row r="1384" spans="2:10" ht="18" x14ac:dyDescent="0.45">
      <c r="B1384" s="3" t="s">
        <v>446</v>
      </c>
      <c r="C1384" s="15" t="s">
        <v>1420</v>
      </c>
      <c r="D1384">
        <v>4399</v>
      </c>
      <c r="E1384">
        <v>1315</v>
      </c>
      <c r="F1384">
        <v>1508000</v>
      </c>
      <c r="G1384" s="5">
        <f t="shared" si="56"/>
        <v>1366352.8853969069</v>
      </c>
      <c r="H1384" s="6">
        <f t="shared" si="57"/>
        <v>141647.11460309313</v>
      </c>
      <c r="I1384" s="1">
        <f t="shared" si="58"/>
        <v>1489324.6450826286</v>
      </c>
      <c r="J1384" s="2">
        <f t="shared" si="59"/>
        <v>18675.354917371413</v>
      </c>
    </row>
    <row r="1385" spans="2:10" ht="18" x14ac:dyDescent="0.45">
      <c r="B1385" s="3" t="s">
        <v>448</v>
      </c>
      <c r="C1385" s="15" t="s">
        <v>1421</v>
      </c>
      <c r="D1385">
        <v>4330</v>
      </c>
      <c r="E1385">
        <v>1313</v>
      </c>
      <c r="F1385">
        <v>1468000</v>
      </c>
      <c r="G1385" s="5">
        <f t="shared" si="56"/>
        <v>1342961.5218146159</v>
      </c>
      <c r="H1385" s="6">
        <f t="shared" si="57"/>
        <v>125038.47818538407</v>
      </c>
      <c r="I1385" s="1">
        <f t="shared" si="58"/>
        <v>1463828.0587779314</v>
      </c>
      <c r="J1385" s="2">
        <f t="shared" si="59"/>
        <v>4171.9412220686208</v>
      </c>
    </row>
    <row r="1386" spans="2:10" ht="18" x14ac:dyDescent="0.45">
      <c r="B1386" s="3" t="s">
        <v>438</v>
      </c>
      <c r="C1386" s="15" t="s">
        <v>1422</v>
      </c>
      <c r="D1386">
        <v>4320</v>
      </c>
      <c r="E1386">
        <v>1318.8</v>
      </c>
      <c r="F1386">
        <v>1470000</v>
      </c>
      <c r="G1386" s="5">
        <f t="shared" si="56"/>
        <v>1345768.1559720924</v>
      </c>
      <c r="H1386" s="6">
        <f t="shared" si="57"/>
        <v>124231.84402790759</v>
      </c>
      <c r="I1386" s="1">
        <f t="shared" si="58"/>
        <v>1466887.2900095808</v>
      </c>
      <c r="J1386" s="2">
        <f t="shared" si="59"/>
        <v>3112.7099904192146</v>
      </c>
    </row>
    <row r="1387" spans="2:10" ht="18" x14ac:dyDescent="0.45">
      <c r="B1387" s="3" t="s">
        <v>719</v>
      </c>
      <c r="C1387" s="15" t="s">
        <v>1423</v>
      </c>
      <c r="D1387">
        <v>4348</v>
      </c>
      <c r="E1387">
        <v>1318.8</v>
      </c>
      <c r="F1387">
        <v>1465000</v>
      </c>
      <c r="G1387" s="5">
        <f t="shared" si="56"/>
        <v>1354458.3199459857</v>
      </c>
      <c r="H1387" s="6">
        <f t="shared" si="57"/>
        <v>110541.68005401432</v>
      </c>
      <c r="I1387" s="1">
        <f t="shared" si="58"/>
        <v>1476359.5687411246</v>
      </c>
      <c r="J1387" s="2">
        <f t="shared" si="59"/>
        <v>-11359.568741124589</v>
      </c>
    </row>
    <row r="1388" spans="2:10" ht="18" x14ac:dyDescent="0.45">
      <c r="B1388" s="3" t="s">
        <v>442</v>
      </c>
      <c r="C1388" s="15" t="s">
        <v>1424</v>
      </c>
      <c r="D1388">
        <v>4395</v>
      </c>
      <c r="E1388">
        <v>1317</v>
      </c>
      <c r="F1388">
        <v>1473000</v>
      </c>
      <c r="G1388" s="5">
        <f t="shared" si="56"/>
        <v>1367183.6265151268</v>
      </c>
      <c r="H1388" s="6">
        <f t="shared" si="57"/>
        <v>105816.37348487321</v>
      </c>
      <c r="I1388" s="1">
        <f t="shared" si="58"/>
        <v>1490230.1529014884</v>
      </c>
      <c r="J1388" s="2">
        <f t="shared" si="59"/>
        <v>-17230.152901488356</v>
      </c>
    </row>
    <row r="1389" spans="2:10" ht="18" x14ac:dyDescent="0.45">
      <c r="B1389" s="3" t="s">
        <v>710</v>
      </c>
      <c r="C1389" s="15" t="s">
        <v>1425</v>
      </c>
      <c r="D1389">
        <v>4380</v>
      </c>
      <c r="E1389">
        <v>1314</v>
      </c>
      <c r="F1389">
        <v>1470000</v>
      </c>
      <c r="G1389" s="5">
        <f t="shared" si="56"/>
        <v>1359442.2018454808</v>
      </c>
      <c r="H1389" s="6">
        <f t="shared" si="57"/>
        <v>110557.79815451917</v>
      </c>
      <c r="I1389" s="1">
        <f t="shared" si="58"/>
        <v>1481792.0000115742</v>
      </c>
      <c r="J1389" s="2">
        <f t="shared" si="59"/>
        <v>-11792.000011574244</v>
      </c>
    </row>
    <row r="1390" spans="2:10" ht="18" x14ac:dyDescent="0.45">
      <c r="B1390" s="3" t="s">
        <v>446</v>
      </c>
      <c r="C1390" s="15" t="s">
        <v>1426</v>
      </c>
      <c r="D1390">
        <v>4410</v>
      </c>
      <c r="E1390">
        <v>1323</v>
      </c>
      <c r="F1390">
        <v>1492000</v>
      </c>
      <c r="G1390" s="5">
        <f t="shared" si="56"/>
        <v>1378059.7457158472</v>
      </c>
      <c r="H1390" s="6">
        <f t="shared" si="57"/>
        <v>113940.25428415276</v>
      </c>
      <c r="I1390" s="1">
        <f t="shared" si="58"/>
        <v>1502085.1228302736</v>
      </c>
      <c r="J1390" s="2">
        <f t="shared" si="59"/>
        <v>-10085.122830273584</v>
      </c>
    </row>
    <row r="1391" spans="2:10" ht="18" x14ac:dyDescent="0.45">
      <c r="B1391" s="3" t="s">
        <v>448</v>
      </c>
      <c r="C1391" s="15" t="s">
        <v>1427</v>
      </c>
      <c r="D1391">
        <v>4414</v>
      </c>
      <c r="E1391">
        <v>1319</v>
      </c>
      <c r="F1391">
        <v>1489000</v>
      </c>
      <c r="G1391" s="5">
        <f t="shared" si="56"/>
        <v>1375150.0337652315</v>
      </c>
      <c r="H1391" s="6">
        <f t="shared" si="57"/>
        <v>113849.96623476851</v>
      </c>
      <c r="I1391" s="1">
        <f t="shared" si="58"/>
        <v>1498913.5368041024</v>
      </c>
      <c r="J1391" s="2">
        <f t="shared" si="59"/>
        <v>-9913.5368041023612</v>
      </c>
    </row>
    <row r="1392" spans="2:10" ht="18" x14ac:dyDescent="0.45">
      <c r="B1392" s="3" t="s">
        <v>438</v>
      </c>
      <c r="C1392" s="15" t="s">
        <v>1428</v>
      </c>
      <c r="D1392">
        <v>4392</v>
      </c>
      <c r="E1392">
        <v>1337.4</v>
      </c>
      <c r="F1392">
        <v>1487000</v>
      </c>
      <c r="G1392" s="5">
        <f t="shared" si="56"/>
        <v>1387339.2887425649</v>
      </c>
      <c r="H1392" s="6">
        <f t="shared" si="57"/>
        <v>99660.711257435149</v>
      </c>
      <c r="I1392" s="1">
        <f t="shared" si="58"/>
        <v>1512199.8247293958</v>
      </c>
      <c r="J1392" s="2">
        <f t="shared" si="59"/>
        <v>-25199.824729395797</v>
      </c>
    </row>
    <row r="1393" spans="2:10" ht="18" x14ac:dyDescent="0.45">
      <c r="B1393" s="3" t="s">
        <v>719</v>
      </c>
      <c r="C1393" s="15" t="s">
        <v>1429</v>
      </c>
      <c r="D1393">
        <v>4425</v>
      </c>
      <c r="E1393">
        <v>1337.4</v>
      </c>
      <c r="F1393">
        <v>1498000</v>
      </c>
      <c r="G1393" s="5">
        <f t="shared" si="56"/>
        <v>1397725.717824647</v>
      </c>
      <c r="H1393" s="6">
        <f t="shared" si="57"/>
        <v>100274.28217535303</v>
      </c>
      <c r="I1393" s="1">
        <f t="shared" si="58"/>
        <v>1523521.0324288653</v>
      </c>
      <c r="J1393" s="2">
        <f t="shared" si="59"/>
        <v>-25521.032428865321</v>
      </c>
    </row>
    <row r="1394" spans="2:10" ht="18" x14ac:dyDescent="0.45">
      <c r="B1394" s="3" t="s">
        <v>442</v>
      </c>
      <c r="C1394" s="15" t="s">
        <v>1430</v>
      </c>
      <c r="D1394">
        <v>4430</v>
      </c>
      <c r="E1394">
        <v>1341</v>
      </c>
      <c r="F1394">
        <v>1492000</v>
      </c>
      <c r="G1394" s="5">
        <f t="shared" si="56"/>
        <v>1403052.5804906278</v>
      </c>
      <c r="H1394" s="6">
        <f t="shared" si="57"/>
        <v>88947.419509372208</v>
      </c>
      <c r="I1394" s="1">
        <f t="shared" si="58"/>
        <v>1529327.3127347843</v>
      </c>
      <c r="J1394" s="2">
        <f t="shared" si="59"/>
        <v>-37327.312734784326</v>
      </c>
    </row>
    <row r="1395" spans="2:10" ht="18" x14ac:dyDescent="0.45">
      <c r="B1395" s="3" t="s">
        <v>710</v>
      </c>
      <c r="C1395" s="15" t="s">
        <v>1431</v>
      </c>
      <c r="D1395">
        <v>4435</v>
      </c>
      <c r="E1395">
        <v>1336</v>
      </c>
      <c r="F1395">
        <v>1500000</v>
      </c>
      <c r="G1395" s="5">
        <f t="shared" si="56"/>
        <v>1399411.9104909492</v>
      </c>
      <c r="H1395" s="6">
        <f t="shared" si="57"/>
        <v>100588.08950905083</v>
      </c>
      <c r="I1395" s="1">
        <f t="shared" si="58"/>
        <v>1525358.9824351347</v>
      </c>
      <c r="J1395" s="2">
        <f t="shared" si="59"/>
        <v>-25358.982435134705</v>
      </c>
    </row>
    <row r="1396" spans="2:10" ht="18" x14ac:dyDescent="0.45">
      <c r="B1396" s="3" t="s">
        <v>446</v>
      </c>
      <c r="C1396" s="15" t="s">
        <v>1432</v>
      </c>
      <c r="D1396">
        <v>4450</v>
      </c>
      <c r="E1396">
        <v>1335</v>
      </c>
      <c r="F1396">
        <v>1507000</v>
      </c>
      <c r="G1396" s="5">
        <f t="shared" si="56"/>
        <v>1403080.8209818986</v>
      </c>
      <c r="H1396" s="6">
        <f t="shared" si="57"/>
        <v>103919.17901810142</v>
      </c>
      <c r="I1396" s="1">
        <f t="shared" si="58"/>
        <v>1529358.0948702695</v>
      </c>
      <c r="J1396" s="2">
        <f t="shared" si="59"/>
        <v>-22358.094870269531</v>
      </c>
    </row>
    <row r="1397" spans="2:10" ht="18" x14ac:dyDescent="0.45">
      <c r="B1397" s="3" t="s">
        <v>448</v>
      </c>
      <c r="C1397" s="15" t="s">
        <v>1433</v>
      </c>
      <c r="D1397">
        <v>4474</v>
      </c>
      <c r="E1397">
        <v>1325</v>
      </c>
      <c r="F1397">
        <v>1508000</v>
      </c>
      <c r="G1397" s="5">
        <f t="shared" si="56"/>
        <v>1400092.0356557246</v>
      </c>
      <c r="H1397" s="6">
        <f t="shared" si="57"/>
        <v>107907.96434427542</v>
      </c>
      <c r="I1397" s="1">
        <f t="shared" si="58"/>
        <v>1526100.31886474</v>
      </c>
      <c r="J1397" s="2">
        <f t="shared" si="59"/>
        <v>-18100.318864739966</v>
      </c>
    </row>
    <row r="1398" spans="2:10" ht="18" x14ac:dyDescent="0.45">
      <c r="B1398" s="3" t="s">
        <v>438</v>
      </c>
      <c r="C1398" s="15" t="s">
        <v>1434</v>
      </c>
      <c r="D1398">
        <v>4545</v>
      </c>
      <c r="E1398">
        <v>1330.5</v>
      </c>
      <c r="F1398">
        <v>1517000</v>
      </c>
      <c r="G1398" s="5">
        <f t="shared" si="56"/>
        <v>1428114.2514628812</v>
      </c>
      <c r="H1398" s="6">
        <f t="shared" si="57"/>
        <v>88885.748537118779</v>
      </c>
      <c r="I1398" s="1">
        <f t="shared" si="58"/>
        <v>1556644.5340945406</v>
      </c>
      <c r="J1398" s="2">
        <f t="shared" si="59"/>
        <v>-39644.534094540635</v>
      </c>
    </row>
    <row r="1399" spans="2:10" ht="18" x14ac:dyDescent="0.45">
      <c r="B1399" s="3" t="s">
        <v>719</v>
      </c>
      <c r="C1399" s="15" t="s">
        <v>1435</v>
      </c>
      <c r="D1399">
        <v>4640</v>
      </c>
      <c r="E1399">
        <v>1330.5</v>
      </c>
      <c r="F1399">
        <v>1520000</v>
      </c>
      <c r="G1399" s="5">
        <f t="shared" si="56"/>
        <v>1457860.3139247019</v>
      </c>
      <c r="H1399" s="6">
        <f t="shared" si="57"/>
        <v>62139.686075298116</v>
      </c>
      <c r="I1399" s="1">
        <f t="shared" si="58"/>
        <v>1589067.7421779251</v>
      </c>
      <c r="J1399" s="2">
        <f t="shared" si="59"/>
        <v>-69067.742177925073</v>
      </c>
    </row>
    <row r="1400" spans="2:10" ht="18" x14ac:dyDescent="0.45">
      <c r="B1400" s="3" t="s">
        <v>442</v>
      </c>
      <c r="C1400" s="15" t="s">
        <v>1436</v>
      </c>
      <c r="D1400">
        <v>4657</v>
      </c>
      <c r="E1400">
        <v>1332</v>
      </c>
      <c r="F1400">
        <v>1533000</v>
      </c>
      <c r="G1400" s="5">
        <f t="shared" si="56"/>
        <v>1464827.2431212419</v>
      </c>
      <c r="H1400" s="6">
        <f t="shared" si="57"/>
        <v>68172.756878758082</v>
      </c>
      <c r="I1400" s="1">
        <f t="shared" si="58"/>
        <v>1596661.6950021537</v>
      </c>
      <c r="J1400" s="2">
        <f t="shared" si="59"/>
        <v>-63661.695002153749</v>
      </c>
    </row>
    <row r="1401" spans="2:10" ht="18" x14ac:dyDescent="0.45">
      <c r="B1401" s="3" t="s">
        <v>710</v>
      </c>
      <c r="C1401" s="15" t="s">
        <v>1437</v>
      </c>
      <c r="D1401">
        <v>4605</v>
      </c>
      <c r="E1401">
        <v>1336</v>
      </c>
      <c r="F1401">
        <v>1520000</v>
      </c>
      <c r="G1401" s="5">
        <f t="shared" si="56"/>
        <v>1452861.7469697455</v>
      </c>
      <c r="H1401" s="6">
        <f t="shared" si="57"/>
        <v>67138.253030254506</v>
      </c>
      <c r="I1401" s="1">
        <f t="shared" si="58"/>
        <v>1583619.3041970227</v>
      </c>
      <c r="J1401" s="2">
        <f t="shared" si="59"/>
        <v>-63619.304197022691</v>
      </c>
    </row>
    <row r="1402" spans="2:10" ht="18" x14ac:dyDescent="0.45">
      <c r="B1402" s="3" t="s">
        <v>446</v>
      </c>
      <c r="C1402" s="15" t="s">
        <v>1438</v>
      </c>
      <c r="D1402">
        <v>4575</v>
      </c>
      <c r="E1402">
        <v>1350</v>
      </c>
      <c r="F1402">
        <v>1521000</v>
      </c>
      <c r="G1402" s="5">
        <f t="shared" si="56"/>
        <v>1458502.7851011155</v>
      </c>
      <c r="H1402" s="6">
        <f t="shared" si="57"/>
        <v>62497.214898884529</v>
      </c>
      <c r="I1402" s="1">
        <f t="shared" si="58"/>
        <v>1589768.0357602159</v>
      </c>
      <c r="J1402" s="2">
        <f>F1402-I1402</f>
        <v>-68768.035760215949</v>
      </c>
    </row>
    <row r="1403" spans="2:10" ht="18" x14ac:dyDescent="0.45">
      <c r="B1403" s="3" t="s">
        <v>448</v>
      </c>
      <c r="C1403" s="15" t="s">
        <v>1439</v>
      </c>
      <c r="D1403">
        <v>4534</v>
      </c>
      <c r="E1403">
        <v>1360</v>
      </c>
      <c r="F1403">
        <v>1517000</v>
      </c>
      <c r="G1403" s="5">
        <f t="shared" si="56"/>
        <v>1456147.0574542647</v>
      </c>
      <c r="H1403" s="6">
        <f t="shared" si="57"/>
        <v>60852.942545735277</v>
      </c>
      <c r="I1403" s="1">
        <f t="shared" si="58"/>
        <v>1587200.2926251488</v>
      </c>
      <c r="J1403" s="2">
        <f>F1403-I1403</f>
        <v>-70200.292625148781</v>
      </c>
    </row>
    <row r="1404" spans="2:10" ht="18" x14ac:dyDescent="0.45">
      <c r="B1404" s="3" t="s">
        <v>438</v>
      </c>
      <c r="C1404" s="15" t="s">
        <v>1440</v>
      </c>
      <c r="D1404">
        <v>4515</v>
      </c>
      <c r="E1404">
        <v>1349.3</v>
      </c>
      <c r="F1404">
        <v>1475000</v>
      </c>
      <c r="G1404" s="5">
        <f t="shared" si="56"/>
        <v>1438696.6695543837</v>
      </c>
      <c r="H1404" s="6">
        <f t="shared" si="57"/>
        <v>36303.330445616273</v>
      </c>
      <c r="I1404" s="1">
        <f t="shared" si="58"/>
        <v>1568179.3698142783</v>
      </c>
      <c r="J1404" s="2">
        <f>F1404-I1404</f>
        <v>-93179.369814278325</v>
      </c>
    </row>
    <row r="1405" spans="2:10" ht="18" x14ac:dyDescent="0.45">
      <c r="B1405" s="3" t="s">
        <v>719</v>
      </c>
      <c r="C1405" s="15" t="s">
        <v>1441</v>
      </c>
      <c r="D1405">
        <v>4547</v>
      </c>
      <c r="E1405">
        <v>1349.3</v>
      </c>
      <c r="F1405">
        <v>1480000</v>
      </c>
      <c r="G1405" s="5">
        <f t="shared" si="56"/>
        <v>1448857.9748535508</v>
      </c>
      <c r="H1405" s="6">
        <f t="shared" si="57"/>
        <v>31142.025146449218</v>
      </c>
      <c r="I1405" s="1">
        <f t="shared" si="58"/>
        <v>1579255.1925903705</v>
      </c>
      <c r="J1405" s="2">
        <f t="shared" ref="J1405:J1495" si="60">F1405-I1405</f>
        <v>-99255.192590370541</v>
      </c>
    </row>
    <row r="1406" spans="2:10" ht="18" x14ac:dyDescent="0.45">
      <c r="B1406" s="3" t="s">
        <v>442</v>
      </c>
      <c r="C1406" s="15" t="s">
        <v>1442</v>
      </c>
      <c r="D1406">
        <v>4592</v>
      </c>
      <c r="E1406">
        <v>1341</v>
      </c>
      <c r="F1406">
        <v>1482000</v>
      </c>
      <c r="G1406" s="5">
        <f t="shared" si="56"/>
        <v>1454177.7538629712</v>
      </c>
      <c r="H1406" s="6">
        <f t="shared" si="57"/>
        <v>27822.246137028793</v>
      </c>
      <c r="I1406" s="1">
        <f t="shared" si="58"/>
        <v>1585053.7517106386</v>
      </c>
      <c r="J1406" s="2">
        <f t="shared" si="60"/>
        <v>-103053.75171063864</v>
      </c>
    </row>
    <row r="1407" spans="2:10" ht="18" x14ac:dyDescent="0.45">
      <c r="B1407" s="3" t="s">
        <v>710</v>
      </c>
      <c r="C1407" s="15" t="s">
        <v>1443</v>
      </c>
      <c r="D1407">
        <v>4570</v>
      </c>
      <c r="E1407">
        <v>1343</v>
      </c>
      <c r="F1407">
        <v>1483000</v>
      </c>
      <c r="G1407" s="5">
        <f t="shared" si="56"/>
        <v>1449385.8131691476</v>
      </c>
      <c r="H1407" s="6">
        <f t="shared" si="57"/>
        <v>33614.186830852414</v>
      </c>
      <c r="I1407" s="1">
        <f t="shared" si="58"/>
        <v>1579830.5363543709</v>
      </c>
      <c r="J1407" s="2">
        <f t="shared" si="60"/>
        <v>-96830.536354370881</v>
      </c>
    </row>
    <row r="1408" spans="2:10" ht="18" x14ac:dyDescent="0.45">
      <c r="B1408" s="3" t="s">
        <v>446</v>
      </c>
      <c r="C1408" s="15" t="s">
        <v>1444</v>
      </c>
      <c r="D1408">
        <v>4620</v>
      </c>
      <c r="E1408">
        <v>1343</v>
      </c>
      <c r="F1408">
        <v>1493000</v>
      </c>
      <c r="G1408" s="5">
        <f t="shared" si="56"/>
        <v>1465188.7214095104</v>
      </c>
      <c r="H1408" s="6">
        <f t="shared" si="57"/>
        <v>27811.278590489645</v>
      </c>
      <c r="I1408" s="1">
        <f t="shared" si="58"/>
        <v>1597055.7063363665</v>
      </c>
      <c r="J1408" s="2">
        <f t="shared" si="60"/>
        <v>-104055.70633636648</v>
      </c>
    </row>
    <row r="1409" spans="2:10" ht="18" x14ac:dyDescent="0.45">
      <c r="B1409" s="3" t="s">
        <v>448</v>
      </c>
      <c r="C1409" s="15" t="s">
        <v>1445</v>
      </c>
      <c r="D1409">
        <v>4640</v>
      </c>
      <c r="E1409">
        <v>1342</v>
      </c>
      <c r="F1409">
        <v>1494000</v>
      </c>
      <c r="G1409" s="5">
        <f t="shared" si="56"/>
        <v>1470417.9190431789</v>
      </c>
      <c r="H1409" s="6">
        <f t="shared" si="57"/>
        <v>23582.080956821097</v>
      </c>
      <c r="I1409" s="1">
        <f t="shared" si="58"/>
        <v>1602755.5317570651</v>
      </c>
      <c r="J1409" s="2">
        <f t="shared" si="60"/>
        <v>-108755.5317570651</v>
      </c>
    </row>
    <row r="1410" spans="2:10" ht="18" x14ac:dyDescent="0.45">
      <c r="B1410" s="3" t="s">
        <v>438</v>
      </c>
      <c r="C1410" s="15" t="s">
        <v>1446</v>
      </c>
      <c r="D1410">
        <v>4698</v>
      </c>
      <c r="E1410">
        <v>1331.9</v>
      </c>
      <c r="F1410">
        <v>1506000</v>
      </c>
      <c r="G1410" s="5">
        <f t="shared" si="56"/>
        <v>1477568.9291753208</v>
      </c>
      <c r="H1410" s="6">
        <f t="shared" ref="H1410:H1473" si="61">F:F-G:G</f>
        <v>28431.07082467922</v>
      </c>
      <c r="I1410" s="1">
        <f t="shared" si="58"/>
        <v>1610550.1328010997</v>
      </c>
      <c r="J1410" s="2">
        <f t="shared" si="60"/>
        <v>-104550.13280109968</v>
      </c>
    </row>
    <row r="1411" spans="2:10" ht="18" x14ac:dyDescent="0.45">
      <c r="B1411" s="3" t="s">
        <v>719</v>
      </c>
      <c r="C1411" s="15" t="s">
        <v>1447</v>
      </c>
      <c r="D1411">
        <v>4750</v>
      </c>
      <c r="E1411">
        <v>1331.9</v>
      </c>
      <c r="F1411">
        <v>1520000</v>
      </c>
      <c r="G1411" s="5">
        <f t="shared" si="56"/>
        <v>1493868.1169822847</v>
      </c>
      <c r="H1411" s="6">
        <f t="shared" si="61"/>
        <v>26131.8830177153</v>
      </c>
      <c r="I1411" s="1">
        <f t="shared" si="58"/>
        <v>1628316.2475106905</v>
      </c>
      <c r="J1411" s="2">
        <f t="shared" si="60"/>
        <v>-108316.24751069047</v>
      </c>
    </row>
    <row r="1412" spans="2:10" ht="18" x14ac:dyDescent="0.45">
      <c r="B1412" s="3" t="s">
        <v>442</v>
      </c>
      <c r="C1412" s="15" t="s">
        <v>1448</v>
      </c>
      <c r="D1412">
        <v>4752</v>
      </c>
      <c r="E1412">
        <v>1335</v>
      </c>
      <c r="F1412">
        <v>1524000</v>
      </c>
      <c r="G1412" s="5">
        <f t="shared" si="56"/>
        <v>1497961.8115294343</v>
      </c>
      <c r="H1412" s="6">
        <f t="shared" si="61"/>
        <v>26038.188470565714</v>
      </c>
      <c r="I1412" s="1">
        <f t="shared" si="58"/>
        <v>1632778.3745670835</v>
      </c>
      <c r="J1412" s="2">
        <f t="shared" si="60"/>
        <v>-108778.37456708355</v>
      </c>
    </row>
    <row r="1413" spans="2:10" ht="18" x14ac:dyDescent="0.45">
      <c r="B1413" s="3" t="s">
        <v>710</v>
      </c>
      <c r="C1413" s="15" t="s">
        <v>1449</v>
      </c>
      <c r="D1413">
        <v>4670</v>
      </c>
      <c r="E1413">
        <v>1340</v>
      </c>
      <c r="F1413">
        <v>1525000</v>
      </c>
      <c r="G1413" s="5">
        <f t="shared" si="56"/>
        <v>1477694.552293991</v>
      </c>
      <c r="H1413" s="6">
        <f t="shared" si="61"/>
        <v>47305.447706009028</v>
      </c>
      <c r="I1413" s="1">
        <f t="shared" si="58"/>
        <v>1610687.0620004502</v>
      </c>
      <c r="J1413" s="2">
        <f t="shared" si="60"/>
        <v>-85687.062000450213</v>
      </c>
    </row>
    <row r="1414" spans="2:10" ht="18" x14ac:dyDescent="0.45">
      <c r="B1414" s="3" t="s">
        <v>446</v>
      </c>
      <c r="C1414" s="15" t="s">
        <v>1450</v>
      </c>
      <c r="D1414">
        <v>4715</v>
      </c>
      <c r="E1414">
        <v>1324</v>
      </c>
      <c r="F1414">
        <v>1529000</v>
      </c>
      <c r="G1414" s="5">
        <f t="shared" si="56"/>
        <v>1474131.5436453074</v>
      </c>
      <c r="H1414" s="6">
        <f t="shared" si="61"/>
        <v>54868.456354692578</v>
      </c>
      <c r="I1414" s="1">
        <f t="shared" si="58"/>
        <v>1606803.3825733853</v>
      </c>
      <c r="J1414" s="2">
        <f t="shared" si="60"/>
        <v>-77803.382573385257</v>
      </c>
    </row>
    <row r="1415" spans="2:10" ht="18" x14ac:dyDescent="0.45">
      <c r="B1415" s="3" t="s">
        <v>448</v>
      </c>
      <c r="C1415" s="15" t="s">
        <v>1451</v>
      </c>
      <c r="D1415">
        <v>4680</v>
      </c>
      <c r="E1415">
        <v>1312</v>
      </c>
      <c r="F1415">
        <v>1522000</v>
      </c>
      <c r="G1415" s="5">
        <f t="shared" si="56"/>
        <v>1450009.4573513807</v>
      </c>
      <c r="H1415" s="6">
        <f t="shared" si="61"/>
        <v>71990.542648619274</v>
      </c>
      <c r="I1415" s="1">
        <f t="shared" si="58"/>
        <v>1580510.308513005</v>
      </c>
      <c r="J1415" s="2">
        <f t="shared" si="60"/>
        <v>-58510.308513005031</v>
      </c>
    </row>
    <row r="1416" spans="2:10" ht="18" x14ac:dyDescent="0.45">
      <c r="B1416" s="3" t="s">
        <v>438</v>
      </c>
      <c r="C1416" s="15" t="s">
        <v>1452</v>
      </c>
      <c r="D1416">
        <v>4725</v>
      </c>
      <c r="E1416">
        <v>1315.7</v>
      </c>
      <c r="F1416">
        <v>1540000</v>
      </c>
      <c r="G1416" s="5">
        <f t="shared" si="56"/>
        <v>1468018.0656287174</v>
      </c>
      <c r="H1416" s="6">
        <f t="shared" si="61"/>
        <v>71981.934371282579</v>
      </c>
      <c r="I1416" s="1">
        <f t="shared" si="58"/>
        <v>1600139.6915353022</v>
      </c>
      <c r="J1416" s="2">
        <f t="shared" si="60"/>
        <v>-60139.691535302205</v>
      </c>
    </row>
    <row r="1417" spans="2:10" ht="18" x14ac:dyDescent="0.45">
      <c r="B1417" s="3" t="s">
        <v>442</v>
      </c>
      <c r="C1417" s="15" t="s">
        <v>1453</v>
      </c>
      <c r="D1417">
        <v>4805</v>
      </c>
      <c r="E1417">
        <v>1320</v>
      </c>
      <c r="F1417">
        <v>1561000</v>
      </c>
      <c r="G1417" s="5">
        <f t="shared" si="56"/>
        <v>1497651.166125454</v>
      </c>
      <c r="H1417" s="6">
        <f t="shared" si="61"/>
        <v>63348.833874545991</v>
      </c>
      <c r="I1417" s="1">
        <f t="shared" si="58"/>
        <v>1632439.7710767449</v>
      </c>
      <c r="J1417" s="2">
        <f t="shared" si="60"/>
        <v>-71439.771076744888</v>
      </c>
    </row>
    <row r="1418" spans="2:10" ht="18" x14ac:dyDescent="0.45">
      <c r="B1418" s="3" t="s">
        <v>710</v>
      </c>
      <c r="C1418" s="15" t="s">
        <v>1454</v>
      </c>
      <c r="D1418">
        <v>4910</v>
      </c>
      <c r="E1418">
        <v>1329</v>
      </c>
      <c r="F1418">
        <v>1593000</v>
      </c>
      <c r="G1418" s="5">
        <f t="shared" si="56"/>
        <v>1540668.494453911</v>
      </c>
      <c r="H1418" s="6">
        <f t="shared" si="61"/>
        <v>52331.505546089029</v>
      </c>
      <c r="I1418" s="1">
        <f t="shared" si="58"/>
        <v>1679328.6589547631</v>
      </c>
      <c r="J1418" s="2">
        <f t="shared" si="60"/>
        <v>-86328.658954763087</v>
      </c>
    </row>
    <row r="1419" spans="2:10" ht="18" x14ac:dyDescent="0.45">
      <c r="B1419" s="3" t="s">
        <v>446</v>
      </c>
      <c r="C1419" s="15" t="s">
        <v>1455</v>
      </c>
      <c r="D1419">
        <v>4810</v>
      </c>
      <c r="E1419">
        <v>1332</v>
      </c>
      <c r="F1419">
        <v>1592000</v>
      </c>
      <c r="G1419" s="5">
        <f t="shared" si="56"/>
        <v>1512788.0694466769</v>
      </c>
      <c r="H1419" s="6">
        <f t="shared" si="61"/>
        <v>79211.930553323124</v>
      </c>
      <c r="I1419" s="1">
        <f t="shared" si="58"/>
        <v>1648938.9956968778</v>
      </c>
      <c r="J1419" s="2">
        <f t="shared" si="60"/>
        <v>-56938.995696877828</v>
      </c>
    </row>
    <row r="1420" spans="2:10" ht="18" x14ac:dyDescent="0.45">
      <c r="B1420" s="3" t="s">
        <v>448</v>
      </c>
      <c r="C1420" s="15" t="s">
        <v>1456</v>
      </c>
      <c r="D1420">
        <v>4725</v>
      </c>
      <c r="E1420">
        <v>1358</v>
      </c>
      <c r="F1420">
        <v>1565000</v>
      </c>
      <c r="G1420" s="5">
        <f t="shared" si="56"/>
        <v>1515054.3688711699</v>
      </c>
      <c r="H1420" s="6">
        <f t="shared" si="61"/>
        <v>49945.631128830137</v>
      </c>
      <c r="I1420" s="1">
        <f t="shared" si="58"/>
        <v>1651409.2620695753</v>
      </c>
      <c r="J1420" s="2">
        <f t="shared" si="60"/>
        <v>-86409.262069575256</v>
      </c>
    </row>
    <row r="1421" spans="2:10" ht="18" x14ac:dyDescent="0.45">
      <c r="B1421" s="3" t="s">
        <v>438</v>
      </c>
      <c r="C1421" s="15" t="s">
        <v>1457</v>
      </c>
      <c r="D1421">
        <v>4690</v>
      </c>
      <c r="E1421">
        <v>1346.5</v>
      </c>
      <c r="F1421">
        <v>1541000</v>
      </c>
      <c r="G1421" s="5">
        <f t="shared" si="56"/>
        <v>1491175.856814455</v>
      </c>
      <c r="H1421" s="6">
        <f t="shared" si="61"/>
        <v>49824.143185544992</v>
      </c>
      <c r="I1421" s="1">
        <f t="shared" si="58"/>
        <v>1625381.683927756</v>
      </c>
      <c r="J1421" s="2">
        <f t="shared" si="60"/>
        <v>-84381.683927756036</v>
      </c>
    </row>
    <row r="1422" spans="2:10" ht="18" x14ac:dyDescent="0.45">
      <c r="B1422" s="3" t="s">
        <v>719</v>
      </c>
      <c r="C1422" s="15" t="s">
        <v>1458</v>
      </c>
      <c r="D1422">
        <v>4620</v>
      </c>
      <c r="E1422">
        <v>1346.5</v>
      </c>
      <c r="F1422">
        <v>1503000</v>
      </c>
      <c r="G1422" s="5">
        <f t="shared" si="56"/>
        <v>1468994.127608269</v>
      </c>
      <c r="H1422" s="6">
        <f t="shared" si="61"/>
        <v>34005.872391731013</v>
      </c>
      <c r="I1422" s="1">
        <f t="shared" ref="I1422:I1512" si="62">G1422*1.09</f>
        <v>1601203.5990930132</v>
      </c>
      <c r="J1422" s="2">
        <f t="shared" si="60"/>
        <v>-98203.59909301321</v>
      </c>
    </row>
    <row r="1423" spans="2:10" ht="18" x14ac:dyDescent="0.45">
      <c r="B1423" s="3" t="s">
        <v>442</v>
      </c>
      <c r="C1423" s="15" t="s">
        <v>1459</v>
      </c>
      <c r="D1423">
        <v>4565</v>
      </c>
      <c r="E1423">
        <v>1349</v>
      </c>
      <c r="F1423">
        <v>1495000</v>
      </c>
      <c r="G1423" s="5">
        <f t="shared" si="56"/>
        <v>1454251.4144777027</v>
      </c>
      <c r="H1423" s="6">
        <f t="shared" si="61"/>
        <v>40748.585522297304</v>
      </c>
      <c r="I1423" s="1">
        <f t="shared" si="62"/>
        <v>1585134.041780696</v>
      </c>
      <c r="J1423" s="2">
        <f t="shared" si="60"/>
        <v>-90134.041780696018</v>
      </c>
    </row>
    <row r="1424" spans="2:10" ht="18" x14ac:dyDescent="0.45">
      <c r="B1424" s="3" t="s">
        <v>446</v>
      </c>
      <c r="C1424" s="15" t="s">
        <v>1460</v>
      </c>
      <c r="D1424">
        <v>4520</v>
      </c>
      <c r="E1424">
        <v>1328</v>
      </c>
      <c r="F1424">
        <v>1490000</v>
      </c>
      <c r="G1424" s="5">
        <f t="shared" si="56"/>
        <v>1417627.0273607047</v>
      </c>
      <c r="H1424" s="6">
        <f t="shared" si="61"/>
        <v>72372.972639295273</v>
      </c>
      <c r="I1424" s="1">
        <f t="shared" si="62"/>
        <v>1545213.4598231683</v>
      </c>
      <c r="J1424" s="2">
        <f t="shared" si="60"/>
        <v>-55213.459823168349</v>
      </c>
    </row>
    <row r="1425" spans="2:11" ht="18" x14ac:dyDescent="0.45">
      <c r="B1425" s="3" t="s">
        <v>448</v>
      </c>
      <c r="C1425" s="15" t="s">
        <v>1461</v>
      </c>
      <c r="D1425">
        <v>4490</v>
      </c>
      <c r="E1425">
        <v>1325</v>
      </c>
      <c r="F1425">
        <v>1488000</v>
      </c>
      <c r="G1425" s="5">
        <f t="shared" si="56"/>
        <v>1405081.1891135902</v>
      </c>
      <c r="H1425" s="6">
        <f t="shared" si="61"/>
        <v>82918.810886409832</v>
      </c>
      <c r="I1425" s="1">
        <f t="shared" si="62"/>
        <v>1531538.4961338134</v>
      </c>
      <c r="J1425" s="2">
        <f t="shared" si="60"/>
        <v>-43538.496133813402</v>
      </c>
    </row>
    <row r="1426" spans="2:11" ht="18" x14ac:dyDescent="0.45">
      <c r="B1426" s="3" t="s">
        <v>438</v>
      </c>
      <c r="C1426" s="15" t="s">
        <v>1462</v>
      </c>
      <c r="D1426">
        <v>4475</v>
      </c>
      <c r="E1426">
        <v>1328.2</v>
      </c>
      <c r="F1426">
        <v>1515000</v>
      </c>
      <c r="G1426" s="5">
        <f t="shared" si="56"/>
        <v>1403773.889705173</v>
      </c>
      <c r="H1426" s="6">
        <f t="shared" si="61"/>
        <v>111226.11029482703</v>
      </c>
      <c r="I1426" s="1">
        <f t="shared" si="62"/>
        <v>1530113.5397786386</v>
      </c>
      <c r="J1426" s="2">
        <f t="shared" si="60"/>
        <v>-15113.539778638631</v>
      </c>
    </row>
    <row r="1427" spans="2:11" ht="18" x14ac:dyDescent="0.45">
      <c r="B1427" s="3" t="s">
        <v>719</v>
      </c>
      <c r="C1427" s="15" t="s">
        <v>1463</v>
      </c>
      <c r="D1427">
        <v>4473</v>
      </c>
      <c r="E1427">
        <v>1328.2</v>
      </c>
      <c r="F1427">
        <v>1518000</v>
      </c>
      <c r="G1427" s="5">
        <f t="shared" si="56"/>
        <v>1403148.7393634054</v>
      </c>
      <c r="H1427" s="6">
        <f t="shared" si="61"/>
        <v>114851.26063659461</v>
      </c>
      <c r="I1427" s="1">
        <f t="shared" si="62"/>
        <v>1529432.1259061119</v>
      </c>
      <c r="J1427" s="2">
        <f t="shared" si="60"/>
        <v>-11432.125906111905</v>
      </c>
    </row>
    <row r="1428" spans="2:11" ht="18" x14ac:dyDescent="0.45">
      <c r="B1428" s="3" t="s">
        <v>442</v>
      </c>
      <c r="C1428" s="15" t="s">
        <v>1464</v>
      </c>
      <c r="D1428">
        <v>4471</v>
      </c>
      <c r="E1428">
        <v>1337</v>
      </c>
      <c r="F1428">
        <v>1535000</v>
      </c>
      <c r="G1428" s="5">
        <f t="shared" si="56"/>
        <v>1411782.8930296109</v>
      </c>
      <c r="H1428" s="6">
        <f t="shared" si="61"/>
        <v>123217.10697038914</v>
      </c>
      <c r="I1428" s="1">
        <f t="shared" si="62"/>
        <v>1538843.3534022761</v>
      </c>
      <c r="J1428" s="2">
        <f t="shared" si="60"/>
        <v>-3843.3534022760577</v>
      </c>
    </row>
    <row r="1429" spans="2:11" ht="18" x14ac:dyDescent="0.45">
      <c r="B1429" s="3" t="s">
        <v>710</v>
      </c>
      <c r="C1429" s="15" t="s">
        <v>1465</v>
      </c>
      <c r="D1429">
        <v>4471</v>
      </c>
      <c r="E1429">
        <v>1332</v>
      </c>
      <c r="F1429">
        <v>1550000</v>
      </c>
      <c r="G1429" s="5">
        <f t="shared" si="56"/>
        <v>1406521.9248432624</v>
      </c>
      <c r="H1429" s="6">
        <f t="shared" si="61"/>
        <v>143478.07515673758</v>
      </c>
      <c r="I1429" s="1">
        <f t="shared" si="62"/>
        <v>1533108.8980791562</v>
      </c>
      <c r="J1429" s="2">
        <f t="shared" si="60"/>
        <v>16891.101920843823</v>
      </c>
    </row>
    <row r="1430" spans="2:11" ht="18" x14ac:dyDescent="0.45">
      <c r="B1430" s="3" t="s">
        <v>446</v>
      </c>
      <c r="C1430" s="15" t="s">
        <v>1466</v>
      </c>
      <c r="D1430">
        <v>4467</v>
      </c>
      <c r="E1430">
        <v>1319</v>
      </c>
      <c r="F1430">
        <v>1549000</v>
      </c>
      <c r="G1430" s="5">
        <f t="shared" si="56"/>
        <v>1391601.7672925438</v>
      </c>
      <c r="H1430" s="6">
        <f t="shared" si="61"/>
        <v>157398.23270745622</v>
      </c>
      <c r="I1430" s="1">
        <f t="shared" si="62"/>
        <v>1516845.9263488727</v>
      </c>
      <c r="J1430" s="2">
        <f t="shared" si="60"/>
        <v>32154.073651127284</v>
      </c>
    </row>
    <row r="1431" spans="2:11" ht="18" x14ac:dyDescent="0.45">
      <c r="B1431" s="3" t="s">
        <v>448</v>
      </c>
      <c r="C1431" s="15" t="s">
        <v>1467</v>
      </c>
      <c r="D1431">
        <v>4464</v>
      </c>
      <c r="E1431">
        <v>1310</v>
      </c>
      <c r="F1431">
        <v>1553000</v>
      </c>
      <c r="G1431" s="5">
        <f t="shared" si="56"/>
        <v>1381215.6206153748</v>
      </c>
      <c r="H1431" s="6">
        <f t="shared" si="61"/>
        <v>171784.37938462524</v>
      </c>
      <c r="I1431" s="1">
        <f t="shared" si="62"/>
        <v>1505525.0264707585</v>
      </c>
      <c r="J1431" s="2">
        <f t="shared" si="60"/>
        <v>47474.973529241513</v>
      </c>
    </row>
    <row r="1432" spans="2:11" ht="18" x14ac:dyDescent="0.45">
      <c r="B1432" s="3" t="s">
        <v>438</v>
      </c>
      <c r="C1432" s="15" t="s">
        <v>1468</v>
      </c>
      <c r="D1432">
        <v>4461</v>
      </c>
      <c r="E1432">
        <v>1322.6</v>
      </c>
      <c r="F1432">
        <v>1572000</v>
      </c>
      <c r="G1432" s="5">
        <f t="shared" si="56"/>
        <v>1393518.7318400152</v>
      </c>
      <c r="H1432" s="6">
        <f t="shared" si="61"/>
        <v>178481.26815998484</v>
      </c>
      <c r="I1432" s="1">
        <f t="shared" si="62"/>
        <v>1518935.4177056167</v>
      </c>
      <c r="J1432" s="2">
        <f t="shared" si="60"/>
        <v>53064.582294383319</v>
      </c>
    </row>
    <row r="1433" spans="2:11" ht="18" x14ac:dyDescent="0.45">
      <c r="B1433" s="3" t="s">
        <v>719</v>
      </c>
      <c r="C1433" s="15" t="s">
        <v>1469</v>
      </c>
      <c r="D1433">
        <v>4460</v>
      </c>
      <c r="E1433">
        <v>1322.6</v>
      </c>
      <c r="F1433">
        <v>1584000</v>
      </c>
      <c r="G1433" s="5">
        <f t="shared" si="56"/>
        <v>1393207.4745587239</v>
      </c>
      <c r="H1433" s="6">
        <f t="shared" si="61"/>
        <v>190792.52544127614</v>
      </c>
      <c r="I1433" s="1">
        <f t="shared" si="62"/>
        <v>1518596.1472690091</v>
      </c>
      <c r="J1433" s="2">
        <f t="shared" si="60"/>
        <v>65403.852730990853</v>
      </c>
    </row>
    <row r="1434" spans="2:11" ht="18" x14ac:dyDescent="0.45">
      <c r="B1434" s="3" t="s">
        <v>442</v>
      </c>
      <c r="C1434" s="15" t="s">
        <v>1470</v>
      </c>
      <c r="D1434">
        <v>4464</v>
      </c>
      <c r="E1434">
        <v>1322</v>
      </c>
      <c r="F1434">
        <v>1589000</v>
      </c>
      <c r="G1434" s="5">
        <f t="shared" si="56"/>
        <v>1393822.1759187214</v>
      </c>
      <c r="H1434" s="6">
        <f t="shared" si="61"/>
        <v>195177.82408127864</v>
      </c>
      <c r="I1434" s="1">
        <f t="shared" si="62"/>
        <v>1519266.1717514065</v>
      </c>
      <c r="J1434" s="2">
        <f t="shared" si="60"/>
        <v>69733.828248593491</v>
      </c>
    </row>
    <row r="1435" spans="2:11" ht="18" x14ac:dyDescent="0.45">
      <c r="B1435" s="3" t="s">
        <v>710</v>
      </c>
      <c r="C1435" s="15" t="s">
        <v>1471</v>
      </c>
      <c r="D1435">
        <v>4484</v>
      </c>
      <c r="E1435">
        <v>1327</v>
      </c>
      <c r="F1435">
        <v>1588000</v>
      </c>
      <c r="G1435" s="5">
        <f t="shared" si="56"/>
        <v>1405320.7626145387</v>
      </c>
      <c r="H1435" s="6">
        <f t="shared" si="61"/>
        <v>182679.23738546134</v>
      </c>
      <c r="I1435" s="1">
        <f t="shared" si="62"/>
        <v>1531799.6312498474</v>
      </c>
      <c r="J1435" s="2">
        <f t="shared" si="60"/>
        <v>56200.368750152644</v>
      </c>
    </row>
    <row r="1436" spans="2:11" ht="18" x14ac:dyDescent="0.45">
      <c r="B1436" s="3" t="s">
        <v>446</v>
      </c>
      <c r="C1436" s="15" t="s">
        <v>1472</v>
      </c>
      <c r="D1436">
        <v>4498</v>
      </c>
      <c r="E1436">
        <v>1331</v>
      </c>
      <c r="F1436">
        <v>1590000</v>
      </c>
      <c r="G1436" s="5">
        <f t="shared" si="56"/>
        <v>1413927.052329357</v>
      </c>
      <c r="H1436" s="6">
        <f t="shared" si="61"/>
        <v>176072.94767064299</v>
      </c>
      <c r="I1436" s="1">
        <f t="shared" si="62"/>
        <v>1541180.4870389993</v>
      </c>
      <c r="J1436" s="2">
        <f t="shared" si="60"/>
        <v>48819.51296100067</v>
      </c>
    </row>
    <row r="1437" spans="2:11" ht="18" x14ac:dyDescent="0.45">
      <c r="B1437" s="3" t="s">
        <v>448</v>
      </c>
      <c r="C1437" s="15" t="s">
        <v>1473</v>
      </c>
      <c r="D1437">
        <v>4497</v>
      </c>
      <c r="E1437">
        <v>1325</v>
      </c>
      <c r="F1437">
        <v>1588000</v>
      </c>
      <c r="G1437" s="5">
        <f t="shared" si="56"/>
        <v>1407263.9437514066</v>
      </c>
      <c r="H1437" s="6">
        <f t="shared" si="61"/>
        <v>180736.05624859338</v>
      </c>
      <c r="I1437" s="1">
        <f t="shared" si="62"/>
        <v>1533917.6986890333</v>
      </c>
      <c r="J1437" s="2">
        <f t="shared" si="60"/>
        <v>54082.301310966723</v>
      </c>
      <c r="K1437">
        <f>F1434-F1425</f>
        <v>101000</v>
      </c>
    </row>
    <row r="1438" spans="2:11" ht="18" x14ac:dyDescent="0.45">
      <c r="B1438" s="3" t="s">
        <v>438</v>
      </c>
      <c r="C1438" s="15" t="s">
        <v>1474</v>
      </c>
      <c r="D1438">
        <v>4499</v>
      </c>
      <c r="E1438">
        <v>1323.1</v>
      </c>
      <c r="F1438">
        <v>1590000</v>
      </c>
      <c r="G1438" s="5">
        <f t="shared" si="56"/>
        <v>1405875.9000716968</v>
      </c>
      <c r="H1438" s="6">
        <f t="shared" si="61"/>
        <v>184124.09992830316</v>
      </c>
      <c r="I1438" s="1">
        <f t="shared" si="62"/>
        <v>1532404.7310781498</v>
      </c>
      <c r="J1438" s="2">
        <f t="shared" si="60"/>
        <v>57595.268921850249</v>
      </c>
    </row>
    <row r="1439" spans="2:11" ht="18" x14ac:dyDescent="0.45">
      <c r="B1439" s="3" t="s">
        <v>719</v>
      </c>
      <c r="C1439" s="15" t="s">
        <v>1475</v>
      </c>
      <c r="D1439">
        <v>4493</v>
      </c>
      <c r="E1439">
        <v>1323.1</v>
      </c>
      <c r="F1439">
        <v>1586000</v>
      </c>
      <c r="G1439" s="5">
        <f t="shared" si="56"/>
        <v>1404007.6503716682</v>
      </c>
      <c r="H1439" s="6">
        <f t="shared" si="61"/>
        <v>181992.34962833184</v>
      </c>
      <c r="I1439" s="1">
        <f t="shared" si="62"/>
        <v>1530368.3389051184</v>
      </c>
      <c r="J1439" s="2">
        <f t="shared" si="60"/>
        <v>55631.661094881594</v>
      </c>
    </row>
    <row r="1440" spans="2:11" ht="18" x14ac:dyDescent="0.45">
      <c r="B1440" s="3" t="s">
        <v>442</v>
      </c>
      <c r="C1440" s="15" t="s">
        <v>1476</v>
      </c>
      <c r="D1440">
        <v>4770</v>
      </c>
      <c r="E1440">
        <v>1317</v>
      </c>
      <c r="F1440">
        <v>1592000</v>
      </c>
      <c r="G1440" s="5">
        <f t="shared" si="56"/>
        <v>1483410.898402083</v>
      </c>
      <c r="H1440" s="6">
        <f t="shared" si="61"/>
        <v>108589.10159791703</v>
      </c>
      <c r="I1440" s="1">
        <f t="shared" si="62"/>
        <v>1616917.8792582706</v>
      </c>
      <c r="J1440" s="2">
        <f t="shared" si="60"/>
        <v>-24917.879258270608</v>
      </c>
    </row>
    <row r="1441" spans="2:10" ht="18" x14ac:dyDescent="0.45">
      <c r="B1441" s="3" t="s">
        <v>710</v>
      </c>
      <c r="C1441" s="15" t="s">
        <v>1477</v>
      </c>
      <c r="D1441">
        <v>4779</v>
      </c>
      <c r="E1441">
        <v>1320</v>
      </c>
      <c r="F1441">
        <v>1610000</v>
      </c>
      <c r="G1441" s="5">
        <f t="shared" si="56"/>
        <v>1489574.3856219654</v>
      </c>
      <c r="H1441" s="6">
        <f t="shared" si="61"/>
        <v>120425.6143780346</v>
      </c>
      <c r="I1441" s="1">
        <f t="shared" si="62"/>
        <v>1623636.0803279425</v>
      </c>
      <c r="J1441" s="2">
        <f t="shared" si="60"/>
        <v>-13636.080327942502</v>
      </c>
    </row>
    <row r="1442" spans="2:10" ht="18" x14ac:dyDescent="0.45">
      <c r="B1442" s="3" t="s">
        <v>446</v>
      </c>
      <c r="C1442" s="15" t="s">
        <v>1478</v>
      </c>
      <c r="D1442">
        <v>4804</v>
      </c>
      <c r="E1442">
        <v>1326</v>
      </c>
      <c r="F1442">
        <v>1632000</v>
      </c>
      <c r="G1442" s="5">
        <f t="shared" si="56"/>
        <v>1504123.8867247531</v>
      </c>
      <c r="H1442" s="6">
        <f t="shared" si="61"/>
        <v>127876.11327524693</v>
      </c>
      <c r="I1442" s="1">
        <f t="shared" si="62"/>
        <v>1639495.0365299811</v>
      </c>
      <c r="J1442" s="2">
        <f t="shared" si="60"/>
        <v>-7495.0365299810655</v>
      </c>
    </row>
    <row r="1443" spans="2:10" ht="18" x14ac:dyDescent="0.45">
      <c r="B1443" s="3" t="s">
        <v>448</v>
      </c>
      <c r="C1443" s="15" t="s">
        <v>1479</v>
      </c>
      <c r="D1443">
        <v>4779</v>
      </c>
      <c r="E1443">
        <v>1319</v>
      </c>
      <c r="F1443">
        <v>1630000</v>
      </c>
      <c r="G1443" s="5">
        <f t="shared" si="56"/>
        <v>1488449.7080571004</v>
      </c>
      <c r="H1443" s="6">
        <f t="shared" si="61"/>
        <v>141550.29194289958</v>
      </c>
      <c r="I1443" s="1">
        <f t="shared" si="62"/>
        <v>1622410.1817822396</v>
      </c>
      <c r="J1443" s="2">
        <f t="shared" si="60"/>
        <v>7589.8182177604176</v>
      </c>
    </row>
    <row r="1444" spans="2:10" ht="18" x14ac:dyDescent="0.45">
      <c r="B1444" s="3" t="s">
        <v>438</v>
      </c>
      <c r="C1444" s="15" t="s">
        <v>1480</v>
      </c>
      <c r="D1444">
        <v>4777</v>
      </c>
      <c r="E1444">
        <v>1313.6</v>
      </c>
      <c r="F1444">
        <v>1621000</v>
      </c>
      <c r="G1444" s="5">
        <f t="shared" si="56"/>
        <v>1481758.1707179367</v>
      </c>
      <c r="H1444" s="6">
        <f t="shared" si="61"/>
        <v>139241.82928206329</v>
      </c>
      <c r="I1444" s="1">
        <f t="shared" si="62"/>
        <v>1615116.4060825512</v>
      </c>
      <c r="J1444" s="2">
        <f t="shared" si="60"/>
        <v>5883.5939174487721</v>
      </c>
    </row>
    <row r="1445" spans="2:10" ht="18" x14ac:dyDescent="0.45">
      <c r="B1445" s="3" t="s">
        <v>719</v>
      </c>
      <c r="C1445" s="15" t="s">
        <v>1481</v>
      </c>
      <c r="D1445">
        <v>4759</v>
      </c>
      <c r="E1445">
        <v>1313.6</v>
      </c>
      <c r="F1445">
        <v>1615000</v>
      </c>
      <c r="G1445" s="5">
        <f t="shared" si="56"/>
        <v>1476193.6643179113</v>
      </c>
      <c r="H1445" s="6">
        <f t="shared" si="61"/>
        <v>138806.33568208874</v>
      </c>
      <c r="I1445" s="1">
        <f t="shared" si="62"/>
        <v>1609051.0941065233</v>
      </c>
      <c r="J1445" s="2">
        <f t="shared" si="60"/>
        <v>5948.9058934766799</v>
      </c>
    </row>
    <row r="1446" spans="2:10" ht="18" x14ac:dyDescent="0.45">
      <c r="B1446" s="3" t="s">
        <v>442</v>
      </c>
      <c r="C1446" s="15" t="s">
        <v>1482</v>
      </c>
      <c r="D1446">
        <v>4880</v>
      </c>
      <c r="E1446">
        <v>1318</v>
      </c>
      <c r="F1446">
        <v>1619000</v>
      </c>
      <c r="G1446" s="5">
        <f t="shared" si="56"/>
        <v>1518652.6781339417</v>
      </c>
      <c r="H1446" s="6">
        <f t="shared" si="61"/>
        <v>100347.32186605828</v>
      </c>
      <c r="I1446" s="1">
        <f t="shared" si="62"/>
        <v>1655331.4191659966</v>
      </c>
      <c r="J1446" s="2">
        <f t="shared" si="60"/>
        <v>-36331.419165996602</v>
      </c>
    </row>
    <row r="1447" spans="2:10" ht="18" x14ac:dyDescent="0.45">
      <c r="B1447" s="3" t="s">
        <v>442</v>
      </c>
      <c r="C1447" s="15" t="s">
        <v>1483</v>
      </c>
      <c r="D1447">
        <v>5070</v>
      </c>
      <c r="E1447">
        <v>1348</v>
      </c>
      <c r="F1447">
        <v>1710000</v>
      </c>
      <c r="G1447" s="5">
        <f t="shared" si="56"/>
        <v>1613380.6993537599</v>
      </c>
      <c r="H1447" s="6">
        <f t="shared" si="61"/>
        <v>96619.300646240124</v>
      </c>
      <c r="I1447" s="1">
        <f t="shared" si="62"/>
        <v>1758584.9622955984</v>
      </c>
      <c r="J1447" s="2">
        <f t="shared" si="60"/>
        <v>-48584.96229559835</v>
      </c>
    </row>
    <row r="1448" spans="2:10" ht="18" x14ac:dyDescent="0.45">
      <c r="B1448" s="3" t="s">
        <v>710</v>
      </c>
      <c r="C1448" s="15" t="s">
        <v>1484</v>
      </c>
      <c r="D1448">
        <v>5060</v>
      </c>
      <c r="E1448">
        <v>1342</v>
      </c>
      <c r="F1448">
        <v>1712000</v>
      </c>
      <c r="G1448" s="5">
        <f t="shared" si="56"/>
        <v>1603063.5065427769</v>
      </c>
      <c r="H1448" s="6">
        <f t="shared" si="61"/>
        <v>108936.49345722306</v>
      </c>
      <c r="I1448" s="1">
        <f t="shared" si="62"/>
        <v>1747339.2221316269</v>
      </c>
      <c r="J1448" s="2">
        <f t="shared" si="60"/>
        <v>-35339.222131626913</v>
      </c>
    </row>
    <row r="1449" spans="2:10" ht="18" x14ac:dyDescent="0.45">
      <c r="B1449" s="3" t="s">
        <v>446</v>
      </c>
      <c r="C1449" s="15" t="s">
        <v>1485</v>
      </c>
      <c r="D1449">
        <v>5100</v>
      </c>
      <c r="E1449">
        <v>1334</v>
      </c>
      <c r="F1449">
        <v>1705000</v>
      </c>
      <c r="G1449" s="5">
        <f t="shared" si="56"/>
        <v>1606094.6526058577</v>
      </c>
      <c r="H1449" s="6">
        <f t="shared" si="61"/>
        <v>98905.3473941423</v>
      </c>
      <c r="I1449" s="1">
        <f t="shared" si="62"/>
        <v>1750643.171340385</v>
      </c>
      <c r="J1449" s="2">
        <f t="shared" si="60"/>
        <v>-45643.171340384986</v>
      </c>
    </row>
    <row r="1450" spans="2:10" ht="18" x14ac:dyDescent="0.45">
      <c r="B1450" s="3" t="s">
        <v>448</v>
      </c>
      <c r="C1450" s="15" t="s">
        <v>1486</v>
      </c>
      <c r="D1450">
        <v>5090</v>
      </c>
      <c r="E1450">
        <v>1322</v>
      </c>
      <c r="F1450">
        <v>1725000</v>
      </c>
      <c r="G1450" s="5">
        <f t="shared" si="56"/>
        <v>1588580.8412693306</v>
      </c>
      <c r="H1450" s="6">
        <f t="shared" si="61"/>
        <v>136419.15873066941</v>
      </c>
      <c r="I1450" s="1">
        <f t="shared" si="62"/>
        <v>1731553.1169835704</v>
      </c>
      <c r="J1450" s="2">
        <f t="shared" si="60"/>
        <v>-6553.1169835703913</v>
      </c>
    </row>
    <row r="1451" spans="2:10" ht="18" x14ac:dyDescent="0.45">
      <c r="B1451" s="3" t="s">
        <v>671</v>
      </c>
      <c r="C1451" s="15" t="s">
        <v>1487</v>
      </c>
      <c r="D1451">
        <v>5050</v>
      </c>
      <c r="E1451">
        <v>1337</v>
      </c>
      <c r="F1451">
        <v>1730000</v>
      </c>
      <c r="G1451" s="5">
        <f t="shared" si="56"/>
        <v>1593963.0082307169</v>
      </c>
      <c r="H1451" s="6">
        <f t="shared" si="61"/>
        <v>136036.99176928308</v>
      </c>
      <c r="I1451" s="1">
        <f t="shared" si="62"/>
        <v>1737419.6789714815</v>
      </c>
      <c r="J1451" s="2">
        <f t="shared" si="60"/>
        <v>-7419.6789714815095</v>
      </c>
    </row>
    <row r="1452" spans="2:10" ht="18" x14ac:dyDescent="0.45">
      <c r="B1452" s="3" t="s">
        <v>446</v>
      </c>
      <c r="C1452" s="15" t="s">
        <v>1488</v>
      </c>
      <c r="D1452">
        <v>5045</v>
      </c>
      <c r="E1452">
        <v>1343</v>
      </c>
      <c r="F1452">
        <v>1740000</v>
      </c>
      <c r="G1452" s="5">
        <f t="shared" si="56"/>
        <v>1599513.4414525928</v>
      </c>
      <c r="H1452" s="6">
        <f t="shared" si="61"/>
        <v>140486.55854740716</v>
      </c>
      <c r="I1452" s="1">
        <f t="shared" si="62"/>
        <v>1743469.6511833263</v>
      </c>
      <c r="J1452" s="2">
        <f t="shared" si="60"/>
        <v>-3469.651183326263</v>
      </c>
    </row>
    <row r="1453" spans="2:10" ht="18" x14ac:dyDescent="0.45">
      <c r="B1453" s="3" t="s">
        <v>448</v>
      </c>
      <c r="C1453" s="15" t="s">
        <v>1489</v>
      </c>
      <c r="D1453">
        <v>5090</v>
      </c>
      <c r="E1453">
        <v>1347</v>
      </c>
      <c r="F1453">
        <v>1746000</v>
      </c>
      <c r="G1453" s="5">
        <f t="shared" si="56"/>
        <v>1618527.5288878884</v>
      </c>
      <c r="H1453" s="6">
        <f t="shared" si="61"/>
        <v>127472.47111211158</v>
      </c>
      <c r="I1453" s="1">
        <f t="shared" si="62"/>
        <v>1764195.0064877984</v>
      </c>
      <c r="J1453" s="2">
        <f t="shared" si="60"/>
        <v>-18195.006487798411</v>
      </c>
    </row>
    <row r="1454" spans="2:10" ht="18" x14ac:dyDescent="0.45">
      <c r="B1454" s="3" t="s">
        <v>438</v>
      </c>
      <c r="C1454" s="15" t="s">
        <v>1490</v>
      </c>
      <c r="D1454">
        <v>5220</v>
      </c>
      <c r="E1454">
        <v>1333.4</v>
      </c>
      <c r="F1454">
        <v>1780000</v>
      </c>
      <c r="G1454" s="5">
        <f t="shared" si="56"/>
        <v>1643030.3911391185</v>
      </c>
      <c r="H1454" s="6">
        <f t="shared" si="61"/>
        <v>136969.60886088153</v>
      </c>
      <c r="I1454" s="1">
        <f t="shared" si="62"/>
        <v>1790903.1263416393</v>
      </c>
      <c r="J1454" s="2">
        <f t="shared" si="60"/>
        <v>-10903.126341639319</v>
      </c>
    </row>
    <row r="1455" spans="2:10" ht="18" x14ac:dyDescent="0.45">
      <c r="B1455" s="3" t="s">
        <v>719</v>
      </c>
      <c r="C1455" s="15" t="s">
        <v>1491</v>
      </c>
      <c r="D1455">
        <v>5500</v>
      </c>
      <c r="E1455">
        <v>1333.4</v>
      </c>
      <c r="F1455">
        <v>1890000</v>
      </c>
      <c r="G1455" s="5">
        <f t="shared" si="56"/>
        <v>1730894.0902806802</v>
      </c>
      <c r="H1455" s="6">
        <f t="shared" si="61"/>
        <v>159105.90971931978</v>
      </c>
      <c r="I1455" s="1">
        <f t="shared" si="62"/>
        <v>1886674.5584059416</v>
      </c>
      <c r="J1455" s="2">
        <f t="shared" si="60"/>
        <v>3325.4415940584149</v>
      </c>
    </row>
    <row r="1456" spans="2:10" ht="18" x14ac:dyDescent="0.45">
      <c r="B1456" s="3" t="s">
        <v>442</v>
      </c>
      <c r="C1456" s="15" t="s">
        <v>1492</v>
      </c>
      <c r="D1456">
        <v>5900</v>
      </c>
      <c r="E1456">
        <v>1327</v>
      </c>
      <c r="F1456">
        <v>1984000</v>
      </c>
      <c r="G1456" s="5">
        <f t="shared" si="56"/>
        <v>1847527.3192296559</v>
      </c>
      <c r="H1456" s="6">
        <f t="shared" si="61"/>
        <v>136472.6807703441</v>
      </c>
      <c r="I1456" s="1">
        <f t="shared" si="62"/>
        <v>2013804.7779603251</v>
      </c>
      <c r="J1456" s="2">
        <f t="shared" si="60"/>
        <v>-29804.777960325126</v>
      </c>
    </row>
    <row r="1457" spans="2:10" ht="18" x14ac:dyDescent="0.45">
      <c r="B1457" s="3" t="s">
        <v>710</v>
      </c>
      <c r="C1457" s="15" t="s">
        <v>1493</v>
      </c>
      <c r="D1457">
        <v>5700</v>
      </c>
      <c r="E1457">
        <v>1337</v>
      </c>
      <c r="F1457">
        <v>1800000</v>
      </c>
      <c r="G1457" s="5">
        <f t="shared" si="56"/>
        <v>1798482.9993891262</v>
      </c>
      <c r="H1457" s="6">
        <f t="shared" si="61"/>
        <v>1517.0006108738016</v>
      </c>
      <c r="I1457" s="1">
        <f t="shared" si="62"/>
        <v>1960346.4693341476</v>
      </c>
      <c r="J1457" s="2">
        <f t="shared" si="60"/>
        <v>-160346.46933414764</v>
      </c>
    </row>
    <row r="1458" spans="2:10" ht="18" x14ac:dyDescent="0.45">
      <c r="B1458" s="3" t="s">
        <v>446</v>
      </c>
      <c r="C1458" s="15" t="s">
        <v>1494</v>
      </c>
      <c r="D1458">
        <v>5500</v>
      </c>
      <c r="E1458">
        <v>1349</v>
      </c>
      <c r="F1458">
        <v>1720000</v>
      </c>
      <c r="G1458" s="5">
        <f t="shared" si="56"/>
        <v>1751086.041539401</v>
      </c>
      <c r="H1458" s="6">
        <f t="shared" si="61"/>
        <v>-31086.041539401049</v>
      </c>
      <c r="I1458" s="1">
        <f t="shared" si="62"/>
        <v>1908683.7852779473</v>
      </c>
      <c r="J1458" s="2">
        <f t="shared" si="60"/>
        <v>-188683.78527794732</v>
      </c>
    </row>
    <row r="1459" spans="2:10" ht="18" x14ac:dyDescent="0.45">
      <c r="B1459" s="3" t="s">
        <v>448</v>
      </c>
      <c r="C1459" s="15" t="s">
        <v>1495</v>
      </c>
      <c r="D1459">
        <v>5500</v>
      </c>
      <c r="E1459">
        <v>1348</v>
      </c>
      <c r="F1459">
        <v>1780000</v>
      </c>
      <c r="G1459" s="5">
        <f t="shared" si="56"/>
        <v>1749791.6856894831</v>
      </c>
      <c r="H1459" s="6">
        <f t="shared" si="61"/>
        <v>30208.314310516929</v>
      </c>
      <c r="I1459" s="1">
        <f t="shared" si="62"/>
        <v>1907272.9374015366</v>
      </c>
      <c r="J1459" s="2">
        <f t="shared" si="60"/>
        <v>-127272.93740153662</v>
      </c>
    </row>
    <row r="1460" spans="2:10" ht="18" x14ac:dyDescent="0.45">
      <c r="B1460" s="3" t="s">
        <v>440</v>
      </c>
      <c r="C1460" s="15" t="s">
        <v>1496</v>
      </c>
      <c r="D1460">
        <v>5600</v>
      </c>
      <c r="E1460">
        <v>1345.4</v>
      </c>
      <c r="F1460">
        <v>1785000</v>
      </c>
      <c r="G1460" s="5">
        <f t="shared" si="56"/>
        <v>1778088.6579429635</v>
      </c>
      <c r="H1460" s="6">
        <f t="shared" si="61"/>
        <v>6911.3420570364688</v>
      </c>
      <c r="I1460" s="1">
        <f t="shared" si="62"/>
        <v>1938116.6371578304</v>
      </c>
      <c r="J1460" s="2">
        <f t="shared" si="60"/>
        <v>-153116.63715783041</v>
      </c>
    </row>
    <row r="1461" spans="2:10" ht="18" x14ac:dyDescent="0.45">
      <c r="B1461" s="3" t="s">
        <v>442</v>
      </c>
      <c r="C1461" s="15" t="s">
        <v>1497</v>
      </c>
      <c r="D1461">
        <v>5600</v>
      </c>
      <c r="E1461">
        <v>1343</v>
      </c>
      <c r="F1461">
        <v>1835000</v>
      </c>
      <c r="G1461" s="5">
        <f t="shared" si="56"/>
        <v>1774925.7229206185</v>
      </c>
      <c r="H1461" s="6">
        <f t="shared" si="61"/>
        <v>60074.277079381514</v>
      </c>
      <c r="I1461" s="1">
        <f t="shared" si="62"/>
        <v>1934669.0379834743</v>
      </c>
      <c r="J1461" s="2">
        <f t="shared" si="60"/>
        <v>-99669.037983474322</v>
      </c>
    </row>
    <row r="1462" spans="2:10" ht="18" x14ac:dyDescent="0.45">
      <c r="B1462" s="3" t="s">
        <v>671</v>
      </c>
      <c r="C1462" s="15" t="s">
        <v>1498</v>
      </c>
      <c r="D1462">
        <v>5700</v>
      </c>
      <c r="E1462">
        <v>1342</v>
      </c>
      <c r="F1462">
        <v>1836000</v>
      </c>
      <c r="G1462" s="5">
        <f t="shared" si="56"/>
        <v>1805190.1160659739</v>
      </c>
      <c r="H1462" s="6">
        <f t="shared" si="61"/>
        <v>30809.883934026118</v>
      </c>
      <c r="I1462" s="1">
        <f t="shared" si="62"/>
        <v>1967657.2265119117</v>
      </c>
      <c r="J1462" s="2">
        <f t="shared" si="60"/>
        <v>-131657.22651191172</v>
      </c>
    </row>
    <row r="1463" spans="2:10" ht="18" x14ac:dyDescent="0.45">
      <c r="B1463" s="3" t="s">
        <v>446</v>
      </c>
      <c r="C1463" s="15" t="s">
        <v>1499</v>
      </c>
      <c r="D1463">
        <v>5400</v>
      </c>
      <c r="E1463">
        <v>1350</v>
      </c>
      <c r="F1463">
        <v>1820000</v>
      </c>
      <c r="G1463" s="5">
        <f t="shared" si="56"/>
        <v>1720609.8447095135</v>
      </c>
      <c r="H1463" s="6">
        <f t="shared" si="61"/>
        <v>99390.155290486524</v>
      </c>
      <c r="I1463" s="1">
        <f t="shared" si="62"/>
        <v>1875464.7307333699</v>
      </c>
      <c r="J1463" s="2">
        <f t="shared" si="60"/>
        <v>-55464.730733369943</v>
      </c>
    </row>
    <row r="1464" spans="2:10" ht="18" x14ac:dyDescent="0.45">
      <c r="B1464" s="3" t="s">
        <v>448</v>
      </c>
      <c r="C1464" s="15" t="s">
        <v>1500</v>
      </c>
      <c r="D1464">
        <v>5450</v>
      </c>
      <c r="E1464">
        <v>1354</v>
      </c>
      <c r="F1464">
        <v>1826000</v>
      </c>
      <c r="G1464" s="5">
        <f t="shared" ref="G1464:G1497" si="63">E1464/31.103*8.133*D1464*0.9+5000</f>
        <v>1741625.4769636367</v>
      </c>
      <c r="H1464" s="6">
        <f t="shared" si="61"/>
        <v>84374.523036363302</v>
      </c>
      <c r="I1464" s="1">
        <f t="shared" si="62"/>
        <v>1898371.769890364</v>
      </c>
      <c r="J1464" s="2">
        <f t="shared" si="60"/>
        <v>-72371.769890364027</v>
      </c>
    </row>
    <row r="1465" spans="2:10" ht="18" x14ac:dyDescent="0.45">
      <c r="B1465" s="3" t="s">
        <v>438</v>
      </c>
      <c r="C1465" s="15" t="s">
        <v>1501</v>
      </c>
      <c r="D1465">
        <v>5400</v>
      </c>
      <c r="E1465">
        <v>1335.2</v>
      </c>
      <c r="F1465">
        <v>1834000</v>
      </c>
      <c r="G1465" s="5">
        <f t="shared" si="63"/>
        <v>1701801.6775230684</v>
      </c>
      <c r="H1465" s="6">
        <f t="shared" si="61"/>
        <v>132198.32247693161</v>
      </c>
      <c r="I1465" s="1">
        <f t="shared" si="62"/>
        <v>1854963.8285001446</v>
      </c>
      <c r="J1465" s="2">
        <f t="shared" si="60"/>
        <v>-20963.828500144649</v>
      </c>
    </row>
    <row r="1466" spans="2:10" ht="18" x14ac:dyDescent="0.45">
      <c r="B1466" s="3" t="s">
        <v>719</v>
      </c>
      <c r="C1466" s="15" t="s">
        <v>1502</v>
      </c>
      <c r="D1466">
        <v>5500</v>
      </c>
      <c r="E1466">
        <v>1335.2</v>
      </c>
      <c r="F1466">
        <v>1822000</v>
      </c>
      <c r="G1466" s="5">
        <f t="shared" si="63"/>
        <v>1733223.9308105328</v>
      </c>
      <c r="H1466" s="6">
        <f t="shared" si="61"/>
        <v>88776.069189467235</v>
      </c>
      <c r="I1466" s="1">
        <f t="shared" si="62"/>
        <v>1889214.0845834808</v>
      </c>
      <c r="J1466" s="2">
        <f t="shared" si="60"/>
        <v>-67214.084583480842</v>
      </c>
    </row>
    <row r="1467" spans="2:10" ht="18" x14ac:dyDescent="0.45">
      <c r="B1467" s="3" t="s">
        <v>442</v>
      </c>
      <c r="C1467" s="15" t="s">
        <v>1503</v>
      </c>
      <c r="D1467">
        <v>5520</v>
      </c>
      <c r="E1467">
        <v>1327</v>
      </c>
      <c r="F1467">
        <v>1795000</v>
      </c>
      <c r="G1467" s="5">
        <f t="shared" si="63"/>
        <v>1728856.0681606275</v>
      </c>
      <c r="H1467" s="6">
        <f t="shared" si="61"/>
        <v>66143.931839372497</v>
      </c>
      <c r="I1467" s="1">
        <f t="shared" si="62"/>
        <v>1884453.114295084</v>
      </c>
      <c r="J1467" s="2">
        <f t="shared" si="60"/>
        <v>-89453.114295084029</v>
      </c>
    </row>
    <row r="1468" spans="2:10" ht="18" x14ac:dyDescent="0.45">
      <c r="B1468" s="3" t="s">
        <v>710</v>
      </c>
      <c r="C1468" s="15" t="s">
        <v>1504</v>
      </c>
      <c r="D1468">
        <v>5400</v>
      </c>
      <c r="E1468">
        <v>1326</v>
      </c>
      <c r="F1468">
        <v>1770000</v>
      </c>
      <c r="G1468" s="5">
        <f t="shared" si="63"/>
        <v>1690110.1141368998</v>
      </c>
      <c r="H1468" s="6">
        <f t="shared" si="61"/>
        <v>79889.885863100179</v>
      </c>
      <c r="I1468" s="1">
        <f t="shared" si="62"/>
        <v>1842220.024409221</v>
      </c>
      <c r="J1468" s="2">
        <f t="shared" si="60"/>
        <v>-72220.02440922102</v>
      </c>
    </row>
    <row r="1469" spans="2:10" ht="18" x14ac:dyDescent="0.45">
      <c r="B1469" s="3" t="s">
        <v>446</v>
      </c>
      <c r="C1469" s="15" t="s">
        <v>1505</v>
      </c>
      <c r="D1469">
        <v>5400</v>
      </c>
      <c r="E1469">
        <v>1323</v>
      </c>
      <c r="F1469">
        <v>1760000</v>
      </c>
      <c r="G1469" s="5">
        <f t="shared" si="63"/>
        <v>1686297.6478153232</v>
      </c>
      <c r="H1469" s="6">
        <f t="shared" si="61"/>
        <v>73702.352184676798</v>
      </c>
      <c r="I1469" s="1">
        <f t="shared" si="62"/>
        <v>1838064.4361187024</v>
      </c>
      <c r="J1469" s="2">
        <f t="shared" si="60"/>
        <v>-78064.436118702404</v>
      </c>
    </row>
    <row r="1470" spans="2:10" ht="18" x14ac:dyDescent="0.45">
      <c r="B1470" s="3" t="s">
        <v>448</v>
      </c>
      <c r="C1470" s="15" t="s">
        <v>1506</v>
      </c>
      <c r="D1470">
        <v>5400</v>
      </c>
      <c r="E1470">
        <v>1327</v>
      </c>
      <c r="F1470">
        <v>1767000</v>
      </c>
      <c r="G1470" s="5">
        <f t="shared" si="63"/>
        <v>1691380.936244092</v>
      </c>
      <c r="H1470" s="6">
        <f t="shared" si="61"/>
        <v>75619.06375590805</v>
      </c>
      <c r="I1470" s="1">
        <f t="shared" si="62"/>
        <v>1843605.2205060604</v>
      </c>
      <c r="J1470" s="2">
        <f t="shared" si="60"/>
        <v>-76605.220506060403</v>
      </c>
    </row>
    <row r="1471" spans="2:10" ht="18" x14ac:dyDescent="0.45">
      <c r="B1471" s="3" t="s">
        <v>438</v>
      </c>
      <c r="C1471" s="15" t="s">
        <v>1507</v>
      </c>
      <c r="D1471">
        <v>5500</v>
      </c>
      <c r="E1471">
        <v>1322.6</v>
      </c>
      <c r="F1471">
        <v>1785000</v>
      </c>
      <c r="G1471" s="5">
        <f t="shared" si="63"/>
        <v>1716915.0471015654</v>
      </c>
      <c r="H1471" s="6">
        <f t="shared" si="61"/>
        <v>68084.952898434596</v>
      </c>
      <c r="I1471" s="1">
        <f t="shared" si="62"/>
        <v>1871437.4013407065</v>
      </c>
      <c r="J1471" s="2">
        <f t="shared" si="60"/>
        <v>-86437.401340706507</v>
      </c>
    </row>
    <row r="1472" spans="2:10" ht="18" x14ac:dyDescent="0.45">
      <c r="B1472" s="3" t="s">
        <v>719</v>
      </c>
      <c r="C1472" s="15" t="s">
        <v>1508</v>
      </c>
      <c r="D1472">
        <v>5500</v>
      </c>
      <c r="E1472">
        <v>1322.6</v>
      </c>
      <c r="F1472">
        <v>1815000</v>
      </c>
      <c r="G1472" s="5">
        <f t="shared" si="63"/>
        <v>1716915.0471015654</v>
      </c>
      <c r="H1472" s="6">
        <f t="shared" si="61"/>
        <v>98084.952898434596</v>
      </c>
      <c r="I1472" s="1">
        <f t="shared" si="62"/>
        <v>1871437.4013407065</v>
      </c>
      <c r="J1472" s="2">
        <f t="shared" si="60"/>
        <v>-56437.401340706507</v>
      </c>
    </row>
    <row r="1473" spans="2:10" ht="18" x14ac:dyDescent="0.45">
      <c r="B1473" s="3" t="s">
        <v>442</v>
      </c>
      <c r="C1473" s="15" t="s">
        <v>1509</v>
      </c>
      <c r="D1473">
        <v>5790</v>
      </c>
      <c r="E1473">
        <v>1313</v>
      </c>
      <c r="F1473">
        <v>1851000</v>
      </c>
      <c r="G1473" s="5">
        <f t="shared" si="63"/>
        <v>1794098.6631193133</v>
      </c>
      <c r="H1473" s="6">
        <f t="shared" si="61"/>
        <v>56901.336880686693</v>
      </c>
      <c r="I1473" s="1">
        <f t="shared" si="62"/>
        <v>1955567.5428000516</v>
      </c>
      <c r="J1473" s="2">
        <f t="shared" si="60"/>
        <v>-104567.54280005163</v>
      </c>
    </row>
    <row r="1474" spans="2:10" ht="18" x14ac:dyDescent="0.45">
      <c r="B1474" s="3" t="s">
        <v>710</v>
      </c>
      <c r="C1474" s="15" t="s">
        <v>1510</v>
      </c>
      <c r="D1474">
        <v>6000</v>
      </c>
      <c r="E1474">
        <v>1315</v>
      </c>
      <c r="F1474">
        <v>1925000</v>
      </c>
      <c r="G1474" s="5">
        <f t="shared" si="63"/>
        <v>1861812.3010642058</v>
      </c>
      <c r="H1474" s="6">
        <f t="shared" ref="H1474:H1537" si="64">F:F-G:G</f>
        <v>63187.698935794178</v>
      </c>
      <c r="I1474" s="1">
        <f t="shared" si="62"/>
        <v>2029375.4081599845</v>
      </c>
      <c r="J1474" s="2">
        <f t="shared" si="60"/>
        <v>-104375.40815998451</v>
      </c>
    </row>
    <row r="1475" spans="2:10" ht="18" x14ac:dyDescent="0.45">
      <c r="B1475" s="3" t="s">
        <v>448</v>
      </c>
      <c r="C1475" s="15" t="s">
        <v>1511</v>
      </c>
      <c r="D1475">
        <v>6100</v>
      </c>
      <c r="E1475">
        <v>1309</v>
      </c>
      <c r="F1475">
        <v>1960000</v>
      </c>
      <c r="G1475" s="5">
        <f t="shared" si="63"/>
        <v>1884145.8229109731</v>
      </c>
      <c r="H1475" s="6">
        <f t="shared" si="64"/>
        <v>75854.177089026896</v>
      </c>
      <c r="I1475" s="1">
        <f t="shared" si="62"/>
        <v>2053718.9469729608</v>
      </c>
      <c r="J1475" s="2">
        <f t="shared" si="60"/>
        <v>-93718.946972960839</v>
      </c>
    </row>
    <row r="1476" spans="2:10" ht="18" x14ac:dyDescent="0.45">
      <c r="B1476" s="3" t="s">
        <v>438</v>
      </c>
      <c r="C1476" s="15" t="s">
        <v>1512</v>
      </c>
      <c r="D1476">
        <v>6300</v>
      </c>
      <c r="E1476">
        <v>1315</v>
      </c>
      <c r="F1476">
        <v>2090000</v>
      </c>
      <c r="G1476" s="5">
        <f t="shared" si="63"/>
        <v>1954652.9161174162</v>
      </c>
      <c r="H1476" s="6">
        <f t="shared" si="64"/>
        <v>135347.08388258377</v>
      </c>
      <c r="I1476" s="1">
        <f t="shared" si="62"/>
        <v>2130571.6785679837</v>
      </c>
      <c r="J1476" s="2">
        <f t="shared" si="60"/>
        <v>-40571.678567983676</v>
      </c>
    </row>
    <row r="1477" spans="2:10" ht="18" x14ac:dyDescent="0.45">
      <c r="B1477" s="3" t="s">
        <v>440</v>
      </c>
      <c r="C1477" s="15" t="s">
        <v>1513</v>
      </c>
      <c r="D1477">
        <v>6450</v>
      </c>
      <c r="E1477">
        <v>1315</v>
      </c>
      <c r="F1477">
        <v>2020000</v>
      </c>
      <c r="G1477" s="5">
        <f t="shared" si="63"/>
        <v>2001073.2236440212</v>
      </c>
      <c r="H1477" s="6">
        <f t="shared" si="64"/>
        <v>18926.7763559788</v>
      </c>
      <c r="I1477" s="1">
        <f t="shared" si="62"/>
        <v>2181169.8137719831</v>
      </c>
      <c r="J1477" s="2">
        <f t="shared" si="60"/>
        <v>-161169.81377198314</v>
      </c>
    </row>
    <row r="1478" spans="2:10" ht="18" x14ac:dyDescent="0.45">
      <c r="B1478" s="3" t="s">
        <v>442</v>
      </c>
      <c r="C1478" s="15" t="s">
        <v>1514</v>
      </c>
      <c r="D1478">
        <v>6400</v>
      </c>
      <c r="E1478">
        <v>1312</v>
      </c>
      <c r="F1478">
        <v>1950000</v>
      </c>
      <c r="G1478" s="5">
        <f t="shared" si="63"/>
        <v>1981081.3091984692</v>
      </c>
      <c r="H1478" s="6">
        <f t="shared" si="64"/>
        <v>-31081.309198469156</v>
      </c>
      <c r="I1478" s="1">
        <f t="shared" si="62"/>
        <v>2159378.6270263316</v>
      </c>
      <c r="J1478" s="2">
        <f t="shared" si="60"/>
        <v>-209378.62702633161</v>
      </c>
    </row>
    <row r="1479" spans="2:10" ht="18" x14ac:dyDescent="0.45">
      <c r="B1479" s="3" t="s">
        <v>710</v>
      </c>
      <c r="C1479" s="15" t="s">
        <v>1515</v>
      </c>
      <c r="D1479">
        <v>6400</v>
      </c>
      <c r="E1479">
        <v>1310</v>
      </c>
      <c r="F1479">
        <v>1960000</v>
      </c>
      <c r="G1479" s="5">
        <f t="shared" si="63"/>
        <v>1978068.9901295695</v>
      </c>
      <c r="H1479" s="6">
        <f t="shared" si="64"/>
        <v>-18068.990129569545</v>
      </c>
      <c r="I1479" s="1">
        <f t="shared" si="62"/>
        <v>2156095.1992412307</v>
      </c>
      <c r="J1479" s="2">
        <f t="shared" si="60"/>
        <v>-196095.19924123073</v>
      </c>
    </row>
    <row r="1480" spans="2:10" ht="18" x14ac:dyDescent="0.45">
      <c r="B1480" s="3" t="s">
        <v>446</v>
      </c>
      <c r="C1480" s="15" t="s">
        <v>1516</v>
      </c>
      <c r="D1480">
        <v>6700</v>
      </c>
      <c r="E1480">
        <v>1307</v>
      </c>
      <c r="F1480">
        <v>1990000</v>
      </c>
      <c r="G1480" s="5">
        <f t="shared" si="63"/>
        <v>2065826.3167540105</v>
      </c>
      <c r="H1480" s="6">
        <f t="shared" si="64"/>
        <v>-75826.316754010506</v>
      </c>
      <c r="I1480" s="1">
        <f t="shared" si="62"/>
        <v>2251750.6852618717</v>
      </c>
      <c r="J1480" s="2">
        <f t="shared" si="60"/>
        <v>-261750.68526187167</v>
      </c>
    </row>
    <row r="1481" spans="2:10" ht="18" x14ac:dyDescent="0.45">
      <c r="B1481" s="3" t="s">
        <v>448</v>
      </c>
      <c r="C1481" s="15" t="s">
        <v>1517</v>
      </c>
      <c r="D1481">
        <v>6600</v>
      </c>
      <c r="E1481">
        <v>1316</v>
      </c>
      <c r="F1481">
        <v>2080000</v>
      </c>
      <c r="G1481" s="5">
        <f t="shared" si="63"/>
        <v>2049046.758190528</v>
      </c>
      <c r="H1481" s="6">
        <f t="shared" si="64"/>
        <v>30953.241809471976</v>
      </c>
      <c r="I1481" s="1">
        <f t="shared" si="62"/>
        <v>2233460.9664276759</v>
      </c>
      <c r="J1481" s="2">
        <f t="shared" si="60"/>
        <v>-153460.96642767591</v>
      </c>
    </row>
    <row r="1482" spans="2:10" ht="18" x14ac:dyDescent="0.45">
      <c r="B1482" s="3" t="s">
        <v>438</v>
      </c>
      <c r="C1482" s="15" t="s">
        <v>1518</v>
      </c>
      <c r="D1482">
        <v>6600</v>
      </c>
      <c r="E1482">
        <v>1317.9</v>
      </c>
      <c r="F1482">
        <v>2040000</v>
      </c>
      <c r="G1482" s="5">
        <f t="shared" si="63"/>
        <v>2051997.8895283409</v>
      </c>
      <c r="H1482" s="6">
        <f t="shared" si="64"/>
        <v>-11997.889528340893</v>
      </c>
      <c r="I1482" s="1">
        <f t="shared" si="62"/>
        <v>2236677.6995858918</v>
      </c>
      <c r="J1482" s="2">
        <f t="shared" si="60"/>
        <v>-196677.69958589179</v>
      </c>
    </row>
    <row r="1483" spans="2:10" ht="18" x14ac:dyDescent="0.45">
      <c r="B1483" s="3" t="s">
        <v>719</v>
      </c>
      <c r="C1483" s="15" t="s">
        <v>1519</v>
      </c>
      <c r="D1483">
        <v>6500</v>
      </c>
      <c r="E1483">
        <v>1317.9</v>
      </c>
      <c r="F1483">
        <v>1980000</v>
      </c>
      <c r="G1483" s="5">
        <f t="shared" si="63"/>
        <v>2020982.7699900325</v>
      </c>
      <c r="H1483" s="6">
        <f t="shared" si="64"/>
        <v>-40982.769990032539</v>
      </c>
      <c r="I1483" s="1">
        <f t="shared" si="62"/>
        <v>2202871.2192891357</v>
      </c>
      <c r="J1483" s="2">
        <f t="shared" si="60"/>
        <v>-222871.21928913565</v>
      </c>
    </row>
    <row r="1484" spans="2:10" ht="18" x14ac:dyDescent="0.45">
      <c r="B1484" s="3" t="s">
        <v>442</v>
      </c>
      <c r="C1484" s="15" t="s">
        <v>1520</v>
      </c>
      <c r="D1484">
        <v>6400</v>
      </c>
      <c r="E1484">
        <v>1318</v>
      </c>
      <c r="F1484">
        <v>1903000</v>
      </c>
      <c r="G1484" s="5">
        <f t="shared" si="63"/>
        <v>1990118.2664051696</v>
      </c>
      <c r="H1484" s="6">
        <f t="shared" si="64"/>
        <v>-87118.266405169619</v>
      </c>
      <c r="I1484" s="1">
        <f t="shared" si="62"/>
        <v>2169228.9103816352</v>
      </c>
      <c r="J1484" s="2">
        <f t="shared" si="60"/>
        <v>-266228.91038163519</v>
      </c>
    </row>
    <row r="1485" spans="2:10" ht="18" x14ac:dyDescent="0.45">
      <c r="B1485" s="3" t="s">
        <v>710</v>
      </c>
      <c r="C1485" s="15" t="s">
        <v>1521</v>
      </c>
      <c r="D1485">
        <v>6300</v>
      </c>
      <c r="E1485">
        <v>1306</v>
      </c>
      <c r="F1485">
        <v>1902000</v>
      </c>
      <c r="G1485" s="5">
        <f t="shared" si="63"/>
        <v>1941309.2839918975</v>
      </c>
      <c r="H1485" s="6">
        <f t="shared" si="64"/>
        <v>-39309.283991897479</v>
      </c>
      <c r="I1485" s="1">
        <f t="shared" si="62"/>
        <v>2116027.1195511683</v>
      </c>
      <c r="J1485" s="2">
        <f t="shared" si="60"/>
        <v>-214027.11955116829</v>
      </c>
    </row>
    <row r="1486" spans="2:10" ht="18" x14ac:dyDescent="0.45">
      <c r="B1486" s="3" t="s">
        <v>446</v>
      </c>
      <c r="C1486" s="15" t="s">
        <v>1522</v>
      </c>
      <c r="D1486">
        <v>6200</v>
      </c>
      <c r="E1486">
        <v>1289</v>
      </c>
      <c r="F1486">
        <v>1920000</v>
      </c>
      <c r="G1486" s="5">
        <f t="shared" si="63"/>
        <v>1885769.6511590518</v>
      </c>
      <c r="H1486" s="6">
        <f t="shared" si="64"/>
        <v>34230.348840948194</v>
      </c>
      <c r="I1486" s="1">
        <f t="shared" si="62"/>
        <v>2055488.9197633667</v>
      </c>
      <c r="J1486" s="2">
        <f t="shared" si="60"/>
        <v>-135488.91976336669</v>
      </c>
    </row>
    <row r="1487" spans="2:10" ht="18" x14ac:dyDescent="0.45">
      <c r="B1487" s="3" t="s">
        <v>448</v>
      </c>
      <c r="C1487" s="15" t="s">
        <v>1523</v>
      </c>
      <c r="D1487">
        <v>6180</v>
      </c>
      <c r="E1487">
        <v>1287</v>
      </c>
      <c r="F1487">
        <v>1961000</v>
      </c>
      <c r="G1487" s="5">
        <f t="shared" si="63"/>
        <v>1876793.8816834383</v>
      </c>
      <c r="H1487" s="6">
        <f t="shared" si="64"/>
        <v>84206.118316561682</v>
      </c>
      <c r="I1487" s="1">
        <f t="shared" si="62"/>
        <v>2045705.3310349479</v>
      </c>
      <c r="J1487" s="2">
        <f t="shared" si="60"/>
        <v>-84705.331034947885</v>
      </c>
    </row>
    <row r="1488" spans="2:10" ht="18" x14ac:dyDescent="0.45">
      <c r="B1488" s="3" t="s">
        <v>438</v>
      </c>
      <c r="C1488" s="15" t="s">
        <v>1524</v>
      </c>
      <c r="D1488">
        <v>6170</v>
      </c>
      <c r="E1488">
        <v>1291.9000000000001</v>
      </c>
      <c r="F1488">
        <v>1953000</v>
      </c>
      <c r="G1488" s="5">
        <f t="shared" si="63"/>
        <v>1880880.0454329164</v>
      </c>
      <c r="H1488" s="6">
        <f t="shared" si="64"/>
        <v>72119.954567083623</v>
      </c>
      <c r="I1488" s="1">
        <f t="shared" si="62"/>
        <v>2050159.249521879</v>
      </c>
      <c r="J1488" s="2">
        <f t="shared" si="60"/>
        <v>-97159.249521879014</v>
      </c>
    </row>
    <row r="1489" spans="2:10" ht="18" x14ac:dyDescent="0.45">
      <c r="B1489" s="3" t="s">
        <v>719</v>
      </c>
      <c r="C1489" s="15" t="s">
        <v>1525</v>
      </c>
      <c r="D1489">
        <v>6130</v>
      </c>
      <c r="E1489">
        <v>1291.9000000000001</v>
      </c>
      <c r="F1489">
        <v>1952000</v>
      </c>
      <c r="G1489" s="5">
        <f t="shared" si="63"/>
        <v>1868718.7485419412</v>
      </c>
      <c r="H1489" s="6">
        <f t="shared" si="64"/>
        <v>83281.251458058832</v>
      </c>
      <c r="I1489" s="1">
        <f t="shared" si="62"/>
        <v>2036903.435910716</v>
      </c>
      <c r="J1489" s="2">
        <f t="shared" si="60"/>
        <v>-84903.435910715954</v>
      </c>
    </row>
    <row r="1490" spans="2:10" ht="18" x14ac:dyDescent="0.45">
      <c r="B1490" s="3" t="s">
        <v>442</v>
      </c>
      <c r="C1490" s="15" t="s">
        <v>1526</v>
      </c>
      <c r="D1490">
        <v>6230</v>
      </c>
      <c r="E1490">
        <v>1284</v>
      </c>
      <c r="F1490">
        <v>1999000</v>
      </c>
      <c r="G1490" s="5">
        <f t="shared" si="63"/>
        <v>1887539.3886120305</v>
      </c>
      <c r="H1490" s="6">
        <f t="shared" si="64"/>
        <v>111460.61138796946</v>
      </c>
      <c r="I1490" s="1">
        <f t="shared" si="62"/>
        <v>2057417.9335871134</v>
      </c>
      <c r="J1490" s="2">
        <f t="shared" si="60"/>
        <v>-58417.933587113395</v>
      </c>
    </row>
    <row r="1491" spans="2:10" ht="18" x14ac:dyDescent="0.45">
      <c r="B1491" s="3" t="s">
        <v>710</v>
      </c>
      <c r="C1491" s="15" t="s">
        <v>1527</v>
      </c>
      <c r="D1491">
        <v>6280</v>
      </c>
      <c r="E1491">
        <v>1293</v>
      </c>
      <c r="F1491">
        <v>2021000</v>
      </c>
      <c r="G1491" s="5">
        <f t="shared" si="63"/>
        <v>1915949.3228305948</v>
      </c>
      <c r="H1491" s="6">
        <f t="shared" si="64"/>
        <v>105050.67716940516</v>
      </c>
      <c r="I1491" s="1">
        <f t="shared" si="62"/>
        <v>2088384.7618853485</v>
      </c>
      <c r="J1491" s="2">
        <f t="shared" si="60"/>
        <v>-67384.761885348475</v>
      </c>
    </row>
    <row r="1492" spans="2:10" ht="18" x14ac:dyDescent="0.45">
      <c r="B1492" s="3" t="s">
        <v>446</v>
      </c>
      <c r="C1492" s="15" t="s">
        <v>1528</v>
      </c>
      <c r="D1492">
        <v>6280</v>
      </c>
      <c r="E1492">
        <v>1296</v>
      </c>
      <c r="F1492">
        <v>2005000</v>
      </c>
      <c r="G1492" s="5">
        <f t="shared" si="63"/>
        <v>1920383.0799601323</v>
      </c>
      <c r="H1492" s="6">
        <f t="shared" si="64"/>
        <v>84616.920039867749</v>
      </c>
      <c r="I1492" s="1">
        <f t="shared" si="62"/>
        <v>2093217.5571565444</v>
      </c>
      <c r="J1492" s="2">
        <f t="shared" si="60"/>
        <v>-88217.557156544412</v>
      </c>
    </row>
    <row r="1493" spans="2:10" ht="18" x14ac:dyDescent="0.45">
      <c r="B1493" s="3" t="s">
        <v>448</v>
      </c>
      <c r="C1493" s="15" t="s">
        <v>1529</v>
      </c>
      <c r="D1493">
        <v>6290</v>
      </c>
      <c r="E1493">
        <v>1297</v>
      </c>
      <c r="F1493">
        <v>2019000</v>
      </c>
      <c r="G1493" s="5">
        <f t="shared" si="63"/>
        <v>1924913.3254348454</v>
      </c>
      <c r="H1493" s="6">
        <f t="shared" si="64"/>
        <v>94086.674565154593</v>
      </c>
      <c r="I1493" s="1">
        <f t="shared" si="62"/>
        <v>2098155.5247239815</v>
      </c>
      <c r="J1493" s="2">
        <f t="shared" si="60"/>
        <v>-79155.524723981507</v>
      </c>
    </row>
    <row r="1494" spans="2:10" ht="18" x14ac:dyDescent="0.45">
      <c r="B1494" s="3" t="s">
        <v>438</v>
      </c>
      <c r="C1494" s="15" t="s">
        <v>1530</v>
      </c>
      <c r="D1494">
        <v>6250</v>
      </c>
      <c r="E1494">
        <v>1301.2</v>
      </c>
      <c r="F1494">
        <v>2023000</v>
      </c>
      <c r="G1494" s="5">
        <f t="shared" si="63"/>
        <v>1918881.6271742277</v>
      </c>
      <c r="H1494" s="6">
        <f t="shared" si="64"/>
        <v>104118.37282577227</v>
      </c>
      <c r="I1494" s="1">
        <f t="shared" si="62"/>
        <v>2091580.9736199083</v>
      </c>
      <c r="J1494" s="2">
        <f t="shared" si="60"/>
        <v>-68580.973619908327</v>
      </c>
    </row>
    <row r="1495" spans="2:10" ht="18" x14ac:dyDescent="0.45">
      <c r="B1495" s="3" t="s">
        <v>719</v>
      </c>
      <c r="C1495" s="15" t="s">
        <v>1531</v>
      </c>
      <c r="D1495">
        <v>6240</v>
      </c>
      <c r="E1495">
        <v>1301.2</v>
      </c>
      <c r="F1495">
        <v>2041000</v>
      </c>
      <c r="G1495" s="5">
        <f t="shared" si="63"/>
        <v>1915819.4165707489</v>
      </c>
      <c r="H1495" s="6">
        <f t="shared" si="64"/>
        <v>125180.5834292511</v>
      </c>
      <c r="I1495" s="1">
        <f t="shared" si="62"/>
        <v>2088243.1640621165</v>
      </c>
      <c r="J1495" s="2">
        <f t="shared" si="60"/>
        <v>-47243.164062116528</v>
      </c>
    </row>
    <row r="1496" spans="2:10" ht="18" x14ac:dyDescent="0.45">
      <c r="B1496" s="3" t="s">
        <v>442</v>
      </c>
      <c r="C1496" s="15" t="s">
        <v>1532</v>
      </c>
      <c r="D1496">
        <v>6310</v>
      </c>
      <c r="E1496">
        <v>1301.2</v>
      </c>
      <c r="F1496">
        <v>2060000</v>
      </c>
      <c r="G1496" s="5">
        <f t="shared" si="63"/>
        <v>1937254.8907951</v>
      </c>
      <c r="H1496" s="6">
        <f t="shared" si="64"/>
        <v>122745.10920489999</v>
      </c>
      <c r="I1496" s="1">
        <f t="shared" si="62"/>
        <v>2111607.8309666594</v>
      </c>
      <c r="J1496" s="2">
        <f t="shared" ref="J1496:J1559" si="65">F1496-I1496</f>
        <v>-51607.830966659356</v>
      </c>
    </row>
    <row r="1497" spans="2:10" ht="18" x14ac:dyDescent="0.45">
      <c r="B1497" s="3" t="s">
        <v>710</v>
      </c>
      <c r="C1497" s="15" t="s">
        <v>1533</v>
      </c>
      <c r="D1497">
        <v>6430</v>
      </c>
      <c r="E1497">
        <v>1301.2</v>
      </c>
      <c r="F1497">
        <v>2130000</v>
      </c>
      <c r="G1497" s="5">
        <f t="shared" si="63"/>
        <v>1974001.4180368453</v>
      </c>
      <c r="H1497" s="6">
        <f t="shared" si="64"/>
        <v>155998.58196315472</v>
      </c>
      <c r="I1497" s="1">
        <f t="shared" si="62"/>
        <v>2151661.5456601614</v>
      </c>
      <c r="J1497" s="2">
        <f t="shared" si="65"/>
        <v>-21661.545660161413</v>
      </c>
    </row>
    <row r="1498" spans="2:10" ht="18" x14ac:dyDescent="0.45">
      <c r="B1498" s="3" t="s">
        <v>446</v>
      </c>
      <c r="C1498" s="15" t="s">
        <v>1534</v>
      </c>
      <c r="D1498">
        <v>6460</v>
      </c>
      <c r="E1498">
        <v>1297</v>
      </c>
      <c r="F1498">
        <v>2134000</v>
      </c>
      <c r="G1498" s="5">
        <f>E1498/31.103*8.133*D1498*0.9+5000</f>
        <v>1976802.8747709224</v>
      </c>
      <c r="H1498" s="6">
        <f t="shared" si="64"/>
        <v>157197.12522907765</v>
      </c>
      <c r="I1498" s="1">
        <f t="shared" si="62"/>
        <v>2154715.1335003055</v>
      </c>
      <c r="J1498" s="2">
        <f t="shared" si="65"/>
        <v>-20715.13350030547</v>
      </c>
    </row>
    <row r="1499" spans="2:10" ht="18" x14ac:dyDescent="0.45">
      <c r="B1499" s="3" t="s">
        <v>448</v>
      </c>
      <c r="C1499" s="15" t="s">
        <v>1535</v>
      </c>
      <c r="D1499">
        <v>6440</v>
      </c>
      <c r="E1499">
        <v>1305</v>
      </c>
      <c r="F1499">
        <v>2149000</v>
      </c>
      <c r="G1499" s="5">
        <f>E1499/31.103*8.133*D1499*0.9+5000</f>
        <v>1982822.8061601771</v>
      </c>
      <c r="H1499" s="6">
        <f t="shared" si="64"/>
        <v>166177.1938398229</v>
      </c>
      <c r="I1499" s="1">
        <f t="shared" si="62"/>
        <v>2161276.8587145931</v>
      </c>
      <c r="J1499" s="2">
        <f t="shared" si="65"/>
        <v>-12276.858714593109</v>
      </c>
    </row>
    <row r="1500" spans="2:10" ht="18" x14ac:dyDescent="0.45">
      <c r="B1500" s="3" t="s">
        <v>438</v>
      </c>
      <c r="C1500" s="15" t="s">
        <v>1536</v>
      </c>
      <c r="D1500">
        <v>6400</v>
      </c>
      <c r="E1500">
        <v>1293.0999999999999</v>
      </c>
      <c r="F1500">
        <v>2130000</v>
      </c>
      <c r="G1500" s="5">
        <f>E1500/31.103*8.133*D1500*0.9+5000</f>
        <v>1952614.8939973633</v>
      </c>
      <c r="H1500" s="6">
        <f t="shared" si="64"/>
        <v>177385.10600263672</v>
      </c>
      <c r="I1500" s="1">
        <f t="shared" si="62"/>
        <v>2128350.2344571264</v>
      </c>
      <c r="J1500" s="2">
        <f t="shared" si="65"/>
        <v>1649.7655428736471</v>
      </c>
    </row>
    <row r="1501" spans="2:10" ht="18" x14ac:dyDescent="0.45">
      <c r="B1501" s="3" t="s">
        <v>719</v>
      </c>
      <c r="C1501" s="15" t="s">
        <v>1537</v>
      </c>
      <c r="D1501">
        <v>6420</v>
      </c>
      <c r="E1501">
        <v>1293.0999999999999</v>
      </c>
      <c r="F1501">
        <v>2165000</v>
      </c>
      <c r="G1501" s="5">
        <f>E1501/31.103*8.133*D1501*0.9+5000</f>
        <v>1958701.1905411051</v>
      </c>
      <c r="H1501" s="6">
        <f t="shared" si="64"/>
        <v>206298.80945889489</v>
      </c>
      <c r="I1501" s="1">
        <f t="shared" si="62"/>
        <v>2134984.2976898048</v>
      </c>
      <c r="J1501" s="2">
        <f t="shared" si="65"/>
        <v>30015.702310195193</v>
      </c>
    </row>
    <row r="1502" spans="2:10" ht="18" x14ac:dyDescent="0.45">
      <c r="B1502" s="3" t="s">
        <v>448</v>
      </c>
      <c r="C1502" s="15" t="s">
        <v>1538</v>
      </c>
      <c r="D1502">
        <v>6500</v>
      </c>
      <c r="E1502">
        <v>1305</v>
      </c>
      <c r="F1502">
        <v>2230000</v>
      </c>
      <c r="G1502" s="5">
        <f t="shared" ref="G1502:G1579" si="66">E1502/31.103*8.133*D1502*0.9+5000</f>
        <v>2001249.7267144646</v>
      </c>
      <c r="H1502" s="6">
        <f t="shared" si="64"/>
        <v>228750.2732855354</v>
      </c>
      <c r="I1502" s="1">
        <f t="shared" si="62"/>
        <v>2181362.2021187665</v>
      </c>
      <c r="J1502" s="2">
        <f t="shared" si="65"/>
        <v>48637.797881233506</v>
      </c>
    </row>
    <row r="1503" spans="2:10" ht="18" x14ac:dyDescent="0.45">
      <c r="B1503" s="3" t="s">
        <v>438</v>
      </c>
      <c r="C1503" s="15" t="s">
        <v>1539</v>
      </c>
      <c r="D1503">
        <v>6500</v>
      </c>
      <c r="E1503">
        <v>1299</v>
      </c>
      <c r="F1503">
        <v>2310000</v>
      </c>
      <c r="G1503" s="5">
        <f t="shared" si="66"/>
        <v>1992071.5670514093</v>
      </c>
      <c r="H1503" s="6">
        <f t="shared" si="64"/>
        <v>317928.43294859072</v>
      </c>
      <c r="I1503" s="1">
        <f t="shared" si="62"/>
        <v>2171358.0080860364</v>
      </c>
      <c r="J1503" s="2">
        <f t="shared" si="65"/>
        <v>138641.99191396357</v>
      </c>
    </row>
    <row r="1504" spans="2:10" ht="18" x14ac:dyDescent="0.45">
      <c r="B1504" s="3" t="s">
        <v>719</v>
      </c>
      <c r="C1504" s="15" t="s">
        <v>1540</v>
      </c>
      <c r="D1504">
        <v>6660</v>
      </c>
      <c r="E1504">
        <v>1299</v>
      </c>
      <c r="F1504">
        <v>2465000</v>
      </c>
      <c r="G1504" s="5">
        <f t="shared" si="66"/>
        <v>2040984.0979326749</v>
      </c>
      <c r="H1504" s="6">
        <f t="shared" si="64"/>
        <v>424015.90206732508</v>
      </c>
      <c r="I1504" s="1">
        <f t="shared" si="62"/>
        <v>2224672.6667466159</v>
      </c>
      <c r="J1504" s="2">
        <f t="shared" si="65"/>
        <v>240327.3332533841</v>
      </c>
    </row>
    <row r="1505" spans="2:10" ht="18" x14ac:dyDescent="0.45">
      <c r="B1505" s="3" t="s">
        <v>442</v>
      </c>
      <c r="C1505" s="15" t="s">
        <v>1541</v>
      </c>
      <c r="D1505">
        <v>6670</v>
      </c>
      <c r="E1505">
        <v>1295</v>
      </c>
      <c r="F1505">
        <v>2440000</v>
      </c>
      <c r="G1505" s="5">
        <f t="shared" si="66"/>
        <v>2037762.3285535157</v>
      </c>
      <c r="H1505" s="6">
        <f t="shared" si="64"/>
        <v>402237.67144648428</v>
      </c>
      <c r="I1505" s="1">
        <f t="shared" si="62"/>
        <v>2221160.9381233323</v>
      </c>
      <c r="J1505" s="2">
        <f t="shared" si="65"/>
        <v>218839.06187666766</v>
      </c>
    </row>
    <row r="1506" spans="2:10" ht="18" x14ac:dyDescent="0.45">
      <c r="B1506" s="3" t="s">
        <v>710</v>
      </c>
      <c r="C1506" s="15" t="s">
        <v>1542</v>
      </c>
      <c r="D1506">
        <v>7000</v>
      </c>
      <c r="E1506">
        <v>1296</v>
      </c>
      <c r="F1506">
        <v>2530000</v>
      </c>
      <c r="G1506" s="5">
        <f t="shared" si="66"/>
        <v>2139981.1400829498</v>
      </c>
      <c r="H1506" s="6">
        <f t="shared" si="64"/>
        <v>390018.85991705023</v>
      </c>
      <c r="I1506" s="1">
        <f t="shared" si="62"/>
        <v>2332579.4426904153</v>
      </c>
      <c r="J1506" s="2">
        <f t="shared" si="65"/>
        <v>197420.55730958469</v>
      </c>
    </row>
    <row r="1507" spans="2:10" ht="18" x14ac:dyDescent="0.45">
      <c r="B1507" s="3" t="s">
        <v>446</v>
      </c>
      <c r="C1507" s="15" t="s">
        <v>1543</v>
      </c>
      <c r="D1507">
        <v>7200</v>
      </c>
      <c r="E1507">
        <v>1293</v>
      </c>
      <c r="F1507">
        <v>2520000</v>
      </c>
      <c r="G1507" s="5">
        <f t="shared" si="66"/>
        <v>2195897.3127994081</v>
      </c>
      <c r="H1507" s="6">
        <f t="shared" si="64"/>
        <v>324102.6872005919</v>
      </c>
      <c r="I1507" s="1">
        <f t="shared" si="62"/>
        <v>2393528.0709513552</v>
      </c>
      <c r="J1507" s="2">
        <f t="shared" si="65"/>
        <v>126471.92904864484</v>
      </c>
    </row>
    <row r="1508" spans="2:10" ht="18" x14ac:dyDescent="0.45">
      <c r="B1508" s="3" t="s">
        <v>448</v>
      </c>
      <c r="C1508" s="15" t="s">
        <v>1544</v>
      </c>
      <c r="D1508">
        <v>6950</v>
      </c>
      <c r="E1508">
        <v>1305</v>
      </c>
      <c r="F1508">
        <v>2395000</v>
      </c>
      <c r="G1508" s="5">
        <f t="shared" si="66"/>
        <v>2139451.63087162</v>
      </c>
      <c r="H1508" s="6">
        <f t="shared" si="64"/>
        <v>255548.36912837997</v>
      </c>
      <c r="I1508" s="1">
        <f t="shared" si="62"/>
        <v>2332002.2776500662</v>
      </c>
      <c r="J1508" s="2">
        <f t="shared" si="65"/>
        <v>62997.722349933814</v>
      </c>
    </row>
    <row r="1509" spans="2:10" ht="18" x14ac:dyDescent="0.45">
      <c r="B1509" s="3" t="s">
        <v>440</v>
      </c>
      <c r="C1509" s="15" t="s">
        <v>1545</v>
      </c>
      <c r="D1509">
        <v>6920</v>
      </c>
      <c r="E1509">
        <v>1278.9000000000001</v>
      </c>
      <c r="F1509">
        <v>2405000</v>
      </c>
      <c r="G1509" s="5">
        <f t="shared" si="66"/>
        <v>2087733.4071825868</v>
      </c>
      <c r="H1509" s="6">
        <f t="shared" si="64"/>
        <v>317266.59281741315</v>
      </c>
      <c r="I1509" s="1">
        <f t="shared" si="62"/>
        <v>2275629.4138290198</v>
      </c>
      <c r="J1509" s="2">
        <f t="shared" si="65"/>
        <v>129370.58617098024</v>
      </c>
    </row>
    <row r="1510" spans="2:10" ht="18" x14ac:dyDescent="0.45">
      <c r="B1510" s="3" t="s">
        <v>442</v>
      </c>
      <c r="C1510" s="15" t="s">
        <v>1546</v>
      </c>
      <c r="D1510">
        <v>7150</v>
      </c>
      <c r="E1510">
        <v>1279</v>
      </c>
      <c r="F1510">
        <v>2475000</v>
      </c>
      <c r="G1510" s="5">
        <f t="shared" si="66"/>
        <v>2157125.471658682</v>
      </c>
      <c r="H1510" s="6">
        <f t="shared" si="64"/>
        <v>317874.52834131802</v>
      </c>
      <c r="I1510" s="1">
        <f t="shared" si="62"/>
        <v>2351266.7641079635</v>
      </c>
      <c r="J1510" s="2">
        <f t="shared" si="65"/>
        <v>123733.23589203646</v>
      </c>
    </row>
    <row r="1511" spans="2:10" ht="18" x14ac:dyDescent="0.45">
      <c r="B1511" s="3" t="s">
        <v>710</v>
      </c>
      <c r="C1511" s="15" t="s">
        <v>1547</v>
      </c>
      <c r="D1511">
        <v>7190</v>
      </c>
      <c r="E1511">
        <v>1272</v>
      </c>
      <c r="F1511">
        <v>2502000</v>
      </c>
      <c r="G1511" s="5">
        <f t="shared" si="66"/>
        <v>2157320.8017233061</v>
      </c>
      <c r="H1511" s="6">
        <f t="shared" si="64"/>
        <v>344679.19827669393</v>
      </c>
      <c r="I1511" s="1">
        <f t="shared" si="62"/>
        <v>2351479.6738784038</v>
      </c>
      <c r="J1511" s="2">
        <f t="shared" si="65"/>
        <v>150520.32612159615</v>
      </c>
    </row>
    <row r="1512" spans="2:10" ht="18" x14ac:dyDescent="0.45">
      <c r="B1512" s="3" t="s">
        <v>446</v>
      </c>
      <c r="C1512" s="15" t="s">
        <v>1548</v>
      </c>
      <c r="D1512">
        <v>7260</v>
      </c>
      <c r="E1512">
        <v>1271</v>
      </c>
      <c r="F1512">
        <v>2530000</v>
      </c>
      <c r="G1512" s="5">
        <f t="shared" si="66"/>
        <v>2176566.6965244506</v>
      </c>
      <c r="H1512" s="6">
        <f t="shared" si="64"/>
        <v>353433.30347554944</v>
      </c>
      <c r="I1512" s="1">
        <f t="shared" si="62"/>
        <v>2372457.6992116515</v>
      </c>
      <c r="J1512" s="2">
        <f t="shared" si="65"/>
        <v>157542.30078834854</v>
      </c>
    </row>
    <row r="1513" spans="2:10" ht="18" x14ac:dyDescent="0.45">
      <c r="B1513" s="3" t="s">
        <v>448</v>
      </c>
      <c r="C1513" s="15" t="s">
        <v>1549</v>
      </c>
      <c r="D1513">
        <v>7480</v>
      </c>
      <c r="E1513">
        <v>1262</v>
      </c>
      <c r="F1513">
        <v>2580000</v>
      </c>
      <c r="G1513" s="5">
        <f t="shared" si="66"/>
        <v>2226528.8323312863</v>
      </c>
      <c r="H1513" s="6">
        <f t="shared" si="64"/>
        <v>353471.16766871372</v>
      </c>
      <c r="I1513" s="1">
        <f t="shared" ref="I1513:I1584" si="67">G1513*1.09</f>
        <v>2426916.4272411023</v>
      </c>
      <c r="J1513" s="2">
        <f t="shared" si="65"/>
        <v>153083.57275889767</v>
      </c>
    </row>
    <row r="1514" spans="2:10" ht="18" x14ac:dyDescent="0.45">
      <c r="B1514" s="3" t="s">
        <v>438</v>
      </c>
      <c r="C1514" s="15" t="s">
        <v>1550</v>
      </c>
      <c r="D1514">
        <v>7700</v>
      </c>
      <c r="E1514">
        <v>1268.9000000000001</v>
      </c>
      <c r="F1514">
        <v>2680000</v>
      </c>
      <c r="G1514" s="5">
        <f t="shared" si="66"/>
        <v>2304371.3931453559</v>
      </c>
      <c r="H1514" s="6">
        <f t="shared" si="64"/>
        <v>375628.60685464414</v>
      </c>
      <c r="I1514" s="1">
        <f t="shared" si="67"/>
        <v>2511764.818528438</v>
      </c>
      <c r="J1514" s="2">
        <f t="shared" si="65"/>
        <v>168235.18147156201</v>
      </c>
    </row>
    <row r="1515" spans="2:10" ht="18" x14ac:dyDescent="0.45">
      <c r="B1515" s="3" t="s">
        <v>719</v>
      </c>
      <c r="C1515" s="15" t="s">
        <v>1551</v>
      </c>
      <c r="D1515">
        <v>8900</v>
      </c>
      <c r="E1515">
        <v>1268.9000000000001</v>
      </c>
      <c r="F1515">
        <v>2840000</v>
      </c>
      <c r="G1515" s="5">
        <f t="shared" si="66"/>
        <v>2662714.9868822941</v>
      </c>
      <c r="H1515" s="6">
        <f t="shared" si="64"/>
        <v>177285.01311770594</v>
      </c>
      <c r="I1515" s="1">
        <f t="shared" si="67"/>
        <v>2902359.3357017008</v>
      </c>
      <c r="J1515" s="2">
        <f t="shared" si="65"/>
        <v>-62359.335701700766</v>
      </c>
    </row>
    <row r="1516" spans="2:10" ht="18" x14ac:dyDescent="0.45">
      <c r="B1516" s="3" t="s">
        <v>442</v>
      </c>
      <c r="C1516" s="15" t="s">
        <v>1552</v>
      </c>
      <c r="D1516">
        <v>8600</v>
      </c>
      <c r="E1516">
        <v>1266</v>
      </c>
      <c r="F1516">
        <v>2900000</v>
      </c>
      <c r="G1516" s="5">
        <f t="shared" si="66"/>
        <v>2567259.7730122493</v>
      </c>
      <c r="H1516" s="6">
        <f t="shared" si="64"/>
        <v>332740.22698775074</v>
      </c>
      <c r="I1516" s="1">
        <f t="shared" si="67"/>
        <v>2798313.1525833518</v>
      </c>
      <c r="J1516" s="2">
        <f t="shared" si="65"/>
        <v>101686.84741664818</v>
      </c>
    </row>
    <row r="1517" spans="2:10" ht="18" x14ac:dyDescent="0.45">
      <c r="B1517" s="3" t="s">
        <v>710</v>
      </c>
      <c r="C1517" s="15" t="s">
        <v>1553</v>
      </c>
      <c r="D1517">
        <v>8100</v>
      </c>
      <c r="E1517">
        <v>1256</v>
      </c>
      <c r="F1517">
        <v>2830000</v>
      </c>
      <c r="G1517" s="5">
        <f t="shared" si="66"/>
        <v>2399228.849950165</v>
      </c>
      <c r="H1517" s="6">
        <f t="shared" si="64"/>
        <v>430771.15004983498</v>
      </c>
      <c r="I1517" s="1">
        <f t="shared" si="67"/>
        <v>2615159.4464456802</v>
      </c>
      <c r="J1517" s="2">
        <f t="shared" si="65"/>
        <v>214840.55355431978</v>
      </c>
    </row>
    <row r="1518" spans="2:10" ht="18" x14ac:dyDescent="0.45">
      <c r="B1518" s="3" t="s">
        <v>446</v>
      </c>
      <c r="C1518" s="15" t="s">
        <v>1554</v>
      </c>
      <c r="D1518">
        <v>7750</v>
      </c>
      <c r="E1518">
        <v>1257</v>
      </c>
      <c r="F1518">
        <v>2825000</v>
      </c>
      <c r="G1518" s="5">
        <f t="shared" si="66"/>
        <v>2297598.3819888756</v>
      </c>
      <c r="H1518" s="6">
        <f t="shared" si="64"/>
        <v>527401.61801112443</v>
      </c>
      <c r="I1518" s="1">
        <f t="shared" si="67"/>
        <v>2504382.2363678748</v>
      </c>
      <c r="J1518" s="2">
        <f t="shared" si="65"/>
        <v>320617.76363212522</v>
      </c>
    </row>
    <row r="1519" spans="2:10" ht="18" x14ac:dyDescent="0.45">
      <c r="B1519" s="3" t="s">
        <v>448</v>
      </c>
      <c r="C1519" s="15" t="s">
        <v>1555</v>
      </c>
      <c r="D1519">
        <v>8200</v>
      </c>
      <c r="E1519">
        <v>1249</v>
      </c>
      <c r="F1519">
        <v>2900000</v>
      </c>
      <c r="G1519" s="5">
        <f t="shared" si="66"/>
        <v>2415278.8624891485</v>
      </c>
      <c r="H1519" s="6">
        <f t="shared" si="64"/>
        <v>484721.13751085149</v>
      </c>
      <c r="I1519" s="1">
        <f t="shared" si="67"/>
        <v>2632653.960113172</v>
      </c>
      <c r="J1519" s="2">
        <f t="shared" si="65"/>
        <v>267346.03988682805</v>
      </c>
    </row>
    <row r="1520" spans="2:10" ht="18" x14ac:dyDescent="0.45">
      <c r="B1520" s="3" t="s">
        <v>438</v>
      </c>
      <c r="C1520" s="15" t="s">
        <v>1556</v>
      </c>
      <c r="D1520">
        <v>8050</v>
      </c>
      <c r="E1520">
        <v>1252.4000000000001</v>
      </c>
      <c r="F1520">
        <v>2895000</v>
      </c>
      <c r="G1520" s="5">
        <f t="shared" si="66"/>
        <v>2377629.5808764421</v>
      </c>
      <c r="H1520" s="6">
        <f t="shared" si="64"/>
        <v>517370.41912355786</v>
      </c>
      <c r="I1520" s="1">
        <f t="shared" si="67"/>
        <v>2591616.243155322</v>
      </c>
      <c r="J1520" s="2">
        <f t="shared" si="65"/>
        <v>303383.75684467796</v>
      </c>
    </row>
    <row r="1521" spans="2:10" ht="18" x14ac:dyDescent="0.45">
      <c r="B1521" s="3" t="s">
        <v>719</v>
      </c>
      <c r="C1521" s="15" t="s">
        <v>1557</v>
      </c>
      <c r="D1521">
        <v>8200</v>
      </c>
      <c r="E1521">
        <v>1252.4000000000001</v>
      </c>
      <c r="F1521">
        <v>2920000</v>
      </c>
      <c r="G1521" s="5">
        <f t="shared" si="66"/>
        <v>2421840.0699610966</v>
      </c>
      <c r="H1521" s="6">
        <f t="shared" si="64"/>
        <v>498159.93003890337</v>
      </c>
      <c r="I1521" s="1">
        <f t="shared" si="67"/>
        <v>2639805.6762575954</v>
      </c>
      <c r="J1521" s="2">
        <f t="shared" si="65"/>
        <v>280194.32374240458</v>
      </c>
    </row>
    <row r="1522" spans="2:10" ht="18" x14ac:dyDescent="0.45">
      <c r="B1522" s="3" t="s">
        <v>442</v>
      </c>
      <c r="C1522" s="15" t="s">
        <v>1558</v>
      </c>
      <c r="D1522">
        <v>8330</v>
      </c>
      <c r="E1522">
        <v>1248</v>
      </c>
      <c r="F1522">
        <v>2994000</v>
      </c>
      <c r="G1522" s="5">
        <f t="shared" si="66"/>
        <v>2451530.2397839432</v>
      </c>
      <c r="H1522" s="6">
        <f t="shared" si="64"/>
        <v>542469.76021605683</v>
      </c>
      <c r="I1522" s="1">
        <f t="shared" si="67"/>
        <v>2672167.9613644984</v>
      </c>
      <c r="J1522" s="2">
        <f t="shared" si="65"/>
        <v>321832.03863550164</v>
      </c>
    </row>
    <row r="1523" spans="2:10" ht="18" x14ac:dyDescent="0.45">
      <c r="B1523" s="3" t="s">
        <v>710</v>
      </c>
      <c r="C1523" s="15" t="s">
        <v>1559</v>
      </c>
      <c r="D1523">
        <v>8100</v>
      </c>
      <c r="E1523">
        <v>1245</v>
      </c>
      <c r="F1523">
        <v>2950000</v>
      </c>
      <c r="G1523" s="5">
        <f t="shared" si="66"/>
        <v>2378260.2851814935</v>
      </c>
      <c r="H1523" s="6">
        <f t="shared" si="64"/>
        <v>571739.7148185065</v>
      </c>
      <c r="I1523" s="1">
        <f t="shared" si="67"/>
        <v>2592303.7108478281</v>
      </c>
      <c r="J1523" s="2">
        <f t="shared" si="65"/>
        <v>357696.28915217193</v>
      </c>
    </row>
    <row r="1524" spans="2:10" ht="18" x14ac:dyDescent="0.45">
      <c r="B1524" s="3" t="s">
        <v>446</v>
      </c>
      <c r="C1524" s="15" t="s">
        <v>1560</v>
      </c>
      <c r="D1524">
        <v>8020</v>
      </c>
      <c r="E1524">
        <v>1254</v>
      </c>
      <c r="F1524">
        <v>2898000</v>
      </c>
      <c r="G1524" s="5">
        <f t="shared" si="66"/>
        <v>2371807.3329260838</v>
      </c>
      <c r="H1524" s="6">
        <f t="shared" si="64"/>
        <v>526192.66707391618</v>
      </c>
      <c r="I1524" s="1">
        <f t="shared" si="67"/>
        <v>2585269.9928894318</v>
      </c>
      <c r="J1524" s="2">
        <f t="shared" si="65"/>
        <v>312730.00711056823</v>
      </c>
    </row>
    <row r="1525" spans="2:10" ht="18" x14ac:dyDescent="0.45">
      <c r="B1525" s="3" t="s">
        <v>448</v>
      </c>
      <c r="C1525" s="15" t="s">
        <v>1561</v>
      </c>
      <c r="D1525">
        <v>7750</v>
      </c>
      <c r="E1525">
        <v>1254</v>
      </c>
      <c r="F1525">
        <v>2780000</v>
      </c>
      <c r="G1525" s="5">
        <f t="shared" si="66"/>
        <v>2292126.7868051305</v>
      </c>
      <c r="H1525" s="6">
        <f t="shared" si="64"/>
        <v>487873.21319486946</v>
      </c>
      <c r="I1525" s="1">
        <f t="shared" si="67"/>
        <v>2498418.1976175923</v>
      </c>
      <c r="J1525" s="2">
        <f t="shared" si="65"/>
        <v>281581.80238240771</v>
      </c>
    </row>
    <row r="1526" spans="2:10" ht="18" x14ac:dyDescent="0.45">
      <c r="B1526" s="3" t="s">
        <v>438</v>
      </c>
      <c r="C1526" s="15" t="s">
        <v>1562</v>
      </c>
      <c r="D1526">
        <v>8050</v>
      </c>
      <c r="E1526">
        <v>1254.5</v>
      </c>
      <c r="F1526">
        <v>2880000</v>
      </c>
      <c r="G1526" s="5">
        <f t="shared" si="66"/>
        <v>2381607.9600842362</v>
      </c>
      <c r="H1526" s="6">
        <f t="shared" si="64"/>
        <v>498392.03991576377</v>
      </c>
      <c r="I1526" s="1">
        <f t="shared" si="67"/>
        <v>2595952.6764918175</v>
      </c>
      <c r="J1526" s="2">
        <f t="shared" si="65"/>
        <v>284047.32350818254</v>
      </c>
    </row>
    <row r="1527" spans="2:10" ht="18" x14ac:dyDescent="0.45">
      <c r="B1527" s="3" t="s">
        <v>719</v>
      </c>
      <c r="C1527" s="15" t="s">
        <v>1563</v>
      </c>
      <c r="D1527">
        <v>7970</v>
      </c>
      <c r="E1527">
        <v>1254.5</v>
      </c>
      <c r="F1527">
        <v>2875000</v>
      </c>
      <c r="G1527" s="5">
        <f t="shared" si="66"/>
        <v>2357989.4958846411</v>
      </c>
      <c r="H1527" s="6">
        <f t="shared" si="64"/>
        <v>517010.50411535893</v>
      </c>
      <c r="I1527" s="1">
        <f t="shared" si="67"/>
        <v>2570208.5505142589</v>
      </c>
      <c r="J1527" s="2">
        <f t="shared" si="65"/>
        <v>304791.44948574109</v>
      </c>
    </row>
    <row r="1528" spans="2:10" ht="18" x14ac:dyDescent="0.45">
      <c r="B1528" s="3" t="s">
        <v>671</v>
      </c>
      <c r="C1528" s="15" t="s">
        <v>1564</v>
      </c>
      <c r="D1528">
        <v>7900</v>
      </c>
      <c r="E1528">
        <v>1248</v>
      </c>
      <c r="F1528">
        <v>2780000</v>
      </c>
      <c r="G1528" s="5">
        <f t="shared" si="66"/>
        <v>2325238.7628203067</v>
      </c>
      <c r="H1528" s="6">
        <f t="shared" si="64"/>
        <v>454761.2371796933</v>
      </c>
      <c r="I1528" s="1">
        <f t="shared" si="67"/>
        <v>2534510.2514741346</v>
      </c>
      <c r="J1528" s="2">
        <f t="shared" si="65"/>
        <v>245489.74852586538</v>
      </c>
    </row>
    <row r="1529" spans="2:10" ht="18" x14ac:dyDescent="0.45">
      <c r="B1529" s="3" t="s">
        <v>446</v>
      </c>
      <c r="C1529" s="15" t="s">
        <v>1565</v>
      </c>
      <c r="D1529">
        <v>7770</v>
      </c>
      <c r="E1529">
        <v>1249</v>
      </c>
      <c r="F1529">
        <v>2680000</v>
      </c>
      <c r="G1529" s="5">
        <f t="shared" si="66"/>
        <v>2288886.1904317909</v>
      </c>
      <c r="H1529" s="6">
        <f t="shared" si="64"/>
        <v>391113.80956820911</v>
      </c>
      <c r="I1529" s="1">
        <f t="shared" si="67"/>
        <v>2494885.9475706522</v>
      </c>
      <c r="J1529" s="2">
        <f t="shared" si="65"/>
        <v>185114.05242934776</v>
      </c>
    </row>
    <row r="1530" spans="2:10" ht="18" x14ac:dyDescent="0.45">
      <c r="B1530" s="3" t="s">
        <v>448</v>
      </c>
      <c r="C1530" s="15" t="s">
        <v>1566</v>
      </c>
      <c r="D1530">
        <v>7720</v>
      </c>
      <c r="E1530">
        <v>1249</v>
      </c>
      <c r="F1530">
        <v>2700000</v>
      </c>
      <c r="G1530" s="5">
        <f t="shared" si="66"/>
        <v>2274189.36809954</v>
      </c>
      <c r="H1530" s="6">
        <f t="shared" si="64"/>
        <v>425810.63190045999</v>
      </c>
      <c r="I1530" s="1">
        <f t="shared" si="67"/>
        <v>2478866.4112284989</v>
      </c>
      <c r="J1530" s="2">
        <f t="shared" si="65"/>
        <v>221133.58877150109</v>
      </c>
    </row>
    <row r="1531" spans="2:10" ht="18" x14ac:dyDescent="0.45">
      <c r="B1531" s="3" t="s">
        <v>438</v>
      </c>
      <c r="C1531" s="15" t="s">
        <v>1567</v>
      </c>
      <c r="D1531">
        <v>7910</v>
      </c>
      <c r="E1531">
        <v>1241</v>
      </c>
      <c r="F1531">
        <v>2810000</v>
      </c>
      <c r="G1531" s="5">
        <f t="shared" si="66"/>
        <v>2315145.1405652184</v>
      </c>
      <c r="H1531" s="6">
        <f t="shared" si="64"/>
        <v>494854.8594347816</v>
      </c>
      <c r="I1531" s="1">
        <f t="shared" si="67"/>
        <v>2523508.2032160885</v>
      </c>
      <c r="J1531" s="2">
        <f t="shared" si="65"/>
        <v>286491.79678391153</v>
      </c>
    </row>
    <row r="1532" spans="2:10" ht="18" x14ac:dyDescent="0.45">
      <c r="B1532" s="3" t="s">
        <v>719</v>
      </c>
      <c r="C1532" s="15" t="s">
        <v>1568</v>
      </c>
      <c r="D1532">
        <v>8210</v>
      </c>
      <c r="E1532">
        <v>1241</v>
      </c>
      <c r="F1532">
        <v>2870000</v>
      </c>
      <c r="G1532" s="5">
        <f t="shared" si="66"/>
        <v>2402761.2647333047</v>
      </c>
      <c r="H1532" s="6">
        <f t="shared" si="64"/>
        <v>467238.73526669526</v>
      </c>
      <c r="I1532" s="1">
        <f t="shared" si="67"/>
        <v>2619009.7785593024</v>
      </c>
      <c r="J1532" s="2">
        <f t="shared" si="65"/>
        <v>250990.22144069755</v>
      </c>
    </row>
    <row r="1533" spans="2:10" ht="18" x14ac:dyDescent="0.45">
      <c r="B1533" s="3" t="s">
        <v>442</v>
      </c>
      <c r="C1533" s="15" t="s">
        <v>1569</v>
      </c>
      <c r="D1533">
        <v>8010</v>
      </c>
      <c r="E1533">
        <v>1243</v>
      </c>
      <c r="F1533">
        <v>2780000</v>
      </c>
      <c r="G1533" s="5">
        <f t="shared" si="66"/>
        <v>2348120.6208725846</v>
      </c>
      <c r="H1533" s="6">
        <f t="shared" si="64"/>
        <v>431879.37912741536</v>
      </c>
      <c r="I1533" s="1">
        <f t="shared" si="67"/>
        <v>2559451.4767511175</v>
      </c>
      <c r="J1533" s="2">
        <f t="shared" si="65"/>
        <v>220548.5232488825</v>
      </c>
    </row>
    <row r="1534" spans="2:10" ht="18" x14ac:dyDescent="0.45">
      <c r="B1534" s="3" t="s">
        <v>710</v>
      </c>
      <c r="C1534" s="15" t="s">
        <v>1570</v>
      </c>
      <c r="D1534">
        <v>8050</v>
      </c>
      <c r="E1534">
        <v>1243</v>
      </c>
      <c r="F1534">
        <v>2820000</v>
      </c>
      <c r="G1534" s="5">
        <f t="shared" si="66"/>
        <v>2359821.5977558433</v>
      </c>
      <c r="H1534" s="6">
        <f t="shared" si="64"/>
        <v>460178.40224415669</v>
      </c>
      <c r="I1534" s="1">
        <f t="shared" si="67"/>
        <v>2572205.5415538694</v>
      </c>
      <c r="J1534" s="2">
        <f t="shared" si="65"/>
        <v>247794.45844613062</v>
      </c>
    </row>
    <row r="1535" spans="2:10" ht="18" x14ac:dyDescent="0.45">
      <c r="B1535" s="3" t="s">
        <v>446</v>
      </c>
      <c r="C1535" s="15" t="s">
        <v>1571</v>
      </c>
      <c r="D1535">
        <v>8130</v>
      </c>
      <c r="E1535">
        <v>1221</v>
      </c>
      <c r="F1535">
        <v>2880000</v>
      </c>
      <c r="G1535" s="5">
        <f t="shared" si="66"/>
        <v>2341131.099283027</v>
      </c>
      <c r="H1535" s="6">
        <f t="shared" si="64"/>
        <v>538868.900716973</v>
      </c>
      <c r="I1535" s="1">
        <f t="shared" si="67"/>
        <v>2551832.8982184995</v>
      </c>
      <c r="J1535" s="2">
        <f t="shared" si="65"/>
        <v>328167.1017815005</v>
      </c>
    </row>
    <row r="1536" spans="2:10" ht="18" x14ac:dyDescent="0.45">
      <c r="B1536" s="3" t="s">
        <v>448</v>
      </c>
      <c r="C1536" s="15" t="s">
        <v>1572</v>
      </c>
      <c r="D1536">
        <v>8250</v>
      </c>
      <c r="E1536">
        <v>1212</v>
      </c>
      <c r="F1536">
        <v>2990000</v>
      </c>
      <c r="G1536" s="5">
        <f t="shared" si="66"/>
        <v>2358138.9351509498</v>
      </c>
      <c r="H1536" s="6">
        <f t="shared" si="64"/>
        <v>631861.06484905025</v>
      </c>
      <c r="I1536" s="1">
        <f t="shared" si="67"/>
        <v>2570371.4393145354</v>
      </c>
      <c r="J1536" s="2">
        <f t="shared" si="65"/>
        <v>419628.56068546465</v>
      </c>
    </row>
    <row r="1537" spans="2:10" ht="18" x14ac:dyDescent="0.45">
      <c r="B1537" s="3" t="s">
        <v>438</v>
      </c>
      <c r="C1537" s="15" t="s">
        <v>1573</v>
      </c>
      <c r="D1537">
        <v>8500</v>
      </c>
      <c r="E1537">
        <v>1231.5</v>
      </c>
      <c r="F1537">
        <v>3110000</v>
      </c>
      <c r="G1537" s="5">
        <f t="shared" si="66"/>
        <v>2468453.3541780529</v>
      </c>
      <c r="H1537" s="6">
        <f t="shared" si="64"/>
        <v>641546.64582194714</v>
      </c>
      <c r="I1537" s="1">
        <f t="shared" si="67"/>
        <v>2690614.1560540777</v>
      </c>
      <c r="J1537" s="2">
        <f t="shared" si="65"/>
        <v>419385.84394592233</v>
      </c>
    </row>
    <row r="1538" spans="2:10" ht="18" x14ac:dyDescent="0.45">
      <c r="B1538" s="3" t="s">
        <v>719</v>
      </c>
      <c r="C1538" s="15" t="s">
        <v>1574</v>
      </c>
      <c r="D1538">
        <v>8900</v>
      </c>
      <c r="E1538">
        <v>1231.5</v>
      </c>
      <c r="F1538">
        <v>3250000</v>
      </c>
      <c r="G1538" s="5">
        <f t="shared" si="66"/>
        <v>2584380.5708452552</v>
      </c>
      <c r="H1538" s="6">
        <f t="shared" ref="H1538:H1601" si="68">F:F-G:G</f>
        <v>665619.42915474484</v>
      </c>
      <c r="I1538" s="1">
        <f t="shared" si="67"/>
        <v>2816974.8222213285</v>
      </c>
      <c r="J1538" s="2">
        <f t="shared" si="65"/>
        <v>433025.1777786715</v>
      </c>
    </row>
    <row r="1539" spans="2:10" ht="18" x14ac:dyDescent="0.45">
      <c r="B1539" s="3" t="s">
        <v>442</v>
      </c>
      <c r="C1539" s="15" t="s">
        <v>1575</v>
      </c>
      <c r="D1539">
        <v>9100</v>
      </c>
      <c r="E1539">
        <v>1229</v>
      </c>
      <c r="F1539">
        <v>3350000</v>
      </c>
      <c r="G1539" s="5">
        <f t="shared" si="66"/>
        <v>2636990.2527087415</v>
      </c>
      <c r="H1539" s="6">
        <f t="shared" si="68"/>
        <v>713009.74729125854</v>
      </c>
      <c r="I1539" s="1">
        <f t="shared" si="67"/>
        <v>2874319.3754525282</v>
      </c>
      <c r="J1539" s="2">
        <f t="shared" si="65"/>
        <v>475680.62454747176</v>
      </c>
    </row>
    <row r="1540" spans="2:10" ht="18" x14ac:dyDescent="0.45">
      <c r="B1540" s="3" t="s">
        <v>710</v>
      </c>
      <c r="C1540" s="15" t="s">
        <v>1576</v>
      </c>
      <c r="D1540">
        <v>9400</v>
      </c>
      <c r="E1540">
        <v>1226</v>
      </c>
      <c r="F1540">
        <v>3480000</v>
      </c>
      <c r="G1540" s="5">
        <f t="shared" si="66"/>
        <v>2717122.6466900292</v>
      </c>
      <c r="H1540" s="6">
        <f t="shared" si="68"/>
        <v>762877.35330997081</v>
      </c>
      <c r="I1540" s="1">
        <f t="shared" si="67"/>
        <v>2961663.6848921319</v>
      </c>
      <c r="J1540" s="2">
        <f t="shared" si="65"/>
        <v>518336.31510786805</v>
      </c>
    </row>
    <row r="1541" spans="2:10" ht="18" x14ac:dyDescent="0.45">
      <c r="B1541" s="3" t="s">
        <v>446</v>
      </c>
      <c r="C1541" s="15" t="s">
        <v>1577</v>
      </c>
      <c r="D1541">
        <v>9300</v>
      </c>
      <c r="E1541">
        <v>1231</v>
      </c>
      <c r="F1541">
        <v>3430000</v>
      </c>
      <c r="G1541" s="5">
        <f t="shared" si="66"/>
        <v>2699213.4684757097</v>
      </c>
      <c r="H1541" s="6">
        <f t="shared" si="68"/>
        <v>730786.53152429033</v>
      </c>
      <c r="I1541" s="1">
        <f t="shared" si="67"/>
        <v>2942142.6806385238</v>
      </c>
      <c r="J1541" s="2">
        <f t="shared" si="65"/>
        <v>487857.31936147623</v>
      </c>
    </row>
    <row r="1542" spans="2:10" ht="18" x14ac:dyDescent="0.45">
      <c r="B1542" s="3" t="s">
        <v>448</v>
      </c>
      <c r="C1542" s="15" t="s">
        <v>1578</v>
      </c>
      <c r="D1542">
        <v>9300</v>
      </c>
      <c r="E1542">
        <v>1228</v>
      </c>
      <c r="F1542">
        <v>3450000</v>
      </c>
      <c r="G1542" s="5">
        <f t="shared" si="66"/>
        <v>2692647.5542552159</v>
      </c>
      <c r="H1542" s="6">
        <f t="shared" si="68"/>
        <v>757352.44574478408</v>
      </c>
      <c r="I1542" s="1">
        <f t="shared" si="67"/>
        <v>2934985.8341381857</v>
      </c>
      <c r="J1542" s="2">
        <f t="shared" si="65"/>
        <v>515014.16586181428</v>
      </c>
    </row>
    <row r="1543" spans="2:10" ht="18" x14ac:dyDescent="0.45">
      <c r="B1543" s="3" t="s">
        <v>438</v>
      </c>
      <c r="C1543" s="15" t="s">
        <v>1579</v>
      </c>
      <c r="D1543">
        <v>10100</v>
      </c>
      <c r="E1543">
        <v>1223.2</v>
      </c>
      <c r="F1543">
        <v>3680000</v>
      </c>
      <c r="G1543" s="5">
        <f t="shared" si="66"/>
        <v>2912433.8843198405</v>
      </c>
      <c r="H1543" s="6">
        <f t="shared" si="68"/>
        <v>767566.11568015954</v>
      </c>
      <c r="I1543" s="1">
        <f t="shared" si="67"/>
        <v>3174552.9339086264</v>
      </c>
      <c r="J1543" s="2">
        <f t="shared" si="65"/>
        <v>505447.06609137356</v>
      </c>
    </row>
    <row r="1544" spans="2:10" ht="18" x14ac:dyDescent="0.45">
      <c r="B1544" s="3" t="s">
        <v>719</v>
      </c>
      <c r="C1544" s="15" t="s">
        <v>1580</v>
      </c>
      <c r="D1544">
        <v>10700</v>
      </c>
      <c r="E1544">
        <v>1223.2</v>
      </c>
      <c r="F1544">
        <v>4100000</v>
      </c>
      <c r="G1544" s="5">
        <f t="shared" si="66"/>
        <v>3085152.7289329004</v>
      </c>
      <c r="H1544" s="6">
        <f t="shared" si="68"/>
        <v>1014847.2710670996</v>
      </c>
      <c r="I1544" s="1">
        <f t="shared" si="67"/>
        <v>3362816.4745368618</v>
      </c>
      <c r="J1544" s="2">
        <f t="shared" si="65"/>
        <v>737183.52546313824</v>
      </c>
    </row>
    <row r="1545" spans="2:10" ht="18" x14ac:dyDescent="0.45">
      <c r="B1545" s="3" t="s">
        <v>442</v>
      </c>
      <c r="C1545" s="15" t="s">
        <v>1581</v>
      </c>
      <c r="D1545">
        <v>11700</v>
      </c>
      <c r="E1545">
        <v>1222</v>
      </c>
      <c r="F1545">
        <v>4500000</v>
      </c>
      <c r="G1545" s="5">
        <f t="shared" si="66"/>
        <v>3369713.3324759668</v>
      </c>
      <c r="H1545" s="6">
        <f t="shared" si="68"/>
        <v>1130286.6675240332</v>
      </c>
      <c r="I1545" s="1">
        <f t="shared" si="67"/>
        <v>3672987.5323988041</v>
      </c>
      <c r="J1545" s="2">
        <f t="shared" si="65"/>
        <v>827012.46760119591</v>
      </c>
    </row>
    <row r="1546" spans="2:10" ht="18" x14ac:dyDescent="0.45">
      <c r="B1546" s="3" t="s">
        <v>710</v>
      </c>
      <c r="C1546" s="15" t="s">
        <v>1582</v>
      </c>
      <c r="D1546">
        <v>10500</v>
      </c>
      <c r="E1546">
        <v>1220</v>
      </c>
      <c r="F1546">
        <v>3990000</v>
      </c>
      <c r="G1546" s="5">
        <f t="shared" si="66"/>
        <v>3019672.4431726844</v>
      </c>
      <c r="H1546" s="6">
        <f t="shared" si="68"/>
        <v>970327.5568273156</v>
      </c>
      <c r="I1546" s="1">
        <f t="shared" si="67"/>
        <v>3291442.9630582263</v>
      </c>
      <c r="J1546" s="2">
        <f t="shared" si="65"/>
        <v>698557.03694177372</v>
      </c>
    </row>
    <row r="1547" spans="2:10" ht="18" x14ac:dyDescent="0.45">
      <c r="B1547" s="3" t="s">
        <v>446</v>
      </c>
      <c r="C1547" s="15" t="s">
        <v>1583</v>
      </c>
      <c r="D1547">
        <v>10500</v>
      </c>
      <c r="E1547">
        <v>1222</v>
      </c>
      <c r="F1547">
        <v>3850000</v>
      </c>
      <c r="G1547" s="5">
        <f t="shared" si="66"/>
        <v>3024614.5291450983</v>
      </c>
      <c r="H1547" s="6">
        <f t="shared" si="68"/>
        <v>825385.47085490171</v>
      </c>
      <c r="I1547" s="1">
        <f t="shared" si="67"/>
        <v>3296829.8367681573</v>
      </c>
      <c r="J1547" s="2">
        <f t="shared" si="65"/>
        <v>553170.16323184269</v>
      </c>
    </row>
    <row r="1548" spans="2:10" ht="18" x14ac:dyDescent="0.45">
      <c r="B1548" s="3" t="s">
        <v>448</v>
      </c>
      <c r="C1548" s="15" t="s">
        <v>1584</v>
      </c>
      <c r="D1548">
        <v>10800</v>
      </c>
      <c r="E1548">
        <v>1222</v>
      </c>
      <c r="F1548">
        <v>3970000</v>
      </c>
      <c r="G1548" s="5">
        <f t="shared" si="66"/>
        <v>3110889.2299778154</v>
      </c>
      <c r="H1548" s="6">
        <f t="shared" si="68"/>
        <v>859110.77002218459</v>
      </c>
      <c r="I1548" s="1">
        <f t="shared" si="67"/>
        <v>3390869.2606758191</v>
      </c>
      <c r="J1548" s="2">
        <f t="shared" si="65"/>
        <v>579130.73932418087</v>
      </c>
    </row>
    <row r="1549" spans="2:10" ht="18" x14ac:dyDescent="0.45">
      <c r="B1549" s="3" t="s">
        <v>438</v>
      </c>
      <c r="C1549" s="15" t="s">
        <v>1585</v>
      </c>
      <c r="D1549">
        <v>10200</v>
      </c>
      <c r="E1549">
        <v>1213.3</v>
      </c>
      <c r="F1549">
        <v>3820000</v>
      </c>
      <c r="G1549" s="5">
        <f t="shared" si="66"/>
        <v>2917455.9850175218</v>
      </c>
      <c r="H1549" s="6">
        <f t="shared" si="68"/>
        <v>902544.01498247823</v>
      </c>
      <c r="I1549" s="1">
        <f t="shared" si="67"/>
        <v>3180027.023669099</v>
      </c>
      <c r="J1549" s="2">
        <f t="shared" si="65"/>
        <v>639972.97633090103</v>
      </c>
    </row>
    <row r="1550" spans="2:10" ht="18" x14ac:dyDescent="0.45">
      <c r="B1550" s="3" t="s">
        <v>719</v>
      </c>
      <c r="C1550" s="15" t="s">
        <v>1586</v>
      </c>
      <c r="D1550">
        <v>9800</v>
      </c>
      <c r="E1550">
        <v>1213.3</v>
      </c>
      <c r="F1550">
        <v>3660000</v>
      </c>
      <c r="G1550" s="5">
        <f t="shared" si="66"/>
        <v>2803242.0248207562</v>
      </c>
      <c r="H1550" s="6">
        <f t="shared" si="68"/>
        <v>856757.97517924383</v>
      </c>
      <c r="I1550" s="1">
        <f t="shared" si="67"/>
        <v>3055533.8070546244</v>
      </c>
      <c r="J1550" s="2">
        <f t="shared" si="65"/>
        <v>604466.19294537557</v>
      </c>
    </row>
    <row r="1551" spans="2:10" ht="18" x14ac:dyDescent="0.45">
      <c r="B1551" s="3" t="s">
        <v>442</v>
      </c>
      <c r="C1551" s="15" t="s">
        <v>1587</v>
      </c>
      <c r="D1551">
        <v>9550</v>
      </c>
      <c r="E1551">
        <v>1208</v>
      </c>
      <c r="F1551">
        <v>3410000</v>
      </c>
      <c r="G1551" s="5">
        <f t="shared" si="66"/>
        <v>2719946.6958171232</v>
      </c>
      <c r="H1551" s="6">
        <f t="shared" si="68"/>
        <v>690053.30418287683</v>
      </c>
      <c r="I1551" s="1">
        <f t="shared" si="67"/>
        <v>2964741.8984406646</v>
      </c>
      <c r="J1551" s="2">
        <f t="shared" si="65"/>
        <v>445258.10155933537</v>
      </c>
    </row>
    <row r="1552" spans="2:10" ht="18" x14ac:dyDescent="0.45">
      <c r="B1552" s="3" t="s">
        <v>710</v>
      </c>
      <c r="C1552" s="15" t="s">
        <v>1588</v>
      </c>
      <c r="D1552">
        <v>9400</v>
      </c>
      <c r="E1552">
        <v>1213</v>
      </c>
      <c r="F1552">
        <v>3320000</v>
      </c>
      <c r="G1552" s="5">
        <f t="shared" si="66"/>
        <v>2688364.4130791239</v>
      </c>
      <c r="H1552" s="6">
        <f t="shared" si="68"/>
        <v>631635.58692087606</v>
      </c>
      <c r="I1552" s="1">
        <f t="shared" si="67"/>
        <v>2930317.2102562455</v>
      </c>
      <c r="J1552" s="2">
        <f t="shared" si="65"/>
        <v>389682.78974375455</v>
      </c>
    </row>
    <row r="1553" spans="2:10" ht="18" x14ac:dyDescent="0.45">
      <c r="B1553" s="3" t="s">
        <v>446</v>
      </c>
      <c r="C1553" s="15" t="s">
        <v>1589</v>
      </c>
      <c r="D1553">
        <v>9700</v>
      </c>
      <c r="E1553">
        <v>1209</v>
      </c>
      <c r="F1553">
        <v>3600000</v>
      </c>
      <c r="G1553" s="5">
        <f t="shared" si="66"/>
        <v>2764872.6106806411</v>
      </c>
      <c r="H1553" s="6">
        <f t="shared" si="68"/>
        <v>835127.38931935886</v>
      </c>
      <c r="I1553" s="1">
        <f t="shared" si="67"/>
        <v>3013711.1456418992</v>
      </c>
      <c r="J1553" s="2">
        <f t="shared" si="65"/>
        <v>586288.8543581008</v>
      </c>
    </row>
    <row r="1554" spans="2:10" ht="18" x14ac:dyDescent="0.45">
      <c r="B1554" s="3" t="s">
        <v>448</v>
      </c>
      <c r="C1554" s="15" t="s">
        <v>1590</v>
      </c>
      <c r="D1554">
        <v>10450</v>
      </c>
      <c r="E1554">
        <v>1210</v>
      </c>
      <c r="F1554">
        <v>3920000</v>
      </c>
      <c r="G1554" s="5">
        <f t="shared" si="66"/>
        <v>2980724.0989615144</v>
      </c>
      <c r="H1554" s="6">
        <f t="shared" si="68"/>
        <v>939275.90103848558</v>
      </c>
      <c r="I1554" s="1">
        <f t="shared" si="67"/>
        <v>3248989.2678680508</v>
      </c>
      <c r="J1554" s="2">
        <f t="shared" si="65"/>
        <v>671010.73213194916</v>
      </c>
    </row>
    <row r="1555" spans="2:10" ht="18" x14ac:dyDescent="0.45">
      <c r="B1555" s="3" t="s">
        <v>438</v>
      </c>
      <c r="C1555" s="15" t="s">
        <v>1591</v>
      </c>
      <c r="D1555">
        <v>10600</v>
      </c>
      <c r="E1555">
        <v>1211.2</v>
      </c>
      <c r="F1555">
        <v>3860000</v>
      </c>
      <c r="G1555" s="5">
        <f t="shared" si="66"/>
        <v>3026431.3340835287</v>
      </c>
      <c r="H1555" s="6">
        <f t="shared" si="68"/>
        <v>833568.66591647128</v>
      </c>
      <c r="I1555" s="1">
        <f t="shared" si="67"/>
        <v>3298810.1541510466</v>
      </c>
      <c r="J1555" s="2">
        <f t="shared" si="65"/>
        <v>561189.84584895335</v>
      </c>
    </row>
    <row r="1556" spans="2:10" ht="18" x14ac:dyDescent="0.45">
      <c r="B1556" s="3" t="s">
        <v>719</v>
      </c>
      <c r="C1556" s="15" t="s">
        <v>1592</v>
      </c>
      <c r="D1556">
        <v>10400</v>
      </c>
      <c r="E1556">
        <v>1211.2</v>
      </c>
      <c r="F1556">
        <v>3790000</v>
      </c>
      <c r="G1556" s="5">
        <f t="shared" si="66"/>
        <v>2969423.1957045943</v>
      </c>
      <c r="H1556" s="6">
        <f t="shared" si="68"/>
        <v>820576.80429540575</v>
      </c>
      <c r="I1556" s="1">
        <f t="shared" si="67"/>
        <v>3236671.2833180078</v>
      </c>
      <c r="J1556" s="2">
        <f t="shared" si="65"/>
        <v>553328.71668199217</v>
      </c>
    </row>
    <row r="1557" spans="2:10" ht="18" x14ac:dyDescent="0.45">
      <c r="B1557" s="3" t="s">
        <v>442</v>
      </c>
      <c r="C1557" s="15" t="s">
        <v>1593</v>
      </c>
      <c r="D1557">
        <v>10450</v>
      </c>
      <c r="E1557">
        <v>1198</v>
      </c>
      <c r="F1557">
        <v>3800000</v>
      </c>
      <c r="G1557" s="5">
        <f t="shared" si="66"/>
        <v>2951212.7855833839</v>
      </c>
      <c r="H1557" s="6">
        <f t="shared" si="68"/>
        <v>848787.21441661613</v>
      </c>
      <c r="I1557" s="1">
        <f t="shared" si="67"/>
        <v>3216821.9362858888</v>
      </c>
      <c r="J1557" s="2">
        <f t="shared" si="65"/>
        <v>583178.06371411122</v>
      </c>
    </row>
    <row r="1558" spans="2:10" ht="18" x14ac:dyDescent="0.45">
      <c r="B1558" s="3" t="s">
        <v>710</v>
      </c>
      <c r="C1558" s="15" t="s">
        <v>1594</v>
      </c>
      <c r="D1558">
        <v>10650</v>
      </c>
      <c r="E1558">
        <v>1194</v>
      </c>
      <c r="F1558">
        <v>3890000</v>
      </c>
      <c r="G1558" s="5">
        <f t="shared" si="66"/>
        <v>2997574.258753174</v>
      </c>
      <c r="H1558" s="6">
        <f t="shared" si="68"/>
        <v>892425.74124682602</v>
      </c>
      <c r="I1558" s="1">
        <f t="shared" si="67"/>
        <v>3267355.9420409598</v>
      </c>
      <c r="J1558" s="2">
        <f t="shared" si="65"/>
        <v>622644.05795904016</v>
      </c>
    </row>
    <row r="1559" spans="2:10" ht="18" x14ac:dyDescent="0.45">
      <c r="B1559" s="3" t="s">
        <v>446</v>
      </c>
      <c r="C1559" s="15" t="s">
        <v>1595</v>
      </c>
      <c r="D1559">
        <v>10550</v>
      </c>
      <c r="E1559">
        <v>1185</v>
      </c>
      <c r="F1559">
        <v>3800000</v>
      </c>
      <c r="G1559" s="5">
        <f t="shared" si="66"/>
        <v>2947129.6812204607</v>
      </c>
      <c r="H1559" s="6">
        <f t="shared" si="68"/>
        <v>852870.31877953932</v>
      </c>
      <c r="I1559" s="1">
        <f t="shared" si="67"/>
        <v>3212371.3525303025</v>
      </c>
      <c r="J1559" s="2">
        <f t="shared" si="65"/>
        <v>587628.64746969752</v>
      </c>
    </row>
    <row r="1560" spans="2:10" ht="18" x14ac:dyDescent="0.45">
      <c r="B1560" s="3" t="s">
        <v>448</v>
      </c>
      <c r="C1560" s="15" t="s">
        <v>1596</v>
      </c>
      <c r="D1560">
        <v>10500</v>
      </c>
      <c r="E1560">
        <v>1180</v>
      </c>
      <c r="F1560">
        <v>3750000</v>
      </c>
      <c r="G1560" s="5">
        <f t="shared" si="66"/>
        <v>2920830.7237243992</v>
      </c>
      <c r="H1560" s="6">
        <f t="shared" si="68"/>
        <v>829169.27627560077</v>
      </c>
      <c r="I1560" s="1">
        <f t="shared" si="67"/>
        <v>3183705.4888595953</v>
      </c>
      <c r="J1560" s="2">
        <f t="shared" ref="J1560:J1639" si="69">F1560-I1560</f>
        <v>566294.51114040473</v>
      </c>
    </row>
    <row r="1561" spans="2:10" ht="18" x14ac:dyDescent="0.45">
      <c r="B1561" s="3" t="s">
        <v>438</v>
      </c>
      <c r="C1561" s="15" t="s">
        <v>1597</v>
      </c>
      <c r="D1561">
        <v>10450</v>
      </c>
      <c r="E1561">
        <v>1184.5999999999999</v>
      </c>
      <c r="F1561">
        <v>3780000</v>
      </c>
      <c r="G1561" s="5">
        <f t="shared" si="66"/>
        <v>2918258.4856444709</v>
      </c>
      <c r="H1561" s="6">
        <f t="shared" si="68"/>
        <v>861741.5143555291</v>
      </c>
      <c r="I1561" s="1">
        <f t="shared" si="67"/>
        <v>3180901.7493524733</v>
      </c>
      <c r="J1561" s="2">
        <f t="shared" si="69"/>
        <v>599098.2506475267</v>
      </c>
    </row>
    <row r="1562" spans="2:10" ht="18" x14ac:dyDescent="0.45">
      <c r="B1562" s="3" t="s">
        <v>719</v>
      </c>
      <c r="C1562" s="15" t="s">
        <v>1598</v>
      </c>
      <c r="D1562">
        <v>10380</v>
      </c>
      <c r="E1562">
        <v>1184.5999999999999</v>
      </c>
      <c r="F1562">
        <v>3800000</v>
      </c>
      <c r="G1562" s="5">
        <f t="shared" si="66"/>
        <v>2898743.835501398</v>
      </c>
      <c r="H1562" s="6">
        <f t="shared" si="68"/>
        <v>901256.16449860204</v>
      </c>
      <c r="I1562" s="1">
        <f t="shared" si="67"/>
        <v>3159630.7806965238</v>
      </c>
      <c r="J1562" s="2">
        <f t="shared" si="69"/>
        <v>640369.21930347616</v>
      </c>
    </row>
    <row r="1563" spans="2:10" ht="18" x14ac:dyDescent="0.45">
      <c r="B1563" s="3" t="s">
        <v>442</v>
      </c>
      <c r="C1563" s="15" t="s">
        <v>1599</v>
      </c>
      <c r="D1563">
        <v>10450</v>
      </c>
      <c r="E1563">
        <v>1185</v>
      </c>
      <c r="F1563">
        <v>3820000</v>
      </c>
      <c r="G1563" s="5">
        <f t="shared" si="66"/>
        <v>2919242.1960904091</v>
      </c>
      <c r="H1563" s="6">
        <f t="shared" si="68"/>
        <v>900757.80390959093</v>
      </c>
      <c r="I1563" s="1">
        <f t="shared" si="67"/>
        <v>3181973.993738546</v>
      </c>
      <c r="J1563" s="2">
        <f t="shared" si="69"/>
        <v>638026.00626145396</v>
      </c>
    </row>
    <row r="1564" spans="2:10" ht="18" x14ac:dyDescent="0.45">
      <c r="B1564" s="3" t="s">
        <v>710</v>
      </c>
      <c r="C1564" s="15" t="s">
        <v>1600</v>
      </c>
      <c r="D1564">
        <v>10590</v>
      </c>
      <c r="E1564">
        <v>1193</v>
      </c>
      <c r="F1564">
        <v>3870000</v>
      </c>
      <c r="G1564" s="5">
        <f t="shared" si="66"/>
        <v>2978222.4621097641</v>
      </c>
      <c r="H1564" s="6">
        <f t="shared" si="68"/>
        <v>891777.53789023589</v>
      </c>
      <c r="I1564" s="1">
        <f t="shared" si="67"/>
        <v>3246262.4836996431</v>
      </c>
      <c r="J1564" s="2">
        <f t="shared" si="69"/>
        <v>623737.51630035695</v>
      </c>
    </row>
    <row r="1565" spans="2:10" ht="18" x14ac:dyDescent="0.45">
      <c r="B1565" s="3" t="s">
        <v>448</v>
      </c>
      <c r="C1565" s="15" t="s">
        <v>1601</v>
      </c>
      <c r="D1565">
        <v>10500</v>
      </c>
      <c r="E1565">
        <v>1187</v>
      </c>
      <c r="F1565">
        <v>3850000</v>
      </c>
      <c r="G1565" s="5">
        <f t="shared" si="66"/>
        <v>2938128.0246278495</v>
      </c>
      <c r="H1565" s="6">
        <f t="shared" si="68"/>
        <v>911871.97537215054</v>
      </c>
      <c r="I1565" s="1">
        <f t="shared" si="67"/>
        <v>3202559.5468443562</v>
      </c>
      <c r="J1565" s="2">
        <f t="shared" si="69"/>
        <v>647440.45315564377</v>
      </c>
    </row>
    <row r="1566" spans="2:10" ht="18" x14ac:dyDescent="0.45">
      <c r="B1566" s="3" t="s">
        <v>438</v>
      </c>
      <c r="C1566" s="15" t="s">
        <v>1602</v>
      </c>
      <c r="D1566">
        <v>10490</v>
      </c>
      <c r="E1566">
        <v>1205.3</v>
      </c>
      <c r="F1566">
        <v>3820000</v>
      </c>
      <c r="G1566" s="5">
        <f t="shared" si="66"/>
        <v>2980511.5892647007</v>
      </c>
      <c r="H1566" s="6">
        <f t="shared" si="68"/>
        <v>839488.41073529935</v>
      </c>
      <c r="I1566" s="1">
        <f t="shared" si="67"/>
        <v>3248757.632298524</v>
      </c>
      <c r="J1566" s="2">
        <f t="shared" si="69"/>
        <v>571242.36770147597</v>
      </c>
    </row>
    <row r="1567" spans="2:10" ht="18" x14ac:dyDescent="0.45">
      <c r="B1567" s="3" t="s">
        <v>719</v>
      </c>
      <c r="C1567" s="15" t="s">
        <v>1603</v>
      </c>
      <c r="D1567">
        <v>10570</v>
      </c>
      <c r="E1567">
        <v>1205.3</v>
      </c>
      <c r="F1567">
        <v>3870000</v>
      </c>
      <c r="G1567" s="5">
        <f t="shared" si="66"/>
        <v>3003203.7653506086</v>
      </c>
      <c r="H1567" s="6">
        <f t="shared" si="68"/>
        <v>866796.23464939138</v>
      </c>
      <c r="I1567" s="1">
        <f t="shared" si="67"/>
        <v>3273492.1042321636</v>
      </c>
      <c r="J1567" s="2">
        <f t="shared" si="69"/>
        <v>596507.89576783637</v>
      </c>
    </row>
    <row r="1568" spans="2:10" ht="18" x14ac:dyDescent="0.45">
      <c r="B1568" s="3" t="s">
        <v>442</v>
      </c>
      <c r="C1568" s="15" t="s">
        <v>1604</v>
      </c>
      <c r="D1568">
        <v>10750</v>
      </c>
      <c r="E1568">
        <v>1203</v>
      </c>
      <c r="F1568">
        <v>3970000</v>
      </c>
      <c r="G1568" s="5">
        <f t="shared" si="66"/>
        <v>3048442.443654953</v>
      </c>
      <c r="H1568" s="6">
        <f t="shared" si="68"/>
        <v>921557.55634504696</v>
      </c>
      <c r="I1568" s="1">
        <f t="shared" si="67"/>
        <v>3322802.263583899</v>
      </c>
      <c r="J1568" s="2">
        <f t="shared" si="69"/>
        <v>647197.73641610099</v>
      </c>
    </row>
    <row r="1569" spans="2:10" ht="18" x14ac:dyDescent="0.45">
      <c r="B1569" s="3" t="s">
        <v>710</v>
      </c>
      <c r="C1569" s="15" t="s">
        <v>1605</v>
      </c>
      <c r="D1569">
        <v>10910</v>
      </c>
      <c r="E1569">
        <v>1203</v>
      </c>
      <c r="F1569">
        <v>4050000</v>
      </c>
      <c r="G1569" s="5">
        <f t="shared" si="66"/>
        <v>3093740.191653538</v>
      </c>
      <c r="H1569" s="6">
        <f t="shared" si="68"/>
        <v>956259.80834646197</v>
      </c>
      <c r="I1569" s="1">
        <f t="shared" si="67"/>
        <v>3372176.8089023568</v>
      </c>
      <c r="J1569" s="2">
        <f t="shared" si="69"/>
        <v>677823.19109764323</v>
      </c>
    </row>
    <row r="1570" spans="2:10" ht="18" x14ac:dyDescent="0.45">
      <c r="B1570" s="3" t="s">
        <v>446</v>
      </c>
      <c r="C1570" s="15" t="s">
        <v>1606</v>
      </c>
      <c r="D1570">
        <v>10970</v>
      </c>
      <c r="E1570">
        <v>1206</v>
      </c>
      <c r="F1570">
        <v>4040000</v>
      </c>
      <c r="G1570" s="5">
        <f t="shared" si="66"/>
        <v>3118471.8018840626</v>
      </c>
      <c r="H1570" s="6">
        <f t="shared" si="68"/>
        <v>921528.19811593741</v>
      </c>
      <c r="I1570" s="1">
        <f t="shared" si="67"/>
        <v>3399134.2640536283</v>
      </c>
      <c r="J1570" s="2">
        <f t="shared" si="69"/>
        <v>640865.73594637169</v>
      </c>
    </row>
    <row r="1571" spans="2:10" ht="18" x14ac:dyDescent="0.45">
      <c r="B1571" s="3" t="s">
        <v>438</v>
      </c>
      <c r="C1571" s="15" t="s">
        <v>1607</v>
      </c>
      <c r="D1571">
        <v>11090</v>
      </c>
      <c r="E1571">
        <v>1200.8</v>
      </c>
      <c r="F1571">
        <v>4098000</v>
      </c>
      <c r="G1571" s="5">
        <f t="shared" si="66"/>
        <v>3138958.3956017098</v>
      </c>
      <c r="H1571" s="6">
        <f t="shared" si="68"/>
        <v>959041.60439829016</v>
      </c>
      <c r="I1571" s="1">
        <f t="shared" si="67"/>
        <v>3421464.6512058638</v>
      </c>
      <c r="J1571" s="2">
        <f t="shared" si="69"/>
        <v>676535.3487941362</v>
      </c>
    </row>
    <row r="1572" spans="2:10" ht="18" x14ac:dyDescent="0.45">
      <c r="B1572" s="3" t="s">
        <v>719</v>
      </c>
      <c r="C1572" s="15" t="s">
        <v>1608</v>
      </c>
      <c r="D1572">
        <v>11600</v>
      </c>
      <c r="E1572">
        <v>1200.8</v>
      </c>
      <c r="F1572">
        <v>4370000</v>
      </c>
      <c r="G1572" s="5">
        <f t="shared" si="66"/>
        <v>3283080.9187538177</v>
      </c>
      <c r="H1572" s="6">
        <f t="shared" si="68"/>
        <v>1086919.0812461823</v>
      </c>
      <c r="I1572" s="1">
        <f t="shared" si="67"/>
        <v>3578558.2014416615</v>
      </c>
      <c r="J1572" s="2">
        <f t="shared" si="69"/>
        <v>791441.79855833855</v>
      </c>
    </row>
    <row r="1573" spans="2:10" ht="18" x14ac:dyDescent="0.45">
      <c r="B1573" s="3" t="s">
        <v>442</v>
      </c>
      <c r="C1573" s="15" t="s">
        <v>1609</v>
      </c>
      <c r="D1573">
        <v>12800</v>
      </c>
      <c r="E1573">
        <v>1199</v>
      </c>
      <c r="F1573">
        <v>4600000</v>
      </c>
      <c r="G1573" s="5">
        <f t="shared" si="66"/>
        <v>3616770.5636112266</v>
      </c>
      <c r="H1573" s="6">
        <f t="shared" si="68"/>
        <v>983229.43638877338</v>
      </c>
      <c r="I1573" s="1">
        <f t="shared" si="67"/>
        <v>3942279.9143362371</v>
      </c>
      <c r="J1573" s="2">
        <f t="shared" si="69"/>
        <v>657720.08566376287</v>
      </c>
    </row>
    <row r="1574" spans="2:10" ht="18" x14ac:dyDescent="0.45">
      <c r="B1574" s="3" t="s">
        <v>710</v>
      </c>
      <c r="C1574" s="15" t="s">
        <v>1610</v>
      </c>
      <c r="D1574">
        <v>13700</v>
      </c>
      <c r="E1574">
        <v>1192</v>
      </c>
      <c r="F1574">
        <v>4680000</v>
      </c>
      <c r="G1574" s="5">
        <f t="shared" si="66"/>
        <v>3848154.3220911156</v>
      </c>
      <c r="H1574" s="6">
        <f t="shared" si="68"/>
        <v>831845.67790888436</v>
      </c>
      <c r="I1574" s="1">
        <f t="shared" si="67"/>
        <v>4194488.2110793162</v>
      </c>
      <c r="J1574" s="2">
        <f t="shared" si="69"/>
        <v>485511.78892068379</v>
      </c>
    </row>
    <row r="1575" spans="2:10" ht="18" x14ac:dyDescent="0.45">
      <c r="B1575" s="3" t="s">
        <v>446</v>
      </c>
      <c r="C1575" s="15" t="s">
        <v>1611</v>
      </c>
      <c r="D1575">
        <v>13600</v>
      </c>
      <c r="E1575">
        <v>1195</v>
      </c>
      <c r="F1575">
        <v>4460000</v>
      </c>
      <c r="G1575" s="5">
        <f t="shared" si="66"/>
        <v>3829703.867794103</v>
      </c>
      <c r="H1575" s="6">
        <f t="shared" si="68"/>
        <v>630296.13220589701</v>
      </c>
      <c r="I1575" s="1">
        <f t="shared" si="67"/>
        <v>4174377.2158955727</v>
      </c>
      <c r="J1575" s="2">
        <f t="shared" si="69"/>
        <v>285622.78410442732</v>
      </c>
    </row>
    <row r="1576" spans="2:10" ht="18" x14ac:dyDescent="0.45">
      <c r="B1576" s="3" t="s">
        <v>448</v>
      </c>
      <c r="C1576" s="15" t="s">
        <v>1612</v>
      </c>
      <c r="D1576">
        <v>13700</v>
      </c>
      <c r="E1576">
        <v>1205</v>
      </c>
      <c r="F1576">
        <v>4450000</v>
      </c>
      <c r="G1576" s="5">
        <f t="shared" si="66"/>
        <v>3890067.9178857342</v>
      </c>
      <c r="H1576" s="6">
        <f t="shared" si="68"/>
        <v>559932.08211426577</v>
      </c>
      <c r="I1576" s="1">
        <f t="shared" si="67"/>
        <v>4240174.0304954508</v>
      </c>
      <c r="J1576" s="2">
        <f t="shared" si="69"/>
        <v>209825.96950454917</v>
      </c>
    </row>
    <row r="1577" spans="2:10" ht="18" x14ac:dyDescent="0.45">
      <c r="B1577" s="3" t="s">
        <v>438</v>
      </c>
      <c r="C1577" s="15" t="s">
        <v>1613</v>
      </c>
      <c r="D1577">
        <v>13200</v>
      </c>
      <c r="E1577">
        <v>1196</v>
      </c>
      <c r="F1577">
        <v>4300000</v>
      </c>
      <c r="G1577" s="5">
        <f t="shared" si="66"/>
        <v>3720319.0316046677</v>
      </c>
      <c r="H1577" s="6">
        <f t="shared" si="68"/>
        <v>579680.96839533234</v>
      </c>
      <c r="I1577" s="1">
        <f t="shared" si="67"/>
        <v>4055147.7444490879</v>
      </c>
      <c r="J1577" s="2">
        <f t="shared" si="69"/>
        <v>244852.25555091212</v>
      </c>
    </row>
    <row r="1578" spans="2:10" ht="18" x14ac:dyDescent="0.45">
      <c r="B1578" s="3" t="s">
        <v>719</v>
      </c>
      <c r="C1578" s="15" t="s">
        <v>1614</v>
      </c>
      <c r="D1578">
        <v>13000</v>
      </c>
      <c r="E1578">
        <v>1196</v>
      </c>
      <c r="F1578">
        <v>4200000</v>
      </c>
      <c r="G1578" s="5">
        <f t="shared" si="66"/>
        <v>3664026.3190045971</v>
      </c>
      <c r="H1578" s="6">
        <f t="shared" si="68"/>
        <v>535973.68099540286</v>
      </c>
      <c r="I1578" s="1">
        <f t="shared" si="67"/>
        <v>3993788.6877150112</v>
      </c>
      <c r="J1578" s="2">
        <f t="shared" si="69"/>
        <v>206211.31228498882</v>
      </c>
    </row>
    <row r="1579" spans="2:10" ht="18" x14ac:dyDescent="0.45">
      <c r="B1579" s="3" t="s">
        <v>442</v>
      </c>
      <c r="C1579" s="15" t="s">
        <v>1615</v>
      </c>
      <c r="D1579">
        <v>13500</v>
      </c>
      <c r="E1579">
        <v>1192</v>
      </c>
      <c r="F1579">
        <v>4300000</v>
      </c>
      <c r="G1579" s="5">
        <f t="shared" si="66"/>
        <v>3792049.8794328514</v>
      </c>
      <c r="H1579" s="6">
        <f t="shared" si="68"/>
        <v>507950.12056714855</v>
      </c>
      <c r="I1579" s="1">
        <f t="shared" si="67"/>
        <v>4133334.3685818082</v>
      </c>
      <c r="J1579" s="2">
        <f t="shared" si="69"/>
        <v>166665.63141819183</v>
      </c>
    </row>
    <row r="1580" spans="2:10" ht="18" x14ac:dyDescent="0.45">
      <c r="B1580" s="3" t="s">
        <v>710</v>
      </c>
      <c r="C1580" s="15" t="s">
        <v>1616</v>
      </c>
      <c r="D1580">
        <v>13800</v>
      </c>
      <c r="E1580">
        <v>1194</v>
      </c>
      <c r="F1580">
        <v>4430000</v>
      </c>
      <c r="G1580" s="5">
        <f t="shared" ref="G1580:G1632" si="70">E1580/31.103*8.133*D1580*0.9+5000</f>
        <v>3882701.8564125635</v>
      </c>
      <c r="H1580" s="6">
        <f t="shared" si="68"/>
        <v>547298.14358743653</v>
      </c>
      <c r="I1580" s="1">
        <f t="shared" si="67"/>
        <v>4232145.0234896941</v>
      </c>
      <c r="J1580" s="2">
        <f t="shared" si="69"/>
        <v>197854.97651030589</v>
      </c>
    </row>
    <row r="1581" spans="2:10" ht="18" x14ac:dyDescent="0.45">
      <c r="B1581" s="3" t="s">
        <v>446</v>
      </c>
      <c r="C1581" s="15" t="s">
        <v>1617</v>
      </c>
      <c r="D1581">
        <v>13700</v>
      </c>
      <c r="E1581">
        <v>1193</v>
      </c>
      <c r="F1581">
        <v>4350000</v>
      </c>
      <c r="G1581" s="5">
        <f t="shared" si="70"/>
        <v>3851378.4448445477</v>
      </c>
      <c r="H1581" s="6">
        <f t="shared" si="68"/>
        <v>498621.55515545234</v>
      </c>
      <c r="I1581" s="1">
        <f t="shared" si="67"/>
        <v>4198002.5048805568</v>
      </c>
      <c r="J1581" s="2">
        <f t="shared" si="69"/>
        <v>151997.49511944316</v>
      </c>
    </row>
    <row r="1582" spans="2:10" ht="18" x14ac:dyDescent="0.45">
      <c r="B1582" s="3" t="s">
        <v>448</v>
      </c>
      <c r="C1582" s="15" t="s">
        <v>1618</v>
      </c>
      <c r="D1582">
        <v>13800</v>
      </c>
      <c r="E1582">
        <v>1210</v>
      </c>
      <c r="F1582">
        <v>4460000</v>
      </c>
      <c r="G1582" s="5">
        <f t="shared" si="70"/>
        <v>3934664.3603510913</v>
      </c>
      <c r="H1582" s="6">
        <f t="shared" si="68"/>
        <v>525335.63964890875</v>
      </c>
      <c r="I1582" s="1">
        <f t="shared" si="67"/>
        <v>4288784.1527826898</v>
      </c>
      <c r="J1582" s="2">
        <f t="shared" si="69"/>
        <v>171215.84721731022</v>
      </c>
    </row>
    <row r="1583" spans="2:10" ht="18" x14ac:dyDescent="0.45">
      <c r="B1583" s="3" t="s">
        <v>438</v>
      </c>
      <c r="C1583" s="15" t="s">
        <v>1619</v>
      </c>
      <c r="D1583">
        <v>13780</v>
      </c>
      <c r="E1583">
        <v>1193</v>
      </c>
      <c r="F1583">
        <v>4380000</v>
      </c>
      <c r="G1583" s="5">
        <f t="shared" si="70"/>
        <v>3873839.0489020338</v>
      </c>
      <c r="H1583" s="6">
        <f t="shared" si="68"/>
        <v>506160.95109796617</v>
      </c>
      <c r="I1583" s="1">
        <f t="shared" si="67"/>
        <v>4222484.5633032173</v>
      </c>
      <c r="J1583" s="2">
        <f t="shared" si="69"/>
        <v>157515.43669678271</v>
      </c>
    </row>
    <row r="1584" spans="2:10" ht="18" x14ac:dyDescent="0.45">
      <c r="B1584" s="3" t="s">
        <v>719</v>
      </c>
      <c r="C1584" s="15" t="s">
        <v>1620</v>
      </c>
      <c r="D1584">
        <v>14200</v>
      </c>
      <c r="E1584">
        <v>1193</v>
      </c>
      <c r="F1584">
        <v>4500000</v>
      </c>
      <c r="G1584" s="5">
        <f t="shared" si="70"/>
        <v>3991757.2202038383</v>
      </c>
      <c r="H1584" s="6">
        <f t="shared" si="68"/>
        <v>508242.77979616169</v>
      </c>
      <c r="I1584" s="1">
        <f t="shared" si="67"/>
        <v>4351015.3700221842</v>
      </c>
      <c r="J1584" s="2">
        <f t="shared" si="69"/>
        <v>148984.62997781578</v>
      </c>
    </row>
    <row r="1585" spans="2:10" ht="18" x14ac:dyDescent="0.45">
      <c r="B1585" s="3" t="s">
        <v>442</v>
      </c>
      <c r="C1585" s="15" t="s">
        <v>1621</v>
      </c>
      <c r="D1585">
        <v>14300</v>
      </c>
      <c r="E1585">
        <v>1196</v>
      </c>
      <c r="F1585">
        <v>4540000</v>
      </c>
      <c r="G1585" s="5">
        <f t="shared" si="70"/>
        <v>4029928.9509050562</v>
      </c>
      <c r="H1585" s="6">
        <f t="shared" si="68"/>
        <v>510071.0490949438</v>
      </c>
      <c r="I1585" s="1">
        <f t="shared" ref="I1585:I1648" si="71">G1585*1.09</f>
        <v>4392622.5564865116</v>
      </c>
      <c r="J1585" s="2">
        <f t="shared" si="69"/>
        <v>147377.4435134884</v>
      </c>
    </row>
    <row r="1586" spans="2:10" ht="18" x14ac:dyDescent="0.45">
      <c r="B1586" s="3" t="s">
        <v>710</v>
      </c>
      <c r="C1586" s="15" t="s">
        <v>1622</v>
      </c>
      <c r="D1586">
        <v>14450</v>
      </c>
      <c r="E1586">
        <v>1205</v>
      </c>
      <c r="F1586">
        <v>4570000</v>
      </c>
      <c r="G1586" s="5">
        <f t="shared" si="70"/>
        <v>4102754.1177699901</v>
      </c>
      <c r="H1586" s="6">
        <f t="shared" si="68"/>
        <v>467245.88223000988</v>
      </c>
      <c r="I1586" s="1">
        <f t="shared" si="71"/>
        <v>4472001.9883692898</v>
      </c>
      <c r="J1586" s="2">
        <f t="shared" si="69"/>
        <v>97998.011630710214</v>
      </c>
    </row>
    <row r="1587" spans="2:10" ht="18" x14ac:dyDescent="0.45">
      <c r="B1587" s="3" t="s">
        <v>438</v>
      </c>
      <c r="C1587" s="15" t="s">
        <v>1623</v>
      </c>
      <c r="D1587">
        <v>14490</v>
      </c>
      <c r="E1587">
        <v>1198</v>
      </c>
      <c r="F1587">
        <v>4505000</v>
      </c>
      <c r="G1587" s="5">
        <f t="shared" si="70"/>
        <v>4090227.1065170555</v>
      </c>
      <c r="H1587" s="6">
        <f t="shared" si="68"/>
        <v>414772.89348294446</v>
      </c>
      <c r="I1587" s="1">
        <f t="shared" si="71"/>
        <v>4458347.5461035911</v>
      </c>
      <c r="J1587" s="2">
        <f t="shared" si="69"/>
        <v>46652.453896408901</v>
      </c>
    </row>
    <row r="1588" spans="2:10" ht="19.5" x14ac:dyDescent="0.5">
      <c r="B1588" s="22" t="s">
        <v>719</v>
      </c>
      <c r="C1588" s="15" t="s">
        <v>1624</v>
      </c>
      <c r="D1588" s="21">
        <v>14980</v>
      </c>
      <c r="E1588" s="4">
        <v>1198.7</v>
      </c>
      <c r="F1588" s="21">
        <v>4605000</v>
      </c>
      <c r="G1588" s="5">
        <f t="shared" si="70"/>
        <v>4230842.6313281674</v>
      </c>
      <c r="H1588" s="6">
        <f t="shared" si="68"/>
        <v>374157.36867183261</v>
      </c>
      <c r="I1588" s="1">
        <f t="shared" si="71"/>
        <v>4611618.4681477025</v>
      </c>
      <c r="J1588" s="2">
        <f t="shared" si="69"/>
        <v>-6618.4681477025151</v>
      </c>
    </row>
    <row r="1589" spans="2:10" ht="19.5" x14ac:dyDescent="0.5">
      <c r="B1589" s="22" t="s">
        <v>442</v>
      </c>
      <c r="C1589" s="15" t="s">
        <v>1625</v>
      </c>
      <c r="D1589" s="21">
        <v>15500</v>
      </c>
      <c r="E1589" s="4">
        <v>1199</v>
      </c>
      <c r="F1589" s="21">
        <v>4705000</v>
      </c>
      <c r="G1589" s="5">
        <f t="shared" si="70"/>
        <v>4378628.4168729698</v>
      </c>
      <c r="H1589" s="6">
        <f t="shared" si="68"/>
        <v>326371.58312703017</v>
      </c>
      <c r="I1589" s="1">
        <f t="shared" si="71"/>
        <v>4772704.9743915377</v>
      </c>
      <c r="J1589" s="2">
        <f t="shared" si="69"/>
        <v>-67704.974391537718</v>
      </c>
    </row>
    <row r="1590" spans="2:10" ht="19.5" x14ac:dyDescent="0.5">
      <c r="B1590" s="22" t="s">
        <v>710</v>
      </c>
      <c r="C1590" s="15" t="s">
        <v>1626</v>
      </c>
      <c r="D1590" s="21">
        <v>16300</v>
      </c>
      <c r="E1590" s="4">
        <v>1201</v>
      </c>
      <c r="F1590" s="21">
        <v>4770000</v>
      </c>
      <c r="G1590" s="5">
        <f t="shared" si="70"/>
        <v>4612036.0772272758</v>
      </c>
      <c r="H1590" s="6">
        <f t="shared" si="68"/>
        <v>157963.92277272418</v>
      </c>
      <c r="I1590" s="1">
        <f t="shared" si="71"/>
        <v>5027119.3241777308</v>
      </c>
      <c r="J1590" s="2">
        <f t="shared" si="69"/>
        <v>-257119.32417773083</v>
      </c>
    </row>
    <row r="1591" spans="2:10" ht="19.5" x14ac:dyDescent="0.5">
      <c r="B1591" s="22" t="s">
        <v>446</v>
      </c>
      <c r="C1591" s="15" t="s">
        <v>1627</v>
      </c>
      <c r="D1591" s="21">
        <v>18200</v>
      </c>
      <c r="E1591" s="4">
        <v>1199</v>
      </c>
      <c r="F1591" s="21">
        <v>5450000</v>
      </c>
      <c r="G1591" s="5">
        <f t="shared" si="70"/>
        <v>5140486.2701347126</v>
      </c>
      <c r="H1591" s="6">
        <f t="shared" si="68"/>
        <v>309513.72986528743</v>
      </c>
      <c r="I1591" s="1">
        <f t="shared" si="71"/>
        <v>5603130.0344468374</v>
      </c>
      <c r="J1591" s="2">
        <f t="shared" si="69"/>
        <v>-153130.03444683738</v>
      </c>
    </row>
    <row r="1592" spans="2:10" ht="19.5" x14ac:dyDescent="0.5">
      <c r="B1592" s="22" t="s">
        <v>448</v>
      </c>
      <c r="C1592" s="15" t="s">
        <v>1628</v>
      </c>
      <c r="D1592" s="21">
        <v>17400</v>
      </c>
      <c r="E1592" s="4">
        <v>1190</v>
      </c>
      <c r="F1592" s="21">
        <v>5150000</v>
      </c>
      <c r="G1592" s="5">
        <f t="shared" si="70"/>
        <v>4877896.7688004365</v>
      </c>
      <c r="H1592" s="6">
        <f t="shared" si="68"/>
        <v>272103.23119956348</v>
      </c>
      <c r="I1592" s="1">
        <f t="shared" si="71"/>
        <v>5316907.477992476</v>
      </c>
      <c r="J1592" s="2">
        <f t="shared" si="69"/>
        <v>-166907.47799247596</v>
      </c>
    </row>
    <row r="1593" spans="2:10" ht="19.5" x14ac:dyDescent="0.5">
      <c r="B1593" s="22"/>
      <c r="C1593" s="15" t="s">
        <v>1629</v>
      </c>
      <c r="D1593" s="21">
        <v>17300</v>
      </c>
      <c r="E1593" s="4">
        <v>1192.0999999999999</v>
      </c>
      <c r="F1593" s="21">
        <v>5100000</v>
      </c>
      <c r="G1593" s="5">
        <f t="shared" si="70"/>
        <v>4858441.423689032</v>
      </c>
      <c r="H1593" s="6">
        <f t="shared" si="68"/>
        <v>241558.57631096803</v>
      </c>
      <c r="I1593" s="1">
        <f t="shared" si="71"/>
        <v>5295701.1518210452</v>
      </c>
      <c r="J1593" s="2">
        <f t="shared" si="69"/>
        <v>-195701.1518210452</v>
      </c>
    </row>
    <row r="1594" spans="2:10" ht="19.5" x14ac:dyDescent="0.5">
      <c r="B1594" s="22"/>
      <c r="C1594" s="15" t="s">
        <v>1630</v>
      </c>
      <c r="D1594" s="21">
        <v>17000</v>
      </c>
      <c r="E1594" s="6">
        <v>1188</v>
      </c>
      <c r="F1594" s="21">
        <v>5000000</v>
      </c>
      <c r="G1594" s="5">
        <f t="shared" si="70"/>
        <v>4757874.6808989476</v>
      </c>
      <c r="H1594" s="6">
        <f t="shared" si="68"/>
        <v>242125.31910105236</v>
      </c>
      <c r="I1594" s="1">
        <f t="shared" si="71"/>
        <v>5186083.4021798531</v>
      </c>
      <c r="J1594" s="2">
        <f t="shared" si="69"/>
        <v>-186083.40217985306</v>
      </c>
    </row>
    <row r="1595" spans="2:10" ht="19.5" x14ac:dyDescent="0.5">
      <c r="B1595" s="22"/>
      <c r="C1595" s="15" t="s">
        <v>1631</v>
      </c>
      <c r="D1595" s="21">
        <v>16000</v>
      </c>
      <c r="E1595" s="4">
        <v>1193</v>
      </c>
      <c r="F1595" s="21">
        <v>4750000</v>
      </c>
      <c r="G1595" s="5">
        <f t="shared" si="70"/>
        <v>4497120.8114972822</v>
      </c>
      <c r="H1595" s="6">
        <f t="shared" si="68"/>
        <v>252879.18850271776</v>
      </c>
      <c r="I1595" s="1">
        <f t="shared" si="71"/>
        <v>4901861.6845320379</v>
      </c>
      <c r="J1595" s="2">
        <f t="shared" si="69"/>
        <v>-151861.68453203794</v>
      </c>
    </row>
    <row r="1596" spans="2:10" ht="19.5" x14ac:dyDescent="0.5">
      <c r="B1596" s="22"/>
      <c r="C1596" s="15" t="s">
        <v>1632</v>
      </c>
      <c r="D1596" s="21">
        <v>14000</v>
      </c>
      <c r="E1596" s="4">
        <v>1202</v>
      </c>
      <c r="F1596" s="21">
        <v>4400000</v>
      </c>
      <c r="G1596" s="5">
        <f t="shared" si="70"/>
        <v>3965258.2258946085</v>
      </c>
      <c r="H1596" s="6">
        <f t="shared" si="68"/>
        <v>434741.77410539147</v>
      </c>
      <c r="I1596" s="1">
        <f t="shared" si="71"/>
        <v>4322131.466225124</v>
      </c>
      <c r="J1596" s="2">
        <f t="shared" si="69"/>
        <v>77868.533774876036</v>
      </c>
    </row>
    <row r="1597" spans="2:10" ht="18" x14ac:dyDescent="0.45">
      <c r="C1597" s="15" t="s">
        <v>1633</v>
      </c>
      <c r="D1597" s="21">
        <v>14500</v>
      </c>
      <c r="E1597" s="4">
        <v>1202</v>
      </c>
      <c r="F1597" s="21">
        <v>4405000</v>
      </c>
      <c r="G1597" s="5">
        <f t="shared" si="70"/>
        <v>4106696.0196765582</v>
      </c>
      <c r="H1597" s="6">
        <f t="shared" si="68"/>
        <v>298303.98032344179</v>
      </c>
      <c r="I1597" s="1">
        <f t="shared" si="71"/>
        <v>4476298.6614474487</v>
      </c>
      <c r="J1597" s="2">
        <f t="shared" si="69"/>
        <v>-71298.661447448656</v>
      </c>
    </row>
    <row r="1598" spans="2:10" ht="18" x14ac:dyDescent="0.45">
      <c r="C1598" s="15" t="s">
        <v>1634</v>
      </c>
      <c r="D1598" s="21">
        <v>13700</v>
      </c>
      <c r="E1598" s="4">
        <v>1201</v>
      </c>
      <c r="F1598" s="21">
        <v>4000000</v>
      </c>
      <c r="G1598" s="5">
        <f t="shared" si="70"/>
        <v>3877171.4268720057</v>
      </c>
      <c r="H1598" s="6">
        <f t="shared" si="68"/>
        <v>122828.57312799431</v>
      </c>
      <c r="I1598" s="1">
        <f t="shared" si="71"/>
        <v>4226116.8552904865</v>
      </c>
      <c r="J1598" s="2">
        <f t="shared" si="69"/>
        <v>-226116.85529048648</v>
      </c>
    </row>
    <row r="1599" spans="2:10" ht="18" x14ac:dyDescent="0.45">
      <c r="C1599" s="15" t="s">
        <v>1635</v>
      </c>
      <c r="D1599" s="21">
        <v>13000</v>
      </c>
      <c r="E1599" s="4">
        <v>1202.8</v>
      </c>
      <c r="F1599" s="21">
        <v>3900000</v>
      </c>
      <c r="G1599" s="5">
        <f>E1599/31.103*8.133*D1599*0.9+5000</f>
        <v>3684830.1475741877</v>
      </c>
      <c r="H1599" s="6">
        <f t="shared" si="68"/>
        <v>215169.85242581228</v>
      </c>
      <c r="I1599" s="1">
        <f t="shared" si="71"/>
        <v>4016464.8608558648</v>
      </c>
      <c r="J1599" s="2">
        <f t="shared" si="69"/>
        <v>-116464.86085586483</v>
      </c>
    </row>
    <row r="1600" spans="2:10" ht="19.5" x14ac:dyDescent="0.5">
      <c r="C1600" s="15" t="s">
        <v>1636</v>
      </c>
      <c r="D1600" s="21">
        <v>13000</v>
      </c>
      <c r="E1600" s="4">
        <v>1202.8</v>
      </c>
      <c r="F1600" s="22">
        <v>3830000</v>
      </c>
      <c r="G1600" s="5">
        <f t="shared" si="70"/>
        <v>3684830.1475741877</v>
      </c>
      <c r="H1600" s="6">
        <f t="shared" si="68"/>
        <v>145169.85242581228</v>
      </c>
      <c r="I1600" s="1">
        <f t="shared" si="71"/>
        <v>4016464.8608558648</v>
      </c>
      <c r="J1600" s="2">
        <f t="shared" si="69"/>
        <v>-186464.86085586483</v>
      </c>
    </row>
    <row r="1601" spans="3:10" ht="18" x14ac:dyDescent="0.45">
      <c r="C1601" s="15" t="s">
        <v>1637</v>
      </c>
      <c r="D1601" s="21">
        <v>13800</v>
      </c>
      <c r="E1601" s="4">
        <v>1186</v>
      </c>
      <c r="F1601" s="21">
        <v>4300000</v>
      </c>
      <c r="G1601" s="5">
        <f t="shared" si="70"/>
        <v>3856720.604443301</v>
      </c>
      <c r="H1601" s="6">
        <f t="shared" si="68"/>
        <v>443279.39555669902</v>
      </c>
      <c r="I1601" s="1">
        <f t="shared" si="71"/>
        <v>4203825.4588431986</v>
      </c>
      <c r="J1601" s="2">
        <f t="shared" si="69"/>
        <v>96174.541156801395</v>
      </c>
    </row>
    <row r="1602" spans="3:10" ht="18" x14ac:dyDescent="0.45">
      <c r="C1602" s="15" t="s">
        <v>1638</v>
      </c>
      <c r="D1602" s="21">
        <v>14900</v>
      </c>
      <c r="E1602" s="4">
        <v>1187</v>
      </c>
      <c r="F1602" s="21">
        <v>4750000</v>
      </c>
      <c r="G1602" s="5">
        <f t="shared" si="70"/>
        <v>4167248.3397099953</v>
      </c>
      <c r="H1602" s="6">
        <f t="shared" ref="H1602:H1665" si="72">F:F-G:G</f>
        <v>582751.66029000469</v>
      </c>
      <c r="I1602" s="1">
        <f t="shared" si="71"/>
        <v>4542300.6902838955</v>
      </c>
      <c r="J1602" s="2">
        <f t="shared" si="69"/>
        <v>207699.30971610453</v>
      </c>
    </row>
    <row r="1603" spans="3:10" ht="18" x14ac:dyDescent="0.45">
      <c r="C1603" s="15" t="s">
        <v>1639</v>
      </c>
      <c r="D1603" s="21">
        <v>14700</v>
      </c>
      <c r="E1603" s="4">
        <v>1187</v>
      </c>
      <c r="F1603" s="21">
        <v>4500000</v>
      </c>
      <c r="G1603" s="5">
        <f t="shared" si="70"/>
        <v>4111379.2344789892</v>
      </c>
      <c r="H1603" s="6">
        <f t="shared" si="72"/>
        <v>388620.76552101085</v>
      </c>
      <c r="I1603" s="1">
        <f t="shared" si="71"/>
        <v>4481403.3655820983</v>
      </c>
      <c r="J1603" s="2">
        <f t="shared" si="69"/>
        <v>18596.634417901747</v>
      </c>
    </row>
    <row r="1604" spans="3:10" ht="18" x14ac:dyDescent="0.45">
      <c r="C1604" s="15" t="s">
        <v>1640</v>
      </c>
      <c r="D1604" s="21">
        <v>14400</v>
      </c>
      <c r="E1604" s="4">
        <v>1209</v>
      </c>
      <c r="F1604" s="21">
        <v>4450000</v>
      </c>
      <c r="G1604" s="5">
        <f t="shared" si="70"/>
        <v>4102130.4735877556</v>
      </c>
      <c r="H1604" s="6">
        <f t="shared" si="72"/>
        <v>347869.52641224442</v>
      </c>
      <c r="I1604" s="1">
        <f t="shared" si="71"/>
        <v>4471322.216210654</v>
      </c>
      <c r="J1604" s="2">
        <f t="shared" si="69"/>
        <v>-21322.216210654005</v>
      </c>
    </row>
    <row r="1605" spans="3:10" ht="18" x14ac:dyDescent="0.45">
      <c r="C1605" s="15" t="s">
        <v>1641</v>
      </c>
      <c r="D1605" s="21">
        <v>14300</v>
      </c>
      <c r="E1605" s="4">
        <v>1221</v>
      </c>
      <c r="F1605" s="21">
        <v>4340000</v>
      </c>
      <c r="G1605" s="5">
        <f t="shared" si="70"/>
        <v>4114062.081149728</v>
      </c>
      <c r="H1605" s="6">
        <f t="shared" si="72"/>
        <v>225937.91885027196</v>
      </c>
      <c r="I1605" s="1">
        <f t="shared" si="71"/>
        <v>4484327.6684532035</v>
      </c>
      <c r="J1605" s="2">
        <f t="shared" si="69"/>
        <v>-144327.66845320351</v>
      </c>
    </row>
    <row r="1606" spans="3:10" ht="18" x14ac:dyDescent="0.45">
      <c r="C1606" s="15" t="s">
        <v>1642</v>
      </c>
      <c r="D1606" s="21">
        <v>13900</v>
      </c>
      <c r="E1606" s="4">
        <v>1217.9000000000001</v>
      </c>
      <c r="F1606" s="21">
        <v>4150000</v>
      </c>
      <c r="G1606" s="5">
        <f t="shared" si="70"/>
        <v>3988982.5919364691</v>
      </c>
      <c r="H1606" s="6">
        <f t="shared" si="72"/>
        <v>161017.40806353092</v>
      </c>
      <c r="I1606" s="1">
        <f t="shared" si="71"/>
        <v>4347991.0252107512</v>
      </c>
      <c r="J1606" s="2">
        <f t="shared" si="69"/>
        <v>-197991.02521075122</v>
      </c>
    </row>
    <row r="1607" spans="3:10" ht="18" x14ac:dyDescent="0.45">
      <c r="C1607" s="15" t="s">
        <v>1643</v>
      </c>
      <c r="D1607" s="21">
        <v>13930</v>
      </c>
      <c r="E1607" s="4">
        <v>1231</v>
      </c>
      <c r="F1607" s="21">
        <v>4260000</v>
      </c>
      <c r="G1607" s="5">
        <f t="shared" si="70"/>
        <v>4040526.1952544767</v>
      </c>
      <c r="H1607" s="6">
        <f t="shared" si="72"/>
        <v>219473.80474552326</v>
      </c>
      <c r="I1607" s="1">
        <f t="shared" si="71"/>
        <v>4404173.5528273797</v>
      </c>
      <c r="J1607" s="2">
        <f t="shared" si="69"/>
        <v>-144173.55282737967</v>
      </c>
    </row>
    <row r="1608" spans="3:10" ht="18" x14ac:dyDescent="0.45">
      <c r="C1608" s="15" t="s">
        <v>1644</v>
      </c>
      <c r="D1608" s="23">
        <v>14100</v>
      </c>
      <c r="E1608" s="4">
        <v>1231</v>
      </c>
      <c r="F1608" s="21">
        <v>4390000</v>
      </c>
      <c r="G1608" s="21">
        <f t="shared" si="70"/>
        <v>4089775.2586567211</v>
      </c>
      <c r="H1608" s="6">
        <f t="shared" si="72"/>
        <v>300224.7413432789</v>
      </c>
      <c r="I1608" s="1">
        <f t="shared" si="71"/>
        <v>4457855.0319358259</v>
      </c>
      <c r="J1608" s="2">
        <f t="shared" si="69"/>
        <v>-67855.031935825944</v>
      </c>
    </row>
    <row r="1609" spans="3:10" ht="18" x14ac:dyDescent="0.45">
      <c r="C1609" s="15" t="s">
        <v>1645</v>
      </c>
      <c r="D1609" s="23">
        <v>13950</v>
      </c>
      <c r="E1609" s="4">
        <v>1227</v>
      </c>
      <c r="F1609" s="21">
        <v>4300000</v>
      </c>
      <c r="G1609" s="21">
        <f t="shared" si="70"/>
        <v>4033188.3742725784</v>
      </c>
      <c r="H1609" s="6">
        <f t="shared" si="72"/>
        <v>266811.6257274216</v>
      </c>
      <c r="I1609" s="1">
        <f t="shared" si="71"/>
        <v>4396175.3279571105</v>
      </c>
      <c r="J1609" s="2">
        <f t="shared" si="69"/>
        <v>-96175.327957110479</v>
      </c>
    </row>
    <row r="1610" spans="3:10" ht="18" x14ac:dyDescent="0.45">
      <c r="C1610" s="15" t="s">
        <v>1646</v>
      </c>
      <c r="D1610" s="23">
        <v>13850</v>
      </c>
      <c r="E1610" s="4">
        <v>1226</v>
      </c>
      <c r="F1610" s="21">
        <v>4290000</v>
      </c>
      <c r="G1610" s="21">
        <f t="shared" si="70"/>
        <v>4001053.0485805217</v>
      </c>
      <c r="H1610" s="6">
        <f t="shared" si="72"/>
        <v>288946.95141947828</v>
      </c>
      <c r="I1610" s="1">
        <f t="shared" si="71"/>
        <v>4361147.8229527688</v>
      </c>
      <c r="J1610" s="2">
        <f t="shared" si="69"/>
        <v>-71147.822952768765</v>
      </c>
    </row>
    <row r="1611" spans="3:10" ht="18" x14ac:dyDescent="0.45">
      <c r="C1611" s="15" t="s">
        <v>1647</v>
      </c>
      <c r="D1611" s="23">
        <v>13600</v>
      </c>
      <c r="E1611" s="4">
        <v>1230</v>
      </c>
      <c r="F1611" s="21">
        <v>4200000</v>
      </c>
      <c r="G1611" s="21">
        <f t="shared" si="70"/>
        <v>3941724.4831688255</v>
      </c>
      <c r="H1611" s="6">
        <f t="shared" si="72"/>
        <v>258275.51683117449</v>
      </c>
      <c r="I1611" s="1">
        <f t="shared" si="71"/>
        <v>4296479.6866540201</v>
      </c>
      <c r="J1611" s="2">
        <f t="shared" si="69"/>
        <v>-96479.686654020101</v>
      </c>
    </row>
    <row r="1612" spans="3:10" ht="18" x14ac:dyDescent="0.45">
      <c r="C1612" s="15" t="s">
        <v>1648</v>
      </c>
      <c r="D1612" s="23">
        <v>13700</v>
      </c>
      <c r="E1612" s="4">
        <v>1226.3</v>
      </c>
      <c r="F1612" s="21">
        <v>4265000</v>
      </c>
      <c r="G1612" s="21">
        <f t="shared" si="70"/>
        <v>3958741.7325338381</v>
      </c>
      <c r="H1612" s="6">
        <f t="shared" si="72"/>
        <v>306258.26746616187</v>
      </c>
      <c r="I1612" s="1">
        <f t="shared" si="71"/>
        <v>4315028.4884618837</v>
      </c>
      <c r="J1612" s="2">
        <f t="shared" si="69"/>
        <v>-50028.488461883739</v>
      </c>
    </row>
    <row r="1613" spans="3:10" ht="18" x14ac:dyDescent="0.45">
      <c r="C1613" s="15" t="s">
        <v>1649</v>
      </c>
      <c r="D1613" s="23">
        <v>14000</v>
      </c>
      <c r="E1613" s="4">
        <v>1223</v>
      </c>
      <c r="F1613" s="21">
        <v>4395000</v>
      </c>
      <c r="G1613" s="21">
        <f t="shared" si="70"/>
        <v>4034447.4295084067</v>
      </c>
      <c r="H1613" s="6">
        <f t="shared" si="72"/>
        <v>360552.57049159333</v>
      </c>
      <c r="I1613" s="1">
        <f t="shared" si="71"/>
        <v>4397547.6981641632</v>
      </c>
      <c r="J1613" s="2">
        <f t="shared" si="69"/>
        <v>-2547.6981641631573</v>
      </c>
    </row>
    <row r="1614" spans="3:10" ht="18" x14ac:dyDescent="0.45">
      <c r="C1614" s="15" t="s">
        <v>1650</v>
      </c>
      <c r="D1614" s="23">
        <v>13700</v>
      </c>
      <c r="E1614" s="4">
        <v>1238</v>
      </c>
      <c r="F1614" s="21">
        <v>4330000</v>
      </c>
      <c r="G1614" s="21">
        <f t="shared" si="70"/>
        <v>3996463.9687489946</v>
      </c>
      <c r="H1614" s="6">
        <f t="shared" si="72"/>
        <v>333536.03125100536</v>
      </c>
      <c r="I1614" s="1">
        <f t="shared" si="71"/>
        <v>4356145.7259364044</v>
      </c>
      <c r="J1614" s="2">
        <f t="shared" si="69"/>
        <v>-26145.725936404429</v>
      </c>
    </row>
    <row r="1615" spans="3:10" ht="18" x14ac:dyDescent="0.45">
      <c r="C1615" s="15" t="s">
        <v>1651</v>
      </c>
      <c r="D1615" s="23">
        <v>13600</v>
      </c>
      <c r="E1615" s="4">
        <v>1230</v>
      </c>
      <c r="F1615" s="21">
        <v>4280000</v>
      </c>
      <c r="G1615" s="21">
        <f t="shared" si="70"/>
        <v>3941724.4831688255</v>
      </c>
      <c r="H1615" s="6">
        <f t="shared" si="72"/>
        <v>338275.51683117449</v>
      </c>
      <c r="I1615" s="1">
        <f t="shared" si="71"/>
        <v>4296479.6866540201</v>
      </c>
      <c r="J1615" s="2">
        <f t="shared" si="69"/>
        <v>-16479.686654020101</v>
      </c>
    </row>
    <row r="1616" spans="3:10" ht="18" x14ac:dyDescent="0.45">
      <c r="C1616" s="15" t="s">
        <v>1652</v>
      </c>
      <c r="D1616" s="23">
        <v>13750</v>
      </c>
      <c r="E1616" s="4">
        <v>1232</v>
      </c>
      <c r="F1616" s="21">
        <v>4300000</v>
      </c>
      <c r="G1616" s="21">
        <f t="shared" si="70"/>
        <v>3991616.0177474837</v>
      </c>
      <c r="H1616" s="6">
        <f t="shared" si="72"/>
        <v>308383.98225251632</v>
      </c>
      <c r="I1616" s="1">
        <f t="shared" si="71"/>
        <v>4350861.4593447577</v>
      </c>
      <c r="J1616" s="2">
        <f t="shared" si="69"/>
        <v>-50861.459344757721</v>
      </c>
    </row>
    <row r="1617" spans="3:10" ht="18" x14ac:dyDescent="0.45">
      <c r="C1617" s="15" t="s">
        <v>1653</v>
      </c>
      <c r="D1617" s="23">
        <v>14000</v>
      </c>
      <c r="E1617" s="4">
        <v>1233.5999999999999</v>
      </c>
      <c r="F1617" s="21">
        <v>4430000</v>
      </c>
      <c r="G1617" s="21">
        <f t="shared" si="70"/>
        <v>4069371.5037134681</v>
      </c>
      <c r="H1617" s="6">
        <f t="shared" si="72"/>
        <v>360628.49628653191</v>
      </c>
      <c r="I1617" s="1">
        <f t="shared" si="71"/>
        <v>4435614.9390476802</v>
      </c>
      <c r="J1617" s="2">
        <f t="shared" si="69"/>
        <v>-5614.9390476802364</v>
      </c>
    </row>
    <row r="1618" spans="3:10" ht="18" x14ac:dyDescent="0.45">
      <c r="C1618" s="15" t="s">
        <v>1654</v>
      </c>
      <c r="D1618" s="23">
        <v>14450</v>
      </c>
      <c r="E1618" s="4">
        <v>1233.5999999999999</v>
      </c>
      <c r="F1618" s="21">
        <v>4500000</v>
      </c>
      <c r="G1618" s="21">
        <f t="shared" si="70"/>
        <v>4200012.0163328284</v>
      </c>
      <c r="H1618" s="6">
        <f t="shared" si="72"/>
        <v>299987.98366717156</v>
      </c>
      <c r="I1618" s="1">
        <f t="shared" si="71"/>
        <v>4578013.0978027834</v>
      </c>
      <c r="J1618" s="2">
        <f t="shared" si="69"/>
        <v>-78013.097802783363</v>
      </c>
    </row>
    <row r="1619" spans="3:10" ht="18" x14ac:dyDescent="0.45">
      <c r="C1619" s="15" t="s">
        <v>1655</v>
      </c>
      <c r="D1619" s="23">
        <v>14700</v>
      </c>
      <c r="E1619" s="4">
        <v>1231</v>
      </c>
      <c r="F1619" s="21">
        <v>4710000</v>
      </c>
      <c r="G1619" s="21">
        <f t="shared" si="70"/>
        <v>4263595.482429347</v>
      </c>
      <c r="H1619" s="6">
        <f t="shared" si="72"/>
        <v>446404.517570653</v>
      </c>
      <c r="I1619" s="1">
        <f t="shared" si="71"/>
        <v>4647319.0758479889</v>
      </c>
      <c r="J1619" s="2">
        <f t="shared" si="69"/>
        <v>62680.924152011052</v>
      </c>
    </row>
    <row r="1620" spans="3:10" ht="18" x14ac:dyDescent="0.45">
      <c r="C1620" s="15" t="s">
        <v>1656</v>
      </c>
      <c r="D1620" s="23">
        <v>15100</v>
      </c>
      <c r="E1620" s="4">
        <v>1216</v>
      </c>
      <c r="F1620" s="21">
        <v>4800000</v>
      </c>
      <c r="G1620" s="21">
        <f t="shared" si="70"/>
        <v>4326171.704337202</v>
      </c>
      <c r="H1620" s="6">
        <f t="shared" si="72"/>
        <v>473828.29566279799</v>
      </c>
      <c r="I1620" s="1">
        <f t="shared" si="71"/>
        <v>4715527.1577275507</v>
      </c>
      <c r="J1620" s="2">
        <f t="shared" si="69"/>
        <v>84472.842272449285</v>
      </c>
    </row>
    <row r="1621" spans="3:10" ht="18" x14ac:dyDescent="0.45">
      <c r="C1621" s="15" t="s">
        <v>1657</v>
      </c>
      <c r="D1621" s="23">
        <v>14400</v>
      </c>
      <c r="E1621" s="4">
        <v>1229</v>
      </c>
      <c r="F1621" s="21">
        <v>4520000</v>
      </c>
      <c r="G1621" s="21">
        <f t="shared" si="70"/>
        <v>4169907.6526380084</v>
      </c>
      <c r="H1621" s="6">
        <f t="shared" si="72"/>
        <v>350092.34736199165</v>
      </c>
      <c r="I1621" s="1">
        <f t="shared" si="71"/>
        <v>4545199.3413754292</v>
      </c>
      <c r="J1621" s="2">
        <f t="shared" si="69"/>
        <v>-25199.341375429183</v>
      </c>
    </row>
    <row r="1622" spans="3:10" ht="18" x14ac:dyDescent="0.45">
      <c r="C1622" s="15" t="s">
        <v>1658</v>
      </c>
      <c r="D1622" s="23">
        <v>14200</v>
      </c>
      <c r="E1622" s="4">
        <v>1232.9000000000001</v>
      </c>
      <c r="F1622" s="21">
        <v>4460000</v>
      </c>
      <c r="G1622" s="21">
        <f t="shared" si="70"/>
        <v>4125094.6997395745</v>
      </c>
      <c r="H1622" s="6">
        <f t="shared" si="72"/>
        <v>334905.30026042555</v>
      </c>
      <c r="I1622" s="1">
        <f t="shared" si="71"/>
        <v>4496353.2227161368</v>
      </c>
      <c r="J1622" s="2">
        <f t="shared" si="69"/>
        <v>-36353.222716136836</v>
      </c>
    </row>
    <row r="1623" spans="3:10" ht="18" x14ac:dyDescent="0.45">
      <c r="C1623" s="15" t="s">
        <v>1659</v>
      </c>
      <c r="D1623" s="23">
        <v>14500</v>
      </c>
      <c r="E1623" s="4">
        <v>1232.9000000000001</v>
      </c>
      <c r="F1623" s="21">
        <v>4660000</v>
      </c>
      <c r="G1623" s="21">
        <f t="shared" si="70"/>
        <v>4212138.953959425</v>
      </c>
      <c r="H1623" s="6">
        <f t="shared" si="72"/>
        <v>447861.04604057502</v>
      </c>
      <c r="I1623" s="1">
        <f t="shared" si="71"/>
        <v>4591231.4598157732</v>
      </c>
      <c r="J1623" s="2">
        <f t="shared" si="69"/>
        <v>68768.540184226818</v>
      </c>
    </row>
    <row r="1624" spans="3:10" ht="18" x14ac:dyDescent="0.45">
      <c r="C1624" s="15" t="s">
        <v>1660</v>
      </c>
      <c r="D1624" s="23">
        <v>14650</v>
      </c>
      <c r="E1624" s="4">
        <v>1232</v>
      </c>
      <c r="F1624" s="21">
        <v>4680000</v>
      </c>
      <c r="G1624" s="21">
        <f t="shared" si="70"/>
        <v>4252558.1570909554</v>
      </c>
      <c r="H1624" s="6">
        <f t="shared" si="72"/>
        <v>427441.84290904459</v>
      </c>
      <c r="I1624" s="1">
        <f t="shared" si="71"/>
        <v>4635288.3912291415</v>
      </c>
      <c r="J1624" s="2">
        <f t="shared" si="69"/>
        <v>44711.608770858496</v>
      </c>
    </row>
    <row r="1625" spans="3:10" ht="18" x14ac:dyDescent="0.45">
      <c r="C1625" s="15" t="s">
        <v>1661</v>
      </c>
      <c r="D1625" s="23">
        <v>14550</v>
      </c>
      <c r="E1625" s="4">
        <v>1235</v>
      </c>
      <c r="F1625" s="21">
        <v>4630000</v>
      </c>
      <c r="G1625" s="21">
        <f t="shared" si="70"/>
        <v>4233837.0647525964</v>
      </c>
      <c r="H1625" s="6">
        <f t="shared" si="72"/>
        <v>396162.93524740357</v>
      </c>
      <c r="I1625" s="1">
        <f t="shared" si="71"/>
        <v>4614882.4005803308</v>
      </c>
      <c r="J1625" s="2">
        <f t="shared" si="69"/>
        <v>15117.599419669248</v>
      </c>
    </row>
    <row r="1626" spans="3:10" ht="18" x14ac:dyDescent="0.45">
      <c r="C1626" s="15" t="s">
        <v>1662</v>
      </c>
      <c r="D1626" s="23">
        <v>14350</v>
      </c>
      <c r="E1626" s="4">
        <v>1209.8</v>
      </c>
      <c r="F1626" s="21">
        <v>4530000</v>
      </c>
      <c r="G1626" s="21">
        <f t="shared" si="70"/>
        <v>4090605.9997749408</v>
      </c>
      <c r="H1626" s="6">
        <f t="shared" si="72"/>
        <v>439394.00022505922</v>
      </c>
      <c r="I1626" s="1">
        <f t="shared" si="71"/>
        <v>4458760.5397546859</v>
      </c>
      <c r="J1626" s="2">
        <f t="shared" si="69"/>
        <v>71239.460245314054</v>
      </c>
    </row>
    <row r="1627" spans="3:10" ht="18" x14ac:dyDescent="0.45">
      <c r="C1627" s="15" t="s">
        <v>1663</v>
      </c>
      <c r="D1627" s="23">
        <v>14000</v>
      </c>
      <c r="E1627" s="4">
        <v>1209.8</v>
      </c>
      <c r="F1627" s="21">
        <v>4370000</v>
      </c>
      <c r="G1627" s="21">
        <f t="shared" si="70"/>
        <v>3990957.0729511618</v>
      </c>
      <c r="H1627" s="6">
        <f t="shared" si="72"/>
        <v>379042.92704883823</v>
      </c>
      <c r="I1627" s="1">
        <f t="shared" si="71"/>
        <v>4350143.2095167665</v>
      </c>
      <c r="J1627" s="2">
        <f t="shared" si="69"/>
        <v>19856.790483233519</v>
      </c>
    </row>
    <row r="1628" spans="3:10" ht="18" x14ac:dyDescent="0.45">
      <c r="C1628" s="15" t="s">
        <v>1664</v>
      </c>
      <c r="D1628" s="23">
        <v>13750</v>
      </c>
      <c r="E1628" s="4">
        <v>1207.2</v>
      </c>
      <c r="F1628" s="21">
        <v>4350000</v>
      </c>
      <c r="G1628" s="21">
        <f t="shared" si="70"/>
        <v>3911365.9550525667</v>
      </c>
      <c r="H1628" s="6">
        <f t="shared" si="72"/>
        <v>438634.04494743329</v>
      </c>
      <c r="I1628" s="1">
        <f t="shared" si="71"/>
        <v>4263388.8910072977</v>
      </c>
      <c r="J1628" s="2">
        <f t="shared" si="69"/>
        <v>86611.108992702328</v>
      </c>
    </row>
    <row r="1629" spans="3:10" ht="18" x14ac:dyDescent="0.45">
      <c r="C1629" s="15" t="s">
        <v>1665</v>
      </c>
      <c r="D1629" s="23">
        <v>13450</v>
      </c>
      <c r="E1629" s="4">
        <v>1201</v>
      </c>
      <c r="F1629" s="21">
        <v>4190000</v>
      </c>
      <c r="G1629" s="21">
        <f t="shared" si="70"/>
        <v>3806511.3643378448</v>
      </c>
      <c r="H1629" s="6">
        <f t="shared" si="72"/>
        <v>383488.63566215523</v>
      </c>
      <c r="I1629" s="1">
        <f t="shared" si="71"/>
        <v>4149097.3871282511</v>
      </c>
      <c r="J1629" s="2">
        <f t="shared" si="69"/>
        <v>40902.612871748861</v>
      </c>
    </row>
    <row r="1630" spans="3:10" ht="18" x14ac:dyDescent="0.45">
      <c r="C1630" s="15" t="s">
        <v>1666</v>
      </c>
      <c r="D1630" s="23">
        <v>13000</v>
      </c>
      <c r="E1630" s="4">
        <v>1200</v>
      </c>
      <c r="F1630" s="4">
        <v>3950000</v>
      </c>
      <c r="G1630" s="21">
        <f t="shared" si="70"/>
        <v>3676263.8652220038</v>
      </c>
      <c r="H1630" s="6">
        <f t="shared" si="72"/>
        <v>273736.13477799622</v>
      </c>
      <c r="I1630" s="1">
        <f t="shared" si="71"/>
        <v>4007127.6130919843</v>
      </c>
      <c r="J1630" s="2">
        <f t="shared" si="69"/>
        <v>-57127.613091984298</v>
      </c>
    </row>
    <row r="1631" spans="3:10" ht="18" x14ac:dyDescent="0.45">
      <c r="C1631" s="15" t="s">
        <v>1667</v>
      </c>
      <c r="D1631" s="23">
        <v>12300</v>
      </c>
      <c r="E1631" s="21">
        <v>1210</v>
      </c>
      <c r="F1631" s="4">
        <v>3820000</v>
      </c>
      <c r="G1631" s="21">
        <f t="shared" si="70"/>
        <v>3507526.9298781464</v>
      </c>
      <c r="H1631" s="6">
        <f t="shared" si="72"/>
        <v>312473.07012185361</v>
      </c>
      <c r="I1631" s="1">
        <f t="shared" si="71"/>
        <v>3823204.3535671798</v>
      </c>
      <c r="J1631" s="2">
        <f t="shared" si="69"/>
        <v>-3204.3535671797581</v>
      </c>
    </row>
    <row r="1632" spans="3:10" ht="18" x14ac:dyDescent="0.45">
      <c r="C1632" s="15" t="s">
        <v>1668</v>
      </c>
      <c r="D1632" s="23">
        <v>12400</v>
      </c>
      <c r="E1632" s="21">
        <v>1222</v>
      </c>
      <c r="F1632" s="4">
        <v>4000000</v>
      </c>
      <c r="G1632" s="21">
        <f t="shared" si="70"/>
        <v>3571020.9677523067</v>
      </c>
      <c r="H1632" s="6">
        <f t="shared" si="72"/>
        <v>428979.03224769328</v>
      </c>
      <c r="I1632" s="1">
        <f t="shared" si="71"/>
        <v>3892412.8548500147</v>
      </c>
      <c r="J1632" s="2">
        <f t="shared" si="69"/>
        <v>107587.14514998533</v>
      </c>
    </row>
    <row r="1633" spans="3:10" ht="18" x14ac:dyDescent="0.45">
      <c r="C1633" s="4" t="s">
        <v>1669</v>
      </c>
      <c r="D1633" s="23">
        <v>12400</v>
      </c>
      <c r="E1633" s="4">
        <v>1222</v>
      </c>
      <c r="F1633" s="4">
        <v>4000000</v>
      </c>
      <c r="G1633" s="21">
        <f>E1633/31.103*8.133*D1633*0.9+5000</f>
        <v>3571020.9677523067</v>
      </c>
      <c r="H1633" s="6">
        <f t="shared" si="72"/>
        <v>428979.03224769328</v>
      </c>
      <c r="I1633" s="1">
        <f t="shared" si="71"/>
        <v>3892412.8548500147</v>
      </c>
      <c r="J1633" s="2">
        <f t="shared" si="69"/>
        <v>107587.14514998533</v>
      </c>
    </row>
    <row r="1634" spans="3:10" ht="18" x14ac:dyDescent="0.45">
      <c r="C1634" s="4" t="s">
        <v>1670</v>
      </c>
      <c r="D1634" s="23">
        <v>12900</v>
      </c>
      <c r="E1634" s="4">
        <v>1220</v>
      </c>
      <c r="F1634" s="21">
        <v>4050000</v>
      </c>
      <c r="G1634" s="21">
        <f t="shared" ref="G1634:G1697" si="73">E1634/31.103*8.133*D1634*0.9+5000</f>
        <v>3708740.4301835839</v>
      </c>
      <c r="H1634" s="6">
        <f t="shared" si="72"/>
        <v>341259.56981641613</v>
      </c>
      <c r="I1634" s="1">
        <f t="shared" si="71"/>
        <v>4042527.0689001069</v>
      </c>
      <c r="J1634" s="2">
        <f t="shared" si="69"/>
        <v>7472.9310998930596</v>
      </c>
    </row>
    <row r="1635" spans="3:10" ht="18" x14ac:dyDescent="0.45">
      <c r="C1635" s="4" t="s">
        <v>1671</v>
      </c>
      <c r="D1635" s="23">
        <v>12950</v>
      </c>
      <c r="E1635" s="4">
        <v>1226</v>
      </c>
      <c r="F1635" s="21">
        <v>4040000</v>
      </c>
      <c r="G1635" s="21">
        <f t="shared" si="73"/>
        <v>3741381.7313442426</v>
      </c>
      <c r="H1635" s="6">
        <f t="shared" si="72"/>
        <v>298618.26865575742</v>
      </c>
      <c r="I1635" s="1">
        <f t="shared" si="71"/>
        <v>4078106.0871652248</v>
      </c>
      <c r="J1635" s="2">
        <f t="shared" si="69"/>
        <v>-38106.087165224832</v>
      </c>
    </row>
    <row r="1636" spans="3:10" ht="18" x14ac:dyDescent="0.45">
      <c r="C1636" s="4" t="s">
        <v>1672</v>
      </c>
      <c r="D1636" s="23">
        <v>12900</v>
      </c>
      <c r="E1636" s="4">
        <v>1224</v>
      </c>
      <c r="F1636" s="21">
        <v>4100000</v>
      </c>
      <c r="G1636" s="21">
        <f t="shared" si="73"/>
        <v>3720883.8414300862</v>
      </c>
      <c r="H1636" s="6">
        <f t="shared" si="72"/>
        <v>379116.15856991382</v>
      </c>
      <c r="I1636" s="1">
        <f t="shared" si="71"/>
        <v>4055763.3871587943</v>
      </c>
      <c r="J1636" s="2">
        <f t="shared" si="69"/>
        <v>44236.612841205671</v>
      </c>
    </row>
    <row r="1637" spans="3:10" ht="18" x14ac:dyDescent="0.45">
      <c r="C1637" s="4" t="s">
        <v>1673</v>
      </c>
      <c r="D1637" s="23">
        <v>12650</v>
      </c>
      <c r="E1637" s="4">
        <v>1228</v>
      </c>
      <c r="F1637" s="21">
        <v>4020000</v>
      </c>
      <c r="G1637" s="21">
        <f t="shared" si="73"/>
        <v>3660778.6625084393</v>
      </c>
      <c r="H1637" s="6">
        <f t="shared" si="72"/>
        <v>359221.33749156073</v>
      </c>
      <c r="I1637" s="1">
        <f t="shared" si="71"/>
        <v>3990248.742134199</v>
      </c>
      <c r="J1637" s="2">
        <f t="shared" si="69"/>
        <v>29751.257865800988</v>
      </c>
    </row>
    <row r="1638" spans="3:10" ht="18" x14ac:dyDescent="0.45">
      <c r="C1638" s="4" t="s">
        <v>1674</v>
      </c>
      <c r="D1638" s="23">
        <v>12450</v>
      </c>
      <c r="E1638" s="4">
        <v>1223</v>
      </c>
      <c r="F1638" s="21">
        <v>3970000</v>
      </c>
      <c r="G1638" s="21">
        <f t="shared" si="73"/>
        <v>3588330.0355271189</v>
      </c>
      <c r="H1638" s="6">
        <f t="shared" si="72"/>
        <v>381669.96447288105</v>
      </c>
      <c r="I1638" s="1">
        <f t="shared" si="71"/>
        <v>3911279.73872456</v>
      </c>
      <c r="J1638" s="2">
        <f t="shared" si="69"/>
        <v>58720.261275439989</v>
      </c>
    </row>
    <row r="1639" spans="3:10" ht="18" x14ac:dyDescent="0.45">
      <c r="C1639" s="4" t="s">
        <v>1675</v>
      </c>
      <c r="D1639" s="23">
        <v>12300</v>
      </c>
      <c r="E1639" s="4">
        <v>1226</v>
      </c>
      <c r="F1639" s="21">
        <v>3950000</v>
      </c>
      <c r="G1639" s="21">
        <f t="shared" si="73"/>
        <v>3553841.3355624853</v>
      </c>
      <c r="H1639" s="6">
        <f t="shared" si="72"/>
        <v>396158.66443751473</v>
      </c>
      <c r="I1639" s="1">
        <f t="shared" si="71"/>
        <v>3873687.0557631091</v>
      </c>
      <c r="J1639" s="2">
        <f t="shared" si="69"/>
        <v>76312.944236890879</v>
      </c>
    </row>
    <row r="1640" spans="3:10" ht="18" x14ac:dyDescent="0.45">
      <c r="C1640" s="4" t="s">
        <v>1676</v>
      </c>
      <c r="D1640" s="23">
        <v>12000</v>
      </c>
      <c r="E1640" s="4">
        <v>1224</v>
      </c>
      <c r="F1640" s="21">
        <v>3890000</v>
      </c>
      <c r="G1640" s="21">
        <f t="shared" si="73"/>
        <v>3461636.1315628709</v>
      </c>
      <c r="H1640" s="6">
        <f t="shared" si="72"/>
        <v>428363.86843712907</v>
      </c>
      <c r="I1640" s="1">
        <f t="shared" si="71"/>
        <v>3773183.3834035294</v>
      </c>
      <c r="J1640" s="2">
        <f t="shared" ref="J1640:J1703" si="74">F1640-I1640</f>
        <v>116816.61659647059</v>
      </c>
    </row>
    <row r="1641" spans="3:10" ht="18" x14ac:dyDescent="0.45">
      <c r="C1641" s="4" t="s">
        <v>1677</v>
      </c>
      <c r="D1641" s="23">
        <v>11400</v>
      </c>
      <c r="E1641" s="4">
        <v>1214</v>
      </c>
      <c r="F1641" s="21">
        <v>3690000</v>
      </c>
      <c r="G1641" s="21">
        <f t="shared" si="73"/>
        <v>3261975.8582773362</v>
      </c>
      <c r="H1641" s="6">
        <f t="shared" si="72"/>
        <v>428024.14172266377</v>
      </c>
      <c r="I1641" s="1">
        <f t="shared" si="71"/>
        <v>3555553.6855222969</v>
      </c>
      <c r="J1641" s="2">
        <f t="shared" si="74"/>
        <v>134446.31447770307</v>
      </c>
    </row>
    <row r="1642" spans="3:10" ht="18" x14ac:dyDescent="0.45">
      <c r="C1642" s="4" t="s">
        <v>1678</v>
      </c>
      <c r="D1642" s="23">
        <v>11450</v>
      </c>
      <c r="E1642" s="4">
        <v>1223</v>
      </c>
      <c r="F1642" s="21">
        <v>3750000</v>
      </c>
      <c r="G1642" s="21">
        <f t="shared" si="73"/>
        <v>3300512.3619908043</v>
      </c>
      <c r="H1642" s="6">
        <f t="shared" si="72"/>
        <v>449487.63800919568</v>
      </c>
      <c r="I1642" s="1">
        <f t="shared" si="71"/>
        <v>3597558.4745699768</v>
      </c>
      <c r="J1642" s="2">
        <f t="shared" si="74"/>
        <v>152441.5254300232</v>
      </c>
    </row>
    <row r="1643" spans="3:10" ht="18" x14ac:dyDescent="0.45">
      <c r="C1643" s="4" t="s">
        <v>1679</v>
      </c>
      <c r="D1643" s="23">
        <v>11100</v>
      </c>
      <c r="E1643" s="4">
        <v>1222.2</v>
      </c>
      <c r="F1643" s="21">
        <v>3700000</v>
      </c>
      <c r="G1643" s="21">
        <f t="shared" si="73"/>
        <v>3197686.3798990445</v>
      </c>
      <c r="H1643" s="6">
        <f t="shared" si="72"/>
        <v>502313.62010095548</v>
      </c>
      <c r="I1643" s="1">
        <f>G1643*1.09</f>
        <v>3485478.1540899589</v>
      </c>
      <c r="J1643" s="2">
        <f t="shared" si="74"/>
        <v>214521.84591004113</v>
      </c>
    </row>
    <row r="1644" spans="3:10" ht="18" x14ac:dyDescent="0.45">
      <c r="C1644" s="4" t="s">
        <v>1680</v>
      </c>
      <c r="D1644" s="23">
        <v>11500</v>
      </c>
      <c r="E1644" s="4">
        <v>1229</v>
      </c>
      <c r="F1644" s="21">
        <v>3760000</v>
      </c>
      <c r="G1644" s="21">
        <f t="shared" si="73"/>
        <v>3331141.5281484094</v>
      </c>
      <c r="H1644" s="6">
        <f t="shared" si="72"/>
        <v>428858.47185159056</v>
      </c>
      <c r="I1644" s="1">
        <f>G1644*1.09</f>
        <v>3630944.2656817664</v>
      </c>
      <c r="J1644" s="2">
        <f>F1644-I1644</f>
        <v>129055.73431823356</v>
      </c>
    </row>
    <row r="1645" spans="3:10" ht="18" x14ac:dyDescent="0.45">
      <c r="C1645" s="4" t="s">
        <v>1681</v>
      </c>
      <c r="D1645" s="23">
        <v>11350</v>
      </c>
      <c r="E1645" s="4">
        <v>1238</v>
      </c>
      <c r="F1645" s="21">
        <v>3760000</v>
      </c>
      <c r="G1645" s="21">
        <f t="shared" si="73"/>
        <v>3311796.7916278164</v>
      </c>
      <c r="H1645" s="6">
        <f t="shared" si="72"/>
        <v>448203.20837218361</v>
      </c>
      <c r="I1645" s="1">
        <f t="shared" si="71"/>
        <v>3609858.5028743199</v>
      </c>
      <c r="J1645" s="2">
        <f t="shared" si="74"/>
        <v>150141.49712568009</v>
      </c>
    </row>
    <row r="1646" spans="3:10" ht="18" x14ac:dyDescent="0.45">
      <c r="C1646" s="4" t="s">
        <v>1682</v>
      </c>
      <c r="D1646" s="23">
        <v>11340</v>
      </c>
      <c r="E1646" s="4">
        <v>1236</v>
      </c>
      <c r="F1646" s="21">
        <v>3740000</v>
      </c>
      <c r="G1646" s="21">
        <f t="shared" si="73"/>
        <v>3303545.8614281574</v>
      </c>
      <c r="H1646" s="6">
        <f t="shared" si="72"/>
        <v>436454.13857184257</v>
      </c>
      <c r="I1646" s="1">
        <f t="shared" si="71"/>
        <v>3600864.9889566917</v>
      </c>
      <c r="J1646" s="2">
        <f t="shared" si="74"/>
        <v>139135.0110433083</v>
      </c>
    </row>
    <row r="1647" spans="3:10" ht="18" x14ac:dyDescent="0.45">
      <c r="C1647" s="4" t="s">
        <v>1683</v>
      </c>
      <c r="D1647" s="23">
        <v>11500</v>
      </c>
      <c r="E1647" s="4">
        <v>1241</v>
      </c>
      <c r="F1647" s="21">
        <v>3860000</v>
      </c>
      <c r="G1647" s="21">
        <f t="shared" si="73"/>
        <v>3363618.0931099886</v>
      </c>
      <c r="H1647" s="6">
        <f t="shared" si="72"/>
        <v>496381.90689001139</v>
      </c>
      <c r="I1647" s="1">
        <f t="shared" si="71"/>
        <v>3666343.7214898877</v>
      </c>
      <c r="J1647" s="2">
        <f t="shared" si="74"/>
        <v>193656.27851011232</v>
      </c>
    </row>
    <row r="1648" spans="3:10" ht="18" x14ac:dyDescent="0.45">
      <c r="C1648" s="4" t="s">
        <v>1684</v>
      </c>
      <c r="D1648" s="23">
        <v>11450</v>
      </c>
      <c r="E1648" s="4">
        <v>1249</v>
      </c>
      <c r="F1648" s="21">
        <v>3890000</v>
      </c>
      <c r="G1648" s="21">
        <f t="shared" si="73"/>
        <v>3370572.3140854575</v>
      </c>
      <c r="H1648" s="6">
        <f t="shared" si="72"/>
        <v>519427.68591454253</v>
      </c>
      <c r="I1648" s="1">
        <f t="shared" si="71"/>
        <v>3673923.8223531488</v>
      </c>
      <c r="J1648" s="2">
        <f t="shared" si="74"/>
        <v>216076.17764685117</v>
      </c>
    </row>
    <row r="1649" spans="3:10" ht="18" x14ac:dyDescent="0.45">
      <c r="C1649" s="4" t="s">
        <v>1685</v>
      </c>
      <c r="D1649" s="23">
        <v>11200</v>
      </c>
      <c r="E1649" s="4">
        <v>1249</v>
      </c>
      <c r="F1649" s="21">
        <v>3750000</v>
      </c>
      <c r="G1649" s="21">
        <f t="shared" si="73"/>
        <v>3297088.202424203</v>
      </c>
      <c r="H1649" s="6">
        <f t="shared" si="72"/>
        <v>452911.79757579695</v>
      </c>
      <c r="I1649" s="1">
        <f t="shared" ref="I1649:I1712" si="75">G1649*1.09</f>
        <v>3593826.1406423817</v>
      </c>
      <c r="J1649" s="2">
        <f t="shared" si="74"/>
        <v>156173.85935761826</v>
      </c>
    </row>
    <row r="1650" spans="3:10" ht="18" x14ac:dyDescent="0.45">
      <c r="C1650" s="4" t="s">
        <v>1686</v>
      </c>
      <c r="D1650" s="23">
        <v>10900</v>
      </c>
      <c r="E1650" s="4">
        <v>1247</v>
      </c>
      <c r="F1650" s="21">
        <v>3650000</v>
      </c>
      <c r="G1650" s="21">
        <f t="shared" si="73"/>
        <v>3203776.9125164771</v>
      </c>
      <c r="H1650" s="6">
        <f t="shared" si="72"/>
        <v>446223.08748352295</v>
      </c>
      <c r="I1650" s="1">
        <f t="shared" si="75"/>
        <v>3492116.8346429602</v>
      </c>
      <c r="J1650" s="2">
        <f t="shared" si="74"/>
        <v>157883.16535703978</v>
      </c>
    </row>
    <row r="1651" spans="3:10" ht="18" x14ac:dyDescent="0.45">
      <c r="C1651" s="4" t="s">
        <v>1687</v>
      </c>
      <c r="D1651" s="23">
        <v>10250</v>
      </c>
      <c r="E1651" s="4">
        <v>1248</v>
      </c>
      <c r="F1651" s="21">
        <v>3550000</v>
      </c>
      <c r="G1651" s="21">
        <f t="shared" si="73"/>
        <v>3015436.3694820432</v>
      </c>
      <c r="H1651" s="6">
        <f t="shared" si="72"/>
        <v>534563.6305179568</v>
      </c>
      <c r="I1651" s="1">
        <f t="shared" si="75"/>
        <v>3286825.6427354272</v>
      </c>
      <c r="J1651" s="2">
        <f t="shared" si="74"/>
        <v>263174.35726457275</v>
      </c>
    </row>
    <row r="1652" spans="3:10" ht="18" x14ac:dyDescent="0.45">
      <c r="C1652" s="4" t="s">
        <v>1688</v>
      </c>
      <c r="D1652" s="23">
        <v>10200</v>
      </c>
      <c r="E1652" s="4">
        <v>1243</v>
      </c>
      <c r="F1652" s="21">
        <v>3590000</v>
      </c>
      <c r="G1652" s="21">
        <f t="shared" si="73"/>
        <v>2988749.1052310062</v>
      </c>
      <c r="H1652" s="6">
        <f t="shared" si="72"/>
        <v>601250.89476899384</v>
      </c>
      <c r="I1652" s="1">
        <f t="shared" si="75"/>
        <v>3257736.5247017969</v>
      </c>
      <c r="J1652" s="2">
        <f t="shared" si="74"/>
        <v>332263.47529820306</v>
      </c>
    </row>
    <row r="1653" spans="3:10" ht="18" x14ac:dyDescent="0.45">
      <c r="C1653" s="4" t="s">
        <v>1689</v>
      </c>
      <c r="D1653" s="23">
        <v>10300</v>
      </c>
      <c r="E1653" s="4">
        <v>1243</v>
      </c>
      <c r="F1653" s="21">
        <v>3640000</v>
      </c>
      <c r="G1653" s="21">
        <f t="shared" si="73"/>
        <v>3018001.5474391533</v>
      </c>
      <c r="H1653" s="6">
        <f t="shared" si="72"/>
        <v>621998.45256084669</v>
      </c>
      <c r="I1653" s="1">
        <f t="shared" si="75"/>
        <v>3289621.6867086776</v>
      </c>
      <c r="J1653" s="2">
        <f t="shared" si="74"/>
        <v>350378.31329132244</v>
      </c>
    </row>
    <row r="1654" spans="3:10" ht="18" x14ac:dyDescent="0.45">
      <c r="C1654" s="4" t="s">
        <v>1690</v>
      </c>
      <c r="D1654" s="23">
        <v>10200</v>
      </c>
      <c r="E1654" s="4">
        <v>1238</v>
      </c>
      <c r="F1654" s="21">
        <v>3510000</v>
      </c>
      <c r="G1654" s="21">
        <f t="shared" si="73"/>
        <v>2976746.8964408571</v>
      </c>
      <c r="H1654" s="6">
        <f t="shared" si="72"/>
        <v>533253.10355914291</v>
      </c>
      <c r="I1654" s="1">
        <f t="shared" si="75"/>
        <v>3244654.1171205346</v>
      </c>
      <c r="J1654" s="2">
        <f t="shared" si="74"/>
        <v>265345.88287946535</v>
      </c>
    </row>
    <row r="1655" spans="3:10" ht="18" x14ac:dyDescent="0.45">
      <c r="C1655" s="4" t="s">
        <v>1691</v>
      </c>
      <c r="D1655" s="23">
        <v>9950</v>
      </c>
      <c r="E1655" s="4">
        <v>1238</v>
      </c>
      <c r="F1655" s="21">
        <v>3410000</v>
      </c>
      <c r="G1655" s="21">
        <f t="shared" si="73"/>
        <v>2903909.9627045617</v>
      </c>
      <c r="H1655" s="6">
        <f t="shared" si="72"/>
        <v>506090.03729543835</v>
      </c>
      <c r="I1655" s="1">
        <f t="shared" si="75"/>
        <v>3165261.8593479726</v>
      </c>
      <c r="J1655" s="2">
        <f t="shared" si="74"/>
        <v>244738.14065202745</v>
      </c>
    </row>
    <row r="1656" spans="3:10" ht="18" x14ac:dyDescent="0.45">
      <c r="C1656" s="4" t="s">
        <v>1692</v>
      </c>
      <c r="D1656" s="23">
        <v>10000</v>
      </c>
      <c r="E1656" s="4">
        <v>1240</v>
      </c>
      <c r="F1656" s="21">
        <v>3430000</v>
      </c>
      <c r="G1656" s="21">
        <f t="shared" si="73"/>
        <v>2923184.0979969772</v>
      </c>
      <c r="H1656" s="6">
        <f t="shared" si="72"/>
        <v>506815.90200302284</v>
      </c>
      <c r="I1656" s="1">
        <f t="shared" si="75"/>
        <v>3186270.6668167054</v>
      </c>
      <c r="J1656" s="2">
        <f t="shared" si="74"/>
        <v>243729.33318329463</v>
      </c>
    </row>
    <row r="1657" spans="3:10" ht="18" x14ac:dyDescent="0.45">
      <c r="C1657" s="4" t="s">
        <v>1693</v>
      </c>
      <c r="D1657" s="23">
        <v>9950</v>
      </c>
      <c r="E1657" s="4">
        <v>1248</v>
      </c>
      <c r="F1657" s="21">
        <v>3390000</v>
      </c>
      <c r="G1657" s="21">
        <f t="shared" si="73"/>
        <v>2927326.0367167154</v>
      </c>
      <c r="H1657" s="6">
        <f t="shared" si="72"/>
        <v>462673.96328328457</v>
      </c>
      <c r="I1657" s="1">
        <f t="shared" si="75"/>
        <v>3190785.3800212201</v>
      </c>
      <c r="J1657" s="2">
        <f t="shared" si="74"/>
        <v>199214.61997877993</v>
      </c>
    </row>
    <row r="1658" spans="3:10" ht="18" x14ac:dyDescent="0.45">
      <c r="C1658" s="4" t="s">
        <v>1694</v>
      </c>
      <c r="D1658" s="23">
        <v>10000</v>
      </c>
      <c r="E1658" s="4">
        <v>1248</v>
      </c>
      <c r="F1658" s="21">
        <v>3400000</v>
      </c>
      <c r="G1658" s="21">
        <f t="shared" si="73"/>
        <v>2942011.0921776029</v>
      </c>
      <c r="H1658" s="6">
        <f t="shared" si="72"/>
        <v>457988.90782239707</v>
      </c>
      <c r="I1658" s="1">
        <f t="shared" si="75"/>
        <v>3206792.0904735876</v>
      </c>
      <c r="J1658" s="2">
        <f t="shared" si="74"/>
        <v>193207.90952641238</v>
      </c>
    </row>
    <row r="1659" spans="3:10" ht="18" x14ac:dyDescent="0.45">
      <c r="C1659" s="4" t="s">
        <v>1695</v>
      </c>
      <c r="D1659" s="23">
        <v>10050</v>
      </c>
      <c r="E1659" s="4">
        <v>1254</v>
      </c>
      <c r="F1659" s="21">
        <v>3410000</v>
      </c>
      <c r="G1659" s="21">
        <f t="shared" si="73"/>
        <v>2970886.9945021369</v>
      </c>
      <c r="H1659" s="6">
        <f t="shared" si="72"/>
        <v>439113.00549786305</v>
      </c>
      <c r="I1659" s="1">
        <f t="shared" si="75"/>
        <v>3238266.8240073295</v>
      </c>
      <c r="J1659" s="2">
        <f t="shared" si="74"/>
        <v>171733.17599267047</v>
      </c>
    </row>
    <row r="1660" spans="3:10" ht="18" x14ac:dyDescent="0.45">
      <c r="C1660" s="4" t="s">
        <v>1696</v>
      </c>
      <c r="D1660" s="23">
        <v>10070</v>
      </c>
      <c r="E1660" s="4">
        <v>1255</v>
      </c>
      <c r="F1660" s="21">
        <v>3405000</v>
      </c>
      <c r="G1660" s="21">
        <f t="shared" si="73"/>
        <v>2979159.1050702501</v>
      </c>
      <c r="H1660" s="6">
        <f t="shared" si="72"/>
        <v>425840.89492974989</v>
      </c>
      <c r="I1660" s="1">
        <f t="shared" si="75"/>
        <v>3247283.4245265727</v>
      </c>
      <c r="J1660" s="2">
        <f t="shared" si="74"/>
        <v>157716.57547342731</v>
      </c>
    </row>
    <row r="1661" spans="3:10" ht="18" x14ac:dyDescent="0.45">
      <c r="C1661" s="4" t="s">
        <v>1697</v>
      </c>
      <c r="D1661" s="23">
        <v>10300</v>
      </c>
      <c r="E1661" s="4">
        <v>1255</v>
      </c>
      <c r="F1661" s="21">
        <v>3460000</v>
      </c>
      <c r="G1661" s="21">
        <f t="shared" si="73"/>
        <v>3047089.25344822</v>
      </c>
      <c r="H1661" s="6">
        <f t="shared" si="72"/>
        <v>412910.74655178003</v>
      </c>
      <c r="I1661" s="1">
        <f t="shared" si="75"/>
        <v>3321327.2862585601</v>
      </c>
      <c r="J1661" s="2">
        <f t="shared" si="74"/>
        <v>138672.71374143986</v>
      </c>
    </row>
    <row r="1662" spans="3:10" ht="18" x14ac:dyDescent="0.45">
      <c r="C1662" s="4" t="s">
        <v>1698</v>
      </c>
      <c r="D1662" s="23">
        <v>10350</v>
      </c>
      <c r="E1662" s="4">
        <v>1262</v>
      </c>
      <c r="F1662" s="21">
        <v>3485000</v>
      </c>
      <c r="G1662" s="21">
        <f t="shared" si="73"/>
        <v>3078906.8736134772</v>
      </c>
      <c r="H1662" s="6">
        <f t="shared" si="72"/>
        <v>406093.12638652278</v>
      </c>
      <c r="I1662" s="1">
        <f t="shared" si="75"/>
        <v>3356008.4922386906</v>
      </c>
      <c r="J1662" s="2">
        <f t="shared" si="74"/>
        <v>128991.50776130939</v>
      </c>
    </row>
    <row r="1663" spans="3:10" ht="18" x14ac:dyDescent="0.45">
      <c r="C1663" s="4" t="s">
        <v>1699</v>
      </c>
      <c r="D1663" s="23">
        <v>11200</v>
      </c>
      <c r="E1663" s="4">
        <v>1269</v>
      </c>
      <c r="F1663" s="21">
        <v>3730000</v>
      </c>
      <c r="G1663" s="21">
        <f t="shared" si="73"/>
        <v>3349803.7861299543</v>
      </c>
      <c r="H1663" s="6">
        <f t="shared" si="72"/>
        <v>380196.21387004573</v>
      </c>
      <c r="I1663" s="1">
        <f t="shared" si="75"/>
        <v>3651286.1268816506</v>
      </c>
      <c r="J1663" s="2">
        <f t="shared" si="74"/>
        <v>78713.873118349351</v>
      </c>
    </row>
    <row r="1664" spans="3:10" ht="18" x14ac:dyDescent="0.45">
      <c r="C1664" s="4" t="s">
        <v>1700</v>
      </c>
      <c r="D1664" s="23">
        <v>10950</v>
      </c>
      <c r="E1664" s="4">
        <v>1272</v>
      </c>
      <c r="F1664" s="21">
        <v>3630000</v>
      </c>
      <c r="G1664" s="21">
        <f t="shared" si="73"/>
        <v>3282873.8218178302</v>
      </c>
      <c r="H1664" s="6">
        <f t="shared" si="72"/>
        <v>347126.1781821698</v>
      </c>
      <c r="I1664" s="1">
        <f t="shared" si="75"/>
        <v>3578332.4657814354</v>
      </c>
      <c r="J1664" s="2">
        <f t="shared" si="74"/>
        <v>51667.53421856463</v>
      </c>
    </row>
    <row r="1665" spans="3:10" ht="18" x14ac:dyDescent="0.45">
      <c r="C1665" s="4" t="s">
        <v>1701</v>
      </c>
      <c r="D1665" s="23">
        <v>10800</v>
      </c>
      <c r="E1665" s="4">
        <v>1273</v>
      </c>
      <c r="F1665" s="21">
        <v>3590000</v>
      </c>
      <c r="G1665" s="21">
        <f t="shared" si="73"/>
        <v>3240513.0849114233</v>
      </c>
      <c r="H1665" s="6">
        <f t="shared" si="72"/>
        <v>349486.91508857673</v>
      </c>
      <c r="I1665" s="1">
        <f t="shared" si="75"/>
        <v>3532159.2625534516</v>
      </c>
      <c r="J1665" s="2">
        <f t="shared" si="74"/>
        <v>57840.737446548417</v>
      </c>
    </row>
    <row r="1666" spans="3:10" ht="18" x14ac:dyDescent="0.45">
      <c r="C1666" s="4" t="s">
        <v>1702</v>
      </c>
      <c r="D1666" s="23">
        <v>10550</v>
      </c>
      <c r="E1666" s="4">
        <v>1281</v>
      </c>
      <c r="F1666" s="21">
        <v>3550000</v>
      </c>
      <c r="G1666" s="21">
        <f t="shared" si="73"/>
        <v>3185479.427547182</v>
      </c>
      <c r="H1666" s="6">
        <f t="shared" ref="H1666:H1729" si="76">F:F-G:G</f>
        <v>364520.57245281804</v>
      </c>
      <c r="I1666" s="1">
        <f t="shared" si="75"/>
        <v>3472172.5760264285</v>
      </c>
      <c r="J1666" s="2">
        <f t="shared" si="74"/>
        <v>77827.423973571509</v>
      </c>
    </row>
    <row r="1667" spans="3:10" ht="18" x14ac:dyDescent="0.45">
      <c r="C1667" s="4" t="s">
        <v>1703</v>
      </c>
      <c r="D1667" s="23">
        <v>10800</v>
      </c>
      <c r="E1667" s="4">
        <v>1283</v>
      </c>
      <c r="F1667" s="21">
        <v>3620000</v>
      </c>
      <c r="G1667" s="21">
        <f t="shared" si="73"/>
        <v>3265929.5270552672</v>
      </c>
      <c r="H1667" s="6">
        <f t="shared" si="76"/>
        <v>354070.47294473276</v>
      </c>
      <c r="I1667" s="1">
        <f t="shared" si="75"/>
        <v>3559863.1844902416</v>
      </c>
      <c r="J1667" s="2">
        <f t="shared" si="74"/>
        <v>60136.815509758424</v>
      </c>
    </row>
    <row r="1668" spans="3:10" ht="18" x14ac:dyDescent="0.45">
      <c r="C1668" s="4" t="s">
        <v>1704</v>
      </c>
      <c r="D1668" s="23">
        <v>10900</v>
      </c>
      <c r="E1668" s="4">
        <v>1283</v>
      </c>
      <c r="F1668" s="21">
        <v>3700000</v>
      </c>
      <c r="G1668" s="21">
        <f t="shared" si="73"/>
        <v>3296123.3189724456</v>
      </c>
      <c r="H1668" s="6">
        <f t="shared" si="76"/>
        <v>403876.68102755444</v>
      </c>
      <c r="I1668" s="1">
        <f t="shared" si="75"/>
        <v>3592774.417679966</v>
      </c>
      <c r="J1668" s="2">
        <f t="shared" si="74"/>
        <v>107225.58232003404</v>
      </c>
    </row>
    <row r="1669" spans="3:10" ht="18" x14ac:dyDescent="0.45">
      <c r="C1669" s="4" t="s">
        <v>1705</v>
      </c>
      <c r="D1669" s="23">
        <v>10700</v>
      </c>
      <c r="E1669" s="4">
        <v>1280.3</v>
      </c>
      <c r="F1669" s="21">
        <v>3640000</v>
      </c>
      <c r="G1669" s="21">
        <f t="shared" si="73"/>
        <v>3228936.8368646107</v>
      </c>
      <c r="H1669" s="6">
        <f t="shared" si="76"/>
        <v>411063.16313538933</v>
      </c>
      <c r="I1669" s="1">
        <f t="shared" si="75"/>
        <v>3519541.1521824258</v>
      </c>
      <c r="J1669" s="2">
        <f t="shared" si="74"/>
        <v>120458.84781757416</v>
      </c>
    </row>
    <row r="1670" spans="3:10" ht="18" x14ac:dyDescent="0.45">
      <c r="C1670" s="4" t="s">
        <v>1706</v>
      </c>
      <c r="D1670" s="23">
        <v>10680</v>
      </c>
      <c r="E1670" s="4">
        <v>1285</v>
      </c>
      <c r="F1670" s="21">
        <v>3650000</v>
      </c>
      <c r="G1670" s="21">
        <f t="shared" si="73"/>
        <v>3234723.7842008802</v>
      </c>
      <c r="H1670" s="6">
        <f t="shared" si="76"/>
        <v>415276.21579911979</v>
      </c>
      <c r="I1670" s="1">
        <f t="shared" si="75"/>
        <v>3525848.9247789597</v>
      </c>
      <c r="J1670" s="2">
        <f t="shared" si="74"/>
        <v>124151.07522104029</v>
      </c>
    </row>
    <row r="1671" spans="3:10" ht="18" x14ac:dyDescent="0.45">
      <c r="C1671" s="4" t="s">
        <v>1707</v>
      </c>
      <c r="D1671" s="23">
        <v>10730</v>
      </c>
      <c r="E1671" s="4">
        <v>1288</v>
      </c>
      <c r="F1671" s="21">
        <v>3690000</v>
      </c>
      <c r="G1671" s="21">
        <f t="shared" si="73"/>
        <v>3257419.7256856249</v>
      </c>
      <c r="H1671" s="6">
        <f t="shared" si="76"/>
        <v>432580.27431437513</v>
      </c>
      <c r="I1671" s="1">
        <f t="shared" si="75"/>
        <v>3550587.5009973315</v>
      </c>
      <c r="J1671" s="2">
        <f t="shared" si="74"/>
        <v>139412.49900266854</v>
      </c>
    </row>
    <row r="1672" spans="3:10" ht="18" x14ac:dyDescent="0.45">
      <c r="C1672" s="4" t="s">
        <v>1708</v>
      </c>
      <c r="D1672" s="23">
        <v>10720</v>
      </c>
      <c r="E1672" s="4">
        <v>1284</v>
      </c>
      <c r="F1672" s="21">
        <v>3660000</v>
      </c>
      <c r="G1672" s="21">
        <f t="shared" si="73"/>
        <v>3244297.3107417282</v>
      </c>
      <c r="H1672" s="6">
        <f t="shared" si="76"/>
        <v>415702.68925827183</v>
      </c>
      <c r="I1672" s="1">
        <f t="shared" si="75"/>
        <v>3536284.0687084841</v>
      </c>
      <c r="J1672" s="2">
        <f t="shared" si="74"/>
        <v>123715.93129151594</v>
      </c>
    </row>
    <row r="1673" spans="3:10" ht="18" x14ac:dyDescent="0.45">
      <c r="C1673" s="4" t="s">
        <v>1709</v>
      </c>
      <c r="D1673" s="23">
        <v>10760</v>
      </c>
      <c r="E1673" s="4">
        <v>1284.4000000000001</v>
      </c>
      <c r="F1673" s="21">
        <v>3690000</v>
      </c>
      <c r="G1673" s="21">
        <f t="shared" si="73"/>
        <v>3257397.133292608</v>
      </c>
      <c r="H1673" s="6">
        <f t="shared" si="76"/>
        <v>432602.86670739204</v>
      </c>
      <c r="I1673" s="1">
        <f t="shared" si="75"/>
        <v>3550562.8752889428</v>
      </c>
      <c r="J1673" s="2">
        <f t="shared" si="74"/>
        <v>139437.12471105717</v>
      </c>
    </row>
    <row r="1674" spans="3:10" ht="18" x14ac:dyDescent="0.45">
      <c r="C1674" s="4" t="s">
        <v>1710</v>
      </c>
      <c r="D1674" s="23">
        <v>11000</v>
      </c>
      <c r="E1674" s="4">
        <v>1292</v>
      </c>
      <c r="F1674" s="21">
        <v>3760000</v>
      </c>
      <c r="G1674" s="21">
        <f t="shared" si="73"/>
        <v>3349615.5161881484</v>
      </c>
      <c r="H1674" s="6">
        <f t="shared" si="76"/>
        <v>410384.48381185159</v>
      </c>
      <c r="I1674" s="1">
        <f t="shared" si="75"/>
        <v>3651080.912645082</v>
      </c>
      <c r="J1674" s="2">
        <f t="shared" si="74"/>
        <v>108919.08735491801</v>
      </c>
    </row>
    <row r="1675" spans="3:10" ht="18" x14ac:dyDescent="0.45">
      <c r="C1675" s="4" t="s">
        <v>1711</v>
      </c>
      <c r="D1675" s="23">
        <v>10990</v>
      </c>
      <c r="E1675" s="4">
        <v>1283</v>
      </c>
      <c r="F1675" s="21">
        <v>3750000</v>
      </c>
      <c r="G1675" s="21">
        <f t="shared" si="73"/>
        <v>3323297.7316979063</v>
      </c>
      <c r="H1675" s="6">
        <f t="shared" si="76"/>
        <v>426702.26830209373</v>
      </c>
      <c r="I1675" s="1">
        <f t="shared" si="75"/>
        <v>3622394.5275507183</v>
      </c>
      <c r="J1675" s="2">
        <f t="shared" si="74"/>
        <v>127605.47244928172</v>
      </c>
    </row>
    <row r="1676" spans="3:10" ht="18" x14ac:dyDescent="0.45">
      <c r="C1676" s="4" t="s">
        <v>1712</v>
      </c>
      <c r="D1676" s="23">
        <v>11000</v>
      </c>
      <c r="E1676" s="4">
        <v>1281</v>
      </c>
      <c r="F1676" s="21">
        <v>3790000</v>
      </c>
      <c r="G1676" s="21">
        <f t="shared" si="73"/>
        <v>3321139.6874899524</v>
      </c>
      <c r="H1676" s="6">
        <f t="shared" si="76"/>
        <v>468860.31251004757</v>
      </c>
      <c r="I1676" s="1">
        <f t="shared" si="75"/>
        <v>3620042.2593640485</v>
      </c>
      <c r="J1676" s="2">
        <f t="shared" si="74"/>
        <v>169957.74063595152</v>
      </c>
    </row>
    <row r="1677" spans="3:10" ht="18" x14ac:dyDescent="0.45">
      <c r="C1677" s="4" t="s">
        <v>1713</v>
      </c>
      <c r="D1677" s="23">
        <v>11200</v>
      </c>
      <c r="E1677" s="4">
        <v>1293.5</v>
      </c>
      <c r="F1677" s="21">
        <v>3850000</v>
      </c>
      <c r="G1677" s="21">
        <f t="shared" si="73"/>
        <v>3414380.3761695004</v>
      </c>
      <c r="H1677" s="6">
        <f t="shared" si="76"/>
        <v>435619.62383049959</v>
      </c>
      <c r="I1677" s="1">
        <f t="shared" si="75"/>
        <v>3721674.6100247558</v>
      </c>
      <c r="J1677" s="2">
        <f t="shared" si="74"/>
        <v>128325.38997524418</v>
      </c>
    </row>
    <row r="1678" spans="3:10" ht="18" x14ac:dyDescent="0.45">
      <c r="C1678" s="4" t="s">
        <v>1714</v>
      </c>
      <c r="D1678" s="23">
        <v>11500</v>
      </c>
      <c r="E1678" s="4">
        <v>1287.5999999999999</v>
      </c>
      <c r="F1678" s="21">
        <v>3905000</v>
      </c>
      <c r="G1678" s="21">
        <f t="shared" si="73"/>
        <v>3489735.4203774547</v>
      </c>
      <c r="H1678" s="6">
        <f t="shared" si="76"/>
        <v>415264.57962254528</v>
      </c>
      <c r="I1678" s="1">
        <f t="shared" si="75"/>
        <v>3803811.6082114261</v>
      </c>
      <c r="J1678" s="2">
        <f t="shared" si="74"/>
        <v>101188.39178857394</v>
      </c>
    </row>
    <row r="1679" spans="3:10" ht="18" x14ac:dyDescent="0.45">
      <c r="C1679" s="4" t="s">
        <v>1715</v>
      </c>
      <c r="D1679" s="23">
        <v>11400</v>
      </c>
      <c r="E1679" s="4">
        <v>1287.5999999999999</v>
      </c>
      <c r="F1679" s="21">
        <v>3850000</v>
      </c>
      <c r="G1679" s="21">
        <f t="shared" si="73"/>
        <v>3459433.3732437375</v>
      </c>
      <c r="H1679" s="6">
        <f t="shared" si="76"/>
        <v>390566.6267562625</v>
      </c>
      <c r="I1679" s="1">
        <f t="shared" si="75"/>
        <v>3770782.376835674</v>
      </c>
      <c r="J1679" s="2">
        <f t="shared" si="74"/>
        <v>79217.623164325953</v>
      </c>
    </row>
    <row r="1680" spans="3:10" ht="18" x14ac:dyDescent="0.45">
      <c r="C1680" s="4" t="s">
        <v>1716</v>
      </c>
      <c r="D1680" s="23">
        <v>11250</v>
      </c>
      <c r="E1680" s="4">
        <v>1294</v>
      </c>
      <c r="F1680" s="21">
        <v>3855000</v>
      </c>
      <c r="G1680" s="21">
        <f t="shared" si="73"/>
        <v>3430924.5973057258</v>
      </c>
      <c r="H1680" s="6">
        <f t="shared" si="76"/>
        <v>424075.40269427421</v>
      </c>
      <c r="I1680" s="1">
        <f t="shared" si="75"/>
        <v>3739707.8110632412</v>
      </c>
      <c r="J1680" s="2">
        <f t="shared" si="74"/>
        <v>115292.18893675879</v>
      </c>
    </row>
    <row r="1681" spans="3:10" ht="18" x14ac:dyDescent="0.45">
      <c r="C1681" s="4" t="s">
        <v>1717</v>
      </c>
      <c r="D1681" s="23">
        <v>11480</v>
      </c>
      <c r="E1681" s="4">
        <v>1291.2</v>
      </c>
      <c r="F1681" s="21">
        <v>3910000</v>
      </c>
      <c r="G1681" s="21">
        <f t="shared" si="73"/>
        <v>3493401.0361444228</v>
      </c>
      <c r="H1681" s="6">
        <f t="shared" si="76"/>
        <v>416598.96385557717</v>
      </c>
      <c r="I1681" s="1">
        <f t="shared" si="75"/>
        <v>3807807.1293974211</v>
      </c>
      <c r="J1681" s="2">
        <f t="shared" si="74"/>
        <v>102192.87060257886</v>
      </c>
    </row>
    <row r="1682" spans="3:10" ht="18" x14ac:dyDescent="0.45">
      <c r="C1682" s="4" t="s">
        <v>1718</v>
      </c>
      <c r="D1682" s="23">
        <v>11510</v>
      </c>
      <c r="E1682" s="4">
        <v>1288</v>
      </c>
      <c r="F1682" s="21">
        <v>3932000</v>
      </c>
      <c r="G1682" s="21">
        <f t="shared" si="73"/>
        <v>3493849.1186059215</v>
      </c>
      <c r="H1682" s="6">
        <f t="shared" si="76"/>
        <v>438150.88139407849</v>
      </c>
      <c r="I1682" s="1">
        <f t="shared" si="75"/>
        <v>3808295.5392804546</v>
      </c>
      <c r="J1682" s="2">
        <f t="shared" si="74"/>
        <v>123704.46071954537</v>
      </c>
    </row>
    <row r="1683" spans="3:10" ht="18" x14ac:dyDescent="0.45">
      <c r="C1683" s="4" t="s">
        <v>1719</v>
      </c>
      <c r="D1683" s="23">
        <v>11530</v>
      </c>
      <c r="E1683" s="4">
        <v>1292</v>
      </c>
      <c r="F1683" s="21">
        <v>3933000</v>
      </c>
      <c r="G1683" s="21">
        <f t="shared" si="73"/>
        <v>3510765.1728772135</v>
      </c>
      <c r="H1683" s="6">
        <f t="shared" si="76"/>
        <v>422234.82712278655</v>
      </c>
      <c r="I1683" s="1">
        <f t="shared" si="75"/>
        <v>3826734.0384361628</v>
      </c>
      <c r="J1683" s="2">
        <f t="shared" si="74"/>
        <v>106265.96156383725</v>
      </c>
    </row>
    <row r="1684" spans="3:10" ht="18" x14ac:dyDescent="0.45">
      <c r="C1684" s="4" t="s">
        <v>1720</v>
      </c>
      <c r="D1684" s="23">
        <v>11560</v>
      </c>
      <c r="E1684" s="4">
        <v>1282</v>
      </c>
      <c r="F1684" s="21">
        <v>3963000</v>
      </c>
      <c r="G1684" s="21">
        <f t="shared" si="73"/>
        <v>3492681.8449667231</v>
      </c>
      <c r="H1684" s="6">
        <f t="shared" si="76"/>
        <v>470318.15503327688</v>
      </c>
      <c r="I1684" s="1">
        <f t="shared" si="75"/>
        <v>3807023.2110137283</v>
      </c>
      <c r="J1684" s="2">
        <f t="shared" si="74"/>
        <v>155976.78898627171</v>
      </c>
    </row>
    <row r="1685" spans="3:10" ht="18" x14ac:dyDescent="0.45">
      <c r="C1685" s="4" t="s">
        <v>1721</v>
      </c>
      <c r="D1685" s="23">
        <v>11650</v>
      </c>
      <c r="E1685" s="4">
        <v>1282</v>
      </c>
      <c r="F1685" s="21">
        <v>4010000</v>
      </c>
      <c r="G1685" s="21">
        <f t="shared" si="73"/>
        <v>3519835.0773237301</v>
      </c>
      <c r="H1685" s="6">
        <f t="shared" si="76"/>
        <v>490164.9226762699</v>
      </c>
      <c r="I1685" s="1">
        <f t="shared" si="75"/>
        <v>3836620.2342828661</v>
      </c>
      <c r="J1685" s="2">
        <f t="shared" si="74"/>
        <v>173379.76571713388</v>
      </c>
    </row>
    <row r="1686" spans="3:10" ht="18" x14ac:dyDescent="0.45">
      <c r="C1686" s="4" t="s">
        <v>1722</v>
      </c>
      <c r="D1686" s="23">
        <v>11780</v>
      </c>
      <c r="E1686" s="4">
        <v>1278</v>
      </c>
      <c r="F1686" s="21">
        <v>4070000</v>
      </c>
      <c r="G1686" s="21">
        <f t="shared" si="73"/>
        <v>3547967.3133781306</v>
      </c>
      <c r="H1686" s="6">
        <f t="shared" si="76"/>
        <v>522032.68662186945</v>
      </c>
      <c r="I1686" s="1">
        <f t="shared" si="75"/>
        <v>3867284.3715821626</v>
      </c>
      <c r="J1686" s="2">
        <f t="shared" si="74"/>
        <v>202715.62841783743</v>
      </c>
    </row>
    <row r="1687" spans="3:10" ht="18" x14ac:dyDescent="0.45">
      <c r="C1687" s="4" t="s">
        <v>1723</v>
      </c>
      <c r="D1687" s="23">
        <v>11790</v>
      </c>
      <c r="E1687" s="4">
        <v>1283</v>
      </c>
      <c r="F1687" s="21">
        <v>4075000</v>
      </c>
      <c r="G1687" s="21">
        <f t="shared" si="73"/>
        <v>3564848.0670353333</v>
      </c>
      <c r="H1687" s="6">
        <f t="shared" si="76"/>
        <v>510151.93296466675</v>
      </c>
      <c r="I1687" s="1">
        <f t="shared" si="75"/>
        <v>3885684.3930685134</v>
      </c>
      <c r="J1687" s="2">
        <f t="shared" si="74"/>
        <v>189315.60693148663</v>
      </c>
    </row>
    <row r="1688" spans="3:10" ht="18" x14ac:dyDescent="0.45">
      <c r="C1688" s="4" t="s">
        <v>1724</v>
      </c>
      <c r="D1688" s="23">
        <v>11770</v>
      </c>
      <c r="E1688" s="4">
        <v>1285</v>
      </c>
      <c r="F1688" s="21">
        <v>4068000</v>
      </c>
      <c r="G1688" s="21">
        <f t="shared" si="73"/>
        <v>3564349.1516895471</v>
      </c>
      <c r="H1688" s="6">
        <f t="shared" si="76"/>
        <v>503650.84831045289</v>
      </c>
      <c r="I1688" s="1">
        <f t="shared" si="75"/>
        <v>3885140.5753416065</v>
      </c>
      <c r="J1688" s="2">
        <f t="shared" si="74"/>
        <v>182859.42465839349</v>
      </c>
    </row>
    <row r="1689" spans="3:10" ht="18" x14ac:dyDescent="0.45">
      <c r="C1689" s="4" t="s">
        <v>1725</v>
      </c>
      <c r="D1689" s="23">
        <v>11820</v>
      </c>
      <c r="E1689" s="4">
        <v>1279</v>
      </c>
      <c r="F1689" s="21">
        <v>4098000</v>
      </c>
      <c r="G1689" s="21">
        <f t="shared" si="73"/>
        <v>3562779.4510497376</v>
      </c>
      <c r="H1689" s="6">
        <f t="shared" si="76"/>
        <v>535220.54895026237</v>
      </c>
      <c r="I1689" s="1">
        <f t="shared" si="75"/>
        <v>3883429.6016442142</v>
      </c>
      <c r="J1689" s="2">
        <f t="shared" si="74"/>
        <v>214570.39835578576</v>
      </c>
    </row>
    <row r="1690" spans="3:10" ht="18" x14ac:dyDescent="0.45">
      <c r="C1690" s="4" t="s">
        <v>1726</v>
      </c>
      <c r="D1690" s="23">
        <v>11850</v>
      </c>
      <c r="E1690" s="4">
        <v>1303</v>
      </c>
      <c r="F1690" s="21">
        <v>4150000</v>
      </c>
      <c r="G1690" s="21">
        <f t="shared" si="73"/>
        <v>3638739.3124457444</v>
      </c>
      <c r="H1690" s="6">
        <f t="shared" si="76"/>
        <v>511260.68755425559</v>
      </c>
      <c r="I1690" s="1">
        <f t="shared" si="75"/>
        <v>3966225.8505658619</v>
      </c>
      <c r="J1690" s="2">
        <f t="shared" si="74"/>
        <v>183774.14943413809</v>
      </c>
    </row>
    <row r="1691" spans="3:10" ht="18" x14ac:dyDescent="0.45">
      <c r="C1691" s="4" t="s">
        <v>1727</v>
      </c>
      <c r="D1691" s="23">
        <v>11900</v>
      </c>
      <c r="E1691" s="4">
        <v>1303</v>
      </c>
      <c r="F1691" s="21">
        <v>4165000</v>
      </c>
      <c r="G1691" s="21">
        <f t="shared" si="73"/>
        <v>3654071.5458315914</v>
      </c>
      <c r="H1691" s="6">
        <f t="shared" si="76"/>
        <v>510928.45416840864</v>
      </c>
      <c r="I1691" s="1">
        <f t="shared" si="75"/>
        <v>3982937.9849564349</v>
      </c>
      <c r="J1691" s="2">
        <f t="shared" si="74"/>
        <v>182062.01504356507</v>
      </c>
    </row>
    <row r="1692" spans="3:10" ht="18" x14ac:dyDescent="0.45">
      <c r="C1692" s="4" t="s">
        <v>1728</v>
      </c>
      <c r="D1692" s="23">
        <v>11980</v>
      </c>
      <c r="E1692" s="4">
        <v>1299.8</v>
      </c>
      <c r="F1692" s="21">
        <v>4205000</v>
      </c>
      <c r="G1692" s="21">
        <f t="shared" si="73"/>
        <v>3669581.2236375907</v>
      </c>
      <c r="H1692" s="6">
        <f t="shared" si="76"/>
        <v>535418.77636240935</v>
      </c>
      <c r="I1692" s="1">
        <f t="shared" si="75"/>
        <v>3999843.5337649742</v>
      </c>
      <c r="J1692" s="2">
        <f t="shared" si="74"/>
        <v>205156.46623502579</v>
      </c>
    </row>
    <row r="1693" spans="3:10" ht="18" x14ac:dyDescent="0.45">
      <c r="C1693" s="4" t="s">
        <v>1729</v>
      </c>
      <c r="D1693" s="23">
        <v>12200</v>
      </c>
      <c r="E1693" s="4">
        <v>1308</v>
      </c>
      <c r="F1693" s="21">
        <v>4270000</v>
      </c>
      <c r="G1693" s="21">
        <f t="shared" si="73"/>
        <v>3760420.529209401</v>
      </c>
      <c r="H1693" s="6">
        <f t="shared" si="76"/>
        <v>509579.47079059901</v>
      </c>
      <c r="I1693" s="1">
        <f t="shared" si="75"/>
        <v>4098858.3768382473</v>
      </c>
      <c r="J1693" s="2">
        <f t="shared" si="74"/>
        <v>171141.62316175271</v>
      </c>
    </row>
    <row r="1694" spans="3:10" ht="18" x14ac:dyDescent="0.45">
      <c r="C1694" s="4" t="s">
        <v>1730</v>
      </c>
      <c r="D1694" s="23">
        <v>12150</v>
      </c>
      <c r="E1694" s="4">
        <v>1313</v>
      </c>
      <c r="F1694" s="21">
        <v>4230000</v>
      </c>
      <c r="G1694" s="21">
        <f t="shared" si="73"/>
        <v>3759326.2101726518</v>
      </c>
      <c r="H1694" s="6">
        <f t="shared" si="76"/>
        <v>470673.7898273482</v>
      </c>
      <c r="I1694" s="1">
        <f t="shared" si="75"/>
        <v>4097665.5690881908</v>
      </c>
      <c r="J1694" s="2">
        <f t="shared" si="74"/>
        <v>132334.43091180921</v>
      </c>
    </row>
    <row r="1695" spans="3:10" ht="18" x14ac:dyDescent="0.45">
      <c r="C1695" s="4" t="s">
        <v>1731</v>
      </c>
      <c r="D1695" s="23">
        <v>11850</v>
      </c>
      <c r="E1695" s="4">
        <v>1321</v>
      </c>
      <c r="F1695" s="21">
        <v>4150000</v>
      </c>
      <c r="G1695" s="21">
        <f t="shared" si="73"/>
        <v>3688936.7856798372</v>
      </c>
      <c r="H1695" s="6">
        <f t="shared" si="76"/>
        <v>461063.21432016278</v>
      </c>
      <c r="I1695" s="1">
        <f t="shared" si="75"/>
        <v>4020941.0963910227</v>
      </c>
      <c r="J1695" s="2">
        <f t="shared" si="74"/>
        <v>129058.90360897733</v>
      </c>
    </row>
    <row r="1696" spans="3:10" ht="18" x14ac:dyDescent="0.45">
      <c r="C1696" s="4" t="s">
        <v>1732</v>
      </c>
      <c r="D1696" s="23">
        <v>11270</v>
      </c>
      <c r="E1696" s="4">
        <v>1317.6</v>
      </c>
      <c r="F1696" s="21">
        <v>4030000</v>
      </c>
      <c r="G1696" s="21">
        <f t="shared" si="73"/>
        <v>3499608.2961257747</v>
      </c>
      <c r="H1696" s="6">
        <f t="shared" si="76"/>
        <v>530391.70387422526</v>
      </c>
      <c r="I1696" s="1">
        <f t="shared" si="75"/>
        <v>3814573.0427770945</v>
      </c>
      <c r="J1696" s="2">
        <f t="shared" si="74"/>
        <v>215426.95722290548</v>
      </c>
    </row>
    <row r="1697" spans="3:11" ht="18" x14ac:dyDescent="0.45">
      <c r="C1697" s="4" t="s">
        <v>1733</v>
      </c>
      <c r="D1697" s="23">
        <v>11500</v>
      </c>
      <c r="E1697" s="4">
        <v>1317.6</v>
      </c>
      <c r="F1697" s="21">
        <v>4120000</v>
      </c>
      <c r="G1697" s="21">
        <f t="shared" si="73"/>
        <v>3570926.8327814024</v>
      </c>
      <c r="H1697" s="6">
        <f t="shared" si="76"/>
        <v>549073.16721859761</v>
      </c>
      <c r="I1697" s="1">
        <f t="shared" si="75"/>
        <v>3892310.2477317289</v>
      </c>
      <c r="J1697" s="2">
        <f t="shared" si="74"/>
        <v>227689.75226827106</v>
      </c>
    </row>
    <row r="1698" spans="3:11" ht="18" x14ac:dyDescent="0.45">
      <c r="C1698" s="4" t="s">
        <v>1734</v>
      </c>
      <c r="D1698" s="23">
        <v>11680</v>
      </c>
      <c r="E1698" s="4">
        <v>1311</v>
      </c>
      <c r="F1698" s="21">
        <v>4170000</v>
      </c>
      <c r="G1698" s="21">
        <f t="shared" ref="G1698:G1765" si="77">E1698/31.103*8.133*D1698*0.9+5000</f>
        <v>3608599.6481368355</v>
      </c>
      <c r="H1698" s="6">
        <f t="shared" si="76"/>
        <v>561400.35186316445</v>
      </c>
      <c r="I1698" s="1">
        <f t="shared" si="75"/>
        <v>3933373.6164691509</v>
      </c>
      <c r="J1698" s="2">
        <f t="shared" si="74"/>
        <v>236626.38353084913</v>
      </c>
    </row>
    <row r="1699" spans="3:11" ht="18" x14ac:dyDescent="0.45">
      <c r="C1699" s="4" t="s">
        <v>1735</v>
      </c>
      <c r="D1699" s="23">
        <v>11950</v>
      </c>
      <c r="E1699" s="4">
        <v>1314</v>
      </c>
      <c r="F1699" s="21">
        <v>4220000</v>
      </c>
      <c r="G1699" s="21">
        <f t="shared" si="77"/>
        <v>3700338.8840304781</v>
      </c>
      <c r="H1699" s="6">
        <f t="shared" si="76"/>
        <v>519661.11596952192</v>
      </c>
      <c r="I1699" s="1">
        <f t="shared" si="75"/>
        <v>4033369.3835932212</v>
      </c>
      <c r="J1699" s="2">
        <f t="shared" si="74"/>
        <v>186630.6164067788</v>
      </c>
    </row>
    <row r="1700" spans="3:11" ht="18" x14ac:dyDescent="0.45">
      <c r="C1700" s="4" t="s">
        <v>1736</v>
      </c>
      <c r="D1700" s="23">
        <v>12050</v>
      </c>
      <c r="E1700" s="4">
        <v>1313</v>
      </c>
      <c r="F1700" s="21">
        <v>4225000</v>
      </c>
      <c r="G1700" s="21">
        <f t="shared" si="77"/>
        <v>3728426.4059737003</v>
      </c>
      <c r="H1700" s="6">
        <f t="shared" si="76"/>
        <v>496573.59402629966</v>
      </c>
      <c r="I1700" s="1">
        <f t="shared" si="75"/>
        <v>4063984.7825113335</v>
      </c>
      <c r="J1700" s="2">
        <f t="shared" si="74"/>
        <v>161015.21748866653</v>
      </c>
    </row>
    <row r="1701" spans="3:11" ht="18" x14ac:dyDescent="0.45">
      <c r="C1701" s="4" t="s">
        <v>1737</v>
      </c>
      <c r="D1701" s="23">
        <v>11950</v>
      </c>
      <c r="E1701" s="4">
        <v>1307</v>
      </c>
      <c r="F1701" s="21">
        <v>4160000</v>
      </c>
      <c r="G1701" s="21">
        <f t="shared" si="77"/>
        <v>3680652.9082403621</v>
      </c>
      <c r="H1701" s="6">
        <f t="shared" si="76"/>
        <v>479347.09175963793</v>
      </c>
      <c r="I1701" s="1">
        <f t="shared" si="75"/>
        <v>4011911.6699819951</v>
      </c>
      <c r="J1701" s="2">
        <f t="shared" si="74"/>
        <v>148088.33001800487</v>
      </c>
    </row>
    <row r="1702" spans="3:11" ht="18" x14ac:dyDescent="0.45">
      <c r="C1702" s="4" t="s">
        <v>1738</v>
      </c>
      <c r="D1702" s="23">
        <v>12050</v>
      </c>
      <c r="E1702" s="4">
        <v>1314</v>
      </c>
      <c r="F1702" s="21">
        <v>4210000</v>
      </c>
      <c r="G1702" s="21">
        <f t="shared" si="77"/>
        <v>3731262.2219721559</v>
      </c>
      <c r="H1702" s="6">
        <f t="shared" si="76"/>
        <v>478737.77802784415</v>
      </c>
      <c r="I1702" s="1">
        <f t="shared" si="75"/>
        <v>4067075.8219496501</v>
      </c>
      <c r="J1702" s="2">
        <f t="shared" si="74"/>
        <v>142924.17805034993</v>
      </c>
    </row>
    <row r="1703" spans="3:11" ht="18" x14ac:dyDescent="0.45">
      <c r="C1703" s="4" t="s">
        <v>1739</v>
      </c>
      <c r="D1703" s="23">
        <v>12150</v>
      </c>
      <c r="E1703" s="4">
        <v>1314</v>
      </c>
      <c r="F1703" s="21">
        <v>4270000</v>
      </c>
      <c r="G1703" s="21">
        <f t="shared" si="77"/>
        <v>3762185.5599138336</v>
      </c>
      <c r="H1703" s="6">
        <f t="shared" si="76"/>
        <v>507814.44008616637</v>
      </c>
      <c r="I1703" s="1">
        <f t="shared" si="75"/>
        <v>4100782.2603060789</v>
      </c>
      <c r="J1703" s="2">
        <f t="shared" si="74"/>
        <v>169217.73969392106</v>
      </c>
    </row>
    <row r="1704" spans="3:11" ht="18" x14ac:dyDescent="0.45">
      <c r="C1704" s="4" t="s">
        <v>1740</v>
      </c>
      <c r="D1704" s="23">
        <v>12200</v>
      </c>
      <c r="E1704" s="4">
        <v>1310</v>
      </c>
      <c r="F1704" s="21">
        <v>4290000</v>
      </c>
      <c r="G1704" s="21">
        <f t="shared" si="77"/>
        <v>3766162.7624344914</v>
      </c>
      <c r="H1704" s="6">
        <f t="shared" si="76"/>
        <v>523837.23756550858</v>
      </c>
      <c r="I1704" s="1">
        <f t="shared" si="75"/>
        <v>4105117.4110535961</v>
      </c>
      <c r="J1704" s="2">
        <f t="shared" ref="J1704:J1729" si="78">F1704-I1704</f>
        <v>184882.58894640394</v>
      </c>
      <c r="K1704" s="24"/>
    </row>
    <row r="1705" spans="3:11" ht="18" x14ac:dyDescent="0.45">
      <c r="C1705" s="4" t="s">
        <v>1741</v>
      </c>
      <c r="D1705" s="23">
        <v>12150</v>
      </c>
      <c r="E1705" s="4">
        <v>1305</v>
      </c>
      <c r="F1705" s="21">
        <v>4250000</v>
      </c>
      <c r="G1705" s="21">
        <f t="shared" si="77"/>
        <v>3736451.4122431916</v>
      </c>
      <c r="H1705" s="6">
        <f t="shared" si="76"/>
        <v>513548.58775680838</v>
      </c>
      <c r="I1705" s="1">
        <f t="shared" si="75"/>
        <v>4072732.0393450791</v>
      </c>
      <c r="J1705" s="2">
        <f t="shared" si="78"/>
        <v>177267.9606549209</v>
      </c>
    </row>
    <row r="1706" spans="3:11" ht="18" x14ac:dyDescent="0.45">
      <c r="C1706" s="4" t="s">
        <v>1742</v>
      </c>
      <c r="D1706" s="23">
        <v>12240</v>
      </c>
      <c r="E1706" s="4">
        <v>1321</v>
      </c>
      <c r="F1706" s="21">
        <v>4300000</v>
      </c>
      <c r="G1706" s="21">
        <f t="shared" si="77"/>
        <v>3810180.2748287944</v>
      </c>
      <c r="H1706" s="6">
        <f t="shared" si="76"/>
        <v>489819.72517120559</v>
      </c>
      <c r="I1706" s="1">
        <f t="shared" si="75"/>
        <v>4153096.4995633862</v>
      </c>
      <c r="J1706" s="2">
        <f t="shared" si="78"/>
        <v>146903.5004366138</v>
      </c>
    </row>
    <row r="1707" spans="3:11" ht="18" x14ac:dyDescent="0.45">
      <c r="C1707" s="4" t="s">
        <v>1743</v>
      </c>
      <c r="D1707" s="23">
        <v>12450</v>
      </c>
      <c r="E1707" s="4">
        <v>1321</v>
      </c>
      <c r="F1707" s="21">
        <v>4325000</v>
      </c>
      <c r="G1707" s="21">
        <f t="shared" si="77"/>
        <v>3875465.2305243863</v>
      </c>
      <c r="H1707" s="6">
        <f t="shared" si="76"/>
        <v>449534.76947561372</v>
      </c>
      <c r="I1707" s="1">
        <f t="shared" si="75"/>
        <v>4224257.1012715809</v>
      </c>
      <c r="J1707" s="2">
        <f t="shared" si="78"/>
        <v>100742.8987284191</v>
      </c>
    </row>
    <row r="1708" spans="3:11" ht="18" x14ac:dyDescent="0.45">
      <c r="C1708" s="4" t="s">
        <v>1744</v>
      </c>
      <c r="D1708" s="23">
        <v>13050</v>
      </c>
      <c r="E1708" s="4">
        <v>1326</v>
      </c>
      <c r="F1708" s="21">
        <v>4475000</v>
      </c>
      <c r="G1708" s="21">
        <f t="shared" si="77"/>
        <v>4077349.4424975077</v>
      </c>
      <c r="H1708" s="6">
        <f t="shared" si="76"/>
        <v>397650.55750249233</v>
      </c>
      <c r="I1708" s="1">
        <f t="shared" si="75"/>
        <v>4444310.8923222832</v>
      </c>
      <c r="J1708" s="2">
        <f t="shared" si="78"/>
        <v>30689.107677716762</v>
      </c>
    </row>
    <row r="1709" spans="3:11" ht="18" x14ac:dyDescent="0.45">
      <c r="C1709" s="4" t="s">
        <v>1745</v>
      </c>
      <c r="D1709" s="23">
        <v>13080</v>
      </c>
      <c r="E1709" s="4">
        <v>1330</v>
      </c>
      <c r="F1709" s="21">
        <v>4500000</v>
      </c>
      <c r="G1709" s="21">
        <f t="shared" si="77"/>
        <v>4099024.0195479533</v>
      </c>
      <c r="H1709" s="6">
        <f t="shared" si="76"/>
        <v>400975.98045204673</v>
      </c>
      <c r="I1709" s="1">
        <f t="shared" si="75"/>
        <v>4467936.1813072693</v>
      </c>
      <c r="J1709" s="2">
        <f t="shared" si="78"/>
        <v>32063.81869273074</v>
      </c>
    </row>
    <row r="1710" spans="3:11" ht="18" x14ac:dyDescent="0.45">
      <c r="C1710" s="4" t="s">
        <v>1746</v>
      </c>
      <c r="D1710" s="23">
        <v>13540</v>
      </c>
      <c r="E1710" s="4">
        <v>1344</v>
      </c>
      <c r="F1710" s="21">
        <v>4650000</v>
      </c>
      <c r="G1710" s="21">
        <f t="shared" si="77"/>
        <v>4287614.0202552797</v>
      </c>
      <c r="H1710" s="6">
        <f t="shared" si="76"/>
        <v>362385.97974472027</v>
      </c>
      <c r="I1710" s="1">
        <f t="shared" si="75"/>
        <v>4673499.282078255</v>
      </c>
      <c r="J1710" s="2">
        <f t="shared" si="78"/>
        <v>-23499.282078254968</v>
      </c>
    </row>
    <row r="1711" spans="3:11" ht="18" x14ac:dyDescent="0.45">
      <c r="C1711" s="4" t="s">
        <v>1747</v>
      </c>
      <c r="D1711" s="23">
        <v>13200</v>
      </c>
      <c r="E1711" s="4">
        <v>1335</v>
      </c>
      <c r="F1711" s="21">
        <v>4590000</v>
      </c>
      <c r="G1711" s="21">
        <f t="shared" si="77"/>
        <v>4152116.1431373176</v>
      </c>
      <c r="H1711" s="6">
        <f t="shared" si="76"/>
        <v>437883.85686268238</v>
      </c>
      <c r="I1711" s="1">
        <f t="shared" si="75"/>
        <v>4525806.5960196769</v>
      </c>
      <c r="J1711" s="2">
        <f t="shared" si="78"/>
        <v>64193.403980323114</v>
      </c>
    </row>
    <row r="1712" spans="3:11" ht="18" x14ac:dyDescent="0.45">
      <c r="C1712" s="4" t="s">
        <v>1748</v>
      </c>
      <c r="D1712" s="23">
        <v>13500</v>
      </c>
      <c r="E1712" s="4">
        <v>1328</v>
      </c>
      <c r="F1712" s="21">
        <v>4750000</v>
      </c>
      <c r="G1712" s="21">
        <f t="shared" si="77"/>
        <v>4224129.3958782116</v>
      </c>
      <c r="H1712" s="6">
        <f t="shared" si="76"/>
        <v>525870.6041217884</v>
      </c>
      <c r="I1712" s="1">
        <f t="shared" si="75"/>
        <v>4604301.0415072506</v>
      </c>
      <c r="J1712" s="2">
        <f t="shared" si="78"/>
        <v>145698.95849274937</v>
      </c>
    </row>
    <row r="1713" spans="3:10" ht="18" x14ac:dyDescent="0.45">
      <c r="C1713" s="4" t="s">
        <v>1749</v>
      </c>
      <c r="D1713" s="23">
        <v>13850</v>
      </c>
      <c r="E1713" s="4">
        <v>1328</v>
      </c>
      <c r="F1713" s="21">
        <v>4880000</v>
      </c>
      <c r="G1713" s="21">
        <f t="shared" si="77"/>
        <v>4333514.2320676465</v>
      </c>
      <c r="H1713" s="6">
        <f t="shared" si="76"/>
        <v>546485.76793235354</v>
      </c>
      <c r="I1713" s="1">
        <f t="shared" ref="I1713:I1733" si="79">G1713*1.09</f>
        <v>4723530.512953735</v>
      </c>
      <c r="J1713" s="2">
        <f t="shared" si="78"/>
        <v>156469.48704626504</v>
      </c>
    </row>
    <row r="1714" spans="3:10" ht="18" x14ac:dyDescent="0.45">
      <c r="C1714" s="4" t="s">
        <v>1750</v>
      </c>
      <c r="D1714" s="23">
        <v>13500</v>
      </c>
      <c r="E1714" s="4">
        <v>1330</v>
      </c>
      <c r="F1714" s="21">
        <v>4750000</v>
      </c>
      <c r="G1714" s="21">
        <f t="shared" si="77"/>
        <v>4230483.5064141713</v>
      </c>
      <c r="H1714" s="6">
        <f t="shared" si="76"/>
        <v>519516.49358582869</v>
      </c>
      <c r="I1714" s="1">
        <f t="shared" si="79"/>
        <v>4611227.0219914466</v>
      </c>
      <c r="J1714" s="2">
        <f t="shared" si="78"/>
        <v>138772.97800855339</v>
      </c>
    </row>
    <row r="1715" spans="3:10" ht="18" x14ac:dyDescent="0.45">
      <c r="C1715" s="4" t="s">
        <v>1751</v>
      </c>
      <c r="D1715" s="23">
        <v>13520</v>
      </c>
      <c r="E1715" s="4">
        <v>1325</v>
      </c>
      <c r="F1715" s="21">
        <v>4690000</v>
      </c>
      <c r="G1715" s="21">
        <f t="shared" si="77"/>
        <v>4220834.6718966011</v>
      </c>
      <c r="H1715" s="6">
        <f t="shared" si="76"/>
        <v>469165.3281033989</v>
      </c>
      <c r="I1715" s="1">
        <f t="shared" si="79"/>
        <v>4600709.7923672954</v>
      </c>
      <c r="J1715" s="2">
        <f t="shared" si="78"/>
        <v>89290.207632704638</v>
      </c>
    </row>
    <row r="1716" spans="3:10" ht="18" x14ac:dyDescent="0.45">
      <c r="C1716" s="4" t="s">
        <v>1752</v>
      </c>
      <c r="D1716" s="23">
        <v>13450</v>
      </c>
      <c r="E1716" s="4">
        <v>1327</v>
      </c>
      <c r="F1716" s="21">
        <v>4670000</v>
      </c>
      <c r="G1716" s="21">
        <f t="shared" si="77"/>
        <v>4205337.7023116741</v>
      </c>
      <c r="H1716" s="6">
        <f t="shared" si="76"/>
        <v>464662.29768832587</v>
      </c>
      <c r="I1716" s="1">
        <f t="shared" si="79"/>
        <v>4583818.0955197252</v>
      </c>
      <c r="J1716" s="2">
        <f t="shared" si="78"/>
        <v>86181.904480274767</v>
      </c>
    </row>
    <row r="1717" spans="3:10" ht="18" x14ac:dyDescent="0.45">
      <c r="C1717" s="4" t="s">
        <v>1753</v>
      </c>
      <c r="D1717" s="23">
        <v>13400</v>
      </c>
      <c r="E1717" s="4">
        <v>1325</v>
      </c>
      <c r="F1717" s="21">
        <v>4630000</v>
      </c>
      <c r="G1717" s="21">
        <f t="shared" si="77"/>
        <v>4183416.020962608</v>
      </c>
      <c r="H1717" s="6">
        <f t="shared" si="76"/>
        <v>446583.97903739195</v>
      </c>
      <c r="I1717" s="1">
        <f t="shared" si="79"/>
        <v>4559923.4628492435</v>
      </c>
      <c r="J1717" s="2">
        <f t="shared" si="78"/>
        <v>70076.537150756456</v>
      </c>
    </row>
    <row r="1718" spans="3:10" ht="18" x14ac:dyDescent="0.45">
      <c r="C1718" s="4" t="s">
        <v>1754</v>
      </c>
      <c r="D1718" s="23">
        <v>13600</v>
      </c>
      <c r="E1718" s="4">
        <v>1293.5</v>
      </c>
      <c r="F1718" s="21">
        <v>4690000</v>
      </c>
      <c r="G1718" s="21">
        <f t="shared" si="77"/>
        <v>4144961.885348679</v>
      </c>
      <c r="H1718" s="6">
        <f t="shared" si="76"/>
        <v>545038.11465132097</v>
      </c>
      <c r="I1718" s="1">
        <f t="shared" si="79"/>
        <v>4518008.4550300604</v>
      </c>
      <c r="J1718" s="2">
        <f t="shared" si="78"/>
        <v>171991.54496993963</v>
      </c>
    </row>
    <row r="1719" spans="3:10" ht="18" x14ac:dyDescent="0.45">
      <c r="C1719" s="4" t="s">
        <v>1755</v>
      </c>
      <c r="D1719" s="23">
        <v>13150</v>
      </c>
      <c r="E1719" s="4">
        <v>1293.5</v>
      </c>
      <c r="F1719" s="21">
        <v>4460000</v>
      </c>
      <c r="G1719" s="21">
        <f t="shared" si="77"/>
        <v>4007977.8523775833</v>
      </c>
      <c r="H1719" s="6">
        <f t="shared" si="76"/>
        <v>452022.14762241673</v>
      </c>
      <c r="I1719" s="1">
        <f t="shared" si="79"/>
        <v>4368695.8590915659</v>
      </c>
      <c r="J1719" s="2">
        <f t="shared" si="78"/>
        <v>91304.140908434056</v>
      </c>
    </row>
    <row r="1720" spans="3:10" ht="18" x14ac:dyDescent="0.45">
      <c r="C1720" s="4" t="s">
        <v>1756</v>
      </c>
      <c r="D1720" s="23">
        <v>12750</v>
      </c>
      <c r="E1720" s="4">
        <v>1288.5</v>
      </c>
      <c r="F1720" s="21">
        <v>4395000</v>
      </c>
      <c r="G1720" s="21">
        <f t="shared" si="77"/>
        <v>3871211.5065267012</v>
      </c>
      <c r="H1720" s="6">
        <f t="shared" si="76"/>
        <v>523788.49347329885</v>
      </c>
      <c r="I1720" s="1">
        <f t="shared" si="79"/>
        <v>4219620.5421141041</v>
      </c>
      <c r="J1720" s="2">
        <f t="shared" si="78"/>
        <v>175379.45788589586</v>
      </c>
    </row>
    <row r="1721" spans="3:10" ht="18" x14ac:dyDescent="0.45">
      <c r="C1721" s="4" t="s">
        <v>1757</v>
      </c>
      <c r="D1721" s="23">
        <v>13050</v>
      </c>
      <c r="E1721" s="4">
        <v>1286</v>
      </c>
      <c r="F1721" s="21">
        <v>4450000</v>
      </c>
      <c r="G1721" s="21">
        <f t="shared" si="77"/>
        <v>3954503.3054689253</v>
      </c>
      <c r="H1721" s="6">
        <f t="shared" si="76"/>
        <v>495496.69453107473</v>
      </c>
      <c r="I1721" s="1">
        <f t="shared" si="79"/>
        <v>4310408.6029611286</v>
      </c>
      <c r="J1721" s="2">
        <f t="shared" si="78"/>
        <v>139591.39703887142</v>
      </c>
    </row>
    <row r="1722" spans="3:10" ht="18" x14ac:dyDescent="0.45">
      <c r="C1722" s="4" t="s">
        <v>1758</v>
      </c>
      <c r="D1722" s="23">
        <v>13100</v>
      </c>
      <c r="E1722" s="4">
        <v>1286</v>
      </c>
      <c r="F1722" s="21">
        <v>4490000</v>
      </c>
      <c r="G1722" s="21">
        <f t="shared" si="77"/>
        <v>3969635.5020416034</v>
      </c>
      <c r="H1722" s="6">
        <f t="shared" si="76"/>
        <v>520364.49795839656</v>
      </c>
      <c r="I1722" s="1">
        <f t="shared" si="79"/>
        <v>4326902.6972253481</v>
      </c>
      <c r="J1722" s="2">
        <f t="shared" si="78"/>
        <v>163097.30277465191</v>
      </c>
    </row>
    <row r="1723" spans="3:10" ht="18" x14ac:dyDescent="0.45">
      <c r="C1723" s="4" t="s">
        <v>1759</v>
      </c>
      <c r="D1723" s="23">
        <v>13090</v>
      </c>
      <c r="E1723" s="4">
        <v>1286</v>
      </c>
      <c r="F1723" s="21">
        <v>4475000</v>
      </c>
      <c r="G1723" s="21">
        <f t="shared" si="77"/>
        <v>3966609.0627270672</v>
      </c>
      <c r="H1723" s="6">
        <f t="shared" si="76"/>
        <v>508390.93727293285</v>
      </c>
      <c r="I1723" s="1">
        <f t="shared" si="79"/>
        <v>4323603.8783725034</v>
      </c>
      <c r="J1723" s="2">
        <f t="shared" si="78"/>
        <v>151396.12162749656</v>
      </c>
    </row>
    <row r="1724" spans="3:10" ht="18" x14ac:dyDescent="0.45">
      <c r="C1724" s="4" t="s">
        <v>1760</v>
      </c>
      <c r="D1724" s="23">
        <v>13150</v>
      </c>
      <c r="E1724" s="4">
        <v>1298</v>
      </c>
      <c r="F1724" s="21">
        <v>4540000</v>
      </c>
      <c r="G1724" s="21">
        <f t="shared" si="77"/>
        <v>4021903.9446355654</v>
      </c>
      <c r="H1724" s="6">
        <f t="shared" si="76"/>
        <v>518096.05536443461</v>
      </c>
      <c r="I1724" s="1">
        <f t="shared" si="79"/>
        <v>4383875.2996527664</v>
      </c>
      <c r="J1724" s="2">
        <f t="shared" si="78"/>
        <v>156124.70034723356</v>
      </c>
    </row>
    <row r="1725" spans="3:10" ht="18" x14ac:dyDescent="0.45">
      <c r="C1725" s="4" t="s">
        <v>1761</v>
      </c>
      <c r="D1725" s="23">
        <v>13120</v>
      </c>
      <c r="E1725" s="4">
        <v>1298</v>
      </c>
      <c r="F1725" s="21">
        <v>4530000</v>
      </c>
      <c r="G1725" s="21">
        <f t="shared" si="77"/>
        <v>4012739.9052181463</v>
      </c>
      <c r="H1725" s="6">
        <f t="shared" si="76"/>
        <v>517260.09478185372</v>
      </c>
      <c r="I1725" s="1">
        <f t="shared" si="79"/>
        <v>4373886.4966877801</v>
      </c>
      <c r="J1725" s="2">
        <f t="shared" si="78"/>
        <v>156113.50331221987</v>
      </c>
    </row>
    <row r="1726" spans="3:10" ht="18" x14ac:dyDescent="0.45">
      <c r="C1726" s="4" t="s">
        <v>1762</v>
      </c>
      <c r="D1726" s="23">
        <v>12990</v>
      </c>
      <c r="E1726" s="4">
        <v>1295</v>
      </c>
      <c r="F1726" s="21">
        <v>4475000</v>
      </c>
      <c r="G1726" s="21">
        <f t="shared" si="77"/>
        <v>3963857.9682024238</v>
      </c>
      <c r="H1726" s="6">
        <f t="shared" si="76"/>
        <v>511142.03179757623</v>
      </c>
      <c r="I1726" s="1">
        <f t="shared" si="79"/>
        <v>4320605.185340642</v>
      </c>
      <c r="J1726" s="2">
        <f t="shared" si="78"/>
        <v>154394.814659358</v>
      </c>
    </row>
    <row r="1727" spans="3:10" ht="18" x14ac:dyDescent="0.45">
      <c r="C1727" s="4" t="s">
        <v>1763</v>
      </c>
      <c r="D1727" s="23">
        <v>12900</v>
      </c>
      <c r="E1727" s="4">
        <v>1298</v>
      </c>
      <c r="F1727" s="21">
        <v>4470000</v>
      </c>
      <c r="G1727" s="21">
        <f t="shared" si="77"/>
        <v>3945536.9494904033</v>
      </c>
      <c r="H1727" s="6">
        <f t="shared" si="76"/>
        <v>524463.05050959671</v>
      </c>
      <c r="I1727" s="1">
        <f t="shared" si="79"/>
        <v>4300635.2749445401</v>
      </c>
      <c r="J1727" s="2">
        <f t="shared" si="78"/>
        <v>169364.72505545989</v>
      </c>
    </row>
    <row r="1728" spans="3:10" ht="18" x14ac:dyDescent="0.45">
      <c r="C1728" s="4" t="s">
        <v>1764</v>
      </c>
      <c r="D1728" s="23">
        <v>13050</v>
      </c>
      <c r="E1728" s="4">
        <v>1307</v>
      </c>
      <c r="F1728" s="21">
        <v>4570000</v>
      </c>
      <c r="G1728" s="21">
        <f t="shared" si="77"/>
        <v>4018997.5274089305</v>
      </c>
      <c r="H1728" s="6">
        <f t="shared" si="76"/>
        <v>551002.47259106953</v>
      </c>
      <c r="I1728" s="1">
        <f t="shared" si="79"/>
        <v>4380707.3048757343</v>
      </c>
      <c r="J1728" s="2">
        <f t="shared" si="78"/>
        <v>189292.69512426574</v>
      </c>
    </row>
    <row r="1729" spans="3:11" ht="19.5" x14ac:dyDescent="0.5">
      <c r="C1729" s="4" t="s">
        <v>1765</v>
      </c>
      <c r="D1729" s="23">
        <v>13150</v>
      </c>
      <c r="E1729" s="22">
        <v>1299</v>
      </c>
      <c r="F1729" s="21">
        <v>4650000</v>
      </c>
      <c r="G1729" s="21">
        <f t="shared" si="77"/>
        <v>4024998.6318040052</v>
      </c>
      <c r="H1729" s="6">
        <f t="shared" si="76"/>
        <v>625001.36819599476</v>
      </c>
      <c r="I1729" s="1">
        <f t="shared" si="79"/>
        <v>4387248.5086663663</v>
      </c>
      <c r="J1729" s="2">
        <f t="shared" si="78"/>
        <v>262751.49133363366</v>
      </c>
      <c r="K1729" s="21"/>
    </row>
    <row r="1730" spans="3:11" ht="19.5" x14ac:dyDescent="0.5">
      <c r="C1730" s="4" t="s">
        <v>1766</v>
      </c>
      <c r="D1730" s="23">
        <v>13150</v>
      </c>
      <c r="E1730" s="22">
        <v>1302</v>
      </c>
      <c r="F1730" s="21">
        <v>4640000</v>
      </c>
      <c r="G1730" s="21">
        <f t="shared" si="77"/>
        <v>4034282.6933093262</v>
      </c>
      <c r="H1730" s="6">
        <f t="shared" ref="H1730:H1793" si="80">F:F-G:G</f>
        <v>605717.30669067381</v>
      </c>
      <c r="I1730" s="1">
        <f t="shared" si="79"/>
        <v>4397368.135707166</v>
      </c>
      <c r="J1730" s="2">
        <f>F1730-I1730</f>
        <v>242631.86429283395</v>
      </c>
      <c r="K1730" s="21"/>
    </row>
    <row r="1731" spans="3:11" ht="18" x14ac:dyDescent="0.45">
      <c r="C1731" s="4" t="s">
        <v>1767</v>
      </c>
      <c r="D1731" s="23">
        <v>12980</v>
      </c>
      <c r="E1731" s="4">
        <v>1302</v>
      </c>
      <c r="F1731">
        <v>4570000</v>
      </c>
      <c r="G1731" s="21">
        <f t="shared" si="77"/>
        <v>3982193.1071600802</v>
      </c>
      <c r="H1731" s="6">
        <f t="shared" si="80"/>
        <v>587806.89283991978</v>
      </c>
      <c r="I1731" s="1">
        <f t="shared" si="79"/>
        <v>4340590.4868044881</v>
      </c>
      <c r="J1731" s="2">
        <f>F1731-I1731</f>
        <v>229409.51319551188</v>
      </c>
    </row>
    <row r="1732" spans="3:11" ht="18" x14ac:dyDescent="0.45">
      <c r="C1732" s="4" t="s">
        <v>1768</v>
      </c>
      <c r="D1732" s="23">
        <v>13050</v>
      </c>
      <c r="E1732" s="4">
        <v>1305</v>
      </c>
      <c r="F1732">
        <v>4615000</v>
      </c>
      <c r="G1732" s="21">
        <f t="shared" si="77"/>
        <v>4012855.2205575025</v>
      </c>
      <c r="H1732" s="6">
        <f t="shared" si="80"/>
        <v>602144.77944249753</v>
      </c>
      <c r="I1732" s="1">
        <f t="shared" si="79"/>
        <v>4374012.1904076776</v>
      </c>
      <c r="J1732" s="2">
        <f>F1732-I1732</f>
        <v>240987.80959232245</v>
      </c>
    </row>
    <row r="1733" spans="3:11" ht="18" x14ac:dyDescent="0.45">
      <c r="C1733" s="4" t="s">
        <v>1769</v>
      </c>
      <c r="D1733" s="23">
        <v>13150</v>
      </c>
      <c r="E1733" s="4">
        <v>1309</v>
      </c>
      <c r="F1733" s="21">
        <v>4650000</v>
      </c>
      <c r="G1733" s="21">
        <f t="shared" si="77"/>
        <v>4055945.5034884084</v>
      </c>
      <c r="H1733" s="6">
        <f t="shared" si="80"/>
        <v>594054.4965115916</v>
      </c>
      <c r="I1733" s="1">
        <f t="shared" si="79"/>
        <v>4420980.5988023654</v>
      </c>
      <c r="J1733" s="25">
        <f>F1733-I1733</f>
        <v>229019.40119763464</v>
      </c>
    </row>
    <row r="1734" spans="3:11" ht="18" x14ac:dyDescent="0.45">
      <c r="C1734" s="4" t="s">
        <v>1770</v>
      </c>
      <c r="D1734" s="23">
        <v>13200</v>
      </c>
      <c r="E1734" s="4">
        <v>1318</v>
      </c>
      <c r="F1734" s="21">
        <v>4625000</v>
      </c>
      <c r="G1734" s="21">
        <f t="shared" si="77"/>
        <v>4099306.4244606621</v>
      </c>
      <c r="H1734" s="6">
        <f t="shared" si="80"/>
        <v>525693.57553933794</v>
      </c>
      <c r="I1734" s="1">
        <f>G1734*1.09</f>
        <v>4468244.0026621222</v>
      </c>
      <c r="J1734" s="25">
        <f>F1734-I1734</f>
        <v>156755.99733787775</v>
      </c>
    </row>
    <row r="1735" spans="3:11" ht="18" x14ac:dyDescent="0.45">
      <c r="C1735" s="4" t="s">
        <v>1771</v>
      </c>
      <c r="D1735" s="23">
        <v>13350</v>
      </c>
      <c r="E1735" s="4">
        <v>1316</v>
      </c>
      <c r="F1735" s="21">
        <v>4680000</v>
      </c>
      <c r="G1735" s="21">
        <f t="shared" si="77"/>
        <v>4139549.1245217496</v>
      </c>
      <c r="H1735" s="6">
        <f t="shared" si="80"/>
        <v>540450.87547825044</v>
      </c>
      <c r="I1735" s="1">
        <f t="shared" ref="I1735:I1798" si="81">G1735*1.09</f>
        <v>4512108.5457287077</v>
      </c>
      <c r="J1735" s="25">
        <f t="shared" ref="J1735:J1798" si="82">F1735-I1735</f>
        <v>167891.45427129231</v>
      </c>
    </row>
    <row r="1736" spans="3:11" ht="18" x14ac:dyDescent="0.45">
      <c r="C1736" s="4" t="s">
        <v>1772</v>
      </c>
      <c r="D1736" s="23">
        <v>13450</v>
      </c>
      <c r="E1736" s="4">
        <v>1316</v>
      </c>
      <c r="F1736" s="21">
        <v>4710000</v>
      </c>
      <c r="G1736" s="21">
        <f t="shared" si="77"/>
        <v>4170519.5299488786</v>
      </c>
      <c r="H1736" s="6">
        <f t="shared" si="80"/>
        <v>539480.47005112143</v>
      </c>
      <c r="I1736" s="1">
        <f t="shared" si="81"/>
        <v>4545866.2876442783</v>
      </c>
      <c r="J1736" s="25">
        <f t="shared" si="82"/>
        <v>164133.71235572174</v>
      </c>
    </row>
    <row r="1737" spans="3:11" ht="18" x14ac:dyDescent="0.45">
      <c r="C1737" s="4" t="s">
        <v>1773</v>
      </c>
      <c r="D1737" s="23">
        <v>13390</v>
      </c>
      <c r="E1737" s="4">
        <v>1301</v>
      </c>
      <c r="F1737" s="21">
        <v>4680000</v>
      </c>
      <c r="G1737" s="21">
        <f t="shared" si="77"/>
        <v>4104669.7644278682</v>
      </c>
      <c r="H1737" s="6">
        <f t="shared" si="80"/>
        <v>575330.23557213182</v>
      </c>
      <c r="I1737" s="1">
        <f t="shared" si="81"/>
        <v>4474090.0432263771</v>
      </c>
      <c r="J1737" s="25">
        <f t="shared" si="82"/>
        <v>205909.95677362289</v>
      </c>
    </row>
    <row r="1738" spans="3:11" ht="18" x14ac:dyDescent="0.45">
      <c r="C1738" s="4" t="s">
        <v>1774</v>
      </c>
      <c r="D1738" s="23">
        <v>13350</v>
      </c>
      <c r="E1738" s="4">
        <v>1292</v>
      </c>
      <c r="F1738" s="21">
        <v>4680000</v>
      </c>
      <c r="G1738" s="21">
        <f t="shared" si="77"/>
        <v>4064147.0128283435</v>
      </c>
      <c r="H1738" s="6">
        <f t="shared" si="80"/>
        <v>615852.98717165645</v>
      </c>
      <c r="I1738" s="1">
        <f t="shared" si="81"/>
        <v>4429920.2439828943</v>
      </c>
      <c r="J1738" s="25">
        <f t="shared" si="82"/>
        <v>250079.75601710565</v>
      </c>
    </row>
    <row r="1739" spans="3:11" ht="18" x14ac:dyDescent="0.45">
      <c r="C1739" s="4" t="s">
        <v>1775</v>
      </c>
      <c r="D1739" s="23">
        <v>13410</v>
      </c>
      <c r="E1739" s="4">
        <v>1292</v>
      </c>
      <c r="F1739" s="21">
        <v>4690000</v>
      </c>
      <c r="G1739" s="21">
        <f t="shared" si="77"/>
        <v>4082390.3701893701</v>
      </c>
      <c r="H1739" s="6">
        <f t="shared" si="80"/>
        <v>607609.62981062988</v>
      </c>
      <c r="I1739" s="1">
        <f t="shared" si="81"/>
        <v>4449805.5035064137</v>
      </c>
      <c r="J1739" s="25">
        <f t="shared" si="82"/>
        <v>240194.49649358634</v>
      </c>
    </row>
    <row r="1740" spans="3:11" ht="18" x14ac:dyDescent="0.45">
      <c r="C1740" s="4" t="s">
        <v>1776</v>
      </c>
      <c r="D1740" s="23">
        <v>13400</v>
      </c>
      <c r="E1740" s="4">
        <v>1288</v>
      </c>
      <c r="F1740" s="21">
        <v>4650000</v>
      </c>
      <c r="G1740" s="21">
        <f t="shared" si="77"/>
        <v>4066735.72452818</v>
      </c>
      <c r="H1740" s="6">
        <f t="shared" si="80"/>
        <v>583264.27547182003</v>
      </c>
      <c r="I1740" s="1">
        <f t="shared" si="81"/>
        <v>4432741.9397357162</v>
      </c>
      <c r="J1740" s="25">
        <f t="shared" si="82"/>
        <v>217258.06026428379</v>
      </c>
    </row>
    <row r="1741" spans="3:11" ht="18" x14ac:dyDescent="0.45">
      <c r="C1741" s="4" t="s">
        <v>1777</v>
      </c>
      <c r="D1741" s="23">
        <v>13470</v>
      </c>
      <c r="E1741" s="4">
        <v>1292</v>
      </c>
      <c r="F1741" s="21">
        <v>4720000</v>
      </c>
      <c r="G1741" s="21">
        <f t="shared" si="77"/>
        <v>4100633.7275503962</v>
      </c>
      <c r="H1741" s="6">
        <f t="shared" si="80"/>
        <v>619366.27244960377</v>
      </c>
      <c r="I1741" s="1">
        <f t="shared" si="81"/>
        <v>4469690.763029932</v>
      </c>
      <c r="J1741" s="25">
        <f>F1741-I1741</f>
        <v>250309.23697006796</v>
      </c>
    </row>
    <row r="1742" spans="3:11" ht="18" x14ac:dyDescent="0.45">
      <c r="C1742" s="4" t="s">
        <v>1778</v>
      </c>
      <c r="D1742" s="23">
        <v>13700</v>
      </c>
      <c r="E1742" s="4">
        <v>1292</v>
      </c>
      <c r="F1742" s="21">
        <v>4840000</v>
      </c>
      <c r="G1742" s="21">
        <f t="shared" si="77"/>
        <v>4170566.5974343303</v>
      </c>
      <c r="H1742" s="6">
        <f t="shared" si="80"/>
        <v>669433.40256566973</v>
      </c>
      <c r="I1742" s="1">
        <f t="shared" si="81"/>
        <v>4545917.5912034204</v>
      </c>
      <c r="J1742" s="2">
        <f>F1742-I1742</f>
        <v>294082.40879657958</v>
      </c>
    </row>
    <row r="1743" spans="3:11" ht="18" x14ac:dyDescent="0.45">
      <c r="C1743" s="4" t="s">
        <v>1779</v>
      </c>
      <c r="D1743" s="23">
        <v>14010</v>
      </c>
      <c r="E1743" s="4">
        <v>1298</v>
      </c>
      <c r="F1743" s="21">
        <v>4920000</v>
      </c>
      <c r="G1743" s="21">
        <f t="shared" si="77"/>
        <v>4284606.4079349255</v>
      </c>
      <c r="H1743" s="6">
        <f t="shared" si="80"/>
        <v>635393.59206507448</v>
      </c>
      <c r="I1743" s="1">
        <f t="shared" si="81"/>
        <v>4670220.9846490696</v>
      </c>
      <c r="J1743" s="2">
        <f t="shared" si="82"/>
        <v>249779.01535093039</v>
      </c>
    </row>
    <row r="1744" spans="3:11" ht="18" x14ac:dyDescent="0.45">
      <c r="C1744" s="4" t="s">
        <v>1780</v>
      </c>
      <c r="D1744" s="23">
        <v>14350</v>
      </c>
      <c r="E1744" s="4">
        <v>1301</v>
      </c>
      <c r="F1744" s="21">
        <v>5000000</v>
      </c>
      <c r="G1744" s="21">
        <f t="shared" si="77"/>
        <v>4398596.797575796</v>
      </c>
      <c r="H1744" s="6">
        <f t="shared" si="80"/>
        <v>601403.20242420398</v>
      </c>
      <c r="I1744" s="1">
        <f t="shared" si="81"/>
        <v>4794470.5093576182</v>
      </c>
      <c r="J1744" s="2">
        <f t="shared" si="82"/>
        <v>205529.49064238183</v>
      </c>
    </row>
    <row r="1745" spans="3:10" ht="18" x14ac:dyDescent="0.45">
      <c r="C1745" s="4" t="s">
        <v>1781</v>
      </c>
      <c r="D1745" s="23">
        <v>13850</v>
      </c>
      <c r="E1745" s="4">
        <v>1304</v>
      </c>
      <c r="F1745" s="21">
        <v>4850000</v>
      </c>
      <c r="G1745" s="21">
        <f t="shared" si="77"/>
        <v>4255288.0712471455</v>
      </c>
      <c r="H1745" s="6">
        <f t="shared" si="80"/>
        <v>594711.92875285447</v>
      </c>
      <c r="I1745" s="1">
        <f t="shared" si="81"/>
        <v>4638263.9976593889</v>
      </c>
      <c r="J1745" s="2">
        <f t="shared" si="82"/>
        <v>211736.00234061107</v>
      </c>
    </row>
    <row r="1746" spans="3:10" ht="18" x14ac:dyDescent="0.45">
      <c r="C1746" s="4" t="s">
        <v>1782</v>
      </c>
      <c r="D1746" s="23">
        <v>13860</v>
      </c>
      <c r="E1746" s="4">
        <v>1301</v>
      </c>
      <c r="F1746" s="21">
        <v>4820000</v>
      </c>
      <c r="G1746" s="21">
        <f t="shared" si="77"/>
        <v>4248571.5410732077</v>
      </c>
      <c r="H1746" s="6">
        <f t="shared" si="80"/>
        <v>571428.45892679226</v>
      </c>
      <c r="I1746" s="1">
        <f t="shared" si="81"/>
        <v>4630942.9797697971</v>
      </c>
      <c r="J1746" s="2">
        <f t="shared" si="82"/>
        <v>189057.02023020294</v>
      </c>
    </row>
    <row r="1747" spans="3:10" ht="18" x14ac:dyDescent="0.45">
      <c r="C1747" s="4" t="s">
        <v>1783</v>
      </c>
      <c r="D1747" s="23">
        <v>13620</v>
      </c>
      <c r="E1747" s="4">
        <v>1291</v>
      </c>
      <c r="F1747" s="21">
        <v>4730000</v>
      </c>
      <c r="G1747" s="21">
        <f t="shared" si="77"/>
        <v>4143036.8251937106</v>
      </c>
      <c r="H1747" s="6">
        <f t="shared" si="80"/>
        <v>586963.17480628937</v>
      </c>
      <c r="I1747" s="1">
        <f t="shared" si="81"/>
        <v>4515910.1394611448</v>
      </c>
      <c r="J1747" s="2">
        <f t="shared" si="82"/>
        <v>214089.8605388552</v>
      </c>
    </row>
    <row r="1748" spans="3:10" ht="18" x14ac:dyDescent="0.45">
      <c r="C1748" s="4" t="s">
        <v>1784</v>
      </c>
      <c r="D1748" s="23">
        <v>13750</v>
      </c>
      <c r="E1748" s="4">
        <v>1291</v>
      </c>
      <c r="F1748" s="21">
        <v>4810000</v>
      </c>
      <c r="G1748" s="21">
        <f t="shared" si="77"/>
        <v>4182533.505610391</v>
      </c>
      <c r="H1748" s="6">
        <f t="shared" si="80"/>
        <v>627466.49438960897</v>
      </c>
      <c r="I1748" s="1">
        <f t="shared" si="81"/>
        <v>4558961.5211153263</v>
      </c>
      <c r="J1748" s="2">
        <f t="shared" si="82"/>
        <v>251038.47888467368</v>
      </c>
    </row>
    <row r="1749" spans="3:10" ht="18" x14ac:dyDescent="0.45">
      <c r="C1749" s="4" t="s">
        <v>1785</v>
      </c>
      <c r="D1749" s="23">
        <v>13790</v>
      </c>
      <c r="E1749" s="4">
        <v>1286</v>
      </c>
      <c r="F1749" s="21">
        <v>4850000</v>
      </c>
      <c r="G1749" s="21">
        <f t="shared" si="77"/>
        <v>4178459.8147445577</v>
      </c>
      <c r="H1749" s="6">
        <f t="shared" si="80"/>
        <v>671540.18525544228</v>
      </c>
      <c r="I1749" s="1">
        <f t="shared" si="81"/>
        <v>4554521.1980715683</v>
      </c>
      <c r="J1749" s="2">
        <f t="shared" si="82"/>
        <v>295478.80192843173</v>
      </c>
    </row>
    <row r="1750" spans="3:10" ht="18" x14ac:dyDescent="0.45">
      <c r="C1750" s="4" t="s">
        <v>1786</v>
      </c>
      <c r="D1750" s="23">
        <v>13640</v>
      </c>
      <c r="E1750" s="4">
        <v>1283</v>
      </c>
      <c r="F1750" s="21">
        <v>4720000</v>
      </c>
      <c r="G1750" s="21">
        <f t="shared" si="77"/>
        <v>4123433.2175031342</v>
      </c>
      <c r="H1750" s="6">
        <f t="shared" si="80"/>
        <v>596566.78249686584</v>
      </c>
      <c r="I1750" s="1">
        <f t="shared" si="81"/>
        <v>4494542.2070784168</v>
      </c>
      <c r="J1750" s="2">
        <f t="shared" si="82"/>
        <v>225457.79292158317</v>
      </c>
    </row>
    <row r="1751" spans="3:10" ht="18" x14ac:dyDescent="0.45">
      <c r="C1751" s="4" t="s">
        <v>1787</v>
      </c>
      <c r="D1751" s="23">
        <v>13620</v>
      </c>
      <c r="E1751" s="4">
        <v>1276</v>
      </c>
      <c r="F1751" s="21">
        <v>4750000</v>
      </c>
      <c r="G1751" s="21">
        <f t="shared" si="77"/>
        <v>4094957.3888049382</v>
      </c>
      <c r="H1751" s="6">
        <f t="shared" si="80"/>
        <v>655042.61119506182</v>
      </c>
      <c r="I1751" s="1">
        <f t="shared" si="81"/>
        <v>4463503.5537973829</v>
      </c>
      <c r="J1751" s="2">
        <f t="shared" si="82"/>
        <v>286496.44620261714</v>
      </c>
    </row>
    <row r="1752" spans="3:10" ht="18" x14ac:dyDescent="0.45">
      <c r="C1752" s="4" t="s">
        <v>1788</v>
      </c>
      <c r="D1752" s="23">
        <v>13640</v>
      </c>
      <c r="E1752" s="4">
        <v>1277</v>
      </c>
      <c r="F1752" s="21">
        <v>4755000</v>
      </c>
      <c r="G1752" s="21">
        <f t="shared" si="77"/>
        <v>4104173.2024563537</v>
      </c>
      <c r="H1752" s="6">
        <f t="shared" si="80"/>
        <v>650826.7975436463</v>
      </c>
      <c r="I1752" s="1">
        <f t="shared" si="81"/>
        <v>4473548.7906774255</v>
      </c>
      <c r="J1752" s="2">
        <f t="shared" si="82"/>
        <v>281451.20932257455</v>
      </c>
    </row>
    <row r="1753" spans="3:10" ht="18" x14ac:dyDescent="0.45">
      <c r="C1753" s="4" t="s">
        <v>1789</v>
      </c>
      <c r="D1753" s="23">
        <v>13630</v>
      </c>
      <c r="E1753" s="4">
        <v>1275</v>
      </c>
      <c r="F1753" s="21">
        <v>4760000</v>
      </c>
      <c r="G1753" s="21">
        <f t="shared" si="77"/>
        <v>4094752.6452432238</v>
      </c>
      <c r="H1753" s="6">
        <f t="shared" si="80"/>
        <v>665247.35475677624</v>
      </c>
      <c r="I1753" s="1">
        <f t="shared" si="81"/>
        <v>4463280.3833151143</v>
      </c>
      <c r="J1753" s="2">
        <f t="shared" si="82"/>
        <v>296719.6166848857</v>
      </c>
    </row>
    <row r="1754" spans="3:10" ht="18" x14ac:dyDescent="0.45">
      <c r="C1754" s="4" t="s">
        <v>1790</v>
      </c>
      <c r="D1754" s="23">
        <v>13880</v>
      </c>
      <c r="E1754" s="4">
        <v>1279</v>
      </c>
      <c r="F1754" s="21">
        <v>4860000</v>
      </c>
      <c r="G1754" s="21">
        <f t="shared" si="77"/>
        <v>4182832.3841430084</v>
      </c>
      <c r="H1754" s="6">
        <f t="shared" si="80"/>
        <v>677167.61585699162</v>
      </c>
      <c r="I1754" s="1">
        <f t="shared" si="81"/>
        <v>4559287.2987158792</v>
      </c>
      <c r="J1754" s="2">
        <f t="shared" si="82"/>
        <v>300712.70128412079</v>
      </c>
    </row>
    <row r="1755" spans="3:10" ht="18" x14ac:dyDescent="0.45">
      <c r="C1755" s="4" t="s">
        <v>1791</v>
      </c>
      <c r="D1755" s="23">
        <v>13890</v>
      </c>
      <c r="E1755" s="4">
        <v>1272</v>
      </c>
      <c r="F1755" s="21">
        <v>4860000</v>
      </c>
      <c r="G1755" s="21">
        <f t="shared" si="77"/>
        <v>4162960.4917853568</v>
      </c>
      <c r="H1755" s="6">
        <f t="shared" si="80"/>
        <v>697039.50821464323</v>
      </c>
      <c r="I1755" s="1">
        <f t="shared" si="81"/>
        <v>4537626.9360460388</v>
      </c>
      <c r="J1755" s="2">
        <f t="shared" si="82"/>
        <v>322373.06395396125</v>
      </c>
    </row>
    <row r="1756" spans="3:10" ht="18" x14ac:dyDescent="0.45">
      <c r="C1756" s="4" t="s">
        <v>1792</v>
      </c>
      <c r="D1756" s="23">
        <v>13990</v>
      </c>
      <c r="E1756" s="4">
        <v>1272</v>
      </c>
      <c r="F1756" s="21">
        <v>4910000</v>
      </c>
      <c r="G1756" s="21">
        <f t="shared" si="77"/>
        <v>4192895.4125325521</v>
      </c>
      <c r="H1756" s="6">
        <f t="shared" si="80"/>
        <v>717104.58746744785</v>
      </c>
      <c r="I1756" s="1">
        <f t="shared" si="81"/>
        <v>4570255.9996604826</v>
      </c>
      <c r="J1756" s="2">
        <f t="shared" si="82"/>
        <v>339744.00033951737</v>
      </c>
    </row>
    <row r="1757" spans="3:10" ht="18" x14ac:dyDescent="0.45">
      <c r="C1757" s="4" t="s">
        <v>1793</v>
      </c>
      <c r="D1757" s="23">
        <v>14000</v>
      </c>
      <c r="E1757" s="4">
        <v>1276</v>
      </c>
      <c r="F1757" s="21">
        <v>4900000</v>
      </c>
      <c r="G1757" s="21">
        <f t="shared" si="77"/>
        <v>4209067.80053371</v>
      </c>
      <c r="H1757" s="6">
        <f t="shared" si="80"/>
        <v>690932.19946628995</v>
      </c>
      <c r="I1757" s="1">
        <f t="shared" si="81"/>
        <v>4587883.9025817439</v>
      </c>
      <c r="J1757" s="2">
        <f t="shared" si="82"/>
        <v>312116.0974182561</v>
      </c>
    </row>
    <row r="1758" spans="3:10" ht="18" x14ac:dyDescent="0.45">
      <c r="C1758" s="4" t="s">
        <v>1794</v>
      </c>
      <c r="D1758" s="23">
        <v>14200</v>
      </c>
      <c r="E1758" s="4">
        <v>1286</v>
      </c>
      <c r="F1758" s="21">
        <v>4990000</v>
      </c>
      <c r="G1758" s="21">
        <f t="shared" si="77"/>
        <v>4302543.8266405156</v>
      </c>
      <c r="H1758" s="6">
        <f t="shared" si="80"/>
        <v>687456.17335948441</v>
      </c>
      <c r="I1758" s="1">
        <f t="shared" si="81"/>
        <v>4689772.7710381625</v>
      </c>
      <c r="J1758" s="2">
        <f t="shared" si="82"/>
        <v>300227.22896183748</v>
      </c>
    </row>
    <row r="1759" spans="3:10" ht="18" x14ac:dyDescent="0.45">
      <c r="C1759" s="4" t="s">
        <v>1795</v>
      </c>
      <c r="D1759" s="23">
        <v>14270</v>
      </c>
      <c r="E1759" s="4">
        <v>1286</v>
      </c>
      <c r="F1759" s="21">
        <v>5015000</v>
      </c>
      <c r="G1759" s="21">
        <f t="shared" si="77"/>
        <v>4323728.9018422654</v>
      </c>
      <c r="H1759" s="6">
        <f t="shared" si="80"/>
        <v>691271.09815773461</v>
      </c>
      <c r="I1759" s="1">
        <f t="shared" si="81"/>
        <v>4712864.5030080695</v>
      </c>
      <c r="J1759" s="2">
        <f t="shared" si="82"/>
        <v>302135.49699193053</v>
      </c>
    </row>
    <row r="1760" spans="3:10" ht="18" x14ac:dyDescent="0.45">
      <c r="C1760" s="4" t="s">
        <v>1796</v>
      </c>
      <c r="D1760" s="23">
        <v>14300</v>
      </c>
      <c r="E1760" s="4">
        <v>1281</v>
      </c>
      <c r="F1760" s="21">
        <v>4980000</v>
      </c>
      <c r="G1760" s="21">
        <f t="shared" si="77"/>
        <v>4315981.5937369382</v>
      </c>
      <c r="H1760" s="6">
        <f t="shared" si="80"/>
        <v>664018.4062630618</v>
      </c>
      <c r="I1760" s="1">
        <f t="shared" si="81"/>
        <v>4704419.9371732632</v>
      </c>
      <c r="J1760" s="2">
        <f t="shared" si="82"/>
        <v>275580.06282673683</v>
      </c>
    </row>
    <row r="1761" spans="3:10" ht="18" x14ac:dyDescent="0.45">
      <c r="C1761" s="4" t="s">
        <v>1797</v>
      </c>
      <c r="D1761" s="23">
        <v>14260</v>
      </c>
      <c r="E1761" s="4">
        <v>1286</v>
      </c>
      <c r="F1761" s="21">
        <v>4960000</v>
      </c>
      <c r="G1761" s="21">
        <f t="shared" si="77"/>
        <v>4320702.4625277296</v>
      </c>
      <c r="H1761" s="6">
        <f t="shared" si="80"/>
        <v>639297.53747227043</v>
      </c>
      <c r="I1761" s="1">
        <f t="shared" si="81"/>
        <v>4709565.6841552258</v>
      </c>
      <c r="J1761" s="2">
        <f t="shared" si="82"/>
        <v>250434.31584477425</v>
      </c>
    </row>
    <row r="1762" spans="3:10" ht="18" x14ac:dyDescent="0.45">
      <c r="C1762" s="4" t="s">
        <v>1798</v>
      </c>
      <c r="D1762" s="23">
        <v>14480</v>
      </c>
      <c r="E1762" s="4">
        <v>1281</v>
      </c>
      <c r="F1762" s="21">
        <v>5020000</v>
      </c>
      <c r="G1762" s="21">
        <f t="shared" si="77"/>
        <v>4370245.6977140466</v>
      </c>
      <c r="H1762" s="6">
        <f t="shared" si="80"/>
        <v>649754.30228595342</v>
      </c>
      <c r="I1762" s="1">
        <f t="shared" si="81"/>
        <v>4763567.8105083108</v>
      </c>
      <c r="J1762" s="2">
        <f t="shared" si="82"/>
        <v>256432.18949168921</v>
      </c>
    </row>
    <row r="1763" spans="3:10" ht="18" x14ac:dyDescent="0.45">
      <c r="C1763" s="4" t="s">
        <v>1799</v>
      </c>
      <c r="D1763" s="23">
        <v>14600</v>
      </c>
      <c r="E1763" s="4">
        <v>1272</v>
      </c>
      <c r="F1763" s="21">
        <v>5070000</v>
      </c>
      <c r="G1763" s="21">
        <f t="shared" si="77"/>
        <v>4375498.4290904403</v>
      </c>
      <c r="H1763" s="6">
        <f t="shared" si="80"/>
        <v>694501.57090955973</v>
      </c>
      <c r="I1763" s="1">
        <f t="shared" si="81"/>
        <v>4769293.2877085805</v>
      </c>
      <c r="J1763" s="2">
        <f t="shared" si="82"/>
        <v>300706.71229141951</v>
      </c>
    </row>
    <row r="1764" spans="3:10" ht="18" x14ac:dyDescent="0.45">
      <c r="C1764" s="4" t="s">
        <v>1800</v>
      </c>
      <c r="D1764" s="23">
        <v>14850</v>
      </c>
      <c r="E1764" s="4">
        <v>1279</v>
      </c>
      <c r="F1764" s="21">
        <v>5090000</v>
      </c>
      <c r="G1764" s="21">
        <f t="shared" si="77"/>
        <v>4474799.0565218786</v>
      </c>
      <c r="H1764" s="6">
        <f t="shared" si="80"/>
        <v>615200.94347812142</v>
      </c>
      <c r="I1764" s="1">
        <f t="shared" si="81"/>
        <v>4877530.9716088483</v>
      </c>
      <c r="J1764" s="2">
        <f t="shared" si="82"/>
        <v>212469.02839115169</v>
      </c>
    </row>
    <row r="1765" spans="3:10" ht="18" x14ac:dyDescent="0.45">
      <c r="C1765" s="4" t="s">
        <v>1801</v>
      </c>
      <c r="D1765" s="23">
        <v>14750</v>
      </c>
      <c r="E1765" s="4">
        <v>1279</v>
      </c>
      <c r="F1765" s="21">
        <v>5070000</v>
      </c>
      <c r="G1765" s="21">
        <f t="shared" si="77"/>
        <v>4444699.3995756032</v>
      </c>
      <c r="H1765" s="6">
        <f t="shared" si="80"/>
        <v>625300.60042439681</v>
      </c>
      <c r="I1765" s="1">
        <f t="shared" si="81"/>
        <v>4844722.3455374083</v>
      </c>
      <c r="J1765" s="2">
        <f t="shared" si="82"/>
        <v>225277.65446259174</v>
      </c>
    </row>
    <row r="1766" spans="3:10" ht="18" x14ac:dyDescent="0.45">
      <c r="C1766" s="4" t="s">
        <v>1802</v>
      </c>
      <c r="D1766" s="23">
        <v>14930</v>
      </c>
      <c r="E1766" s="4">
        <v>1282</v>
      </c>
      <c r="F1766" s="21">
        <v>5090000</v>
      </c>
      <c r="G1766" s="21">
        <f t="shared" ref="G1766:G1813" si="83">E1766/31.103*8.133*D1766*0.9+5000</f>
        <v>4509419.5454457756</v>
      </c>
      <c r="H1766" s="6">
        <f t="shared" si="80"/>
        <v>580580.45455422439</v>
      </c>
      <c r="I1766" s="1">
        <f t="shared" si="81"/>
        <v>4915267.3045358956</v>
      </c>
      <c r="J1766" s="2">
        <f t="shared" si="82"/>
        <v>174732.69546410441</v>
      </c>
    </row>
    <row r="1767" spans="3:10" ht="18" x14ac:dyDescent="0.45">
      <c r="C1767" s="4" t="s">
        <v>1803</v>
      </c>
      <c r="D1767" s="23">
        <v>15230</v>
      </c>
      <c r="E1767" s="4">
        <v>1280</v>
      </c>
      <c r="F1767" s="21">
        <v>5150000</v>
      </c>
      <c r="G1767" s="21">
        <f t="shared" si="83"/>
        <v>4592761.9419348622</v>
      </c>
      <c r="H1767" s="6">
        <f t="shared" si="80"/>
        <v>557238.05806513783</v>
      </c>
      <c r="I1767" s="1">
        <f t="shared" si="81"/>
        <v>5006110.5167089999</v>
      </c>
      <c r="J1767" s="2">
        <f t="shared" si="82"/>
        <v>143889.48329100013</v>
      </c>
    </row>
    <row r="1768" spans="3:10" ht="18" x14ac:dyDescent="0.45">
      <c r="C1768" s="4" t="s">
        <v>1804</v>
      </c>
      <c r="D1768" s="23">
        <v>15370</v>
      </c>
      <c r="E1768" s="4">
        <v>1289</v>
      </c>
      <c r="F1768" s="21">
        <v>5165000</v>
      </c>
      <c r="G1768" s="21">
        <f t="shared" si="83"/>
        <v>4667488.6352120368</v>
      </c>
      <c r="H1768" s="6">
        <f t="shared" si="80"/>
        <v>497511.36478796322</v>
      </c>
      <c r="I1768" s="1">
        <f t="shared" si="81"/>
        <v>5087562.6123811202</v>
      </c>
      <c r="J1768" s="2">
        <f t="shared" si="82"/>
        <v>77437.387618879788</v>
      </c>
    </row>
    <row r="1769" spans="3:10" ht="18" x14ac:dyDescent="0.45">
      <c r="C1769" s="4" t="s">
        <v>1805</v>
      </c>
      <c r="D1769" s="23">
        <v>15570</v>
      </c>
      <c r="E1769" s="4">
        <v>1283</v>
      </c>
      <c r="F1769" s="21">
        <v>5180000</v>
      </c>
      <c r="G1769" s="21">
        <f t="shared" si="83"/>
        <v>4706173.4015046777</v>
      </c>
      <c r="H1769" s="6">
        <f t="shared" si="80"/>
        <v>473826.59849532228</v>
      </c>
      <c r="I1769" s="1">
        <f t="shared" si="81"/>
        <v>5129729.0076400992</v>
      </c>
      <c r="J1769" s="2">
        <f t="shared" si="82"/>
        <v>50270.992359900847</v>
      </c>
    </row>
    <row r="1770" spans="3:10" ht="18" x14ac:dyDescent="0.45">
      <c r="C1770" s="4" t="s">
        <v>1806</v>
      </c>
      <c r="D1770" s="23">
        <v>15070</v>
      </c>
      <c r="E1770" s="4">
        <v>1286</v>
      </c>
      <c r="F1770" s="21">
        <v>5070000</v>
      </c>
      <c r="G1770" s="21">
        <f t="shared" si="83"/>
        <v>4565844.0470051114</v>
      </c>
      <c r="H1770" s="6">
        <f t="shared" si="80"/>
        <v>504155.95299488865</v>
      </c>
      <c r="I1770" s="1">
        <f t="shared" si="81"/>
        <v>4976770.0112355715</v>
      </c>
      <c r="J1770" s="2">
        <f t="shared" si="82"/>
        <v>93229.988764428534</v>
      </c>
    </row>
    <row r="1771" spans="3:10" ht="18" x14ac:dyDescent="0.45">
      <c r="C1771" s="4" t="s">
        <v>1807</v>
      </c>
      <c r="D1771" s="23">
        <v>14750</v>
      </c>
      <c r="E1771" s="4">
        <v>1286</v>
      </c>
      <c r="F1771" s="21">
        <v>5000000</v>
      </c>
      <c r="G1771" s="21">
        <f t="shared" si="83"/>
        <v>4468997.9889399726</v>
      </c>
      <c r="H1771" s="6">
        <f t="shared" si="80"/>
        <v>531002.01106002741</v>
      </c>
      <c r="I1771" s="1">
        <f t="shared" si="81"/>
        <v>4871207.8079445707</v>
      </c>
      <c r="J1771" s="2">
        <f t="shared" si="82"/>
        <v>128792.19205542933</v>
      </c>
    </row>
    <row r="1772" spans="3:10" ht="18" x14ac:dyDescent="0.45">
      <c r="C1772" s="4" t="s">
        <v>1808</v>
      </c>
      <c r="D1772" s="23">
        <v>14990</v>
      </c>
      <c r="E1772" s="4">
        <v>1283</v>
      </c>
      <c r="F1772" s="21">
        <v>5005000</v>
      </c>
      <c r="G1772" s="21">
        <f t="shared" si="83"/>
        <v>4531049.4083850421</v>
      </c>
      <c r="H1772" s="6">
        <f t="shared" si="80"/>
        <v>473950.5916149579</v>
      </c>
      <c r="I1772" s="1">
        <f t="shared" si="81"/>
        <v>4938843.855139696</v>
      </c>
      <c r="J1772" s="2">
        <f t="shared" si="82"/>
        <v>66156.144860303961</v>
      </c>
    </row>
    <row r="1773" spans="3:10" ht="18" x14ac:dyDescent="0.45">
      <c r="C1773" s="4" t="s">
        <v>1809</v>
      </c>
      <c r="D1773" s="23">
        <v>15080</v>
      </c>
      <c r="E1773" s="4">
        <v>1296</v>
      </c>
      <c r="F1773" s="21">
        <v>5050000</v>
      </c>
      <c r="G1773" s="21">
        <f t="shared" si="83"/>
        <v>4604359.3703501262</v>
      </c>
      <c r="H1773" s="6">
        <f t="shared" si="80"/>
        <v>445640.62964987382</v>
      </c>
      <c r="I1773" s="1">
        <f t="shared" si="81"/>
        <v>5018751.7136816382</v>
      </c>
      <c r="J1773" s="2">
        <f t="shared" si="82"/>
        <v>31248.286318361759</v>
      </c>
    </row>
    <row r="1774" spans="3:10" ht="18" x14ac:dyDescent="0.45">
      <c r="C1774" s="4" t="s">
        <v>1810</v>
      </c>
      <c r="D1774" s="23">
        <v>14750</v>
      </c>
      <c r="E1774" s="4">
        <v>1298</v>
      </c>
      <c r="F1774" s="21">
        <v>5000000</v>
      </c>
      <c r="G1774" s="21">
        <f t="shared" si="83"/>
        <v>4510652.7135646073</v>
      </c>
      <c r="H1774" s="6">
        <f t="shared" si="80"/>
        <v>489347.28643539269</v>
      </c>
      <c r="I1774" s="1">
        <f t="shared" si="81"/>
        <v>4916611.457785422</v>
      </c>
      <c r="J1774" s="2">
        <f t="shared" si="82"/>
        <v>83388.542214578018</v>
      </c>
    </row>
    <row r="1775" spans="3:10" ht="18" x14ac:dyDescent="0.45">
      <c r="C1775" s="4" t="s">
        <v>1811</v>
      </c>
      <c r="D1775" s="23">
        <v>14700</v>
      </c>
      <c r="E1775" s="4">
        <v>1294</v>
      </c>
      <c r="F1775" s="21">
        <v>4960000</v>
      </c>
      <c r="G1775" s="21">
        <f t="shared" si="83"/>
        <v>4481541.4738128148</v>
      </c>
      <c r="H1775" s="6">
        <f t="shared" si="80"/>
        <v>478458.5261871852</v>
      </c>
      <c r="I1775" s="1">
        <f t="shared" si="81"/>
        <v>4884880.2064559683</v>
      </c>
      <c r="J1775" s="2">
        <f t="shared" si="82"/>
        <v>75119.79354403168</v>
      </c>
    </row>
    <row r="1776" spans="3:10" ht="18" x14ac:dyDescent="0.45">
      <c r="C1776" s="4" t="s">
        <v>1812</v>
      </c>
      <c r="D1776" s="23">
        <v>14650</v>
      </c>
      <c r="E1776" s="4">
        <v>1278</v>
      </c>
      <c r="F1776" s="21">
        <v>4905000</v>
      </c>
      <c r="G1776" s="21">
        <f t="shared" si="83"/>
        <v>4411152.0493200002</v>
      </c>
      <c r="H1776" s="6">
        <f t="shared" si="80"/>
        <v>493847.95067999978</v>
      </c>
      <c r="I1776" s="1">
        <f t="shared" si="81"/>
        <v>4808155.7337588007</v>
      </c>
      <c r="J1776" s="2">
        <f t="shared" si="82"/>
        <v>96844.266241199337</v>
      </c>
    </row>
    <row r="1777" spans="3:10" ht="18" x14ac:dyDescent="0.45">
      <c r="C1777" s="4" t="s">
        <v>1813</v>
      </c>
      <c r="D1777" s="23">
        <v>14450</v>
      </c>
      <c r="E1777" s="4">
        <v>1278</v>
      </c>
      <c r="F1777" s="21">
        <v>4850000</v>
      </c>
      <c r="G1777" s="21">
        <f t="shared" si="83"/>
        <v>4350999.8029129021</v>
      </c>
      <c r="H1777" s="6">
        <f t="shared" si="80"/>
        <v>499000.19708709791</v>
      </c>
      <c r="I1777" s="1">
        <f t="shared" si="81"/>
        <v>4742589.7851750636</v>
      </c>
      <c r="J1777" s="2">
        <f t="shared" si="82"/>
        <v>107410.21482493635</v>
      </c>
    </row>
    <row r="1778" spans="3:10" ht="18" x14ac:dyDescent="0.45">
      <c r="C1778" s="4" t="s">
        <v>1814</v>
      </c>
      <c r="D1778" s="23">
        <v>13950</v>
      </c>
      <c r="E1778" s="4">
        <v>1276</v>
      </c>
      <c r="F1778" s="21">
        <v>4650000</v>
      </c>
      <c r="G1778" s="21">
        <f t="shared" si="83"/>
        <v>4194053.2726746607</v>
      </c>
      <c r="H1778" s="6">
        <f t="shared" si="80"/>
        <v>455946.72732533934</v>
      </c>
      <c r="I1778" s="1">
        <f t="shared" si="81"/>
        <v>4571518.0672153803</v>
      </c>
      <c r="J1778" s="2">
        <f t="shared" si="82"/>
        <v>78481.932784619741</v>
      </c>
    </row>
    <row r="1779" spans="3:10" ht="18" x14ac:dyDescent="0.45">
      <c r="C1779" s="4" t="s">
        <v>1815</v>
      </c>
      <c r="D1779" s="23">
        <v>14200</v>
      </c>
      <c r="E1779" s="4">
        <v>1276</v>
      </c>
      <c r="F1779" s="21">
        <v>4770000</v>
      </c>
      <c r="G1779" s="21">
        <f t="shared" si="83"/>
        <v>4269125.9119699057</v>
      </c>
      <c r="H1779" s="6">
        <f t="shared" si="80"/>
        <v>500874.08803009428</v>
      </c>
      <c r="I1779" s="1">
        <f t="shared" si="81"/>
        <v>4653347.2440471975</v>
      </c>
      <c r="J1779" s="2">
        <f t="shared" si="82"/>
        <v>116652.75595280249</v>
      </c>
    </row>
    <row r="1780" spans="3:10" ht="18" x14ac:dyDescent="0.45">
      <c r="C1780" s="4" t="s">
        <v>1816</v>
      </c>
      <c r="D1780" s="23">
        <v>14400</v>
      </c>
      <c r="E1780" s="4">
        <v>1275</v>
      </c>
      <c r="F1780" s="21">
        <v>4820000</v>
      </c>
      <c r="G1780" s="21">
        <f t="shared" si="83"/>
        <v>4325795.1644535894</v>
      </c>
      <c r="H1780" s="6">
        <f t="shared" si="80"/>
        <v>494204.83554641064</v>
      </c>
      <c r="I1780" s="1">
        <f t="shared" si="81"/>
        <v>4715116.7292544125</v>
      </c>
      <c r="J1780" s="2">
        <f t="shared" si="82"/>
        <v>104883.27074558754</v>
      </c>
    </row>
    <row r="1781" spans="3:10" ht="18" x14ac:dyDescent="0.45">
      <c r="C1781" s="4" t="s">
        <v>1817</v>
      </c>
      <c r="D1781" s="23">
        <v>14250</v>
      </c>
      <c r="E1781" s="4">
        <v>1281</v>
      </c>
      <c r="F1781" s="21">
        <v>4770000</v>
      </c>
      <c r="G1781" s="21">
        <f t="shared" si="83"/>
        <v>4300908.2315210747</v>
      </c>
      <c r="H1781" s="6">
        <f t="shared" si="80"/>
        <v>469091.76847892534</v>
      </c>
      <c r="I1781" s="1">
        <f t="shared" si="81"/>
        <v>4687989.9723579716</v>
      </c>
      <c r="J1781" s="2">
        <f t="shared" si="82"/>
        <v>82010.027642028406</v>
      </c>
    </row>
    <row r="1782" spans="3:10" ht="18" x14ac:dyDescent="0.45">
      <c r="C1782" s="4" t="s">
        <v>1818</v>
      </c>
      <c r="D1782" s="23">
        <v>14050</v>
      </c>
      <c r="E1782" s="4">
        <v>1285</v>
      </c>
      <c r="F1782" s="21">
        <v>4780000</v>
      </c>
      <c r="G1782" s="21">
        <f t="shared" si="83"/>
        <v>4253840.7460695105</v>
      </c>
      <c r="H1782" s="6">
        <f t="shared" si="80"/>
        <v>526159.25393048953</v>
      </c>
      <c r="I1782" s="1">
        <f t="shared" si="81"/>
        <v>4636686.4132157667</v>
      </c>
      <c r="J1782" s="2">
        <f t="shared" si="82"/>
        <v>143313.58678423334</v>
      </c>
    </row>
    <row r="1783" spans="3:10" ht="18" x14ac:dyDescent="0.45">
      <c r="C1783" s="4" t="s">
        <v>1819</v>
      </c>
      <c r="D1783" s="23">
        <v>14120</v>
      </c>
      <c r="E1783" s="4">
        <v>1285</v>
      </c>
      <c r="F1783" s="21">
        <v>4805000</v>
      </c>
      <c r="G1783" s="21">
        <f t="shared" si="83"/>
        <v>4275009.3476513512</v>
      </c>
      <c r="H1783" s="6">
        <f t="shared" si="80"/>
        <v>529990.65234864876</v>
      </c>
      <c r="I1783" s="1">
        <f t="shared" si="81"/>
        <v>4659760.1889399728</v>
      </c>
      <c r="J1783" s="2">
        <f t="shared" si="82"/>
        <v>145239.81106002722</v>
      </c>
    </row>
    <row r="1784" spans="3:10" ht="18" x14ac:dyDescent="0.45">
      <c r="C1784" s="4" t="s">
        <v>1820</v>
      </c>
      <c r="D1784" s="23">
        <v>13800</v>
      </c>
      <c r="E1784" s="4">
        <v>1284</v>
      </c>
      <c r="F1784" s="21">
        <v>4660000</v>
      </c>
      <c r="G1784" s="21">
        <f t="shared" si="83"/>
        <v>4174990.9410667773</v>
      </c>
      <c r="H1784" s="6">
        <f t="shared" si="80"/>
        <v>485009.05893322267</v>
      </c>
      <c r="I1784" s="1">
        <f t="shared" si="81"/>
        <v>4550740.1257627876</v>
      </c>
      <c r="J1784" s="2">
        <f t="shared" si="82"/>
        <v>109259.87423721235</v>
      </c>
    </row>
    <row r="1785" spans="3:10" ht="18" x14ac:dyDescent="0.45">
      <c r="C1785" s="4" t="s">
        <v>1821</v>
      </c>
      <c r="D1785" s="23">
        <v>13570</v>
      </c>
      <c r="E1785" s="4">
        <v>1284</v>
      </c>
      <c r="F1785" s="21">
        <v>4610000</v>
      </c>
      <c r="G1785" s="21">
        <f t="shared" si="83"/>
        <v>4105491.092048998</v>
      </c>
      <c r="H1785" s="6">
        <f t="shared" si="80"/>
        <v>504508.90795100201</v>
      </c>
      <c r="I1785" s="1">
        <f t="shared" si="81"/>
        <v>4474985.2903334079</v>
      </c>
      <c r="J1785" s="2">
        <f t="shared" si="82"/>
        <v>135014.70966659207</v>
      </c>
    </row>
    <row r="1786" spans="3:10" ht="18" x14ac:dyDescent="0.45">
      <c r="C1786" s="4" t="s">
        <v>1822</v>
      </c>
      <c r="D1786" s="23">
        <v>13750</v>
      </c>
      <c r="E1786" s="4">
        <v>1278</v>
      </c>
      <c r="F1786" s="21">
        <v>4650000</v>
      </c>
      <c r="G1786" s="21">
        <f t="shared" si="83"/>
        <v>4140466.9404880558</v>
      </c>
      <c r="H1786" s="6">
        <f t="shared" si="80"/>
        <v>509533.05951194419</v>
      </c>
      <c r="I1786" s="1">
        <f t="shared" si="81"/>
        <v>4513108.9651319813</v>
      </c>
      <c r="J1786" s="2">
        <f t="shared" si="82"/>
        <v>136891.0348680187</v>
      </c>
    </row>
    <row r="1787" spans="3:10" ht="18" x14ac:dyDescent="0.45">
      <c r="C1787" s="4" t="s">
        <v>1823</v>
      </c>
      <c r="D1787" s="23">
        <v>13650</v>
      </c>
      <c r="E1787" s="4">
        <v>1305.5</v>
      </c>
      <c r="F1787" s="21">
        <v>4635000</v>
      </c>
      <c r="G1787" s="21">
        <f t="shared" si="83"/>
        <v>4198730.6040414106</v>
      </c>
      <c r="H1787" s="6">
        <f t="shared" si="80"/>
        <v>436269.39595858939</v>
      </c>
      <c r="I1787" s="1">
        <f t="shared" si="81"/>
        <v>4576616.3584051384</v>
      </c>
      <c r="J1787" s="2">
        <f t="shared" si="82"/>
        <v>58383.641594861634</v>
      </c>
    </row>
    <row r="1788" spans="3:10" ht="18" x14ac:dyDescent="0.45">
      <c r="C1788" s="4" t="s">
        <v>1824</v>
      </c>
      <c r="D1788" s="23">
        <v>13330</v>
      </c>
      <c r="E1788" s="4">
        <v>1305.5</v>
      </c>
      <c r="F1788" s="21">
        <v>4530000</v>
      </c>
      <c r="G1788" s="21">
        <f t="shared" si="83"/>
        <v>4100416.0404301835</v>
      </c>
      <c r="H1788" s="6">
        <f t="shared" si="80"/>
        <v>429583.95956981648</v>
      </c>
      <c r="I1788" s="1">
        <f t="shared" si="81"/>
        <v>4469453.4840689003</v>
      </c>
      <c r="J1788" s="2">
        <f t="shared" si="82"/>
        <v>60546.515931099653</v>
      </c>
    </row>
    <row r="1789" spans="3:10" ht="18" x14ac:dyDescent="0.45">
      <c r="C1789" s="4" t="s">
        <v>1825</v>
      </c>
      <c r="D1789" s="23">
        <v>13300</v>
      </c>
      <c r="E1789" s="4">
        <v>1317</v>
      </c>
      <c r="F1789" s="21">
        <v>4560000</v>
      </c>
      <c r="G1789" s="21">
        <f t="shared" si="83"/>
        <v>4127193.9095907132</v>
      </c>
      <c r="H1789" s="6">
        <f t="shared" si="80"/>
        <v>432806.09040928679</v>
      </c>
      <c r="I1789" s="1">
        <f t="shared" si="81"/>
        <v>4498641.3614538778</v>
      </c>
      <c r="J1789" s="2">
        <f t="shared" si="82"/>
        <v>61358.638546122238</v>
      </c>
    </row>
    <row r="1790" spans="3:10" ht="18" x14ac:dyDescent="0.45">
      <c r="C1790" s="4" t="s">
        <v>1826</v>
      </c>
      <c r="D1790" s="23">
        <v>13120</v>
      </c>
      <c r="E1790" s="4">
        <v>1340</v>
      </c>
      <c r="F1790" s="21">
        <v>4580000</v>
      </c>
      <c r="G1790" s="21">
        <f t="shared" si="83"/>
        <v>4142420.2411342957</v>
      </c>
      <c r="H1790" s="6">
        <f t="shared" si="80"/>
        <v>437579.75886570429</v>
      </c>
      <c r="I1790" s="1">
        <f t="shared" si="81"/>
        <v>4515238.0628363825</v>
      </c>
      <c r="J1790" s="2">
        <f t="shared" si="82"/>
        <v>64761.937163617462</v>
      </c>
    </row>
    <row r="1791" spans="3:10" ht="18" x14ac:dyDescent="0.45">
      <c r="C1791" s="4" t="s">
        <v>1827</v>
      </c>
      <c r="D1791" s="23">
        <v>12700</v>
      </c>
      <c r="E1791" s="4">
        <v>1340</v>
      </c>
      <c r="F1791" s="21">
        <v>4450000</v>
      </c>
      <c r="G1791" s="21">
        <f t="shared" si="83"/>
        <v>4009972.3370735943</v>
      </c>
      <c r="H1791" s="6">
        <f t="shared" si="80"/>
        <v>440027.66292640567</v>
      </c>
      <c r="I1791" s="1">
        <f t="shared" si="81"/>
        <v>4370869.8474102179</v>
      </c>
      <c r="J1791" s="2">
        <f t="shared" si="82"/>
        <v>79130.152589782141</v>
      </c>
    </row>
    <row r="1792" spans="3:10" ht="18" x14ac:dyDescent="0.45">
      <c r="C1792" s="4" t="s">
        <v>1828</v>
      </c>
      <c r="D1792" s="23">
        <v>12990</v>
      </c>
      <c r="E1792" s="4">
        <v>1326</v>
      </c>
      <c r="F1792" s="21">
        <v>4510000</v>
      </c>
      <c r="G1792" s="21">
        <f t="shared" si="83"/>
        <v>4058625.9967848756</v>
      </c>
      <c r="H1792" s="6">
        <f t="shared" si="80"/>
        <v>451374.00321512436</v>
      </c>
      <c r="I1792" s="1">
        <f t="shared" si="81"/>
        <v>4423902.336495515</v>
      </c>
      <c r="J1792" s="2">
        <f t="shared" si="82"/>
        <v>86097.663504485041</v>
      </c>
    </row>
    <row r="1793" spans="3:10" ht="18" x14ac:dyDescent="0.45">
      <c r="C1793" s="4" t="s">
        <v>1829</v>
      </c>
      <c r="D1793" s="23">
        <v>12970</v>
      </c>
      <c r="E1793" s="4">
        <v>1322</v>
      </c>
      <c r="F1793" s="21">
        <v>4490000</v>
      </c>
      <c r="G1793" s="21">
        <f t="shared" si="83"/>
        <v>4040175.5424878621</v>
      </c>
      <c r="H1793" s="6">
        <f t="shared" si="80"/>
        <v>449824.45751213795</v>
      </c>
      <c r="I1793" s="1">
        <f t="shared" si="81"/>
        <v>4403791.3413117696</v>
      </c>
      <c r="J1793" s="2">
        <f t="shared" si="82"/>
        <v>86208.65868823044</v>
      </c>
    </row>
    <row r="1794" spans="3:10" ht="18" x14ac:dyDescent="0.45">
      <c r="C1794" s="4" t="s">
        <v>1830</v>
      </c>
      <c r="D1794" s="23">
        <v>13050</v>
      </c>
      <c r="E1794" s="4">
        <v>1336</v>
      </c>
      <c r="F1794" s="21">
        <v>4520000</v>
      </c>
      <c r="G1794" s="21">
        <f t="shared" si="83"/>
        <v>4108060.9767546537</v>
      </c>
      <c r="H1794" s="6">
        <f t="shared" ref="H1794:H1857" si="84">F:F-G:G</f>
        <v>411939.02324534627</v>
      </c>
      <c r="I1794" s="1">
        <f t="shared" si="81"/>
        <v>4477786.4646625733</v>
      </c>
      <c r="J1794" s="2">
        <f t="shared" si="82"/>
        <v>42213.5353374267</v>
      </c>
    </row>
    <row r="1795" spans="3:10" ht="18" x14ac:dyDescent="0.45">
      <c r="C1795" s="4" t="s">
        <v>1831</v>
      </c>
      <c r="D1795" s="23">
        <v>13550</v>
      </c>
      <c r="E1795" s="4">
        <v>1336.5</v>
      </c>
      <c r="F1795" s="21">
        <v>4680000</v>
      </c>
      <c r="G1795" s="21">
        <f t="shared" si="83"/>
        <v>4266860.7892325483</v>
      </c>
      <c r="H1795" s="6">
        <f t="shared" si="84"/>
        <v>413139.21076745167</v>
      </c>
      <c r="I1795" s="1">
        <f t="shared" si="81"/>
        <v>4650878.2602634784</v>
      </c>
      <c r="J1795" s="2">
        <f t="shared" si="82"/>
        <v>29121.739736521617</v>
      </c>
    </row>
    <row r="1796" spans="3:10" ht="18" x14ac:dyDescent="0.45">
      <c r="C1796" s="4" t="s">
        <v>1832</v>
      </c>
      <c r="D1796" s="23">
        <v>13450</v>
      </c>
      <c r="E1796" s="4">
        <v>1342</v>
      </c>
      <c r="F1796" s="21">
        <v>4675000</v>
      </c>
      <c r="G1796" s="21">
        <f t="shared" si="83"/>
        <v>4252817.0282609388</v>
      </c>
      <c r="H1796" s="6">
        <f t="shared" si="84"/>
        <v>422182.97173906118</v>
      </c>
      <c r="I1796" s="1">
        <f t="shared" si="81"/>
        <v>4635570.5608044239</v>
      </c>
      <c r="J1796" s="2">
        <f t="shared" si="82"/>
        <v>39429.439195576124</v>
      </c>
    </row>
    <row r="1797" spans="3:10" ht="18" x14ac:dyDescent="0.45">
      <c r="C1797" s="4" t="s">
        <v>1833</v>
      </c>
      <c r="D1797" s="23">
        <v>13700</v>
      </c>
      <c r="E1797" s="4">
        <v>1342</v>
      </c>
      <c r="F1797" s="21">
        <v>4770000</v>
      </c>
      <c r="G1797" s="21">
        <f t="shared" si="83"/>
        <v>4331772.7351059373</v>
      </c>
      <c r="H1797" s="6">
        <f t="shared" si="84"/>
        <v>438227.26489406265</v>
      </c>
      <c r="I1797" s="1">
        <f t="shared" si="81"/>
        <v>4721632.2812654721</v>
      </c>
      <c r="J1797" s="2">
        <f t="shared" si="82"/>
        <v>48367.718734527938</v>
      </c>
    </row>
    <row r="1798" spans="3:10" ht="18" x14ac:dyDescent="0.45">
      <c r="C1798" s="4" t="s">
        <v>1834</v>
      </c>
      <c r="D1798" s="23">
        <v>13490</v>
      </c>
      <c r="E1798" s="4">
        <v>1335</v>
      </c>
      <c r="F1798" s="21">
        <v>4690000</v>
      </c>
      <c r="G1798" s="21">
        <f t="shared" si="83"/>
        <v>4243227.0281001832</v>
      </c>
      <c r="H1798" s="6">
        <f t="shared" si="84"/>
        <v>446772.97189981677</v>
      </c>
      <c r="I1798" s="1">
        <f t="shared" si="81"/>
        <v>4625117.4606291996</v>
      </c>
      <c r="J1798" s="2">
        <f t="shared" si="82"/>
        <v>64882.539370800368</v>
      </c>
    </row>
    <row r="1799" spans="3:10" ht="18" x14ac:dyDescent="0.45">
      <c r="C1799" s="4" t="s">
        <v>1835</v>
      </c>
      <c r="D1799" s="23">
        <v>13250</v>
      </c>
      <c r="E1799" s="4">
        <v>1349.6</v>
      </c>
      <c r="F1799" s="21">
        <v>4630000</v>
      </c>
      <c r="G1799" s="21">
        <f t="shared" si="83"/>
        <v>4213350.9417098016</v>
      </c>
      <c r="H1799" s="6">
        <f t="shared" si="84"/>
        <v>416649.05829019845</v>
      </c>
      <c r="I1799" s="1">
        <f t="shared" ref="I1799:I1813" si="85">G1799*1.09</f>
        <v>4592552.5264636837</v>
      </c>
      <c r="J1799" s="2">
        <f t="shared" ref="J1799:J1821" si="86">F1799-I1799</f>
        <v>37447.473536316305</v>
      </c>
    </row>
    <row r="1800" spans="3:10" ht="18" x14ac:dyDescent="0.45">
      <c r="C1800" s="4" t="s">
        <v>1836</v>
      </c>
      <c r="D1800" s="23">
        <v>13300</v>
      </c>
      <c r="E1800" s="4">
        <v>1343</v>
      </c>
      <c r="F1800" s="21">
        <v>4655000</v>
      </c>
      <c r="G1800" s="21">
        <f t="shared" si="83"/>
        <v>4208573.5919364691</v>
      </c>
      <c r="H1800" s="6">
        <f t="shared" si="84"/>
        <v>446426.40806353092</v>
      </c>
      <c r="I1800" s="1">
        <f t="shared" si="85"/>
        <v>4587345.2152107516</v>
      </c>
      <c r="J1800" s="2">
        <f t="shared" si="86"/>
        <v>67654.78478924837</v>
      </c>
    </row>
    <row r="1801" spans="3:10" ht="18" x14ac:dyDescent="0.45">
      <c r="C1801" s="4" t="s">
        <v>1837</v>
      </c>
      <c r="D1801" s="23">
        <v>13400</v>
      </c>
      <c r="E1801" s="4">
        <v>1382</v>
      </c>
      <c r="F1801" s="21">
        <v>4710000</v>
      </c>
      <c r="G1801" s="21">
        <f t="shared" si="83"/>
        <v>4363166.7479021307</v>
      </c>
      <c r="H1801" s="6">
        <f t="shared" si="84"/>
        <v>346833.25209786929</v>
      </c>
      <c r="I1801" s="1">
        <f t="shared" si="85"/>
        <v>4755851.755213323</v>
      </c>
      <c r="J1801" s="2">
        <f t="shared" si="86"/>
        <v>-45851.755213323049</v>
      </c>
    </row>
    <row r="1802" spans="3:10" ht="18" x14ac:dyDescent="0.45">
      <c r="C1802" s="4" t="s">
        <v>1838</v>
      </c>
      <c r="D1802" s="23">
        <v>13200</v>
      </c>
      <c r="E1802" s="4">
        <v>1399.4</v>
      </c>
      <c r="F1802" s="21">
        <v>4670000</v>
      </c>
      <c r="G1802" s="21">
        <f t="shared" si="83"/>
        <v>4352171.7833006466</v>
      </c>
      <c r="H1802" s="6">
        <f t="shared" si="84"/>
        <v>317828.21669935342</v>
      </c>
      <c r="I1802" s="1">
        <f t="shared" si="85"/>
        <v>4743867.2437977055</v>
      </c>
      <c r="J1802" s="2">
        <f t="shared" si="86"/>
        <v>-73867.243797705509</v>
      </c>
    </row>
    <row r="1803" spans="3:10" ht="18" x14ac:dyDescent="0.45">
      <c r="C1803" s="4" t="s">
        <v>1839</v>
      </c>
      <c r="D1803" s="23">
        <v>13270</v>
      </c>
      <c r="E1803" s="4">
        <v>1399.4</v>
      </c>
      <c r="F1803" s="21">
        <v>4672000</v>
      </c>
      <c r="G1803" s="21">
        <f t="shared" si="83"/>
        <v>4375224.9669999685</v>
      </c>
      <c r="H1803" s="6">
        <f t="shared" si="84"/>
        <v>296775.03300003149</v>
      </c>
      <c r="I1803" s="1">
        <f t="shared" si="85"/>
        <v>4768995.2140299659</v>
      </c>
      <c r="J1803" s="2">
        <f t="shared" si="86"/>
        <v>-96995.214029965922</v>
      </c>
    </row>
    <row r="1804" spans="3:10" ht="18" x14ac:dyDescent="0.45">
      <c r="C1804" s="4" t="s">
        <v>1840</v>
      </c>
      <c r="D1804" s="23">
        <v>13350</v>
      </c>
      <c r="E1804" s="4">
        <v>1410</v>
      </c>
      <c r="F1804" s="21">
        <v>4705000</v>
      </c>
      <c r="G1804" s="21">
        <f t="shared" si="83"/>
        <v>4434874.0619875891</v>
      </c>
      <c r="H1804" s="6">
        <f t="shared" si="84"/>
        <v>270125.93801241089</v>
      </c>
      <c r="I1804" s="1">
        <f t="shared" si="85"/>
        <v>4834012.7275664723</v>
      </c>
      <c r="J1804" s="2">
        <f t="shared" si="86"/>
        <v>-129012.72756647225</v>
      </c>
    </row>
    <row r="1805" spans="3:10" ht="18" x14ac:dyDescent="0.45">
      <c r="C1805" s="4" t="s">
        <v>1841</v>
      </c>
      <c r="D1805" s="23">
        <v>13200</v>
      </c>
      <c r="E1805" s="4">
        <v>1429</v>
      </c>
      <c r="F1805" s="21">
        <v>4690000</v>
      </c>
      <c r="G1805" s="21">
        <f t="shared" si="83"/>
        <v>4444122.8228788218</v>
      </c>
      <c r="H1805" s="6">
        <f t="shared" si="84"/>
        <v>245877.17712117825</v>
      </c>
      <c r="I1805" s="1">
        <f t="shared" si="85"/>
        <v>4844093.8769379165</v>
      </c>
      <c r="J1805" s="2">
        <f t="shared" si="86"/>
        <v>-154093.8769379165</v>
      </c>
    </row>
    <row r="1806" spans="3:10" ht="18" x14ac:dyDescent="0.45">
      <c r="C1806" s="4" t="s">
        <v>1842</v>
      </c>
      <c r="D1806" s="23">
        <v>13120</v>
      </c>
      <c r="E1806" s="4">
        <v>1424</v>
      </c>
      <c r="F1806">
        <v>4625000</v>
      </c>
      <c r="G1806" s="21">
        <f t="shared" si="83"/>
        <v>4401780.9129665941</v>
      </c>
      <c r="H1806" s="6">
        <f t="shared" si="84"/>
        <v>223219.0870334059</v>
      </c>
      <c r="I1806" s="1">
        <f t="shared" si="85"/>
        <v>4797941.1951335883</v>
      </c>
      <c r="J1806" s="2">
        <f t="shared" si="86"/>
        <v>-172941.19513358828</v>
      </c>
    </row>
    <row r="1807" spans="3:10" ht="18" x14ac:dyDescent="0.45">
      <c r="C1807" s="4" t="s">
        <v>1843</v>
      </c>
      <c r="D1807" s="23">
        <v>13130</v>
      </c>
      <c r="E1807" s="4">
        <v>1405</v>
      </c>
      <c r="F1807" s="21">
        <v>4630000</v>
      </c>
      <c r="G1807" s="21">
        <f t="shared" si="83"/>
        <v>4346422.4899527375</v>
      </c>
      <c r="H1807" s="6">
        <f t="shared" si="84"/>
        <v>283577.51004726253</v>
      </c>
      <c r="I1807" s="1">
        <f t="shared" si="85"/>
        <v>4737600.5140484842</v>
      </c>
      <c r="J1807" s="2">
        <f t="shared" si="86"/>
        <v>-107600.51404848415</v>
      </c>
    </row>
    <row r="1808" spans="3:10" ht="18" x14ac:dyDescent="0.45">
      <c r="C1808" s="4" t="s">
        <v>1844</v>
      </c>
      <c r="D1808" s="23">
        <v>12930</v>
      </c>
      <c r="E1808" s="4">
        <v>1409.5</v>
      </c>
      <c r="F1808" s="21">
        <v>4550000</v>
      </c>
      <c r="G1808" s="21">
        <f t="shared" si="83"/>
        <v>4293985.7810982857</v>
      </c>
      <c r="H1808" s="6">
        <f t="shared" si="84"/>
        <v>256014.21890171431</v>
      </c>
      <c r="I1808" s="1">
        <f t="shared" si="85"/>
        <v>4680444.5013971319</v>
      </c>
      <c r="J1808" s="2">
        <f t="shared" si="86"/>
        <v>-130444.50139713194</v>
      </c>
    </row>
    <row r="1809" spans="3:10" ht="18" x14ac:dyDescent="0.45">
      <c r="C1809" s="4" t="s">
        <v>1845</v>
      </c>
      <c r="D1809" s="23">
        <v>12910</v>
      </c>
      <c r="E1809" s="4">
        <v>1391</v>
      </c>
      <c r="F1809">
        <v>4540000</v>
      </c>
      <c r="G1809" s="21">
        <f t="shared" si="83"/>
        <v>4231144.8045847658</v>
      </c>
      <c r="H1809" s="6">
        <f t="shared" si="84"/>
        <v>308855.19541523419</v>
      </c>
      <c r="I1809" s="1">
        <f t="shared" si="85"/>
        <v>4611947.8369973954</v>
      </c>
      <c r="J1809" s="2">
        <f t="shared" si="86"/>
        <v>-71947.836997395381</v>
      </c>
    </row>
    <row r="1810" spans="3:10" ht="18" x14ac:dyDescent="0.45">
      <c r="C1810" s="4" t="s">
        <v>1846</v>
      </c>
      <c r="D1810" s="23">
        <v>12890</v>
      </c>
      <c r="E1810" s="4">
        <v>1394</v>
      </c>
      <c r="F1810">
        <v>4520000</v>
      </c>
      <c r="G1810" s="21">
        <f t="shared" si="83"/>
        <v>4233698.215670513</v>
      </c>
      <c r="H1810" s="6">
        <f t="shared" si="84"/>
        <v>286301.78432948701</v>
      </c>
      <c r="I1810" s="1">
        <f t="shared" si="85"/>
        <v>4614731.0550808599</v>
      </c>
      <c r="J1810" s="2">
        <f t="shared" si="86"/>
        <v>-94731.055080859922</v>
      </c>
    </row>
    <row r="1811" spans="3:10" ht="18" x14ac:dyDescent="0.45">
      <c r="C1811" s="4" t="s">
        <v>1847</v>
      </c>
      <c r="D1811" s="23">
        <v>12940</v>
      </c>
      <c r="E1811" s="4">
        <v>1423</v>
      </c>
      <c r="F1811">
        <v>4550000</v>
      </c>
      <c r="G1811" s="21">
        <f t="shared" si="83"/>
        <v>4338413.9573031534</v>
      </c>
      <c r="H1811" s="6">
        <f t="shared" si="84"/>
        <v>211586.04269684665</v>
      </c>
      <c r="I1811" s="1">
        <f t="shared" si="85"/>
        <v>4728871.213460438</v>
      </c>
      <c r="J1811" s="2">
        <f t="shared" si="86"/>
        <v>-178871.21346043795</v>
      </c>
    </row>
    <row r="1812" spans="3:10" ht="18" x14ac:dyDescent="0.45">
      <c r="C1812" s="4" t="s">
        <v>1848</v>
      </c>
      <c r="D1812" s="23">
        <v>13050</v>
      </c>
      <c r="E1812" s="4">
        <v>1414.6</v>
      </c>
      <c r="F1812" s="21">
        <v>4600000</v>
      </c>
      <c r="G1812" s="21">
        <f t="shared" si="83"/>
        <v>4349453.6360158175</v>
      </c>
      <c r="H1812" s="6">
        <f t="shared" si="84"/>
        <v>250546.36398418248</v>
      </c>
      <c r="I1812" s="1">
        <f t="shared" si="85"/>
        <v>4740904.4632572411</v>
      </c>
      <c r="J1812" s="2">
        <f t="shared" si="86"/>
        <v>-140904.46325724106</v>
      </c>
    </row>
    <row r="1813" spans="3:10" ht="18" x14ac:dyDescent="0.45">
      <c r="C1813" s="4" t="s">
        <v>1849</v>
      </c>
      <c r="D1813" s="23">
        <v>13150</v>
      </c>
      <c r="E1813" s="4">
        <v>1399</v>
      </c>
      <c r="F1813" s="21">
        <v>4630000</v>
      </c>
      <c r="G1813" s="21">
        <f t="shared" si="83"/>
        <v>4334467.3486480396</v>
      </c>
      <c r="H1813" s="6">
        <f t="shared" si="84"/>
        <v>295532.65135196038</v>
      </c>
      <c r="I1813" s="1">
        <f t="shared" si="85"/>
        <v>4724569.4100263631</v>
      </c>
      <c r="J1813" s="2">
        <f t="shared" si="86"/>
        <v>-94569.410026363097</v>
      </c>
    </row>
    <row r="1814" spans="3:10" ht="18" x14ac:dyDescent="0.45">
      <c r="C1814" s="4" t="s">
        <v>1850</v>
      </c>
      <c r="D1814" s="23">
        <v>13000</v>
      </c>
      <c r="E1814" s="4">
        <v>1399</v>
      </c>
      <c r="F1814" s="21">
        <v>4580000</v>
      </c>
      <c r="G1814" s="21">
        <f>E1814/31.103*8.133*D1814*0.9+5000</f>
        <v>4285081.7895379867</v>
      </c>
      <c r="H1814" s="6">
        <f t="shared" si="84"/>
        <v>294918.21046201326</v>
      </c>
      <c r="I1814" s="1">
        <f>G1814*1.09</f>
        <v>4670739.1505964063</v>
      </c>
      <c r="J1814" s="2">
        <f t="shared" si="86"/>
        <v>-90739.150596406311</v>
      </c>
    </row>
    <row r="1815" spans="3:10" ht="18" x14ac:dyDescent="0.45">
      <c r="C1815" s="4" t="s">
        <v>1851</v>
      </c>
      <c r="D1815" s="23">
        <v>12900</v>
      </c>
      <c r="E1815" s="4">
        <v>1405</v>
      </c>
      <c r="F1815" s="21">
        <v>4555000</v>
      </c>
      <c r="G1815" s="21">
        <f>E1815/31.103*8.133*D1815*0.9+5000</f>
        <v>4270373.200334372</v>
      </c>
      <c r="H1815" s="6">
        <f t="shared" si="84"/>
        <v>284626.799665628</v>
      </c>
      <c r="I1815" s="1">
        <f t="shared" ref="I1815:I1878" si="87">G1815*1.09</f>
        <v>4654706.7883644663</v>
      </c>
      <c r="J1815" s="2">
        <f t="shared" si="86"/>
        <v>-99706.78836446628</v>
      </c>
    </row>
    <row r="1816" spans="3:10" ht="18" x14ac:dyDescent="0.45">
      <c r="C1816" s="4" t="s">
        <v>1852</v>
      </c>
      <c r="D1816" s="23">
        <v>12910</v>
      </c>
      <c r="E1816" s="4">
        <v>1391</v>
      </c>
      <c r="F1816" s="21">
        <v>4540000</v>
      </c>
      <c r="G1816" s="21">
        <f>E1816/31.103*8.133*D1816*0.9+5000</f>
        <v>4231144.8045847658</v>
      </c>
      <c r="H1816" s="6">
        <f t="shared" si="84"/>
        <v>308855.19541523419</v>
      </c>
      <c r="I1816" s="1">
        <f t="shared" si="87"/>
        <v>4611947.8369973954</v>
      </c>
      <c r="J1816" s="2">
        <f t="shared" si="86"/>
        <v>-71947.836997395381</v>
      </c>
    </row>
    <row r="1817" spans="3:10" ht="18" x14ac:dyDescent="0.45">
      <c r="C1817" s="4" t="s">
        <v>1853</v>
      </c>
      <c r="D1817" s="23">
        <v>12915</v>
      </c>
      <c r="E1817" s="4">
        <v>1396</v>
      </c>
      <c r="F1817" s="21">
        <v>4530000</v>
      </c>
      <c r="G1817" s="21">
        <f>E1817/31.103*8.133*D1817*0.9+5000</f>
        <v>4247978.4907565182</v>
      </c>
      <c r="H1817" s="6">
        <f t="shared" si="84"/>
        <v>282021.50924348179</v>
      </c>
      <c r="I1817" s="1">
        <f t="shared" si="87"/>
        <v>4630296.5549246054</v>
      </c>
      <c r="J1817" s="2">
        <f t="shared" si="86"/>
        <v>-100296.55492460541</v>
      </c>
    </row>
    <row r="1818" spans="3:10" ht="18" x14ac:dyDescent="0.45">
      <c r="C1818" s="4" t="s">
        <v>1854</v>
      </c>
      <c r="D1818" s="23">
        <v>12890</v>
      </c>
      <c r="E1818" s="4">
        <v>1420</v>
      </c>
      <c r="F1818" s="21">
        <v>4520000</v>
      </c>
      <c r="G1818" s="21">
        <f>E1818/31.103*8.133*D1818*0.9+5000</f>
        <v>4312569.2010416994</v>
      </c>
      <c r="H1818" s="6">
        <f t="shared" si="84"/>
        <v>207430.79895830061</v>
      </c>
      <c r="I1818" s="1">
        <f t="shared" si="87"/>
        <v>4700700.429135453</v>
      </c>
      <c r="J1818" s="2">
        <f t="shared" si="86"/>
        <v>-180700.42913545296</v>
      </c>
    </row>
    <row r="1819" spans="3:10" ht="18" x14ac:dyDescent="0.45">
      <c r="C1819" s="4" t="s">
        <v>1855</v>
      </c>
      <c r="D1819" s="23">
        <v>12750</v>
      </c>
      <c r="E1819" s="4">
        <v>1420</v>
      </c>
      <c r="F1819" s="21">
        <v>4450000</v>
      </c>
      <c r="G1819" s="21">
        <f t="shared" ref="G1819:G1882" si="88">E1819/31.103*8.133*D1819*0.9+5000</f>
        <v>4265784.1205028445</v>
      </c>
      <c r="H1819" s="6">
        <f t="shared" si="84"/>
        <v>184215.87949715555</v>
      </c>
      <c r="I1819" s="1">
        <f t="shared" si="87"/>
        <v>4649704.691348101</v>
      </c>
      <c r="J1819" s="2">
        <f t="shared" si="86"/>
        <v>-199704.69134810101</v>
      </c>
    </row>
    <row r="1820" spans="3:10" ht="18" x14ac:dyDescent="0.45">
      <c r="C1820" s="4" t="s">
        <v>1856</v>
      </c>
      <c r="D1820" s="23">
        <v>12400</v>
      </c>
      <c r="E1820" s="4">
        <v>1415.5</v>
      </c>
      <c r="F1820" s="21">
        <v>4350000</v>
      </c>
      <c r="G1820" s="21">
        <f t="shared" si="88"/>
        <v>4135689.5907147215</v>
      </c>
      <c r="H1820" s="6">
        <f t="shared" si="84"/>
        <v>214310.40928527853</v>
      </c>
      <c r="I1820" s="1">
        <f t="shared" si="87"/>
        <v>4507901.6538790464</v>
      </c>
      <c r="J1820" s="2">
        <f t="shared" si="86"/>
        <v>-157901.65387904644</v>
      </c>
    </row>
    <row r="1821" spans="3:10" ht="18" x14ac:dyDescent="0.45">
      <c r="C1821" s="4" t="s">
        <v>1857</v>
      </c>
      <c r="D1821" s="23">
        <v>12200</v>
      </c>
      <c r="E1821" s="4">
        <v>1416</v>
      </c>
      <c r="F1821" s="21">
        <v>4260000</v>
      </c>
      <c r="G1821" s="21">
        <f t="shared" si="88"/>
        <v>4070501.1233643051</v>
      </c>
      <c r="H1821" s="6">
        <f t="shared" si="84"/>
        <v>189498.87663569488</v>
      </c>
      <c r="I1821" s="1">
        <f t="shared" si="87"/>
        <v>4436846.2244670931</v>
      </c>
      <c r="J1821" s="2">
        <f t="shared" si="86"/>
        <v>-176846.22446709312</v>
      </c>
    </row>
    <row r="1822" spans="3:10" ht="18" x14ac:dyDescent="0.45">
      <c r="C1822" s="4" t="s">
        <v>1858</v>
      </c>
      <c r="D1822" s="23">
        <v>11750</v>
      </c>
      <c r="E1822" s="4">
        <v>1415</v>
      </c>
      <c r="F1822" s="21">
        <v>3970000</v>
      </c>
      <c r="G1822" s="21">
        <f t="shared" si="88"/>
        <v>3917778.8999453424</v>
      </c>
      <c r="H1822" s="6">
        <f t="shared" si="84"/>
        <v>52221.100054657552</v>
      </c>
      <c r="I1822" s="1">
        <f t="shared" si="87"/>
        <v>4270379.0009404235</v>
      </c>
      <c r="J1822" s="2">
        <f>F1822-I1822</f>
        <v>-300379.00094042346</v>
      </c>
    </row>
    <row r="1823" spans="3:10" ht="18" x14ac:dyDescent="0.45">
      <c r="C1823" s="4" t="s">
        <v>1859</v>
      </c>
      <c r="D1823" s="23">
        <v>11700</v>
      </c>
      <c r="E1823" s="4">
        <v>1402.5</v>
      </c>
      <c r="F1823" s="21">
        <v>4000000</v>
      </c>
      <c r="G1823" s="21">
        <f t="shared" si="88"/>
        <v>3866710.6782303955</v>
      </c>
      <c r="H1823" s="6">
        <f t="shared" si="84"/>
        <v>133289.32176960446</v>
      </c>
      <c r="I1823" s="1">
        <f t="shared" si="87"/>
        <v>4214714.6392711317</v>
      </c>
      <c r="J1823" s="2">
        <f t="shared" ref="J1823:J1886" si="89">F1823-I1823</f>
        <v>-214714.63927113172</v>
      </c>
    </row>
    <row r="1824" spans="3:10" ht="18" x14ac:dyDescent="0.45">
      <c r="C1824" s="4" t="s">
        <v>1860</v>
      </c>
      <c r="D1824" s="23">
        <v>11950</v>
      </c>
      <c r="E1824" s="4">
        <v>1422</v>
      </c>
      <c r="F1824" s="21">
        <v>4100000</v>
      </c>
      <c r="G1824" s="21">
        <f t="shared" si="88"/>
        <v>4004065.367649422</v>
      </c>
      <c r="H1824" s="6">
        <f t="shared" si="84"/>
        <v>95934.632350577973</v>
      </c>
      <c r="I1824" s="1">
        <f t="shared" si="87"/>
        <v>4364431.2507378701</v>
      </c>
      <c r="J1824" s="2">
        <f t="shared" si="89"/>
        <v>-264431.25073787011</v>
      </c>
    </row>
    <row r="1825" spans="3:10" ht="18" x14ac:dyDescent="0.45">
      <c r="C1825" s="4" t="s">
        <v>1861</v>
      </c>
      <c r="D1825" s="23">
        <v>11850</v>
      </c>
      <c r="E1825" s="4">
        <v>1425.4</v>
      </c>
      <c r="F1825" s="21">
        <v>4093000</v>
      </c>
      <c r="G1825" s="21">
        <f t="shared" si="88"/>
        <v>3980082.1304375781</v>
      </c>
      <c r="H1825" s="6">
        <f t="shared" si="84"/>
        <v>112917.86956242193</v>
      </c>
      <c r="I1825" s="1">
        <f t="shared" si="87"/>
        <v>4338289.5221769605</v>
      </c>
      <c r="J1825" s="2">
        <f t="shared" si="89"/>
        <v>-245289.52217696048</v>
      </c>
    </row>
    <row r="1826" spans="3:10" ht="18" x14ac:dyDescent="0.45">
      <c r="C1826" s="4" t="s">
        <v>1862</v>
      </c>
      <c r="D1826" s="23">
        <v>12230</v>
      </c>
      <c r="E1826" s="4">
        <v>1425.4</v>
      </c>
      <c r="F1826" s="21">
        <v>4200000</v>
      </c>
      <c r="G1826" s="21">
        <f t="shared" si="88"/>
        <v>4107553.118586631</v>
      </c>
      <c r="H1826" s="6">
        <f t="shared" si="84"/>
        <v>92446.881413368974</v>
      </c>
      <c r="I1826" s="1">
        <f t="shared" si="87"/>
        <v>4477232.8992594285</v>
      </c>
      <c r="J1826" s="2">
        <f t="shared" si="89"/>
        <v>-277232.89925942849</v>
      </c>
    </row>
    <row r="1827" spans="3:10" ht="18" x14ac:dyDescent="0.45">
      <c r="C1827" s="4" t="s">
        <v>1863</v>
      </c>
      <c r="D1827" s="23">
        <v>12250</v>
      </c>
      <c r="E1827" s="4">
        <v>1425.4</v>
      </c>
      <c r="F1827" s="21">
        <v>4220000</v>
      </c>
      <c r="G1827" s="21">
        <f t="shared" si="88"/>
        <v>4114262.1179628973</v>
      </c>
      <c r="H1827" s="6">
        <f t="shared" si="84"/>
        <v>105737.88203710271</v>
      </c>
      <c r="I1827" s="1">
        <f t="shared" si="87"/>
        <v>4484545.7085795579</v>
      </c>
      <c r="J1827" s="2">
        <f t="shared" si="89"/>
        <v>-264545.70857955795</v>
      </c>
    </row>
    <row r="1828" spans="3:10" ht="18" x14ac:dyDescent="0.45">
      <c r="C1828" s="4" t="s">
        <v>1864</v>
      </c>
      <c r="D1828" s="23">
        <v>12550</v>
      </c>
      <c r="E1828" s="4">
        <v>1425</v>
      </c>
      <c r="F1828" s="21">
        <v>4350000</v>
      </c>
      <c r="G1828" s="21">
        <f t="shared" si="88"/>
        <v>4213715.7147220522</v>
      </c>
      <c r="H1828" s="6">
        <f t="shared" si="84"/>
        <v>136284.28527794778</v>
      </c>
      <c r="I1828" s="1">
        <f t="shared" si="87"/>
        <v>4592950.1290470371</v>
      </c>
      <c r="J1828" s="2">
        <f t="shared" si="89"/>
        <v>-242950.1290470371</v>
      </c>
    </row>
    <row r="1829" spans="3:10" ht="18" x14ac:dyDescent="0.45">
      <c r="C1829" s="4" t="s">
        <v>1865</v>
      </c>
      <c r="D1829" s="23">
        <v>12280</v>
      </c>
      <c r="E1829" s="4">
        <v>1426</v>
      </c>
      <c r="F1829" s="21">
        <v>4285000</v>
      </c>
      <c r="G1829" s="21">
        <f t="shared" si="88"/>
        <v>4126059.583191331</v>
      </c>
      <c r="H1829" s="6">
        <f t="shared" si="84"/>
        <v>158940.41680866899</v>
      </c>
      <c r="I1829" s="1">
        <f t="shared" si="87"/>
        <v>4497404.9456785508</v>
      </c>
      <c r="J1829" s="2">
        <f t="shared" si="89"/>
        <v>-212404.94567855075</v>
      </c>
    </row>
    <row r="1830" spans="3:10" ht="18" x14ac:dyDescent="0.45">
      <c r="C1830" s="4" t="s">
        <v>1866</v>
      </c>
      <c r="D1830" s="23">
        <v>11920</v>
      </c>
      <c r="E1830" s="4">
        <v>1429.7</v>
      </c>
      <c r="F1830" s="21">
        <v>4110000</v>
      </c>
      <c r="G1830" s="21">
        <f t="shared" si="88"/>
        <v>4015626.0834260355</v>
      </c>
      <c r="H1830" s="6">
        <f t="shared" si="84"/>
        <v>94373.916573964525</v>
      </c>
      <c r="I1830" s="1">
        <f t="shared" si="87"/>
        <v>4377032.4309343789</v>
      </c>
      <c r="J1830" s="2">
        <f t="shared" si="89"/>
        <v>-267032.43093437888</v>
      </c>
    </row>
    <row r="1831" spans="3:10" ht="18" x14ac:dyDescent="0.45">
      <c r="C1831" s="4" t="s">
        <v>1867</v>
      </c>
      <c r="D1831" s="23">
        <v>12230</v>
      </c>
      <c r="E1831" s="4">
        <v>1418.5</v>
      </c>
      <c r="F1831" s="21">
        <v>4195000</v>
      </c>
      <c r="G1831" s="21">
        <f t="shared" si="88"/>
        <v>4087693.6991126253</v>
      </c>
      <c r="H1831" s="6">
        <f t="shared" si="84"/>
        <v>107306.30088737467</v>
      </c>
      <c r="I1831" s="1">
        <f t="shared" si="87"/>
        <v>4455586.1320327623</v>
      </c>
      <c r="J1831" s="2">
        <f t="shared" si="89"/>
        <v>-260586.13203276228</v>
      </c>
    </row>
    <row r="1832" spans="3:10" ht="18" x14ac:dyDescent="0.45">
      <c r="C1832" s="4" t="s">
        <v>1868</v>
      </c>
      <c r="D1832" s="23">
        <v>12100</v>
      </c>
      <c r="E1832" s="4">
        <v>1418.5</v>
      </c>
      <c r="F1832" s="21">
        <v>4210000</v>
      </c>
      <c r="G1832" s="21">
        <f t="shared" si="88"/>
        <v>4044296.3008391466</v>
      </c>
      <c r="H1832" s="6">
        <f t="shared" si="84"/>
        <v>165703.6991608534</v>
      </c>
      <c r="I1832" s="1">
        <f t="shared" si="87"/>
        <v>4408282.9679146698</v>
      </c>
      <c r="J1832" s="2">
        <f t="shared" si="89"/>
        <v>-198282.96791466977</v>
      </c>
    </row>
    <row r="1833" spans="3:10" ht="18" x14ac:dyDescent="0.45">
      <c r="C1833" s="4" t="s">
        <v>1869</v>
      </c>
      <c r="D1833" s="23">
        <v>12090</v>
      </c>
      <c r="E1833" s="4">
        <v>1419.6</v>
      </c>
      <c r="F1833" s="21">
        <v>4200000</v>
      </c>
      <c r="G1833" s="21">
        <f t="shared" si="88"/>
        <v>4044087.7918785959</v>
      </c>
      <c r="H1833" s="6">
        <f t="shared" si="84"/>
        <v>155912.20812140405</v>
      </c>
      <c r="I1833" s="1">
        <f t="shared" si="87"/>
        <v>4408055.6931476695</v>
      </c>
      <c r="J1833" s="2">
        <f t="shared" si="89"/>
        <v>-208055.69314766955</v>
      </c>
    </row>
    <row r="1834" spans="3:10" ht="18" x14ac:dyDescent="0.45">
      <c r="C1834" s="4" t="s">
        <v>1870</v>
      </c>
      <c r="D1834" s="23">
        <v>12050</v>
      </c>
      <c r="E1834" s="4">
        <v>1428</v>
      </c>
      <c r="F1834" s="21">
        <v>4170000</v>
      </c>
      <c r="G1834" s="21">
        <f t="shared" si="88"/>
        <v>4054545.245796225</v>
      </c>
      <c r="H1834" s="6">
        <f t="shared" si="84"/>
        <v>115454.75420377497</v>
      </c>
      <c r="I1834" s="1">
        <f t="shared" si="87"/>
        <v>4419454.3179178853</v>
      </c>
      <c r="J1834" s="2">
        <f t="shared" si="89"/>
        <v>-249454.31791788526</v>
      </c>
    </row>
    <row r="1835" spans="3:10" ht="18" x14ac:dyDescent="0.45">
      <c r="C1835" s="4" t="s">
        <v>1871</v>
      </c>
      <c r="D1835" s="23">
        <v>11920</v>
      </c>
      <c r="E1835" s="4">
        <v>1431</v>
      </c>
      <c r="F1835" s="21">
        <v>4100000</v>
      </c>
      <c r="G1835" s="21">
        <f t="shared" si="88"/>
        <v>4019272.8721988229</v>
      </c>
      <c r="H1835" s="6">
        <f t="shared" si="84"/>
        <v>80727.127801177092</v>
      </c>
      <c r="I1835" s="1">
        <f t="shared" si="87"/>
        <v>4381007.4306967175</v>
      </c>
      <c r="J1835" s="2">
        <f t="shared" si="89"/>
        <v>-281007.43069671746</v>
      </c>
    </row>
    <row r="1836" spans="3:10" ht="18" x14ac:dyDescent="0.45">
      <c r="C1836" s="4" t="s">
        <v>1872</v>
      </c>
      <c r="D1836" s="23">
        <v>11990</v>
      </c>
      <c r="E1836" s="4">
        <v>1407</v>
      </c>
      <c r="F1836" s="21">
        <v>4105000</v>
      </c>
      <c r="G1836" s="21">
        <f t="shared" si="88"/>
        <v>3975125.9242195277</v>
      </c>
      <c r="H1836" s="6">
        <f t="shared" si="84"/>
        <v>129874.07578047225</v>
      </c>
      <c r="I1836" s="1">
        <f t="shared" si="87"/>
        <v>4332887.2573992852</v>
      </c>
      <c r="J1836" s="2">
        <f t="shared" si="89"/>
        <v>-227887.25739928521</v>
      </c>
    </row>
    <row r="1837" spans="3:10" ht="18" x14ac:dyDescent="0.45">
      <c r="C1837" s="4" t="s">
        <v>1873</v>
      </c>
      <c r="D1837" s="23">
        <v>11980</v>
      </c>
      <c r="E1837" s="4">
        <v>1440.99</v>
      </c>
      <c r="F1837" s="21">
        <v>4150000</v>
      </c>
      <c r="G1837" s="21">
        <f t="shared" si="88"/>
        <v>4067644.1740648802</v>
      </c>
      <c r="H1837" s="6">
        <f t="shared" si="84"/>
        <v>82355.825935119763</v>
      </c>
      <c r="I1837" s="1">
        <f t="shared" si="87"/>
        <v>4433732.1497307196</v>
      </c>
      <c r="J1837" s="2">
        <f t="shared" si="89"/>
        <v>-283732.14973071963</v>
      </c>
    </row>
    <row r="1838" spans="3:10" ht="18" x14ac:dyDescent="0.45">
      <c r="C1838" s="4" t="s">
        <v>1874</v>
      </c>
      <c r="D1838" s="23">
        <v>11900</v>
      </c>
      <c r="E1838" s="4">
        <v>1440.99</v>
      </c>
      <c r="F1838" s="21">
        <v>4148000</v>
      </c>
      <c r="G1838" s="21">
        <f t="shared" si="88"/>
        <v>4040514.6637205412</v>
      </c>
      <c r="H1838" s="6">
        <f t="shared" si="84"/>
        <v>107485.33627945883</v>
      </c>
      <c r="I1838" s="1">
        <f t="shared" si="87"/>
        <v>4404160.9834553897</v>
      </c>
      <c r="J1838" s="2">
        <f t="shared" si="89"/>
        <v>-256160.98345538974</v>
      </c>
    </row>
    <row r="1839" spans="3:10" ht="18" x14ac:dyDescent="0.45">
      <c r="C1839" s="4" t="s">
        <v>1875</v>
      </c>
      <c r="D1839" s="23">
        <v>12010</v>
      </c>
      <c r="E1839" s="4">
        <v>1459</v>
      </c>
      <c r="F1839" s="21">
        <v>4220000</v>
      </c>
      <c r="G1839" s="21">
        <f t="shared" si="88"/>
        <v>4128721.2494936176</v>
      </c>
      <c r="H1839" s="6">
        <f t="shared" si="84"/>
        <v>91278.750506382436</v>
      </c>
      <c r="I1839" s="1">
        <f t="shared" si="87"/>
        <v>4500306.1619480439</v>
      </c>
      <c r="J1839" s="2">
        <f t="shared" si="89"/>
        <v>-280306.16194804385</v>
      </c>
    </row>
    <row r="1840" spans="3:10" ht="18" x14ac:dyDescent="0.45">
      <c r="C1840" s="4" t="s">
        <v>1876</v>
      </c>
      <c r="D1840" s="23">
        <v>11880</v>
      </c>
      <c r="E1840" s="4">
        <v>1463</v>
      </c>
      <c r="F1840" s="21">
        <v>4180000</v>
      </c>
      <c r="G1840" s="21">
        <f t="shared" si="88"/>
        <v>4095268.0342089189</v>
      </c>
      <c r="H1840" s="6">
        <f t="shared" si="84"/>
        <v>84731.965791081078</v>
      </c>
      <c r="I1840" s="1">
        <f t="shared" si="87"/>
        <v>4463842.1572877215</v>
      </c>
      <c r="J1840" s="2">
        <f t="shared" si="89"/>
        <v>-283842.15728772152</v>
      </c>
    </row>
    <row r="1841" spans="3:10" ht="18" x14ac:dyDescent="0.45">
      <c r="C1841" s="4" t="s">
        <v>1877</v>
      </c>
      <c r="D1841" s="23">
        <v>11960</v>
      </c>
      <c r="E1841" s="4">
        <v>1494</v>
      </c>
      <c r="F1841" s="21">
        <v>4250000</v>
      </c>
      <c r="G1841" s="21">
        <f t="shared" si="88"/>
        <v>4210065.6312252833</v>
      </c>
      <c r="H1841" s="6">
        <f t="shared" si="84"/>
        <v>39934.368774716742</v>
      </c>
      <c r="I1841" s="1">
        <f t="shared" si="87"/>
        <v>4588971.5380355595</v>
      </c>
      <c r="J1841" s="2">
        <f t="shared" si="89"/>
        <v>-338971.53803555947</v>
      </c>
    </row>
    <row r="1842" spans="3:10" ht="18" x14ac:dyDescent="0.45">
      <c r="C1842" s="4" t="s">
        <v>1878</v>
      </c>
      <c r="D1842" s="23">
        <v>11900</v>
      </c>
      <c r="E1842" s="4">
        <v>1498</v>
      </c>
      <c r="F1842" s="21">
        <v>4230000</v>
      </c>
      <c r="G1842" s="21">
        <f t="shared" si="88"/>
        <v>4200172.0457833642</v>
      </c>
      <c r="H1842" s="6">
        <f t="shared" si="84"/>
        <v>29827.954216635786</v>
      </c>
      <c r="I1842" s="1">
        <f t="shared" si="87"/>
        <v>4578187.5299038673</v>
      </c>
      <c r="J1842" s="2">
        <f t="shared" si="89"/>
        <v>-348187.52990386728</v>
      </c>
    </row>
    <row r="1843" spans="3:10" ht="18" x14ac:dyDescent="0.45">
      <c r="C1843" s="4" t="s">
        <v>1879</v>
      </c>
      <c r="D1843" s="23">
        <v>11790</v>
      </c>
      <c r="E1843" s="4">
        <v>1503.4</v>
      </c>
      <c r="F1843" s="21">
        <v>4190000</v>
      </c>
      <c r="G1843" s="21">
        <f t="shared" si="88"/>
        <v>4176376.1371636176</v>
      </c>
      <c r="H1843" s="6">
        <f t="shared" si="84"/>
        <v>13623.862836382352</v>
      </c>
      <c r="I1843" s="1">
        <f t="shared" si="87"/>
        <v>4552249.9895083439</v>
      </c>
      <c r="J1843" s="2">
        <f t="shared" si="89"/>
        <v>-362249.98950834386</v>
      </c>
    </row>
    <row r="1844" spans="3:10" ht="18" x14ac:dyDescent="0.45">
      <c r="C1844" s="4" t="s">
        <v>1880</v>
      </c>
      <c r="D1844" s="23">
        <v>11700</v>
      </c>
      <c r="E1844" s="4">
        <v>1497.3</v>
      </c>
      <c r="F1844" s="21">
        <v>4160000</v>
      </c>
      <c r="G1844" s="21">
        <f t="shared" si="88"/>
        <v>4127737.5390476799</v>
      </c>
      <c r="H1844" s="6">
        <f t="shared" si="84"/>
        <v>32262.460952320136</v>
      </c>
      <c r="I1844" s="1">
        <f t="shared" si="87"/>
        <v>4499233.9175619716</v>
      </c>
      <c r="J1844" s="2">
        <f t="shared" si="89"/>
        <v>-339233.91756197158</v>
      </c>
    </row>
    <row r="1845" spans="3:10" ht="18" x14ac:dyDescent="0.45">
      <c r="C1845" s="4" t="s">
        <v>1881</v>
      </c>
      <c r="D1845" s="23">
        <v>11710</v>
      </c>
      <c r="E1845" s="4">
        <v>1527</v>
      </c>
      <c r="F1845" s="21">
        <v>4220000</v>
      </c>
      <c r="G1845" s="21">
        <f t="shared" si="88"/>
        <v>4213108.5441597262</v>
      </c>
      <c r="H1845" s="6">
        <f t="shared" si="84"/>
        <v>6891.4558402737603</v>
      </c>
      <c r="I1845" s="1">
        <f t="shared" si="87"/>
        <v>4592288.3131341022</v>
      </c>
      <c r="J1845" s="2">
        <f t="shared" si="89"/>
        <v>-372288.31313410215</v>
      </c>
    </row>
    <row r="1846" spans="3:10" ht="18" x14ac:dyDescent="0.45">
      <c r="C1846" s="4" t="s">
        <v>1882</v>
      </c>
      <c r="D1846" s="23">
        <v>11650</v>
      </c>
      <c r="E1846" s="4">
        <v>1509</v>
      </c>
      <c r="F1846" s="21">
        <v>4150000</v>
      </c>
      <c r="G1846" s="21">
        <f t="shared" si="88"/>
        <v>4142196.6705784006</v>
      </c>
      <c r="H1846" s="6">
        <f t="shared" si="84"/>
        <v>7803.3294215993956</v>
      </c>
      <c r="I1846" s="1">
        <f t="shared" si="87"/>
        <v>4514994.3709304566</v>
      </c>
      <c r="J1846" s="2">
        <f t="shared" si="89"/>
        <v>-364994.37093045656</v>
      </c>
    </row>
    <row r="1847" spans="3:10" ht="18" x14ac:dyDescent="0.45">
      <c r="C1847" s="4" t="s">
        <v>1883</v>
      </c>
      <c r="D1847" s="23">
        <v>11680</v>
      </c>
      <c r="E1847" s="4">
        <v>1513</v>
      </c>
      <c r="F1847" s="21">
        <v>4180000</v>
      </c>
      <c r="G1847" s="21">
        <f t="shared" si="88"/>
        <v>4163845.3605118473</v>
      </c>
      <c r="H1847" s="6">
        <f t="shared" si="84"/>
        <v>16154.639488152694</v>
      </c>
      <c r="I1847" s="1">
        <f t="shared" si="87"/>
        <v>4538591.4429579135</v>
      </c>
      <c r="J1847" s="2">
        <f t="shared" si="89"/>
        <v>-358591.4429579135</v>
      </c>
    </row>
    <row r="1848" spans="3:10" ht="18" x14ac:dyDescent="0.45">
      <c r="C1848" s="4" t="s">
        <v>1884</v>
      </c>
      <c r="D1848" s="23">
        <v>11740</v>
      </c>
      <c r="E1848" s="4">
        <v>1513.5</v>
      </c>
      <c r="F1848" s="21">
        <v>4200000</v>
      </c>
      <c r="G1848" s="21">
        <f t="shared" si="88"/>
        <v>4186590.7228563162</v>
      </c>
      <c r="H1848" s="6">
        <f t="shared" si="84"/>
        <v>13409.27714368375</v>
      </c>
      <c r="I1848" s="1">
        <f t="shared" si="87"/>
        <v>4563383.8879133854</v>
      </c>
      <c r="J1848" s="2">
        <f t="shared" si="89"/>
        <v>-363383.88791338541</v>
      </c>
    </row>
    <row r="1849" spans="3:10" ht="18" x14ac:dyDescent="0.45">
      <c r="C1849" s="4" t="s">
        <v>1885</v>
      </c>
      <c r="D1849" s="23">
        <v>11700</v>
      </c>
      <c r="E1849" s="4">
        <v>1513.5</v>
      </c>
      <c r="F1849" s="21">
        <v>4180000</v>
      </c>
      <c r="G1849" s="21">
        <f t="shared" si="88"/>
        <v>4172343.3950101268</v>
      </c>
      <c r="H1849" s="6">
        <f t="shared" si="84"/>
        <v>7656.6049898732454</v>
      </c>
      <c r="I1849" s="1">
        <f t="shared" si="87"/>
        <v>4547854.3005610388</v>
      </c>
      <c r="J1849" s="2">
        <f t="shared" si="89"/>
        <v>-367854.30056103878</v>
      </c>
    </row>
    <row r="1850" spans="3:10" ht="18" x14ac:dyDescent="0.45">
      <c r="C1850" s="4" t="s">
        <v>1886</v>
      </c>
      <c r="D1850" s="23">
        <v>11650</v>
      </c>
      <c r="E1850" s="4">
        <v>1493</v>
      </c>
      <c r="F1850" s="21">
        <v>4150000</v>
      </c>
      <c r="G1850" s="21">
        <f t="shared" si="88"/>
        <v>4098329.774137543</v>
      </c>
      <c r="H1850" s="6">
        <f t="shared" si="84"/>
        <v>51670.225862456951</v>
      </c>
      <c r="I1850" s="1">
        <f t="shared" si="87"/>
        <v>4467179.4538099226</v>
      </c>
      <c r="J1850" s="2">
        <f t="shared" si="89"/>
        <v>-317179.45380992256</v>
      </c>
    </row>
    <row r="1851" spans="3:10" ht="18" x14ac:dyDescent="0.45">
      <c r="C1851" s="4" t="s">
        <v>1887</v>
      </c>
      <c r="D1851" s="23">
        <v>11660</v>
      </c>
      <c r="E1851" s="4">
        <v>1501</v>
      </c>
      <c r="F1851" s="21">
        <v>4160000</v>
      </c>
      <c r="G1851" s="21">
        <f t="shared" si="88"/>
        <v>4123795.6371411113</v>
      </c>
      <c r="H1851" s="6">
        <f t="shared" si="84"/>
        <v>36204.362858888693</v>
      </c>
      <c r="I1851" s="1">
        <f t="shared" si="87"/>
        <v>4494937.2444838118</v>
      </c>
      <c r="J1851" s="2">
        <f t="shared" si="89"/>
        <v>-334937.24448381178</v>
      </c>
    </row>
    <row r="1852" spans="3:10" ht="18" x14ac:dyDescent="0.45">
      <c r="C1852" s="4" t="s">
        <v>1888</v>
      </c>
      <c r="D1852" s="23">
        <v>11640</v>
      </c>
      <c r="E1852" s="4">
        <v>1496</v>
      </c>
      <c r="F1852" s="21">
        <v>4145000</v>
      </c>
      <c r="G1852" s="21">
        <f t="shared" si="88"/>
        <v>4103034.1693084259</v>
      </c>
      <c r="H1852" s="6">
        <f t="shared" si="84"/>
        <v>41965.830691574141</v>
      </c>
      <c r="I1852" s="1">
        <f t="shared" si="87"/>
        <v>4472307.2445461843</v>
      </c>
      <c r="J1852" s="2">
        <f t="shared" si="89"/>
        <v>-327307.24454618432</v>
      </c>
    </row>
    <row r="1853" spans="3:10" ht="18" x14ac:dyDescent="0.45">
      <c r="C1853" s="4" t="s">
        <v>1889</v>
      </c>
      <c r="D1853" s="23">
        <v>11560</v>
      </c>
      <c r="E1853" s="4">
        <v>1496</v>
      </c>
      <c r="F1853" s="21">
        <v>4155000</v>
      </c>
      <c r="G1853" s="21">
        <f t="shared" si="88"/>
        <v>4074868.9860142097</v>
      </c>
      <c r="H1853" s="6">
        <f t="shared" si="84"/>
        <v>80131.013985790312</v>
      </c>
      <c r="I1853" s="1">
        <f t="shared" si="87"/>
        <v>4441607.194755489</v>
      </c>
      <c r="J1853" s="2">
        <f t="shared" si="89"/>
        <v>-286607.19475548901</v>
      </c>
    </row>
    <row r="1854" spans="3:10" ht="18" x14ac:dyDescent="0.45">
      <c r="C1854" s="4" t="s">
        <v>1890</v>
      </c>
      <c r="D1854" s="23">
        <v>11420</v>
      </c>
      <c r="E1854" s="4">
        <v>1527</v>
      </c>
      <c r="F1854" s="21">
        <v>4143000</v>
      </c>
      <c r="G1854" s="21">
        <f t="shared" si="88"/>
        <v>4108894.071247146</v>
      </c>
      <c r="H1854" s="6">
        <f t="shared" si="84"/>
        <v>34105.928752854001</v>
      </c>
      <c r="I1854" s="1">
        <f t="shared" si="87"/>
        <v>4478694.5376593899</v>
      </c>
      <c r="J1854" s="2">
        <f t="shared" si="89"/>
        <v>-335694.5376593899</v>
      </c>
    </row>
    <row r="1855" spans="3:10" ht="18" x14ac:dyDescent="0.45">
      <c r="C1855" s="4" t="s">
        <v>1891</v>
      </c>
      <c r="D1855" s="23">
        <v>11100</v>
      </c>
      <c r="E1855" s="4">
        <v>1529</v>
      </c>
      <c r="F1855" s="21">
        <v>4045000</v>
      </c>
      <c r="G1855" s="21">
        <f t="shared" si="88"/>
        <v>3999123.2816770081</v>
      </c>
      <c r="H1855" s="6">
        <f t="shared" si="84"/>
        <v>45876.718322991859</v>
      </c>
      <c r="I1855" s="1">
        <f t="shared" si="87"/>
        <v>4359044.3770279391</v>
      </c>
      <c r="J1855" s="2">
        <f t="shared" si="89"/>
        <v>-314044.37702793907</v>
      </c>
    </row>
    <row r="1856" spans="3:10" ht="18" x14ac:dyDescent="0.45">
      <c r="C1856" s="4" t="s">
        <v>1892</v>
      </c>
      <c r="D1856" s="23">
        <v>11150</v>
      </c>
      <c r="E1856" s="4">
        <v>1531</v>
      </c>
      <c r="F1856" s="21">
        <v>4010000</v>
      </c>
      <c r="G1856" s="21">
        <f t="shared" si="88"/>
        <v>4022362.8526187181</v>
      </c>
      <c r="H1856" s="6">
        <f t="shared" si="84"/>
        <v>-12362.852618718054</v>
      </c>
      <c r="I1856" s="1">
        <f t="shared" si="87"/>
        <v>4384375.5093544032</v>
      </c>
      <c r="J1856" s="2">
        <f t="shared" si="89"/>
        <v>-374375.50935440324</v>
      </c>
    </row>
    <row r="1857" spans="3:10" ht="18" x14ac:dyDescent="0.45">
      <c r="C1857" s="4" t="s">
        <v>1893</v>
      </c>
      <c r="D1857" s="23">
        <v>11180</v>
      </c>
      <c r="E1857" s="4">
        <v>1545</v>
      </c>
      <c r="F1857" s="21">
        <v>4030000</v>
      </c>
      <c r="G1857" s="21">
        <f t="shared" si="88"/>
        <v>4070006.9147670632</v>
      </c>
      <c r="H1857" s="6">
        <f t="shared" si="84"/>
        <v>-40006.914767063223</v>
      </c>
      <c r="I1857" s="1">
        <f t="shared" si="87"/>
        <v>4436307.537096099</v>
      </c>
      <c r="J1857" s="2">
        <f t="shared" si="89"/>
        <v>-406307.537096099</v>
      </c>
    </row>
    <row r="1858" spans="3:10" ht="18" x14ac:dyDescent="0.45">
      <c r="C1858" s="4" t="s">
        <v>1894</v>
      </c>
      <c r="D1858" s="23">
        <v>11260</v>
      </c>
      <c r="E1858" s="4">
        <v>1536</v>
      </c>
      <c r="F1858" s="21">
        <v>4085000</v>
      </c>
      <c r="G1858" s="21">
        <f t="shared" si="88"/>
        <v>4075245.5258978228</v>
      </c>
      <c r="H1858" s="6">
        <f t="shared" ref="H1858:H1921" si="90">F:F-G:G</f>
        <v>9754.4741021771915</v>
      </c>
      <c r="I1858" s="1">
        <f t="shared" si="87"/>
        <v>4442017.6232286273</v>
      </c>
      <c r="J1858" s="2">
        <f t="shared" si="89"/>
        <v>-357017.62322862726</v>
      </c>
    </row>
    <row r="1859" spans="3:10" ht="18" x14ac:dyDescent="0.45">
      <c r="C1859" s="4" t="s">
        <v>1895</v>
      </c>
      <c r="D1859" s="23">
        <v>11400</v>
      </c>
      <c r="E1859" s="4">
        <v>1520.5</v>
      </c>
      <c r="F1859" s="21">
        <v>4135000</v>
      </c>
      <c r="G1859" s="21">
        <f t="shared" si="88"/>
        <v>4084268.3628588873</v>
      </c>
      <c r="H1859" s="6">
        <f t="shared" si="90"/>
        <v>50731.637141112704</v>
      </c>
      <c r="I1859" s="1">
        <f t="shared" si="87"/>
        <v>4451852.5155161871</v>
      </c>
      <c r="J1859" s="2">
        <f t="shared" si="89"/>
        <v>-316852.51551618706</v>
      </c>
    </row>
    <row r="1860" spans="3:10" ht="18" x14ac:dyDescent="0.45">
      <c r="C1860" s="4" t="s">
        <v>1896</v>
      </c>
      <c r="D1860" s="23">
        <v>11410</v>
      </c>
      <c r="E1860" s="4">
        <v>1520.5</v>
      </c>
      <c r="F1860" s="21">
        <v>4110000</v>
      </c>
      <c r="G1860" s="21">
        <f t="shared" si="88"/>
        <v>4087846.6684403433</v>
      </c>
      <c r="H1860" s="6">
        <f t="shared" si="90"/>
        <v>22153.331559656654</v>
      </c>
      <c r="I1860" s="1">
        <f t="shared" si="87"/>
        <v>4455752.8685999746</v>
      </c>
      <c r="J1860" s="2">
        <f t="shared" si="89"/>
        <v>-345752.86859997455</v>
      </c>
    </row>
    <row r="1861" spans="3:10" ht="18" x14ac:dyDescent="0.45">
      <c r="C1861" s="4" t="s">
        <v>1897</v>
      </c>
      <c r="D1861" s="23">
        <v>11270</v>
      </c>
      <c r="E1861" s="4">
        <v>1526</v>
      </c>
      <c r="F1861" s="21">
        <v>4070000</v>
      </c>
      <c r="G1861" s="21">
        <f t="shared" si="88"/>
        <v>4052337.7807285464</v>
      </c>
      <c r="H1861" s="6">
        <f t="shared" si="90"/>
        <v>17662.219271453563</v>
      </c>
      <c r="I1861" s="1">
        <f t="shared" si="87"/>
        <v>4417048.1809941158</v>
      </c>
      <c r="J1861" s="2">
        <f t="shared" si="89"/>
        <v>-347048.18099411577</v>
      </c>
    </row>
    <row r="1862" spans="3:10" ht="18" x14ac:dyDescent="0.45">
      <c r="C1862" s="4" t="s">
        <v>1898</v>
      </c>
      <c r="D1862" s="23">
        <v>11400</v>
      </c>
      <c r="E1862" s="4">
        <v>1531.8</v>
      </c>
      <c r="F1862" s="21">
        <v>4135000</v>
      </c>
      <c r="G1862" s="21">
        <f t="shared" si="88"/>
        <v>4114584.5302382396</v>
      </c>
      <c r="H1862" s="6">
        <f t="shared" si="90"/>
        <v>20415.46976176044</v>
      </c>
      <c r="I1862" s="1">
        <f t="shared" si="87"/>
        <v>4484897.1379596815</v>
      </c>
      <c r="J1862" s="2">
        <f t="shared" si="89"/>
        <v>-349897.13795968145</v>
      </c>
    </row>
    <row r="1863" spans="3:10" ht="18" x14ac:dyDescent="0.45">
      <c r="C1863" s="4" t="s">
        <v>1899</v>
      </c>
      <c r="D1863" s="23">
        <v>11370</v>
      </c>
      <c r="E1863" s="4">
        <v>1535</v>
      </c>
      <c r="F1863" s="21">
        <v>4115000</v>
      </c>
      <c r="G1863" s="21">
        <f t="shared" si="88"/>
        <v>4112332.3510593828</v>
      </c>
      <c r="H1863" s="6">
        <f t="shared" si="90"/>
        <v>2667.6489406172186</v>
      </c>
      <c r="I1863" s="1">
        <f t="shared" si="87"/>
        <v>4482442.2626547273</v>
      </c>
      <c r="J1863" s="2">
        <f t="shared" si="89"/>
        <v>-367442.26265472732</v>
      </c>
    </row>
    <row r="1864" spans="3:10" ht="18" x14ac:dyDescent="0.45">
      <c r="C1864" s="4" t="s">
        <v>1900</v>
      </c>
      <c r="D1864" s="23">
        <v>11420</v>
      </c>
      <c r="E1864" s="4">
        <v>1542</v>
      </c>
      <c r="F1864" s="21">
        <v>4130000</v>
      </c>
      <c r="G1864" s="21">
        <f t="shared" si="88"/>
        <v>4149207.3725364101</v>
      </c>
      <c r="H1864" s="6">
        <f t="shared" si="90"/>
        <v>-19207.372536410112</v>
      </c>
      <c r="I1864" s="1">
        <f t="shared" si="87"/>
        <v>4522636.0360646872</v>
      </c>
      <c r="J1864" s="2">
        <f t="shared" si="89"/>
        <v>-392636.03606468718</v>
      </c>
    </row>
    <row r="1865" spans="3:10" ht="18" x14ac:dyDescent="0.45">
      <c r="C1865" s="4" t="s">
        <v>1901</v>
      </c>
      <c r="D1865" s="23">
        <v>11550</v>
      </c>
      <c r="E1865" s="4">
        <v>1507</v>
      </c>
      <c r="F1865" s="21">
        <v>4129000</v>
      </c>
      <c r="G1865" s="21">
        <f t="shared" si="88"/>
        <v>4101247.958235539</v>
      </c>
      <c r="H1865" s="6">
        <f t="shared" si="90"/>
        <v>27752.04176446097</v>
      </c>
      <c r="I1865" s="1">
        <f t="shared" si="87"/>
        <v>4470360.2744767377</v>
      </c>
      <c r="J1865" s="2">
        <f t="shared" si="89"/>
        <v>-341360.27447673772</v>
      </c>
    </row>
    <row r="1866" spans="3:10" ht="18" x14ac:dyDescent="0.45">
      <c r="C1866" s="4" t="s">
        <v>1902</v>
      </c>
      <c r="D1866" s="23">
        <v>11650</v>
      </c>
      <c r="E1866" s="4">
        <v>1507</v>
      </c>
      <c r="F1866" s="21">
        <v>4140000</v>
      </c>
      <c r="G1866" s="21">
        <f t="shared" si="88"/>
        <v>4136713.3085232931</v>
      </c>
      <c r="H1866" s="6">
        <f t="shared" si="90"/>
        <v>3286.6914767068811</v>
      </c>
      <c r="I1866" s="1">
        <f t="shared" si="87"/>
        <v>4509017.5062903902</v>
      </c>
      <c r="J1866" s="2">
        <f t="shared" si="89"/>
        <v>-369017.50629039016</v>
      </c>
    </row>
    <row r="1867" spans="3:10" ht="18" x14ac:dyDescent="0.45">
      <c r="C1867" s="4" t="s">
        <v>1903</v>
      </c>
      <c r="D1867" s="23">
        <v>11550</v>
      </c>
      <c r="E1867" s="4">
        <v>1492</v>
      </c>
      <c r="F1867" s="21">
        <v>4100000</v>
      </c>
      <c r="G1867" s="21">
        <f t="shared" si="88"/>
        <v>4060475.7489631223</v>
      </c>
      <c r="H1867" s="6">
        <f t="shared" si="90"/>
        <v>39524.251036877744</v>
      </c>
      <c r="I1867" s="1">
        <f t="shared" si="87"/>
        <v>4425918.5663698036</v>
      </c>
      <c r="J1867" s="2">
        <f t="shared" si="89"/>
        <v>-325918.56636980362</v>
      </c>
    </row>
    <row r="1868" spans="3:10" ht="18" x14ac:dyDescent="0.45">
      <c r="C1868" s="4" t="s">
        <v>1904</v>
      </c>
      <c r="D1868" s="23">
        <v>11400</v>
      </c>
      <c r="E1868" s="4">
        <v>1504</v>
      </c>
      <c r="F1868" s="21">
        <v>4070000</v>
      </c>
      <c r="G1868" s="21">
        <f t="shared" si="88"/>
        <v>4040001.3927916917</v>
      </c>
      <c r="H1868" s="6">
        <f t="shared" si="90"/>
        <v>29998.607208308298</v>
      </c>
      <c r="I1868" s="1">
        <f t="shared" si="87"/>
        <v>4403601.5181429442</v>
      </c>
      <c r="J1868" s="2">
        <f t="shared" si="89"/>
        <v>-333601.5181429442</v>
      </c>
    </row>
    <row r="1869" spans="3:10" ht="18" x14ac:dyDescent="0.45">
      <c r="C1869" s="4" t="s">
        <v>1905</v>
      </c>
      <c r="D1869" s="23">
        <v>11350</v>
      </c>
      <c r="E1869" s="4">
        <v>1489</v>
      </c>
      <c r="F1869" s="21">
        <v>4045000</v>
      </c>
      <c r="G1869" s="21">
        <f t="shared" si="88"/>
        <v>3982237.8212712593</v>
      </c>
      <c r="H1869" s="6">
        <f t="shared" si="90"/>
        <v>62762.178728740662</v>
      </c>
      <c r="I1869" s="1">
        <f t="shared" si="87"/>
        <v>4340639.2251856728</v>
      </c>
      <c r="J1869" s="2">
        <f t="shared" si="89"/>
        <v>-295639.22518567275</v>
      </c>
    </row>
    <row r="1870" spans="3:10" ht="18" x14ac:dyDescent="0.45">
      <c r="C1870" s="4" t="s">
        <v>1906</v>
      </c>
      <c r="D1870" s="23">
        <v>11260</v>
      </c>
      <c r="E1870" s="4">
        <v>1489</v>
      </c>
      <c r="F1870" s="21">
        <v>3980000</v>
      </c>
      <c r="G1870" s="21">
        <f t="shared" si="88"/>
        <v>3950700.2526444388</v>
      </c>
      <c r="H1870" s="6">
        <f t="shared" si="90"/>
        <v>29299.747355561238</v>
      </c>
      <c r="I1870" s="1">
        <f t="shared" si="87"/>
        <v>4306263.2753824387</v>
      </c>
      <c r="J1870" s="2">
        <f t="shared" si="89"/>
        <v>-326263.27538243867</v>
      </c>
    </row>
    <row r="1871" spans="3:10" ht="18" x14ac:dyDescent="0.45">
      <c r="C1871" s="4" t="s">
        <v>1907</v>
      </c>
      <c r="D1871" s="23">
        <v>11395</v>
      </c>
      <c r="E1871" s="4">
        <v>1504</v>
      </c>
      <c r="F1871" s="21">
        <v>4030000</v>
      </c>
      <c r="G1871" s="21">
        <f t="shared" si="88"/>
        <v>4038231.6553387125</v>
      </c>
      <c r="H1871" s="6">
        <f t="shared" si="90"/>
        <v>-8231.6553387125023</v>
      </c>
      <c r="I1871" s="1">
        <f t="shared" si="87"/>
        <v>4401672.5043191966</v>
      </c>
      <c r="J1871" s="2">
        <f t="shared" si="89"/>
        <v>-371672.50431919657</v>
      </c>
    </row>
    <row r="1872" spans="3:10" ht="18" x14ac:dyDescent="0.45">
      <c r="C1872" s="4" t="s">
        <v>1908</v>
      </c>
      <c r="D1872" s="23">
        <v>11390</v>
      </c>
      <c r="E1872" s="4">
        <v>1501</v>
      </c>
      <c r="F1872" s="21">
        <v>4020000</v>
      </c>
      <c r="G1872" s="21">
        <f t="shared" si="88"/>
        <v>4028420.4379963339</v>
      </c>
      <c r="H1872" s="6">
        <f t="shared" si="90"/>
        <v>-8420.4379963339306</v>
      </c>
      <c r="I1872" s="1">
        <f t="shared" si="87"/>
        <v>4390978.2774160039</v>
      </c>
      <c r="J1872" s="2">
        <f t="shared" si="89"/>
        <v>-370978.27741600387</v>
      </c>
    </row>
    <row r="1873" spans="3:10" ht="18" x14ac:dyDescent="0.45">
      <c r="C1873" s="4" t="s">
        <v>1909</v>
      </c>
      <c r="D1873" s="23">
        <v>11440</v>
      </c>
      <c r="E1873" s="4">
        <v>1502</v>
      </c>
      <c r="F1873" s="21">
        <v>4045000</v>
      </c>
      <c r="G1873" s="21">
        <f t="shared" si="88"/>
        <v>4048774.7720798631</v>
      </c>
      <c r="H1873" s="6">
        <f t="shared" si="90"/>
        <v>-3774.7720798631199</v>
      </c>
      <c r="I1873" s="1">
        <f t="shared" si="87"/>
        <v>4413164.5015670508</v>
      </c>
      <c r="J1873" s="2">
        <f t="shared" si="89"/>
        <v>-368164.50156705081</v>
      </c>
    </row>
    <row r="1874" spans="3:10" ht="18" x14ac:dyDescent="0.45">
      <c r="C1874" s="4" t="s">
        <v>1910</v>
      </c>
      <c r="D1874" s="23">
        <v>11510</v>
      </c>
      <c r="E1874" s="4">
        <v>1501</v>
      </c>
      <c r="F1874" s="21">
        <v>4065000</v>
      </c>
      <c r="G1874" s="21">
        <f t="shared" si="88"/>
        <v>4070809.4153940133</v>
      </c>
      <c r="H1874" s="6">
        <f t="shared" si="90"/>
        <v>-5809.4153940132819</v>
      </c>
      <c r="I1874" s="1">
        <f t="shared" si="87"/>
        <v>4437182.2627794752</v>
      </c>
      <c r="J1874" s="2">
        <f t="shared" si="89"/>
        <v>-372182.26277947519</v>
      </c>
    </row>
    <row r="1875" spans="3:10" ht="18" x14ac:dyDescent="0.45">
      <c r="C1875" s="4" t="s">
        <v>1911</v>
      </c>
      <c r="D1875" s="23">
        <v>11480</v>
      </c>
      <c r="E1875" s="4">
        <v>1517</v>
      </c>
      <c r="F1875" s="21">
        <v>4080000</v>
      </c>
      <c r="G1875" s="21">
        <f t="shared" si="88"/>
        <v>4103438.9496833095</v>
      </c>
      <c r="H1875" s="6">
        <f t="shared" si="90"/>
        <v>-23438.949683309533</v>
      </c>
      <c r="I1875" s="1">
        <f t="shared" si="87"/>
        <v>4472748.4551548073</v>
      </c>
      <c r="J1875" s="2">
        <f t="shared" si="89"/>
        <v>-392748.45515480731</v>
      </c>
    </row>
    <row r="1876" spans="3:10" ht="18" x14ac:dyDescent="0.45">
      <c r="C1876" s="4" t="s">
        <v>1912</v>
      </c>
      <c r="D1876" s="23">
        <v>11400</v>
      </c>
      <c r="E1876" s="4">
        <v>1517</v>
      </c>
      <c r="F1876" s="21">
        <v>4060000</v>
      </c>
      <c r="G1876" s="21">
        <f t="shared" si="88"/>
        <v>4074878.3995113005</v>
      </c>
      <c r="H1876" s="6">
        <f t="shared" si="90"/>
        <v>-14878.399511300493</v>
      </c>
      <c r="I1876" s="1">
        <f t="shared" si="87"/>
        <v>4441617.4554673182</v>
      </c>
      <c r="J1876" s="2">
        <f t="shared" si="89"/>
        <v>-381617.45546731818</v>
      </c>
    </row>
    <row r="1877" spans="3:10" ht="18" x14ac:dyDescent="0.45">
      <c r="C1877" s="4" t="s">
        <v>1913</v>
      </c>
      <c r="D1877" s="23">
        <v>11350</v>
      </c>
      <c r="E1877" s="4">
        <v>1518</v>
      </c>
      <c r="F1877" s="21">
        <v>4015000</v>
      </c>
      <c r="G1877" s="21">
        <f t="shared" si="88"/>
        <v>4059699.1354531711</v>
      </c>
      <c r="H1877" s="6">
        <f t="shared" si="90"/>
        <v>-44699.135453171097</v>
      </c>
      <c r="I1877" s="1">
        <f t="shared" si="87"/>
        <v>4425072.0576439565</v>
      </c>
      <c r="J1877" s="2">
        <f t="shared" si="89"/>
        <v>-410072.0576439565</v>
      </c>
    </row>
    <row r="1878" spans="3:10" ht="18" x14ac:dyDescent="0.45">
      <c r="C1878" s="4" t="s">
        <v>1914</v>
      </c>
      <c r="D1878" s="23">
        <v>11410</v>
      </c>
      <c r="E1878" s="4">
        <v>1521</v>
      </c>
      <c r="F1878" s="21">
        <v>4040000</v>
      </c>
      <c r="G1878" s="21">
        <f t="shared" si="88"/>
        <v>4089189.2684628488</v>
      </c>
      <c r="H1878" s="6">
        <f t="shared" si="90"/>
        <v>-49189.26846284885</v>
      </c>
      <c r="I1878" s="1">
        <f t="shared" si="87"/>
        <v>4457216.3026245059</v>
      </c>
      <c r="J1878" s="2">
        <f t="shared" si="89"/>
        <v>-417216.30262450594</v>
      </c>
    </row>
    <row r="1879" spans="3:10" ht="18" x14ac:dyDescent="0.45">
      <c r="C1879" s="4" t="s">
        <v>1915</v>
      </c>
      <c r="D1879" s="23">
        <v>11390</v>
      </c>
      <c r="E1879" s="4">
        <v>1527</v>
      </c>
      <c r="F1879" s="21">
        <v>4035000</v>
      </c>
      <c r="G1879" s="21">
        <f t="shared" si="88"/>
        <v>4098113.2637044643</v>
      </c>
      <c r="H1879" s="6">
        <f t="shared" si="90"/>
        <v>-63113.263704464305</v>
      </c>
      <c r="I1879" s="1">
        <f t="shared" ref="I1879:I1903" si="91">G1879*1.09</f>
        <v>4466943.4574378664</v>
      </c>
      <c r="J1879" s="2">
        <f t="shared" si="89"/>
        <v>-431943.45743786637</v>
      </c>
    </row>
    <row r="1880" spans="3:10" ht="18" x14ac:dyDescent="0.45">
      <c r="C1880" s="4" t="s">
        <v>1916</v>
      </c>
      <c r="D1880" s="23">
        <v>11420</v>
      </c>
      <c r="E1880" s="4">
        <v>1507</v>
      </c>
      <c r="F1880" s="21">
        <v>4034000</v>
      </c>
      <c r="G1880" s="21">
        <f t="shared" si="88"/>
        <v>4055143.0028614597</v>
      </c>
      <c r="H1880" s="6">
        <f t="shared" si="90"/>
        <v>-21143.00286145974</v>
      </c>
      <c r="I1880" s="1">
        <f t="shared" si="91"/>
        <v>4420105.873118991</v>
      </c>
      <c r="J1880" s="2">
        <f t="shared" si="89"/>
        <v>-386105.87311899103</v>
      </c>
    </row>
    <row r="1881" spans="3:10" ht="18" x14ac:dyDescent="0.45">
      <c r="C1881" s="4" t="s">
        <v>1917</v>
      </c>
      <c r="D1881" s="23">
        <v>11430</v>
      </c>
      <c r="E1881" s="4">
        <v>1497</v>
      </c>
      <c r="F1881" s="21">
        <v>4005000</v>
      </c>
      <c r="G1881" s="21">
        <f t="shared" si="88"/>
        <v>4031790.4699546662</v>
      </c>
      <c r="H1881" s="6">
        <f t="shared" si="90"/>
        <v>-26790.469954666216</v>
      </c>
      <c r="I1881" s="1">
        <f t="shared" si="91"/>
        <v>4394651.612250586</v>
      </c>
      <c r="J1881" s="2">
        <f t="shared" si="89"/>
        <v>-389651.61225058604</v>
      </c>
    </row>
    <row r="1882" spans="3:10" ht="18" x14ac:dyDescent="0.45">
      <c r="C1882" s="4" t="s">
        <v>1918</v>
      </c>
      <c r="D1882" s="23">
        <v>11470</v>
      </c>
      <c r="E1882" s="4">
        <v>1497</v>
      </c>
      <c r="F1882" s="21">
        <v>4020000</v>
      </c>
      <c r="G1882" s="21">
        <f t="shared" si="88"/>
        <v>4045882.4750988642</v>
      </c>
      <c r="H1882" s="6">
        <f t="shared" si="90"/>
        <v>-25882.475098864175</v>
      </c>
      <c r="I1882" s="1">
        <f t="shared" si="91"/>
        <v>4410011.8978577619</v>
      </c>
      <c r="J1882" s="2">
        <f t="shared" si="89"/>
        <v>-390011.89785776194</v>
      </c>
    </row>
    <row r="1883" spans="3:10" ht="18" x14ac:dyDescent="0.45">
      <c r="C1883" s="4" t="s">
        <v>1919</v>
      </c>
      <c r="D1883" s="23">
        <v>11530</v>
      </c>
      <c r="E1883" s="4">
        <v>1483</v>
      </c>
      <c r="F1883" s="21">
        <v>4035000</v>
      </c>
      <c r="G1883" s="21">
        <f t="shared" ref="G1883:G1903" si="92">E1883/31.103*8.133*D1883*0.9+5000</f>
        <v>4029032.3153072041</v>
      </c>
      <c r="H1883" s="6">
        <f t="shared" si="90"/>
        <v>5967.6846927958541</v>
      </c>
      <c r="I1883" s="1">
        <f t="shared" si="91"/>
        <v>4391645.2236848529</v>
      </c>
      <c r="J1883" s="2">
        <f t="shared" si="89"/>
        <v>-356645.22368485294</v>
      </c>
    </row>
    <row r="1884" spans="3:10" ht="18" x14ac:dyDescent="0.45">
      <c r="C1884" s="4" t="s">
        <v>1920</v>
      </c>
      <c r="D1884" s="23">
        <v>11480</v>
      </c>
      <c r="E1884" s="4">
        <v>1464</v>
      </c>
      <c r="F1884" s="21">
        <v>3998000</v>
      </c>
      <c r="G1884" s="21">
        <f t="shared" si="92"/>
        <v>3960250.2454425613</v>
      </c>
      <c r="H1884" s="6">
        <f t="shared" si="90"/>
        <v>37749.75455743866</v>
      </c>
      <c r="I1884" s="1">
        <f t="shared" si="91"/>
        <v>4316672.7675323924</v>
      </c>
      <c r="J1884" s="2">
        <f t="shared" si="89"/>
        <v>-318672.7675323924</v>
      </c>
    </row>
    <row r="1885" spans="3:10" ht="18" x14ac:dyDescent="0.45">
      <c r="C1885" s="4" t="s">
        <v>1921</v>
      </c>
      <c r="D1885" s="23">
        <v>11530</v>
      </c>
      <c r="E1885" s="4">
        <v>1487</v>
      </c>
      <c r="F1885" s="21">
        <v>3998001</v>
      </c>
      <c r="G1885" s="21">
        <f t="shared" si="92"/>
        <v>4039886.0774523355</v>
      </c>
      <c r="H1885" s="6">
        <f t="shared" si="90"/>
        <v>-41885.077452335507</v>
      </c>
      <c r="I1885" s="1">
        <f t="shared" si="91"/>
        <v>4403475.8244230459</v>
      </c>
      <c r="J1885" s="2">
        <f t="shared" si="89"/>
        <v>-405474.82442304585</v>
      </c>
    </row>
    <row r="1886" spans="3:10" ht="18" x14ac:dyDescent="0.45">
      <c r="C1886" s="4" t="s">
        <v>1922</v>
      </c>
      <c r="D1886" s="23">
        <v>11550</v>
      </c>
      <c r="E1886" s="4">
        <v>1505</v>
      </c>
      <c r="F1886" s="21">
        <v>4025000</v>
      </c>
      <c r="G1886" s="21">
        <f t="shared" si="92"/>
        <v>4095811.6636658837</v>
      </c>
      <c r="H1886" s="6">
        <f t="shared" si="90"/>
        <v>-70811.663665883709</v>
      </c>
      <c r="I1886" s="1">
        <f t="shared" si="91"/>
        <v>4464434.7133958135</v>
      </c>
      <c r="J1886" s="2">
        <f t="shared" si="89"/>
        <v>-439434.71339581348</v>
      </c>
    </row>
    <row r="1887" spans="3:10" ht="18" x14ac:dyDescent="0.45">
      <c r="C1887" s="4" t="s">
        <v>1923</v>
      </c>
      <c r="D1887" s="23">
        <v>11480</v>
      </c>
      <c r="E1887" s="4">
        <v>1504</v>
      </c>
      <c r="F1887" s="21">
        <v>4010000</v>
      </c>
      <c r="G1887" s="21">
        <f t="shared" si="92"/>
        <v>4068317.1920393524</v>
      </c>
      <c r="H1887" s="6">
        <f t="shared" si="90"/>
        <v>-58317.192039352376</v>
      </c>
      <c r="I1887" s="1">
        <f t="shared" si="91"/>
        <v>4434465.7393228943</v>
      </c>
      <c r="J1887" s="2">
        <f t="shared" ref="J1887:J1903" si="93">F1887-I1887</f>
        <v>-424465.73932289425</v>
      </c>
    </row>
    <row r="1888" spans="3:10" ht="18" x14ac:dyDescent="0.45">
      <c r="C1888" s="4" t="s">
        <v>1924</v>
      </c>
      <c r="D1888" s="23">
        <v>11430</v>
      </c>
      <c r="E1888" s="4">
        <v>1505</v>
      </c>
      <c r="F1888" s="21">
        <v>3995000</v>
      </c>
      <c r="G1888" s="21">
        <f t="shared" si="92"/>
        <v>4053309.7243031212</v>
      </c>
      <c r="H1888" s="6">
        <f t="shared" si="90"/>
        <v>-58309.724303121213</v>
      </c>
      <c r="I1888" s="1">
        <f t="shared" si="91"/>
        <v>4418107.5994904023</v>
      </c>
      <c r="J1888" s="2">
        <f t="shared" si="93"/>
        <v>-423107.59949040227</v>
      </c>
    </row>
    <row r="1889" spans="3:11" ht="18" x14ac:dyDescent="0.45">
      <c r="C1889" s="4" t="s">
        <v>1925</v>
      </c>
      <c r="D1889" s="23">
        <v>11435</v>
      </c>
      <c r="E1889" s="4">
        <v>1499</v>
      </c>
      <c r="F1889" s="21">
        <v>4000000</v>
      </c>
      <c r="G1889" s="21">
        <f t="shared" si="92"/>
        <v>4038934.1375590768</v>
      </c>
      <c r="H1889" s="6">
        <f t="shared" si="90"/>
        <v>-38934.137559076771</v>
      </c>
      <c r="I1889" s="1">
        <f t="shared" si="91"/>
        <v>4402438.2099393941</v>
      </c>
      <c r="J1889" s="2">
        <f t="shared" si="93"/>
        <v>-402438.20993939415</v>
      </c>
    </row>
    <row r="1890" spans="3:11" ht="18" x14ac:dyDescent="0.45">
      <c r="C1890" s="4" t="s">
        <v>1926</v>
      </c>
      <c r="D1890" s="23">
        <v>11485</v>
      </c>
      <c r="E1890" s="4">
        <v>1505</v>
      </c>
      <c r="F1890" s="21">
        <v>4015000</v>
      </c>
      <c r="G1890" s="21">
        <f t="shared" si="92"/>
        <v>4072789.7798443874</v>
      </c>
      <c r="H1890" s="6">
        <f t="shared" si="90"/>
        <v>-57789.779844387434</v>
      </c>
      <c r="I1890" s="1">
        <f t="shared" si="91"/>
        <v>4439340.8600303829</v>
      </c>
      <c r="J1890" s="2">
        <f t="shared" si="93"/>
        <v>-424340.86003038287</v>
      </c>
    </row>
    <row r="1891" spans="3:11" ht="18" x14ac:dyDescent="0.45">
      <c r="C1891" s="4" t="s">
        <v>1927</v>
      </c>
      <c r="D1891" s="23">
        <v>11480</v>
      </c>
      <c r="E1891" s="4">
        <v>1507</v>
      </c>
      <c r="F1891" s="21">
        <v>4012000</v>
      </c>
      <c r="G1891" s="21">
        <f t="shared" si="92"/>
        <v>4076422.2130341125</v>
      </c>
      <c r="H1891" s="6">
        <f t="shared" si="90"/>
        <v>-64422.213034112472</v>
      </c>
      <c r="I1891" s="1">
        <f t="shared" si="91"/>
        <v>4443300.2122071832</v>
      </c>
      <c r="J1891" s="2">
        <f t="shared" si="93"/>
        <v>-431300.21220718324</v>
      </c>
    </row>
    <row r="1892" spans="3:11" ht="18" x14ac:dyDescent="0.45">
      <c r="C1892" s="4" t="s">
        <v>1928</v>
      </c>
      <c r="D1892" s="23">
        <v>11460</v>
      </c>
      <c r="E1892" s="4">
        <v>1494</v>
      </c>
      <c r="F1892" s="21">
        <v>4006000</v>
      </c>
      <c r="G1892" s="21">
        <f t="shared" si="92"/>
        <v>4034268.5730636911</v>
      </c>
      <c r="H1892" s="6">
        <f t="shared" si="90"/>
        <v>-28268.573063691147</v>
      </c>
      <c r="I1892" s="1">
        <f t="shared" si="91"/>
        <v>4397352.7446394237</v>
      </c>
      <c r="J1892" s="2">
        <f t="shared" si="93"/>
        <v>-391352.74463942368</v>
      </c>
      <c r="K1892" s="24"/>
    </row>
    <row r="1893" spans="3:11" ht="18" x14ac:dyDescent="0.45">
      <c r="C1893" s="4" t="s">
        <v>1929</v>
      </c>
      <c r="D1893" s="23">
        <v>11475</v>
      </c>
      <c r="E1893" s="4">
        <v>1486</v>
      </c>
      <c r="F1893" s="21">
        <v>3990000</v>
      </c>
      <c r="G1893" s="21">
        <f t="shared" si="92"/>
        <v>4017938.5089862705</v>
      </c>
      <c r="H1893" s="6">
        <f t="shared" si="90"/>
        <v>-27938.508986270521</v>
      </c>
      <c r="I1893" s="1">
        <f t="shared" si="91"/>
        <v>4379552.9747950351</v>
      </c>
      <c r="J1893" s="2">
        <f t="shared" si="93"/>
        <v>-389552.97479503509</v>
      </c>
    </row>
    <row r="1894" spans="3:11" ht="18" x14ac:dyDescent="0.45">
      <c r="C1894" s="4" t="s">
        <v>1930</v>
      </c>
      <c r="D1894" s="23">
        <v>11440</v>
      </c>
      <c r="E1894" s="4">
        <v>1489</v>
      </c>
      <c r="F1894" s="21">
        <v>3970000</v>
      </c>
      <c r="G1894" s="21">
        <f t="shared" si="92"/>
        <v>4013775.3898980804</v>
      </c>
      <c r="H1894" s="6">
        <f t="shared" si="90"/>
        <v>-43775.389898080379</v>
      </c>
      <c r="I1894" s="1">
        <f t="shared" si="91"/>
        <v>4375015.1749889078</v>
      </c>
      <c r="J1894" s="2">
        <f t="shared" si="93"/>
        <v>-405015.17498890776</v>
      </c>
    </row>
    <row r="1895" spans="3:11" ht="18" x14ac:dyDescent="0.45">
      <c r="C1895" s="4" t="s">
        <v>1931</v>
      </c>
      <c r="D1895" s="23">
        <v>11390</v>
      </c>
      <c r="E1895" s="4">
        <v>1496</v>
      </c>
      <c r="F1895" s="21">
        <v>3965000</v>
      </c>
      <c r="G1895" s="21">
        <f t="shared" si="92"/>
        <v>4015017.971514001</v>
      </c>
      <c r="H1895" s="6">
        <f t="shared" si="90"/>
        <v>-50017.971514001023</v>
      </c>
      <c r="I1895" s="1">
        <f t="shared" si="91"/>
        <v>4376369.5889502615</v>
      </c>
      <c r="J1895" s="2">
        <f t="shared" si="93"/>
        <v>-411369.58895026147</v>
      </c>
    </row>
    <row r="1896" spans="3:11" ht="18" x14ac:dyDescent="0.45">
      <c r="C1896" s="4" t="s">
        <v>1932</v>
      </c>
      <c r="D1896" s="23">
        <v>11410</v>
      </c>
      <c r="E1896" s="4">
        <v>1494</v>
      </c>
      <c r="F1896" s="21">
        <v>3970000</v>
      </c>
      <c r="G1896" s="21">
        <f t="shared" si="92"/>
        <v>4016688.8672475321</v>
      </c>
      <c r="H1896" s="6">
        <f t="shared" si="90"/>
        <v>-46688.867247532122</v>
      </c>
      <c r="I1896" s="1">
        <f t="shared" si="91"/>
        <v>4378190.8652998107</v>
      </c>
      <c r="J1896" s="2">
        <f t="shared" si="93"/>
        <v>-408190.86529981066</v>
      </c>
    </row>
    <row r="1897" spans="3:11" ht="18" x14ac:dyDescent="0.45">
      <c r="C1897" s="4" t="s">
        <v>1933</v>
      </c>
      <c r="D1897" s="23">
        <v>11410</v>
      </c>
      <c r="E1897" s="4">
        <v>1483</v>
      </c>
      <c r="F1897" s="21">
        <v>3967000</v>
      </c>
      <c r="G1897" s="21">
        <f t="shared" si="92"/>
        <v>3987151.6667524027</v>
      </c>
      <c r="H1897" s="6">
        <f t="shared" si="90"/>
        <v>-20151.666752402671</v>
      </c>
      <c r="I1897" s="1">
        <f t="shared" si="91"/>
        <v>4345995.3167601191</v>
      </c>
      <c r="J1897" s="2">
        <f t="shared" si="93"/>
        <v>-378995.31676011905</v>
      </c>
    </row>
    <row r="1898" spans="3:11" ht="18" x14ac:dyDescent="0.45">
      <c r="C1898" s="4" t="s">
        <v>1934</v>
      </c>
      <c r="D1898" s="23">
        <v>11420</v>
      </c>
      <c r="E1898" s="4">
        <v>1493</v>
      </c>
      <c r="F1898" s="21">
        <v>3969000</v>
      </c>
      <c r="G1898" s="21">
        <f t="shared" si="92"/>
        <v>4017517.2549914797</v>
      </c>
      <c r="H1898" s="6">
        <f t="shared" si="90"/>
        <v>-48517.254991479684</v>
      </c>
      <c r="I1898" s="1">
        <f t="shared" si="91"/>
        <v>4379093.8079407131</v>
      </c>
      <c r="J1898" s="2">
        <f t="shared" si="93"/>
        <v>-410093.80794071313</v>
      </c>
    </row>
    <row r="1899" spans="3:11" ht="18" x14ac:dyDescent="0.45">
      <c r="C1899" s="4" t="s">
        <v>1935</v>
      </c>
      <c r="D1899" s="23">
        <v>11370</v>
      </c>
      <c r="E1899" s="4">
        <v>1491</v>
      </c>
      <c r="F1899" s="21">
        <v>3960000</v>
      </c>
      <c r="G1899" s="21">
        <f t="shared" si="92"/>
        <v>3994597.7429508404</v>
      </c>
      <c r="H1899" s="6">
        <f t="shared" si="90"/>
        <v>-34597.742950840387</v>
      </c>
      <c r="I1899" s="1">
        <f t="shared" si="91"/>
        <v>4354111.5398164168</v>
      </c>
      <c r="J1899" s="2">
        <f t="shared" si="93"/>
        <v>-394111.5398164168</v>
      </c>
    </row>
    <row r="1900" spans="3:11" ht="18" x14ac:dyDescent="0.45">
      <c r="C1900" s="4" t="s">
        <v>1936</v>
      </c>
      <c r="D1900" s="23">
        <v>11320</v>
      </c>
      <c r="E1900" s="4">
        <v>1491</v>
      </c>
      <c r="F1900" s="21">
        <v>3962000</v>
      </c>
      <c r="G1900" s="21">
        <f t="shared" si="92"/>
        <v>3977053.3377487697</v>
      </c>
      <c r="H1900" s="6">
        <f t="shared" si="90"/>
        <v>-15053.337748769671</v>
      </c>
      <c r="I1900" s="1">
        <f t="shared" si="91"/>
        <v>4334988.1381461592</v>
      </c>
      <c r="J1900" s="2">
        <f t="shared" si="93"/>
        <v>-372988.13814615924</v>
      </c>
    </row>
    <row r="1901" spans="3:11" ht="18" x14ac:dyDescent="0.45">
      <c r="C1901" s="4" t="s">
        <v>1937</v>
      </c>
      <c r="D1901" s="23">
        <v>11310</v>
      </c>
      <c r="E1901" s="4">
        <v>1486</v>
      </c>
      <c r="F1901" s="21">
        <v>3945000</v>
      </c>
      <c r="G1901" s="21">
        <f t="shared" si="92"/>
        <v>3960236.1251969258</v>
      </c>
      <c r="H1901" s="6">
        <f t="shared" si="90"/>
        <v>-15236.12519692583</v>
      </c>
      <c r="I1901" s="1">
        <f t="shared" si="91"/>
        <v>4316657.3764646491</v>
      </c>
      <c r="J1901" s="2">
        <f t="shared" si="93"/>
        <v>-371657.3764646491</v>
      </c>
    </row>
    <row r="1902" spans="3:11" ht="18" x14ac:dyDescent="0.45">
      <c r="C1902" s="4" t="s">
        <v>1938</v>
      </c>
      <c r="D1902" s="23">
        <v>11250</v>
      </c>
      <c r="E1902" s="4">
        <v>1492</v>
      </c>
      <c r="F1902" s="21">
        <v>3890000</v>
      </c>
      <c r="G1902" s="21">
        <f t="shared" si="92"/>
        <v>3955138.7165225218</v>
      </c>
      <c r="H1902" s="6">
        <f t="shared" si="90"/>
        <v>-65138.716522521805</v>
      </c>
      <c r="I1902" s="1">
        <f t="shared" si="91"/>
        <v>4311101.2010095492</v>
      </c>
      <c r="J1902" s="2">
        <f t="shared" si="93"/>
        <v>-421101.2010095492</v>
      </c>
    </row>
    <row r="1903" spans="3:11" ht="18" x14ac:dyDescent="0.45">
      <c r="C1903" s="4" t="s">
        <v>1939</v>
      </c>
      <c r="D1903" s="23">
        <v>11140</v>
      </c>
      <c r="E1903" s="4">
        <v>1494</v>
      </c>
      <c r="F1903" s="21">
        <v>3850000</v>
      </c>
      <c r="G1903" s="21">
        <f t="shared" si="92"/>
        <v>3921758.4558402719</v>
      </c>
      <c r="H1903" s="6">
        <f t="shared" si="90"/>
        <v>-71758.455840271898</v>
      </c>
      <c r="I1903" s="1">
        <f t="shared" si="91"/>
        <v>4274716.7168658962</v>
      </c>
      <c r="J1903" s="2">
        <f t="shared" si="93"/>
        <v>-424716.71686589625</v>
      </c>
    </row>
    <row r="1904" spans="3:11" ht="18" x14ac:dyDescent="0.45">
      <c r="C1904" s="4" t="s">
        <v>1940</v>
      </c>
      <c r="D1904" s="23">
        <v>11200</v>
      </c>
      <c r="E1904" s="4">
        <v>1504.5</v>
      </c>
      <c r="F1904" s="21">
        <v>3900000</v>
      </c>
      <c r="G1904" s="21">
        <f>E1904/31.103*8.133*D1904*0.9+5000</f>
        <v>3970529.7842651829</v>
      </c>
      <c r="H1904" s="6">
        <f t="shared" si="90"/>
        <v>-70529.784265182912</v>
      </c>
      <c r="I1904" s="1">
        <f>G1904*1.09</f>
        <v>4327877.4648490502</v>
      </c>
      <c r="J1904" s="2">
        <f t="shared" ref="J1904:J1910" si="94">F1904-I1904</f>
        <v>-427877.46484905016</v>
      </c>
    </row>
    <row r="1905" spans="3:10" ht="18" x14ac:dyDescent="0.45">
      <c r="C1905" s="4" t="s">
        <v>1941</v>
      </c>
      <c r="D1905" s="23">
        <v>11240</v>
      </c>
      <c r="E1905" s="4">
        <v>1500</v>
      </c>
      <c r="F1905" s="21">
        <v>3935000</v>
      </c>
      <c r="G1905" s="21">
        <f t="shared" ref="G1905:G1968" si="95">E1905/31.103*8.133*D1905*0.9+5000</f>
        <v>3972789.0235668579</v>
      </c>
      <c r="H1905" s="6">
        <f t="shared" si="90"/>
        <v>-37789.023566857912</v>
      </c>
      <c r="I1905" s="1">
        <f t="shared" ref="I1905:I1968" si="96">G1905*1.09</f>
        <v>4330340.035687875</v>
      </c>
      <c r="J1905" s="2">
        <f t="shared" si="94"/>
        <v>-395340.035687875</v>
      </c>
    </row>
    <row r="1906" spans="3:10" ht="18" x14ac:dyDescent="0.45">
      <c r="C1906" s="4" t="s">
        <v>1942</v>
      </c>
      <c r="D1906" s="23">
        <v>11205</v>
      </c>
      <c r="E1906" s="4">
        <v>1491</v>
      </c>
      <c r="F1906" s="21">
        <v>3905000</v>
      </c>
      <c r="G1906" s="21">
        <f t="shared" si="95"/>
        <v>3936701.2057840079</v>
      </c>
      <c r="H1906" s="6">
        <f t="shared" si="90"/>
        <v>-31701.205784007907</v>
      </c>
      <c r="I1906" s="1">
        <f t="shared" si="96"/>
        <v>4291004.3143045688</v>
      </c>
      <c r="J1906" s="2">
        <f t="shared" si="94"/>
        <v>-386004.3143045688</v>
      </c>
    </row>
    <row r="1907" spans="3:10" ht="18" x14ac:dyDescent="0.45">
      <c r="C1907" s="4" t="s">
        <v>1943</v>
      </c>
      <c r="D1907" s="23">
        <v>11250</v>
      </c>
      <c r="E1907" s="4">
        <v>1508</v>
      </c>
      <c r="F1907" s="21">
        <v>3940000</v>
      </c>
      <c r="G1907" s="21">
        <f t="shared" si="95"/>
        <v>3997499.4534289292</v>
      </c>
      <c r="H1907" s="6">
        <f t="shared" si="90"/>
        <v>-57499.453428929206</v>
      </c>
      <c r="I1907" s="1">
        <f t="shared" si="96"/>
        <v>4357274.404237533</v>
      </c>
      <c r="J1907" s="2">
        <f t="shared" si="94"/>
        <v>-417274.40423753299</v>
      </c>
    </row>
    <row r="1908" spans="3:10" ht="18" x14ac:dyDescent="0.45">
      <c r="C1908" s="4" t="s">
        <v>1944</v>
      </c>
      <c r="D1908" s="23">
        <v>11300</v>
      </c>
      <c r="E1908" s="4">
        <v>1514</v>
      </c>
      <c r="F1908" s="21">
        <v>3990000</v>
      </c>
      <c r="G1908" s="21">
        <f t="shared" si="95"/>
        <v>4031199.7730122488</v>
      </c>
      <c r="H1908" s="6">
        <f t="shared" si="90"/>
        <v>-41199.773012248799</v>
      </c>
      <c r="I1908" s="1">
        <f t="shared" si="96"/>
        <v>4394007.7525833519</v>
      </c>
      <c r="J1908" s="2">
        <f t="shared" si="94"/>
        <v>-404007.75258335192</v>
      </c>
    </row>
    <row r="1909" spans="3:10" ht="18" x14ac:dyDescent="0.45">
      <c r="C1909" s="4" t="s">
        <v>1945</v>
      </c>
      <c r="D1909" s="23">
        <v>11320</v>
      </c>
      <c r="E1909" s="4">
        <v>1514</v>
      </c>
      <c r="F1909" s="21">
        <v>3996000</v>
      </c>
      <c r="G1909" s="21">
        <f t="shared" si="95"/>
        <v>4038325.7903096154</v>
      </c>
      <c r="H1909" s="6">
        <f t="shared" si="90"/>
        <v>-42325.790309615433</v>
      </c>
      <c r="I1909" s="1">
        <f t="shared" si="96"/>
        <v>4401775.1114374809</v>
      </c>
      <c r="J1909" s="2">
        <f t="shared" si="94"/>
        <v>-405775.1114374809</v>
      </c>
    </row>
    <row r="1910" spans="3:10" ht="18" x14ac:dyDescent="0.45">
      <c r="C1910" s="4" t="s">
        <v>1946</v>
      </c>
      <c r="D1910" s="23">
        <v>11315</v>
      </c>
      <c r="E1910" s="4">
        <v>1512</v>
      </c>
      <c r="F1910" s="21">
        <v>3915000</v>
      </c>
      <c r="G1910" s="21">
        <f t="shared" si="95"/>
        <v>4031218.6000064295</v>
      </c>
      <c r="H1910" s="6">
        <f t="shared" si="90"/>
        <v>-116218.60000642948</v>
      </c>
      <c r="I1910" s="1">
        <f t="shared" si="96"/>
        <v>4394028.2740070084</v>
      </c>
      <c r="J1910" s="2">
        <f t="shared" si="94"/>
        <v>-479028.27400700841</v>
      </c>
    </row>
    <row r="1911" spans="3:10" ht="18" x14ac:dyDescent="0.45">
      <c r="C1911" s="4" t="s">
        <v>1947</v>
      </c>
      <c r="D1911" s="23">
        <v>11400</v>
      </c>
      <c r="E1911" s="4">
        <v>1500</v>
      </c>
      <c r="F1911" s="21">
        <v>4015000</v>
      </c>
      <c r="G1911" s="21">
        <f t="shared" si="95"/>
        <v>4029270.0061087343</v>
      </c>
      <c r="H1911" s="6">
        <f t="shared" si="90"/>
        <v>-14270.006108734291</v>
      </c>
      <c r="I1911" s="1">
        <f t="shared" si="96"/>
        <v>4391904.3066585204</v>
      </c>
      <c r="J1911" s="2">
        <f t="shared" ref="J1911:J1974" si="97">F1911-I1911</f>
        <v>-376904.30665852036</v>
      </c>
    </row>
    <row r="1912" spans="3:10" ht="18" x14ac:dyDescent="0.45">
      <c r="C1912" s="4" t="s">
        <v>1948</v>
      </c>
      <c r="D1912" s="23">
        <v>11420</v>
      </c>
      <c r="E1912" s="4">
        <v>1484</v>
      </c>
      <c r="F1912" s="21">
        <v>3990000</v>
      </c>
      <c r="G1912" s="21">
        <f t="shared" si="95"/>
        <v>3993329.2742179204</v>
      </c>
      <c r="H1912" s="6">
        <f t="shared" si="90"/>
        <v>-3329.2742179203779</v>
      </c>
      <c r="I1912" s="1">
        <f t="shared" si="96"/>
        <v>4352728.9088975331</v>
      </c>
      <c r="J1912" s="2">
        <f t="shared" si="97"/>
        <v>-362728.90889753308</v>
      </c>
    </row>
    <row r="1913" spans="3:10" ht="18" x14ac:dyDescent="0.45">
      <c r="C1913" s="4" t="s">
        <v>1949</v>
      </c>
      <c r="D1913" s="23">
        <v>11350</v>
      </c>
      <c r="E1913" s="4">
        <v>1459</v>
      </c>
      <c r="F1913" s="21">
        <v>3935000</v>
      </c>
      <c r="G1913" s="21">
        <f t="shared" si="95"/>
        <v>3902105.4272899712</v>
      </c>
      <c r="H1913" s="6">
        <f t="shared" si="90"/>
        <v>32894.57271002885</v>
      </c>
      <c r="I1913" s="1">
        <f t="shared" si="96"/>
        <v>4253294.9157460686</v>
      </c>
      <c r="J1913" s="2">
        <f t="shared" si="97"/>
        <v>-318294.91574606858</v>
      </c>
    </row>
    <row r="1914" spans="3:10" ht="18" x14ac:dyDescent="0.45">
      <c r="C1914" s="4" t="s">
        <v>1950</v>
      </c>
      <c r="D1914" s="23">
        <v>11440</v>
      </c>
      <c r="E1914" s="4">
        <v>1459</v>
      </c>
      <c r="F1914" s="21">
        <v>3985000</v>
      </c>
      <c r="G1914" s="21">
        <f t="shared" si="95"/>
        <v>3933007.5848631957</v>
      </c>
      <c r="H1914" s="6">
        <f t="shared" si="90"/>
        <v>51992.415136804339</v>
      </c>
      <c r="I1914" s="1">
        <f t="shared" si="96"/>
        <v>4286978.2675008839</v>
      </c>
      <c r="J1914" s="2">
        <f t="shared" si="97"/>
        <v>-301978.2675008839</v>
      </c>
    </row>
    <row r="1915" spans="3:10" ht="18" x14ac:dyDescent="0.45">
      <c r="C1915" s="4" t="s">
        <v>1951</v>
      </c>
      <c r="D1915" s="23">
        <v>11495</v>
      </c>
      <c r="E1915" s="4">
        <v>1465</v>
      </c>
      <c r="F1915" s="21">
        <v>4010000</v>
      </c>
      <c r="G1915" s="21">
        <f t="shared" si="95"/>
        <v>3968123.4590714709</v>
      </c>
      <c r="H1915" s="6">
        <f t="shared" si="90"/>
        <v>41876.54092852911</v>
      </c>
      <c r="I1915" s="1">
        <f t="shared" si="96"/>
        <v>4325254.5703879036</v>
      </c>
      <c r="J1915" s="2">
        <f t="shared" si="97"/>
        <v>-315254.5703879036</v>
      </c>
    </row>
    <row r="1916" spans="3:10" ht="18" x14ac:dyDescent="0.45">
      <c r="C1916" s="4" t="s">
        <v>1952</v>
      </c>
      <c r="D1916" s="23">
        <v>11530</v>
      </c>
      <c r="E1916" s="4">
        <v>1453</v>
      </c>
      <c r="F1916" s="21">
        <v>4000000</v>
      </c>
      <c r="G1916" s="21">
        <f t="shared" si="95"/>
        <v>3947629.0992187248</v>
      </c>
      <c r="H1916" s="6">
        <f t="shared" si="90"/>
        <v>52370.900781275239</v>
      </c>
      <c r="I1916" s="1">
        <f t="shared" si="96"/>
        <v>4302915.7181484103</v>
      </c>
      <c r="J1916" s="2">
        <f t="shared" si="97"/>
        <v>-302915.71814841032</v>
      </c>
    </row>
    <row r="1917" spans="3:10" ht="18" x14ac:dyDescent="0.45">
      <c r="C1917" s="4" t="s">
        <v>1953</v>
      </c>
      <c r="D1917" s="23">
        <v>11740</v>
      </c>
      <c r="E1917" s="4">
        <v>1466</v>
      </c>
      <c r="F1917">
        <v>4019000</v>
      </c>
      <c r="G1917" s="21">
        <f t="shared" si="95"/>
        <v>4055354.8065459915</v>
      </c>
      <c r="H1917" s="6">
        <f t="shared" si="90"/>
        <v>-36354.806545991451</v>
      </c>
      <c r="I1917" s="1">
        <f t="shared" si="96"/>
        <v>4420336.7391351312</v>
      </c>
      <c r="J1917" s="2">
        <f t="shared" si="97"/>
        <v>-401336.73913513124</v>
      </c>
    </row>
    <row r="1918" spans="3:10" ht="18" x14ac:dyDescent="0.45">
      <c r="C1918" s="4" t="s">
        <v>1954</v>
      </c>
      <c r="D1918" s="23">
        <v>11850</v>
      </c>
      <c r="E1918" s="4">
        <v>1469</v>
      </c>
      <c r="F1918">
        <v>4070000</v>
      </c>
      <c r="G1918" s="21">
        <f t="shared" si="95"/>
        <v>4101671.5656046038</v>
      </c>
      <c r="H1918" s="6">
        <f t="shared" si="90"/>
        <v>-31671.565604603849</v>
      </c>
      <c r="I1918" s="1">
        <f t="shared" si="96"/>
        <v>4470822.0065090181</v>
      </c>
      <c r="J1918" s="2">
        <f t="shared" si="97"/>
        <v>-400822.00650901813</v>
      </c>
    </row>
    <row r="1919" spans="3:10" ht="18" x14ac:dyDescent="0.45">
      <c r="C1919" s="4" t="s">
        <v>1955</v>
      </c>
      <c r="D1919" s="23">
        <v>12220</v>
      </c>
      <c r="E1919" s="4">
        <v>1468</v>
      </c>
      <c r="F1919" s="21">
        <v>4170000</v>
      </c>
      <c r="G1919" s="21">
        <f t="shared" si="95"/>
        <v>4226708.6940809563</v>
      </c>
      <c r="H1919" s="6">
        <f t="shared" si="90"/>
        <v>-56708.69408095628</v>
      </c>
      <c r="I1919" s="1">
        <f t="shared" si="96"/>
        <v>4607112.4765482424</v>
      </c>
      <c r="J1919" s="2">
        <f t="shared" si="97"/>
        <v>-437112.47654824238</v>
      </c>
    </row>
    <row r="1920" spans="3:10" ht="18" x14ac:dyDescent="0.45">
      <c r="C1920" s="4" t="s">
        <v>1956</v>
      </c>
      <c r="D1920" s="23">
        <v>12450</v>
      </c>
      <c r="E1920" s="4">
        <v>1468</v>
      </c>
      <c r="F1920" s="21">
        <v>4220000</v>
      </c>
      <c r="G1920" s="21">
        <f t="shared" si="95"/>
        <v>4306168.0230202861</v>
      </c>
      <c r="H1920" s="6">
        <f t="shared" si="90"/>
        <v>-86168.023020286113</v>
      </c>
      <c r="I1920" s="1">
        <f t="shared" si="96"/>
        <v>4693723.145092112</v>
      </c>
      <c r="J1920" s="2">
        <f t="shared" si="97"/>
        <v>-473723.14509211201</v>
      </c>
    </row>
    <row r="1921" spans="3:10" ht="18" x14ac:dyDescent="0.45">
      <c r="C1921" s="4" t="s">
        <v>1957</v>
      </c>
      <c r="D1921" s="23">
        <v>12200</v>
      </c>
      <c r="E1921" s="4">
        <v>1457</v>
      </c>
      <c r="F1921" s="21">
        <v>4195000</v>
      </c>
      <c r="G1921" s="21">
        <f t="shared" si="95"/>
        <v>4188216.9044786664</v>
      </c>
      <c r="H1921" s="6">
        <f t="shared" si="90"/>
        <v>6783.0955213336274</v>
      </c>
      <c r="I1921" s="1">
        <f t="shared" si="96"/>
        <v>4565156.4258817462</v>
      </c>
      <c r="J1921" s="2">
        <f t="shared" si="97"/>
        <v>-370156.42588174623</v>
      </c>
    </row>
    <row r="1922" spans="3:10" ht="18" x14ac:dyDescent="0.45">
      <c r="C1922" s="4" t="s">
        <v>1958</v>
      </c>
      <c r="D1922" s="23">
        <v>12000</v>
      </c>
      <c r="E1922" s="4">
        <v>1468</v>
      </c>
      <c r="F1922" s="21">
        <v>4150000</v>
      </c>
      <c r="G1922" s="21">
        <f t="shared" si="95"/>
        <v>4150704.1185737704</v>
      </c>
      <c r="H1922" s="6">
        <f t="shared" ref="H1922:H1985" si="98">F:F-G:G</f>
        <v>-704.11857377039269</v>
      </c>
      <c r="I1922" s="1">
        <f t="shared" si="96"/>
        <v>4524267.4892454101</v>
      </c>
      <c r="J1922" s="2">
        <f t="shared" si="97"/>
        <v>-374267.48924541008</v>
      </c>
    </row>
    <row r="1923" spans="3:10" ht="18" x14ac:dyDescent="0.45">
      <c r="C1923" s="4" t="s">
        <v>1959</v>
      </c>
      <c r="D1923" s="23">
        <v>11950</v>
      </c>
      <c r="E1923" s="4">
        <v>1474</v>
      </c>
      <c r="F1923" s="21">
        <v>4110000</v>
      </c>
      <c r="G1923" s="21">
        <f t="shared" si="95"/>
        <v>4150304.0449474324</v>
      </c>
      <c r="H1923" s="6">
        <f t="shared" si="98"/>
        <v>-40304.044947432354</v>
      </c>
      <c r="I1923" s="1">
        <f t="shared" si="96"/>
        <v>4523831.4089927012</v>
      </c>
      <c r="J1923" s="2">
        <f t="shared" si="97"/>
        <v>-413831.40899270121</v>
      </c>
    </row>
    <row r="1924" spans="3:10" ht="18" x14ac:dyDescent="0.45">
      <c r="C1924" s="4" t="s">
        <v>1960</v>
      </c>
      <c r="D1924" s="23">
        <v>11925</v>
      </c>
      <c r="E1924" s="4">
        <v>1465</v>
      </c>
      <c r="F1924" s="21">
        <v>4150000</v>
      </c>
      <c r="G1924" s="21">
        <f t="shared" si="95"/>
        <v>4116374.2713725353</v>
      </c>
      <c r="H1924" s="6">
        <f t="shared" si="98"/>
        <v>33625.728627464734</v>
      </c>
      <c r="I1924" s="1">
        <f t="shared" si="96"/>
        <v>4486847.9557960639</v>
      </c>
      <c r="J1924" s="2">
        <f t="shared" si="97"/>
        <v>-336847.95579606388</v>
      </c>
    </row>
    <row r="1925" spans="3:10" ht="18" x14ac:dyDescent="0.45">
      <c r="C1925" s="4" t="s">
        <v>1961</v>
      </c>
      <c r="D1925" s="23">
        <v>11970</v>
      </c>
      <c r="E1925" s="4">
        <v>1462</v>
      </c>
      <c r="F1925" s="21">
        <v>4165000</v>
      </c>
      <c r="G1925" s="21">
        <f t="shared" si="95"/>
        <v>4123437.9242516789</v>
      </c>
      <c r="H1925" s="6">
        <f t="shared" si="98"/>
        <v>41562.075748321135</v>
      </c>
      <c r="I1925" s="1">
        <f t="shared" si="96"/>
        <v>4494547.33743433</v>
      </c>
      <c r="J1925" s="2">
        <f t="shared" si="97"/>
        <v>-329547.33743433002</v>
      </c>
    </row>
    <row r="1926" spans="3:10" ht="18" x14ac:dyDescent="0.45">
      <c r="C1926" s="4" t="s">
        <v>1962</v>
      </c>
      <c r="D1926" s="23">
        <v>12200</v>
      </c>
      <c r="E1926" s="4">
        <v>1462</v>
      </c>
      <c r="F1926" s="21">
        <v>4210000</v>
      </c>
      <c r="G1926" s="21">
        <f t="shared" si="95"/>
        <v>4202572.4875413943</v>
      </c>
      <c r="H1926" s="6">
        <f t="shared" si="98"/>
        <v>7427.5124586056918</v>
      </c>
      <c r="I1926" s="1">
        <f t="shared" si="96"/>
        <v>4580804.0114201205</v>
      </c>
      <c r="J1926" s="2">
        <f t="shared" si="97"/>
        <v>-370804.01142012049</v>
      </c>
    </row>
    <row r="1927" spans="3:10" ht="18" x14ac:dyDescent="0.45">
      <c r="C1927" s="4" t="s">
        <v>1963</v>
      </c>
      <c r="D1927" s="23">
        <v>12360</v>
      </c>
      <c r="E1927" s="4">
        <v>1454</v>
      </c>
      <c r="F1927" s="21">
        <v>4310000</v>
      </c>
      <c r="G1927" s="21">
        <f t="shared" si="95"/>
        <v>4234352.4537182907</v>
      </c>
      <c r="H1927" s="6">
        <f t="shared" si="98"/>
        <v>75647.546281709336</v>
      </c>
      <c r="I1927" s="1">
        <f t="shared" si="96"/>
        <v>4615444.174552937</v>
      </c>
      <c r="J1927" s="2">
        <f t="shared" si="97"/>
        <v>-305444.17455293704</v>
      </c>
    </row>
    <row r="1928" spans="3:10" ht="18" x14ac:dyDescent="0.45">
      <c r="C1928" s="4" t="s">
        <v>1964</v>
      </c>
      <c r="D1928" s="23">
        <v>12290</v>
      </c>
      <c r="E1928" s="4">
        <v>1461</v>
      </c>
      <c r="F1928" s="21">
        <v>4250000</v>
      </c>
      <c r="G1928" s="21">
        <f t="shared" si="95"/>
        <v>4230645.8892389797</v>
      </c>
      <c r="H1928" s="6">
        <f t="shared" si="98"/>
        <v>19354.110761020333</v>
      </c>
      <c r="I1928" s="1">
        <f t="shared" si="96"/>
        <v>4611404.0192704881</v>
      </c>
      <c r="J1928" s="2">
        <f t="shared" si="97"/>
        <v>-361404.01927048806</v>
      </c>
    </row>
    <row r="1929" spans="3:10" ht="18" x14ac:dyDescent="0.45">
      <c r="C1929" s="4" t="s">
        <v>1965</v>
      </c>
      <c r="D1929" s="23">
        <v>12420</v>
      </c>
      <c r="E1929" s="4">
        <v>1458</v>
      </c>
      <c r="F1929" s="21">
        <v>4320000</v>
      </c>
      <c r="G1929" s="21">
        <f t="shared" si="95"/>
        <v>4266574.8542584311</v>
      </c>
      <c r="H1929" s="6">
        <f t="shared" si="98"/>
        <v>53425.145741568878</v>
      </c>
      <c r="I1929" s="1">
        <f t="shared" si="96"/>
        <v>4650566.5911416905</v>
      </c>
      <c r="J1929" s="2">
        <f t="shared" si="97"/>
        <v>-330566.5911416905</v>
      </c>
    </row>
    <row r="1930" spans="3:10" ht="18" x14ac:dyDescent="0.45">
      <c r="C1930" s="4" t="s">
        <v>1966</v>
      </c>
      <c r="D1930" s="23">
        <v>12550</v>
      </c>
      <c r="E1930" s="4">
        <v>1455</v>
      </c>
      <c r="F1930" s="21">
        <v>4360000</v>
      </c>
      <c r="G1930" s="21">
        <f t="shared" si="95"/>
        <v>4302320.256084621</v>
      </c>
      <c r="H1930" s="6">
        <f t="shared" si="98"/>
        <v>57679.743915379047</v>
      </c>
      <c r="I1930" s="1">
        <f t="shared" si="96"/>
        <v>4689529.0791322375</v>
      </c>
      <c r="J1930" s="2">
        <f t="shared" si="97"/>
        <v>-329529.07913223747</v>
      </c>
    </row>
    <row r="1931" spans="3:10" ht="18" x14ac:dyDescent="0.45">
      <c r="C1931" s="4" t="s">
        <v>1967</v>
      </c>
      <c r="D1931" s="23">
        <v>12520</v>
      </c>
      <c r="E1931" s="4">
        <v>1466</v>
      </c>
      <c r="F1931" s="21">
        <v>4350000</v>
      </c>
      <c r="G1931" s="21">
        <f t="shared" si="95"/>
        <v>4324458.4478667649</v>
      </c>
      <c r="H1931" s="6">
        <f t="shared" si="98"/>
        <v>25541.552133235149</v>
      </c>
      <c r="I1931" s="1">
        <f t="shared" si="96"/>
        <v>4713659.7081747744</v>
      </c>
      <c r="J1931" s="2">
        <f t="shared" si="97"/>
        <v>-363659.70817477442</v>
      </c>
    </row>
    <row r="1932" spans="3:10" ht="18" x14ac:dyDescent="0.45">
      <c r="C1932" s="4" t="s">
        <v>1968</v>
      </c>
      <c r="D1932" s="23">
        <v>12700</v>
      </c>
      <c r="E1932" s="4">
        <v>1466</v>
      </c>
      <c r="F1932" s="21">
        <v>4420000</v>
      </c>
      <c r="G1932" s="21">
        <f t="shared" si="95"/>
        <v>4386559.2881715577</v>
      </c>
      <c r="H1932" s="6">
        <f t="shared" si="98"/>
        <v>33440.71182844229</v>
      </c>
      <c r="I1932" s="1">
        <f t="shared" si="96"/>
        <v>4781349.6241069986</v>
      </c>
      <c r="J1932" s="2">
        <f t="shared" si="97"/>
        <v>-361349.62410699856</v>
      </c>
    </row>
    <row r="1933" spans="3:10" ht="18" x14ac:dyDescent="0.45">
      <c r="C1933" s="4" t="s">
        <v>1969</v>
      </c>
      <c r="D1933" s="23">
        <v>12690</v>
      </c>
      <c r="E1933" s="4">
        <v>1458</v>
      </c>
      <c r="F1933" s="21">
        <v>4400000</v>
      </c>
      <c r="G1933" s="21">
        <f t="shared" si="95"/>
        <v>4359217.7858727453</v>
      </c>
      <c r="H1933" s="6">
        <f t="shared" si="98"/>
        <v>40782.214127254672</v>
      </c>
      <c r="I1933" s="1">
        <f t="shared" si="96"/>
        <v>4751547.3866012925</v>
      </c>
      <c r="J1933" s="2">
        <f t="shared" si="97"/>
        <v>-351547.38660129253</v>
      </c>
    </row>
    <row r="1934" spans="3:10" ht="18" x14ac:dyDescent="0.45">
      <c r="C1934" s="4" t="s">
        <v>1970</v>
      </c>
      <c r="D1934" s="23">
        <v>12680</v>
      </c>
      <c r="E1934" s="4">
        <v>1471</v>
      </c>
      <c r="F1934" s="21">
        <v>4415000</v>
      </c>
      <c r="G1934" s="21">
        <f t="shared" si="95"/>
        <v>4394579.5876925047</v>
      </c>
      <c r="H1934" s="6">
        <f t="shared" si="98"/>
        <v>20420.412307495251</v>
      </c>
      <c r="I1934" s="1">
        <f t="shared" si="96"/>
        <v>4790091.7505848305</v>
      </c>
      <c r="J1934" s="2">
        <f t="shared" si="97"/>
        <v>-375091.75058483053</v>
      </c>
    </row>
    <row r="1935" spans="3:10" ht="18" x14ac:dyDescent="0.45">
      <c r="C1935" s="4" t="s">
        <v>1971</v>
      </c>
      <c r="D1935" s="23">
        <v>12920</v>
      </c>
      <c r="E1935" s="4">
        <v>1477</v>
      </c>
      <c r="F1935" s="21">
        <v>4520000</v>
      </c>
      <c r="G1935" s="21">
        <f t="shared" si="95"/>
        <v>4495906.4703726321</v>
      </c>
      <c r="H1935" s="6">
        <f t="shared" si="98"/>
        <v>24093.529627367854</v>
      </c>
      <c r="I1935" s="1">
        <f t="shared" si="96"/>
        <v>4900538.052706169</v>
      </c>
      <c r="J1935" s="2">
        <f t="shared" si="97"/>
        <v>-380538.05270616896</v>
      </c>
    </row>
    <row r="1936" spans="3:10" ht="18" x14ac:dyDescent="0.45">
      <c r="C1936" s="4" t="s">
        <v>1972</v>
      </c>
      <c r="D1936" s="23">
        <v>13120</v>
      </c>
      <c r="E1936" s="4">
        <v>1476</v>
      </c>
      <c r="F1936" s="21">
        <v>4580000</v>
      </c>
      <c r="G1936" s="21">
        <f t="shared" si="95"/>
        <v>4562337.5193389701</v>
      </c>
      <c r="H1936" s="6">
        <f t="shared" si="98"/>
        <v>17662.480661029927</v>
      </c>
      <c r="I1936" s="1">
        <f t="shared" si="96"/>
        <v>4972947.8960794779</v>
      </c>
      <c r="J1936" s="2">
        <f t="shared" si="97"/>
        <v>-392947.89607947785</v>
      </c>
    </row>
    <row r="1937" spans="3:10" ht="18" x14ac:dyDescent="0.45">
      <c r="C1937" s="4" t="s">
        <v>1973</v>
      </c>
      <c r="D1937" s="23">
        <v>13220</v>
      </c>
      <c r="E1937" s="4">
        <v>1460</v>
      </c>
      <c r="F1937" s="21">
        <v>4620000</v>
      </c>
      <c r="G1937" s="21">
        <f t="shared" si="95"/>
        <v>4547294.7509886501</v>
      </c>
      <c r="H1937" s="6">
        <f t="shared" si="98"/>
        <v>72705.249011349864</v>
      </c>
      <c r="I1937" s="1">
        <f t="shared" si="96"/>
        <v>4956551.2785776295</v>
      </c>
      <c r="J1937" s="2">
        <f t="shared" si="97"/>
        <v>-336551.27857762948</v>
      </c>
    </row>
    <row r="1938" spans="3:10" ht="18" x14ac:dyDescent="0.45">
      <c r="C1938" s="4" t="s">
        <v>1974</v>
      </c>
      <c r="D1938" s="23">
        <v>13420</v>
      </c>
      <c r="E1938" s="4">
        <v>1460</v>
      </c>
      <c r="F1938" s="21">
        <v>4630000</v>
      </c>
      <c r="G1938" s="21">
        <f t="shared" si="95"/>
        <v>4616013.2797479331</v>
      </c>
      <c r="H1938" s="6">
        <f t="shared" si="98"/>
        <v>13986.720252066851</v>
      </c>
      <c r="I1938" s="1">
        <f t="shared" si="96"/>
        <v>5031454.474925248</v>
      </c>
      <c r="J1938" s="2">
        <f t="shared" si="97"/>
        <v>-401454.47492524795</v>
      </c>
    </row>
    <row r="1939" spans="3:10" ht="18" x14ac:dyDescent="0.45">
      <c r="C1939" s="4" t="s">
        <v>1975</v>
      </c>
      <c r="D1939" s="23">
        <v>13700</v>
      </c>
      <c r="E1939" s="4">
        <v>1461</v>
      </c>
      <c r="F1939" s="21">
        <v>4670000</v>
      </c>
      <c r="G1939" s="21">
        <f t="shared" si="95"/>
        <v>4715443.3427643627</v>
      </c>
      <c r="H1939" s="6">
        <f t="shared" si="98"/>
        <v>-45443.342764362693</v>
      </c>
      <c r="I1939" s="1">
        <f t="shared" si="96"/>
        <v>5139833.2436131556</v>
      </c>
      <c r="J1939" s="2">
        <f t="shared" si="97"/>
        <v>-469833.24361315556</v>
      </c>
    </row>
    <row r="1940" spans="3:10" ht="18" x14ac:dyDescent="0.45">
      <c r="C1940" s="4" t="s">
        <v>1976</v>
      </c>
      <c r="D1940" s="23">
        <v>13680</v>
      </c>
      <c r="E1940" s="4">
        <v>1464</v>
      </c>
      <c r="F1940" s="21">
        <v>4665000</v>
      </c>
      <c r="G1940" s="21">
        <f t="shared" si="95"/>
        <v>4718225.0311545506</v>
      </c>
      <c r="H1940" s="6">
        <f t="shared" si="98"/>
        <v>-53225.031154550612</v>
      </c>
      <c r="I1940" s="1">
        <f t="shared" si="96"/>
        <v>5142865.2839584602</v>
      </c>
      <c r="J1940" s="2">
        <f t="shared" si="97"/>
        <v>-477865.2839584602</v>
      </c>
    </row>
    <row r="1941" spans="3:10" ht="18" x14ac:dyDescent="0.45">
      <c r="C1941" s="4" t="s">
        <v>1977</v>
      </c>
      <c r="D1941" s="23">
        <v>13200</v>
      </c>
      <c r="E1941" s="4">
        <v>1466</v>
      </c>
      <c r="F1941" s="21">
        <v>4540000</v>
      </c>
      <c r="G1941" s="21">
        <f t="shared" si="95"/>
        <v>4559061.6223515403</v>
      </c>
      <c r="H1941" s="6">
        <f t="shared" si="98"/>
        <v>-19061.622351540253</v>
      </c>
      <c r="I1941" s="1">
        <f t="shared" si="96"/>
        <v>4969377.1683631791</v>
      </c>
      <c r="J1941" s="2">
        <f t="shared" si="97"/>
        <v>-429377.16836317908</v>
      </c>
    </row>
    <row r="1942" spans="3:10" ht="18" x14ac:dyDescent="0.45">
      <c r="C1942" s="4" t="s">
        <v>1978</v>
      </c>
      <c r="D1942" s="23">
        <v>12750</v>
      </c>
      <c r="E1942" s="4">
        <v>1472</v>
      </c>
      <c r="F1942" s="21">
        <v>4460000</v>
      </c>
      <c r="G1942" s="21">
        <f t="shared" si="95"/>
        <v>4421812.8347747801</v>
      </c>
      <c r="H1942" s="6">
        <f t="shared" si="98"/>
        <v>38187.165225219913</v>
      </c>
      <c r="I1942" s="1">
        <f t="shared" si="96"/>
        <v>4819775.9899045108</v>
      </c>
      <c r="J1942" s="2">
        <f t="shared" si="97"/>
        <v>-359775.98990451079</v>
      </c>
    </row>
    <row r="1943" spans="3:10" ht="18" x14ac:dyDescent="0.45">
      <c r="C1943" s="4" t="s">
        <v>1979</v>
      </c>
      <c r="D1943" s="23">
        <v>12650</v>
      </c>
      <c r="E1943" s="4">
        <v>1472</v>
      </c>
      <c r="F1943" s="21">
        <v>4390000</v>
      </c>
      <c r="G1943" s="21">
        <f t="shared" si="95"/>
        <v>4387171.1654824289</v>
      </c>
      <c r="H1943" s="6">
        <f t="shared" si="98"/>
        <v>2828.8345175711438</v>
      </c>
      <c r="I1943" s="1">
        <f t="shared" si="96"/>
        <v>4782016.5703758476</v>
      </c>
      <c r="J1943" s="2">
        <f t="shared" si="97"/>
        <v>-392016.57037584763</v>
      </c>
    </row>
    <row r="1944" spans="3:10" ht="18" x14ac:dyDescent="0.45">
      <c r="C1944" s="4" t="s">
        <v>1980</v>
      </c>
      <c r="D1944" s="23">
        <v>12640</v>
      </c>
      <c r="E1944" s="4">
        <v>1476</v>
      </c>
      <c r="F1944" s="21">
        <v>4340000</v>
      </c>
      <c r="G1944" s="21">
        <f t="shared" si="95"/>
        <v>4395605.658875349</v>
      </c>
      <c r="H1944" s="6">
        <f t="shared" si="98"/>
        <v>-55605.658875348978</v>
      </c>
      <c r="I1944" s="1">
        <f t="shared" si="96"/>
        <v>4791210.1681741308</v>
      </c>
      <c r="J1944" s="2">
        <f t="shared" si="97"/>
        <v>-451210.16817413084</v>
      </c>
    </row>
    <row r="1945" spans="3:10" ht="18" x14ac:dyDescent="0.45">
      <c r="C1945" s="4" t="s">
        <v>1981</v>
      </c>
      <c r="D1945" s="23">
        <v>12820</v>
      </c>
      <c r="E1945" s="4">
        <v>1477</v>
      </c>
      <c r="F1945" s="21">
        <v>4430000</v>
      </c>
      <c r="G1945" s="21">
        <f t="shared" si="95"/>
        <v>4461147.1323666526</v>
      </c>
      <c r="H1945" s="6">
        <f t="shared" si="98"/>
        <v>-31147.1323666526</v>
      </c>
      <c r="I1945" s="1">
        <f t="shared" si="96"/>
        <v>4862650.3742796518</v>
      </c>
      <c r="J1945" s="2">
        <f t="shared" si="97"/>
        <v>-432650.37427965179</v>
      </c>
    </row>
    <row r="1946" spans="3:10" ht="18" x14ac:dyDescent="0.45">
      <c r="C1946" s="4" t="s">
        <v>1982</v>
      </c>
      <c r="D1946" s="23">
        <v>13010</v>
      </c>
      <c r="E1946" s="4">
        <v>1479</v>
      </c>
      <c r="F1946" s="21">
        <v>4490000</v>
      </c>
      <c r="G1946" s="21">
        <f t="shared" si="95"/>
        <v>4533313.3544352632</v>
      </c>
      <c r="H1946" s="6">
        <f t="shared" si="98"/>
        <v>-43313.354435263202</v>
      </c>
      <c r="I1946" s="1">
        <f t="shared" si="96"/>
        <v>4941311.5563344369</v>
      </c>
      <c r="J1946" s="2">
        <f t="shared" si="97"/>
        <v>-451311.55633443687</v>
      </c>
    </row>
    <row r="1947" spans="3:10" ht="18" x14ac:dyDescent="0.45">
      <c r="C1947" s="4" t="s">
        <v>1983</v>
      </c>
      <c r="D1947" s="23">
        <v>12910</v>
      </c>
      <c r="E1947" s="4">
        <v>1476</v>
      </c>
      <c r="F1947" s="21">
        <v>4430000</v>
      </c>
      <c r="G1947" s="21">
        <f t="shared" si="95"/>
        <v>4489392.3303861357</v>
      </c>
      <c r="H1947" s="6">
        <f t="shared" si="98"/>
        <v>-59392.330386135727</v>
      </c>
      <c r="I1947" s="1">
        <f t="shared" si="96"/>
        <v>4893437.6401208881</v>
      </c>
      <c r="J1947" s="2">
        <f t="shared" si="97"/>
        <v>-463437.64012088813</v>
      </c>
    </row>
    <row r="1948" spans="3:10" ht="18" x14ac:dyDescent="0.45">
      <c r="C1948" s="4" t="s">
        <v>1984</v>
      </c>
      <c r="D1948" s="23">
        <v>12970</v>
      </c>
      <c r="E1948" s="4">
        <v>1478.5</v>
      </c>
      <c r="F1948" s="21">
        <v>4465000</v>
      </c>
      <c r="G1948" s="21">
        <f t="shared" si="95"/>
        <v>4517864.6290229233</v>
      </c>
      <c r="H1948" s="6">
        <f t="shared" si="98"/>
        <v>-52864.629022923298</v>
      </c>
      <c r="I1948" s="1">
        <f t="shared" si="96"/>
        <v>4924472.4456349872</v>
      </c>
      <c r="J1948" s="2">
        <f t="shared" si="97"/>
        <v>-459472.44563498721</v>
      </c>
    </row>
    <row r="1949" spans="3:10" ht="18" x14ac:dyDescent="0.45">
      <c r="C1949" s="4" t="s">
        <v>1985</v>
      </c>
      <c r="D1949" s="23">
        <v>13150</v>
      </c>
      <c r="E1949" s="4">
        <v>1478</v>
      </c>
      <c r="F1949" s="21">
        <v>4550000</v>
      </c>
      <c r="G1949" s="21">
        <f t="shared" si="95"/>
        <v>4578947.6349548269</v>
      </c>
      <c r="H1949" s="6">
        <f t="shared" si="98"/>
        <v>-28947.634954826906</v>
      </c>
      <c r="I1949" s="1">
        <f t="shared" si="96"/>
        <v>4991052.9221007619</v>
      </c>
      <c r="J1949" s="2">
        <f t="shared" si="97"/>
        <v>-441052.92210076191</v>
      </c>
    </row>
    <row r="1950" spans="3:10" ht="18" x14ac:dyDescent="0.45">
      <c r="C1950" s="4" t="s">
        <v>1986</v>
      </c>
      <c r="D1950" s="23">
        <v>13180</v>
      </c>
      <c r="E1950" s="4">
        <v>1478</v>
      </c>
      <c r="F1950" s="21">
        <v>4540000</v>
      </c>
      <c r="G1950" s="21">
        <f t="shared" si="95"/>
        <v>4589382.4964794386</v>
      </c>
      <c r="H1950" s="6">
        <f t="shared" si="98"/>
        <v>-49382.496479438618</v>
      </c>
      <c r="I1950" s="1">
        <f t="shared" si="96"/>
        <v>5002426.9211625885</v>
      </c>
      <c r="J1950" s="2">
        <f t="shared" si="97"/>
        <v>-462426.92116258852</v>
      </c>
    </row>
    <row r="1951" spans="3:10" ht="18" x14ac:dyDescent="0.45">
      <c r="C1951" s="4" t="s">
        <v>1987</v>
      </c>
      <c r="D1951" s="23">
        <v>13100</v>
      </c>
      <c r="E1951" s="4">
        <v>1482</v>
      </c>
      <c r="F1951" s="21">
        <v>4500000</v>
      </c>
      <c r="G1951" s="21">
        <f t="shared" si="95"/>
        <v>4573887.8802687833</v>
      </c>
      <c r="H1951" s="6">
        <f t="shared" si="98"/>
        <v>-73887.880268783309</v>
      </c>
      <c r="I1951" s="1">
        <f t="shared" si="96"/>
        <v>4985537.7894929741</v>
      </c>
      <c r="J1951" s="2">
        <f t="shared" si="97"/>
        <v>-485537.78949297406</v>
      </c>
    </row>
    <row r="1952" spans="3:10" ht="18" x14ac:dyDescent="0.45">
      <c r="C1952" s="4" t="s">
        <v>1988</v>
      </c>
      <c r="D1952" s="23">
        <v>13150</v>
      </c>
      <c r="E1952" s="4">
        <v>1480</v>
      </c>
      <c r="F1952" s="21">
        <v>4540000</v>
      </c>
      <c r="G1952" s="21">
        <f t="shared" si="95"/>
        <v>4585137.0092917075</v>
      </c>
      <c r="H1952" s="6">
        <f t="shared" si="98"/>
        <v>-45137.009291707538</v>
      </c>
      <c r="I1952" s="1">
        <f t="shared" si="96"/>
        <v>4997799.3401279617</v>
      </c>
      <c r="J1952" s="2">
        <f t="shared" si="97"/>
        <v>-457799.34012796171</v>
      </c>
    </row>
    <row r="1953" spans="3:10" ht="18" x14ac:dyDescent="0.45">
      <c r="C1953" s="4" t="s">
        <v>1989</v>
      </c>
      <c r="D1953" s="23">
        <v>13170</v>
      </c>
      <c r="E1953" s="4">
        <v>1500</v>
      </c>
      <c r="F1953" s="21">
        <v>4555000</v>
      </c>
      <c r="G1953" s="21">
        <f t="shared" si="95"/>
        <v>4654090.8754782481</v>
      </c>
      <c r="H1953" s="6">
        <f t="shared" si="98"/>
        <v>-99090.875478248112</v>
      </c>
      <c r="I1953" s="1">
        <f t="shared" si="96"/>
        <v>5072959.054271291</v>
      </c>
      <c r="J1953" s="2">
        <f t="shared" si="97"/>
        <v>-517959.05427129101</v>
      </c>
    </row>
    <row r="1954" spans="3:10" ht="18" x14ac:dyDescent="0.45">
      <c r="C1954" s="4" t="s">
        <v>1990</v>
      </c>
      <c r="D1954" s="23">
        <v>13190</v>
      </c>
      <c r="E1954" s="4">
        <v>1511</v>
      </c>
      <c r="F1954" s="21">
        <v>4600000</v>
      </c>
      <c r="G1954" s="21">
        <f t="shared" si="95"/>
        <v>4695296.105616821</v>
      </c>
      <c r="H1954" s="6">
        <f t="shared" si="98"/>
        <v>-95296.105616820976</v>
      </c>
      <c r="I1954" s="1">
        <f t="shared" si="96"/>
        <v>5117872.7551223356</v>
      </c>
      <c r="J1954" s="2">
        <f t="shared" si="97"/>
        <v>-517872.75512233563</v>
      </c>
    </row>
    <row r="1955" spans="3:10" ht="18" x14ac:dyDescent="0.45">
      <c r="C1955" s="4" t="s">
        <v>1991</v>
      </c>
      <c r="D1955" s="23">
        <v>13210</v>
      </c>
      <c r="E1955" s="4">
        <v>1511</v>
      </c>
      <c r="F1955" s="21">
        <v>4610000</v>
      </c>
      <c r="G1955" s="21">
        <f t="shared" si="95"/>
        <v>4702408.0026685521</v>
      </c>
      <c r="H1955" s="6">
        <f t="shared" si="98"/>
        <v>-92408.002668552101</v>
      </c>
      <c r="I1955" s="1">
        <f t="shared" si="96"/>
        <v>5125624.7229087222</v>
      </c>
      <c r="J1955" s="2">
        <f t="shared" si="97"/>
        <v>-515624.72290872224</v>
      </c>
    </row>
    <row r="1956" spans="3:10" ht="18" x14ac:dyDescent="0.45">
      <c r="C1956" s="4" t="s">
        <v>1992</v>
      </c>
      <c r="D1956" s="23">
        <v>13190</v>
      </c>
      <c r="E1956" s="4">
        <v>1511</v>
      </c>
      <c r="F1956" s="21">
        <v>4595000</v>
      </c>
      <c r="G1956" s="21">
        <f t="shared" si="95"/>
        <v>4695296.105616821</v>
      </c>
      <c r="H1956" s="6">
        <f t="shared" si="98"/>
        <v>-100296.10561682098</v>
      </c>
      <c r="I1956" s="1">
        <f t="shared" si="96"/>
        <v>5117872.7551223356</v>
      </c>
      <c r="J1956" s="2">
        <f t="shared" si="97"/>
        <v>-522872.75512233563</v>
      </c>
    </row>
    <row r="1957" spans="3:10" ht="18" x14ac:dyDescent="0.45">
      <c r="C1957" s="4" t="s">
        <v>1993</v>
      </c>
      <c r="D1957" s="23">
        <v>13140</v>
      </c>
      <c r="E1957" s="4">
        <v>1515</v>
      </c>
      <c r="F1957" s="21">
        <v>4585000</v>
      </c>
      <c r="G1957" s="21">
        <f t="shared" si="95"/>
        <v>4689885.6981641632</v>
      </c>
      <c r="H1957" s="6">
        <f t="shared" si="98"/>
        <v>-104885.69816416316</v>
      </c>
      <c r="I1957" s="1">
        <f t="shared" si="96"/>
        <v>5111975.4109989386</v>
      </c>
      <c r="J1957" s="2">
        <f t="shared" si="97"/>
        <v>-526975.41099893861</v>
      </c>
    </row>
    <row r="1958" spans="3:10" ht="18" x14ac:dyDescent="0.45">
      <c r="C1958" s="4" t="s">
        <v>1994</v>
      </c>
      <c r="D1958" s="23">
        <v>13300</v>
      </c>
      <c r="E1958" s="4">
        <v>1521</v>
      </c>
      <c r="F1958" s="21">
        <v>4675000</v>
      </c>
      <c r="G1958" s="21">
        <f t="shared" si="95"/>
        <v>4765711.417226634</v>
      </c>
      <c r="H1958" s="6">
        <f t="shared" si="98"/>
        <v>-90711.417226633988</v>
      </c>
      <c r="I1958" s="1">
        <f t="shared" si="96"/>
        <v>5194625.4447770314</v>
      </c>
      <c r="J1958" s="2">
        <f t="shared" si="97"/>
        <v>-519625.44477703143</v>
      </c>
    </row>
    <row r="1959" spans="3:10" ht="18" x14ac:dyDescent="0.45">
      <c r="C1959" s="4" t="s">
        <v>1995</v>
      </c>
      <c r="D1959" s="23">
        <v>13260</v>
      </c>
      <c r="E1959" s="4">
        <v>1517.3</v>
      </c>
      <c r="F1959" s="21">
        <v>4630000</v>
      </c>
      <c r="G1959" s="21">
        <f t="shared" si="95"/>
        <v>4739847.3632961446</v>
      </c>
      <c r="H1959" s="6">
        <f t="shared" si="98"/>
        <v>-109847.36329614464</v>
      </c>
      <c r="I1959" s="1">
        <f t="shared" si="96"/>
        <v>5166433.6259927982</v>
      </c>
      <c r="J1959" s="2">
        <f t="shared" si="97"/>
        <v>-536433.62599279825</v>
      </c>
    </row>
    <row r="1960" spans="3:10" ht="18" x14ac:dyDescent="0.45">
      <c r="C1960" s="4" t="s">
        <v>1996</v>
      </c>
      <c r="D1960" s="23">
        <v>13300</v>
      </c>
      <c r="E1960" s="4">
        <v>1523</v>
      </c>
      <c r="F1960" s="21">
        <v>4640000</v>
      </c>
      <c r="G1960" s="21">
        <f t="shared" si="95"/>
        <v>4771971.3927916922</v>
      </c>
      <c r="H1960" s="6">
        <f t="shared" si="98"/>
        <v>-131971.39279169217</v>
      </c>
      <c r="I1960" s="1">
        <f t="shared" si="96"/>
        <v>5201448.8181429449</v>
      </c>
      <c r="J1960" s="2">
        <f t="shared" si="97"/>
        <v>-561448.81814294495</v>
      </c>
    </row>
    <row r="1961" spans="3:10" ht="18" x14ac:dyDescent="0.45">
      <c r="C1961" s="4" t="s">
        <v>1997</v>
      </c>
      <c r="D1961" s="23">
        <v>13550</v>
      </c>
      <c r="E1961" s="4">
        <v>1552</v>
      </c>
      <c r="F1961" s="21">
        <v>4820000</v>
      </c>
      <c r="G1961" s="21">
        <f t="shared" si="95"/>
        <v>4954051.9602610674</v>
      </c>
      <c r="H1961" s="6">
        <f t="shared" si="98"/>
        <v>-134051.96026106738</v>
      </c>
      <c r="I1961" s="1">
        <f t="shared" si="96"/>
        <v>5399916.6366845639</v>
      </c>
      <c r="J1961" s="2">
        <f t="shared" si="97"/>
        <v>-579916.63668456394</v>
      </c>
    </row>
    <row r="1962" spans="3:10" ht="18" x14ac:dyDescent="0.45">
      <c r="C1962" s="4" t="s">
        <v>1998</v>
      </c>
      <c r="D1962" s="23">
        <v>13850</v>
      </c>
      <c r="E1962" s="4">
        <v>1552</v>
      </c>
      <c r="F1962" s="21">
        <v>5020000</v>
      </c>
      <c r="G1962" s="21">
        <f t="shared" si="95"/>
        <v>5063625.066392309</v>
      </c>
      <c r="H1962" s="6">
        <f t="shared" si="98"/>
        <v>-43625.066392309032</v>
      </c>
      <c r="I1962" s="1">
        <f t="shared" si="96"/>
        <v>5519351.3223676169</v>
      </c>
      <c r="J1962" s="2">
        <f t="shared" si="97"/>
        <v>-499351.32236761693</v>
      </c>
    </row>
    <row r="1963" spans="3:10" ht="18" x14ac:dyDescent="0.45">
      <c r="C1963" s="4" t="s">
        <v>1999</v>
      </c>
      <c r="D1963" s="23">
        <v>13950</v>
      </c>
      <c r="E1963" s="4">
        <v>1568</v>
      </c>
      <c r="F1963" s="21">
        <v>5160000</v>
      </c>
      <c r="G1963" s="21">
        <f t="shared" si="95"/>
        <v>5152676.7488666689</v>
      </c>
      <c r="H1963" s="6">
        <f t="shared" si="98"/>
        <v>7323.2511333310977</v>
      </c>
      <c r="I1963" s="1">
        <f t="shared" si="96"/>
        <v>5616417.6562646693</v>
      </c>
      <c r="J1963" s="2">
        <f t="shared" si="97"/>
        <v>-456417.65626466926</v>
      </c>
    </row>
    <row r="1964" spans="3:10" ht="18" x14ac:dyDescent="0.45">
      <c r="C1964" s="4" t="s">
        <v>2000</v>
      </c>
      <c r="D1964" s="23">
        <v>14050</v>
      </c>
      <c r="E1964" s="4">
        <v>1579</v>
      </c>
      <c r="F1964" s="21">
        <v>5050000</v>
      </c>
      <c r="G1964" s="21">
        <f t="shared" si="95"/>
        <v>5225949.0568433907</v>
      </c>
      <c r="H1964" s="6">
        <f t="shared" si="98"/>
        <v>-175949.05684339069</v>
      </c>
      <c r="I1964" s="1">
        <f t="shared" si="96"/>
        <v>5696284.4719592966</v>
      </c>
      <c r="J1964" s="2">
        <f t="shared" si="97"/>
        <v>-646284.47195929661</v>
      </c>
    </row>
    <row r="1965" spans="3:10" ht="18" x14ac:dyDescent="0.45">
      <c r="C1965" s="4" t="s">
        <v>2001</v>
      </c>
      <c r="D1965" s="23">
        <v>13450</v>
      </c>
      <c r="E1965" s="4">
        <v>1551</v>
      </c>
      <c r="F1965" s="21">
        <v>4700000</v>
      </c>
      <c r="G1965" s="21">
        <f t="shared" si="95"/>
        <v>4914362.3031540364</v>
      </c>
      <c r="H1965" s="6">
        <f t="shared" si="98"/>
        <v>-214362.3031540364</v>
      </c>
      <c r="I1965" s="1">
        <f t="shared" si="96"/>
        <v>5356654.9104378996</v>
      </c>
      <c r="J1965" s="2">
        <f t="shared" si="97"/>
        <v>-656654.91043789964</v>
      </c>
    </row>
    <row r="1966" spans="3:10" ht="18" x14ac:dyDescent="0.45">
      <c r="C1966" s="4" t="s">
        <v>2002</v>
      </c>
      <c r="D1966" s="23">
        <v>13350</v>
      </c>
      <c r="E1966" s="4">
        <v>1562</v>
      </c>
      <c r="F1966" s="21">
        <v>4720000</v>
      </c>
      <c r="G1966" s="21">
        <f t="shared" si="95"/>
        <v>4912420.7693791585</v>
      </c>
      <c r="H1966" s="6">
        <f t="shared" si="98"/>
        <v>-192420.7693791585</v>
      </c>
      <c r="I1966" s="1">
        <f t="shared" si="96"/>
        <v>5354538.6386232832</v>
      </c>
      <c r="J1966" s="2">
        <f t="shared" si="97"/>
        <v>-634538.63862328324</v>
      </c>
    </row>
    <row r="1967" spans="3:10" ht="18" x14ac:dyDescent="0.45">
      <c r="C1967" s="4" t="s">
        <v>2003</v>
      </c>
      <c r="D1967" s="23">
        <v>13400</v>
      </c>
      <c r="E1967" s="4">
        <v>1562</v>
      </c>
      <c r="F1967" s="21">
        <v>4750000</v>
      </c>
      <c r="G1967" s="21">
        <f t="shared" si="95"/>
        <v>4930800.6224479945</v>
      </c>
      <c r="H1967" s="6">
        <f t="shared" si="98"/>
        <v>-180800.62244799454</v>
      </c>
      <c r="I1967" s="1">
        <f t="shared" si="96"/>
        <v>5374572.678468314</v>
      </c>
      <c r="J1967" s="2">
        <f t="shared" si="97"/>
        <v>-624572.678468314</v>
      </c>
    </row>
    <row r="1968" spans="3:10" ht="18" x14ac:dyDescent="0.45">
      <c r="C1968" s="4" t="s">
        <v>2004</v>
      </c>
      <c r="D1968" s="23">
        <v>13430</v>
      </c>
      <c r="E1968" s="4">
        <v>1554</v>
      </c>
      <c r="F1968" s="21">
        <v>4770000</v>
      </c>
      <c r="G1968" s="21">
        <f t="shared" si="95"/>
        <v>4916543.8811047161</v>
      </c>
      <c r="H1968" s="6">
        <f t="shared" si="98"/>
        <v>-146543.8811047161</v>
      </c>
      <c r="I1968" s="1">
        <f t="shared" si="96"/>
        <v>5359032.830404141</v>
      </c>
      <c r="J1968" s="2">
        <f t="shared" si="97"/>
        <v>-589032.83040414099</v>
      </c>
    </row>
    <row r="1969" spans="3:10" ht="18" x14ac:dyDescent="0.45">
      <c r="C1969" s="4" t="s">
        <v>2005</v>
      </c>
      <c r="D1969" s="23">
        <v>13490</v>
      </c>
      <c r="E1969" s="4">
        <v>1544</v>
      </c>
      <c r="F1969" s="21">
        <v>4820000</v>
      </c>
      <c r="G1969" s="21">
        <f t="shared" ref="G1969:G2032" si="99">E1969/31.103*8.133*D1969*0.9+5000</f>
        <v>4906739.7238851553</v>
      </c>
      <c r="H1969" s="6">
        <f t="shared" si="98"/>
        <v>-86739.723885155283</v>
      </c>
      <c r="I1969" s="1">
        <f t="shared" ref="I1969:I2032" si="100">G1969*1.09</f>
        <v>5348346.2990348199</v>
      </c>
      <c r="J1969" s="2">
        <f t="shared" si="97"/>
        <v>-528346.29903481994</v>
      </c>
    </row>
    <row r="1970" spans="3:10" ht="18" x14ac:dyDescent="0.45">
      <c r="C1970" s="4" t="s">
        <v>2006</v>
      </c>
      <c r="D1970" s="23">
        <v>13550</v>
      </c>
      <c r="E1970" s="4">
        <v>1552</v>
      </c>
      <c r="F1970" s="21">
        <v>4855000</v>
      </c>
      <c r="G1970" s="21">
        <f t="shared" si="99"/>
        <v>4954051.9602610674</v>
      </c>
      <c r="H1970" s="6">
        <f t="shared" si="98"/>
        <v>-99051.960261067376</v>
      </c>
      <c r="I1970" s="1">
        <f t="shared" si="100"/>
        <v>5399916.6366845639</v>
      </c>
      <c r="J1970" s="2">
        <f t="shared" si="97"/>
        <v>-544916.63668456394</v>
      </c>
    </row>
    <row r="1971" spans="3:10" ht="18" x14ac:dyDescent="0.45">
      <c r="C1971" s="4" t="s">
        <v>2007</v>
      </c>
      <c r="D1971" s="23">
        <v>13520</v>
      </c>
      <c r="E1971" s="4">
        <v>1556</v>
      </c>
      <c r="F1971" s="21">
        <v>4900000</v>
      </c>
      <c r="G1971" s="21">
        <f t="shared" si="99"/>
        <v>4955821.6977140466</v>
      </c>
      <c r="H1971" s="6">
        <f t="shared" si="98"/>
        <v>-55821.697714046575</v>
      </c>
      <c r="I1971" s="1">
        <f t="shared" si="100"/>
        <v>5401845.6505083116</v>
      </c>
      <c r="J1971" s="2">
        <f t="shared" si="97"/>
        <v>-501845.65050831158</v>
      </c>
    </row>
    <row r="1972" spans="3:10" ht="18" x14ac:dyDescent="0.45">
      <c r="C1972" s="4" t="s">
        <v>2008</v>
      </c>
      <c r="D1972" s="23">
        <v>13450</v>
      </c>
      <c r="E1972" s="4">
        <v>1557</v>
      </c>
      <c r="F1972" s="21">
        <v>4850000</v>
      </c>
      <c r="G1972" s="21">
        <f t="shared" si="99"/>
        <v>4933354.0335337417</v>
      </c>
      <c r="H1972" s="6">
        <f t="shared" si="98"/>
        <v>-83354.03353374172</v>
      </c>
      <c r="I1972" s="1">
        <f t="shared" si="100"/>
        <v>5377355.8965517785</v>
      </c>
      <c r="J1972" s="2">
        <f t="shared" si="97"/>
        <v>-527355.89655177854</v>
      </c>
    </row>
    <row r="1973" spans="3:10" ht="18" x14ac:dyDescent="0.45">
      <c r="C1973" s="4" t="s">
        <v>2009</v>
      </c>
      <c r="D1973" s="23">
        <v>13420</v>
      </c>
      <c r="E1973" s="4">
        <v>1557</v>
      </c>
      <c r="F1973" s="21">
        <v>4840000</v>
      </c>
      <c r="G1973" s="21">
        <f t="shared" si="99"/>
        <v>4922361.4223065283</v>
      </c>
      <c r="H1973" s="6">
        <f t="shared" si="98"/>
        <v>-82361.422306528315</v>
      </c>
      <c r="I1973" s="1">
        <f t="shared" si="100"/>
        <v>5365373.9503141167</v>
      </c>
      <c r="J1973" s="2">
        <f t="shared" si="97"/>
        <v>-525373.95031411666</v>
      </c>
    </row>
    <row r="1974" spans="3:10" ht="18" x14ac:dyDescent="0.45">
      <c r="C1974" s="4" t="s">
        <v>2010</v>
      </c>
      <c r="D1974" s="23">
        <v>13490</v>
      </c>
      <c r="E1974" s="4">
        <v>1559.5</v>
      </c>
      <c r="F1974" s="21">
        <v>4880000</v>
      </c>
      <c r="G1974" s="21">
        <f t="shared" si="99"/>
        <v>4955947.6032376289</v>
      </c>
      <c r="H1974" s="6">
        <f t="shared" si="98"/>
        <v>-75947.603237628937</v>
      </c>
      <c r="I1974" s="1">
        <f t="shared" si="100"/>
        <v>5401982.8875290155</v>
      </c>
      <c r="J1974" s="2">
        <f t="shared" si="97"/>
        <v>-521982.88752901554</v>
      </c>
    </row>
    <row r="1975" spans="3:10" ht="18" x14ac:dyDescent="0.45">
      <c r="C1975" s="4" t="s">
        <v>2011</v>
      </c>
      <c r="D1975" s="23">
        <v>13450</v>
      </c>
      <c r="E1975" s="4">
        <v>1557</v>
      </c>
      <c r="F1975" s="21">
        <v>4860000</v>
      </c>
      <c r="G1975" s="21">
        <f t="shared" si="99"/>
        <v>4933354.0335337417</v>
      </c>
      <c r="H1975" s="6">
        <f t="shared" si="98"/>
        <v>-73354.03353374172</v>
      </c>
      <c r="I1975" s="1">
        <f t="shared" si="100"/>
        <v>5377355.8965517785</v>
      </c>
      <c r="J1975" s="2">
        <f t="shared" ref="J1975:J1985" si="101">F1975-I1975</f>
        <v>-517355.89655177854</v>
      </c>
    </row>
    <row r="1976" spans="3:10" ht="18" x14ac:dyDescent="0.45">
      <c r="C1976" s="4" t="s">
        <v>2012</v>
      </c>
      <c r="D1976" s="23">
        <v>13470</v>
      </c>
      <c r="E1976" s="4">
        <v>1556</v>
      </c>
      <c r="F1976" s="21">
        <v>4875000</v>
      </c>
      <c r="G1976" s="21">
        <f t="shared" si="99"/>
        <v>4937512.4458733881</v>
      </c>
      <c r="H1976" s="6">
        <f t="shared" si="98"/>
        <v>-62512.445873388089</v>
      </c>
      <c r="I1976" s="1">
        <f t="shared" si="100"/>
        <v>5381888.5660019936</v>
      </c>
      <c r="J1976" s="2">
        <f t="shared" si="101"/>
        <v>-506888.5660019936</v>
      </c>
    </row>
    <row r="1977" spans="3:10" ht="18" x14ac:dyDescent="0.45">
      <c r="C1977" s="4" t="s">
        <v>2013</v>
      </c>
      <c r="D1977" s="23">
        <v>13530</v>
      </c>
      <c r="E1977" s="4">
        <v>1555</v>
      </c>
      <c r="F1977" s="21">
        <v>4890000</v>
      </c>
      <c r="G1977" s="21">
        <f t="shared" si="99"/>
        <v>4956299.4326913795</v>
      </c>
      <c r="H1977" s="6">
        <f t="shared" si="98"/>
        <v>-66299.43269137945</v>
      </c>
      <c r="I1977" s="1">
        <f t="shared" si="100"/>
        <v>5402366.3816336039</v>
      </c>
      <c r="J1977" s="2">
        <f t="shared" si="101"/>
        <v>-512366.38163360395</v>
      </c>
    </row>
    <row r="1978" spans="3:10" ht="18" x14ac:dyDescent="0.45">
      <c r="C1978" s="4" t="s">
        <v>2014</v>
      </c>
      <c r="D1978" s="23">
        <v>13510</v>
      </c>
      <c r="E1978" s="4">
        <v>1559</v>
      </c>
      <c r="F1978" s="21">
        <v>4920000</v>
      </c>
      <c r="G1978" s="21">
        <f t="shared" si="99"/>
        <v>4961698.0732726734</v>
      </c>
      <c r="H1978" s="6">
        <f t="shared" si="98"/>
        <v>-41698.073272673413</v>
      </c>
      <c r="I1978" s="1">
        <f t="shared" si="100"/>
        <v>5408250.8998672143</v>
      </c>
      <c r="J1978" s="2">
        <f t="shared" si="101"/>
        <v>-488250.89986721426</v>
      </c>
    </row>
    <row r="1979" spans="3:10" ht="18" x14ac:dyDescent="0.45">
      <c r="C1979" s="4" t="s">
        <v>2015</v>
      </c>
      <c r="D1979" s="23">
        <v>13540</v>
      </c>
      <c r="E1979" s="4">
        <v>1571.4</v>
      </c>
      <c r="F1979" s="21">
        <v>4950000</v>
      </c>
      <c r="G1979" s="21">
        <f t="shared" si="99"/>
        <v>5012217.0174324019</v>
      </c>
      <c r="H1979" s="6">
        <f t="shared" si="98"/>
        <v>-62217.017432401888</v>
      </c>
      <c r="I1979" s="1">
        <f t="shared" si="100"/>
        <v>5463316.5490013184</v>
      </c>
      <c r="J1979" s="2">
        <f t="shared" si="101"/>
        <v>-513316.5490013184</v>
      </c>
    </row>
    <row r="1980" spans="3:10" ht="18" x14ac:dyDescent="0.45">
      <c r="C1980" s="4" t="s">
        <v>2016</v>
      </c>
      <c r="D1980" s="23">
        <v>13580</v>
      </c>
      <c r="E1980" s="4">
        <v>1584</v>
      </c>
      <c r="F1980" s="21">
        <v>5010000</v>
      </c>
      <c r="G1980" s="21">
        <f t="shared" si="99"/>
        <v>5067277.5032633506</v>
      </c>
      <c r="H1980" s="6">
        <f t="shared" si="98"/>
        <v>-57277.503263350576</v>
      </c>
      <c r="I1980" s="1">
        <f t="shared" si="100"/>
        <v>5523332.4785570521</v>
      </c>
      <c r="J1980" s="2">
        <f t="shared" si="101"/>
        <v>-513332.47855705209</v>
      </c>
    </row>
    <row r="1981" spans="3:10" ht="18" x14ac:dyDescent="0.45">
      <c r="C1981" s="4" t="s">
        <v>2017</v>
      </c>
      <c r="D1981" s="23">
        <v>13710</v>
      </c>
      <c r="E1981" s="4">
        <v>1574</v>
      </c>
      <c r="F1981" s="21">
        <v>5025000</v>
      </c>
      <c r="G1981" s="21">
        <f t="shared" si="99"/>
        <v>5083473.4250072325</v>
      </c>
      <c r="H1981" s="6">
        <f t="shared" si="98"/>
        <v>-58473.425007232465</v>
      </c>
      <c r="I1981" s="1">
        <f t="shared" si="100"/>
        <v>5540986.033257884</v>
      </c>
      <c r="J1981" s="2">
        <f t="shared" si="101"/>
        <v>-515986.03325788397</v>
      </c>
    </row>
    <row r="1982" spans="3:10" ht="18" x14ac:dyDescent="0.45">
      <c r="C1982" s="4" t="s">
        <v>2018</v>
      </c>
      <c r="D1982" s="23">
        <v>13720</v>
      </c>
      <c r="E1982" s="4">
        <v>1581</v>
      </c>
      <c r="F1982" s="21">
        <v>5040000</v>
      </c>
      <c r="G1982" s="21">
        <f t="shared" si="99"/>
        <v>5109779.4426261121</v>
      </c>
      <c r="H1982" s="6">
        <f t="shared" si="98"/>
        <v>-69779.442626112141</v>
      </c>
      <c r="I1982" s="1">
        <f t="shared" si="100"/>
        <v>5569659.5924624624</v>
      </c>
      <c r="J1982" s="2">
        <f t="shared" si="101"/>
        <v>-529659.59246246237</v>
      </c>
    </row>
    <row r="1983" spans="3:10" ht="18" x14ac:dyDescent="0.45">
      <c r="C1983" s="4" t="s">
        <v>2019</v>
      </c>
      <c r="D1983" s="23">
        <v>13630</v>
      </c>
      <c r="E1983" s="4">
        <v>1589</v>
      </c>
      <c r="F1983" s="21">
        <v>5020000</v>
      </c>
      <c r="G1983" s="21">
        <f t="shared" si="99"/>
        <v>5101954.4731697896</v>
      </c>
      <c r="H1983" s="6">
        <f t="shared" si="98"/>
        <v>-81954.47316978965</v>
      </c>
      <c r="I1983" s="1">
        <f t="shared" si="100"/>
        <v>5561130.3757550707</v>
      </c>
      <c r="J1983" s="2">
        <f t="shared" si="101"/>
        <v>-541130.37575507071</v>
      </c>
    </row>
    <row r="1984" spans="3:10" ht="18" x14ac:dyDescent="0.45">
      <c r="C1984" s="4" t="s">
        <v>2020</v>
      </c>
      <c r="D1984" s="23">
        <v>13495</v>
      </c>
      <c r="E1984" s="4">
        <v>1589</v>
      </c>
      <c r="F1984" s="21">
        <v>4960000</v>
      </c>
      <c r="G1984" s="21">
        <f t="shared" si="99"/>
        <v>5051471.0649615787</v>
      </c>
      <c r="H1984" s="6">
        <f t="shared" si="98"/>
        <v>-91471.064961578697</v>
      </c>
      <c r="I1984" s="1">
        <f t="shared" si="100"/>
        <v>5506103.4608081216</v>
      </c>
      <c r="J1984" s="2">
        <f t="shared" si="101"/>
        <v>-546103.4608081216</v>
      </c>
    </row>
    <row r="1985" spans="3:10" ht="18" x14ac:dyDescent="0.45">
      <c r="C1985" s="4" t="s">
        <v>2021</v>
      </c>
      <c r="D1985" s="23">
        <v>13600</v>
      </c>
      <c r="E1985" s="4">
        <v>1579</v>
      </c>
      <c r="F1985" s="21">
        <v>4998000</v>
      </c>
      <c r="G1985" s="21">
        <f t="shared" si="99"/>
        <v>5058730.0479053464</v>
      </c>
      <c r="H1985" s="6">
        <f t="shared" si="98"/>
        <v>-60730.047905346379</v>
      </c>
      <c r="I1985" s="1">
        <f t="shared" si="100"/>
        <v>5514015.7522168281</v>
      </c>
      <c r="J1985" s="2">
        <f t="shared" si="101"/>
        <v>-516015.75221682806</v>
      </c>
    </row>
    <row r="1986" spans="3:10" ht="18" x14ac:dyDescent="0.45">
      <c r="C1986" s="4" t="s">
        <v>2022</v>
      </c>
      <c r="D1986" s="23">
        <v>13630</v>
      </c>
      <c r="E1986" s="4">
        <v>1567</v>
      </c>
      <c r="F1986" s="21">
        <v>4975000</v>
      </c>
      <c r="G1986" s="21">
        <f t="shared" si="99"/>
        <v>5031386.1922322605</v>
      </c>
      <c r="H1986" s="6">
        <f t="shared" ref="H1986:H2049" si="102">F:F-G:G</f>
        <v>-56386.192232260481</v>
      </c>
      <c r="I1986" s="1">
        <f t="shared" si="100"/>
        <v>5484210.9495331645</v>
      </c>
      <c r="J1986" s="2">
        <f>F1986-I1986</f>
        <v>-509210.9495331645</v>
      </c>
    </row>
    <row r="1987" spans="3:10" ht="18" x14ac:dyDescent="0.45">
      <c r="C1987" s="4" t="s">
        <v>2023</v>
      </c>
      <c r="D1987" s="23">
        <v>13595</v>
      </c>
      <c r="E1987" s="4">
        <v>1554</v>
      </c>
      <c r="F1987" s="21">
        <v>4945000</v>
      </c>
      <c r="G1987" s="21">
        <f t="shared" si="99"/>
        <v>4976886.7508278936</v>
      </c>
      <c r="H1987" s="6">
        <f t="shared" si="102"/>
        <v>-31886.750827893615</v>
      </c>
      <c r="I1987" s="1">
        <f t="shared" si="100"/>
        <v>5424806.5584024042</v>
      </c>
      <c r="J1987" s="2">
        <f t="shared" ref="J1987:J2048" si="103">F1987-I1987</f>
        <v>-479806.55840240419</v>
      </c>
    </row>
    <row r="1988" spans="3:10" ht="18" x14ac:dyDescent="0.45">
      <c r="C1988" s="4" t="s">
        <v>2024</v>
      </c>
      <c r="D1988" s="23">
        <v>13650</v>
      </c>
      <c r="E1988" s="4">
        <v>1565</v>
      </c>
      <c r="F1988" s="21">
        <v>4965000</v>
      </c>
      <c r="G1988" s="21">
        <f t="shared" si="99"/>
        <v>5032336.9554383811</v>
      </c>
      <c r="H1988" s="6">
        <f t="shared" si="102"/>
        <v>-67336.955438381061</v>
      </c>
      <c r="I1988" s="1">
        <f t="shared" si="100"/>
        <v>5485247.281427836</v>
      </c>
      <c r="J1988" s="2">
        <f t="shared" si="103"/>
        <v>-520247.28142783605</v>
      </c>
    </row>
    <row r="1989" spans="3:10" ht="18" x14ac:dyDescent="0.45">
      <c r="C1989" s="4" t="s">
        <v>2025</v>
      </c>
      <c r="D1989" s="23">
        <v>13740</v>
      </c>
      <c r="E1989" s="4">
        <v>1570</v>
      </c>
      <c r="F1989" s="21">
        <v>5030000</v>
      </c>
      <c r="G1989" s="21">
        <f t="shared" si="99"/>
        <v>5081651.9133202583</v>
      </c>
      <c r="H1989" s="6">
        <f t="shared" si="102"/>
        <v>-51651.91332025826</v>
      </c>
      <c r="I1989" s="1">
        <f t="shared" si="100"/>
        <v>5539000.5855190819</v>
      </c>
      <c r="J1989" s="2">
        <f t="shared" si="103"/>
        <v>-509000.58551908191</v>
      </c>
    </row>
    <row r="1990" spans="3:10" ht="18" x14ac:dyDescent="0.45">
      <c r="C1990" s="4" t="s">
        <v>2026</v>
      </c>
      <c r="D1990" s="23">
        <v>13890</v>
      </c>
      <c r="E1990" s="4">
        <v>1570</v>
      </c>
      <c r="F1990" s="21">
        <v>5070000</v>
      </c>
      <c r="G1990" s="21">
        <f t="shared" si="99"/>
        <v>5137073.8774394747</v>
      </c>
      <c r="H1990" s="6">
        <f t="shared" si="102"/>
        <v>-67073.877439474687</v>
      </c>
      <c r="I1990" s="1">
        <f t="shared" si="100"/>
        <v>5599410.5264090281</v>
      </c>
      <c r="J1990" s="2">
        <f t="shared" si="103"/>
        <v>-529410.5264090281</v>
      </c>
    </row>
    <row r="1991" spans="3:10" ht="18" x14ac:dyDescent="0.45">
      <c r="C1991" s="4" t="s">
        <v>2027</v>
      </c>
      <c r="D1991" s="23">
        <v>13940</v>
      </c>
      <c r="E1991" s="4">
        <v>1572</v>
      </c>
      <c r="F1991" s="21">
        <v>5080000</v>
      </c>
      <c r="G1991" s="21">
        <f t="shared" si="99"/>
        <v>5162109.0729511613</v>
      </c>
      <c r="H1991" s="6">
        <f t="shared" si="102"/>
        <v>-82109.072951161303</v>
      </c>
      <c r="I1991" s="1">
        <f t="shared" si="100"/>
        <v>5626698.8895167662</v>
      </c>
      <c r="J1991" s="2">
        <f t="shared" si="103"/>
        <v>-546698.88951676618</v>
      </c>
    </row>
    <row r="1992" spans="3:10" ht="18" x14ac:dyDescent="0.45">
      <c r="C1992" s="4" t="s">
        <v>2028</v>
      </c>
      <c r="D1992" s="23">
        <v>13990</v>
      </c>
      <c r="E1992" s="4">
        <v>1566</v>
      </c>
      <c r="F1992" s="21">
        <v>5115000</v>
      </c>
      <c r="G1992" s="21">
        <f t="shared" si="99"/>
        <v>5160852.3710896047</v>
      </c>
      <c r="H1992" s="6">
        <f t="shared" si="102"/>
        <v>-45852.371089604683</v>
      </c>
      <c r="I1992" s="1">
        <f t="shared" si="100"/>
        <v>5625329.0844876692</v>
      </c>
      <c r="J1992" s="2">
        <f t="shared" si="103"/>
        <v>-510329.08448766917</v>
      </c>
    </row>
    <row r="1993" spans="3:10" ht="18" x14ac:dyDescent="0.45">
      <c r="C1993" s="4" t="s">
        <v>2029</v>
      </c>
      <c r="D1993" s="23">
        <v>13940</v>
      </c>
      <c r="E1993" s="4">
        <v>1574</v>
      </c>
      <c r="F1993" s="21">
        <v>5075000</v>
      </c>
      <c r="G1993" s="21">
        <f t="shared" si="99"/>
        <v>5168670.2804231094</v>
      </c>
      <c r="H1993" s="6">
        <f t="shared" si="102"/>
        <v>-93670.28042310942</v>
      </c>
      <c r="I1993" s="1">
        <f t="shared" si="100"/>
        <v>5633850.6056611901</v>
      </c>
      <c r="J1993" s="2">
        <f t="shared" si="103"/>
        <v>-558850.60566119011</v>
      </c>
    </row>
    <row r="1994" spans="3:10" ht="18" x14ac:dyDescent="0.45">
      <c r="C1994" s="4" t="s">
        <v>2030</v>
      </c>
      <c r="D1994" s="23">
        <v>14050</v>
      </c>
      <c r="E1994" s="4">
        <v>1584</v>
      </c>
      <c r="F1994" s="21">
        <v>5175000</v>
      </c>
      <c r="G1994" s="21">
        <f t="shared" si="99"/>
        <v>5242481.5111082532</v>
      </c>
      <c r="H1994" s="6">
        <f t="shared" si="102"/>
        <v>-67481.511108253151</v>
      </c>
      <c r="I1994" s="1">
        <f t="shared" si="100"/>
        <v>5714304.8471079962</v>
      </c>
      <c r="J1994" s="2">
        <f t="shared" si="103"/>
        <v>-539304.84710799623</v>
      </c>
    </row>
    <row r="1995" spans="3:10" ht="18" x14ac:dyDescent="0.45">
      <c r="C1995" s="4" t="s">
        <v>2031</v>
      </c>
      <c r="D1995" s="23">
        <v>14050</v>
      </c>
      <c r="E1995" s="4">
        <v>1584.1</v>
      </c>
      <c r="F1995" s="21">
        <v>5165000</v>
      </c>
      <c r="G1995" s="21">
        <f t="shared" si="99"/>
        <v>5242812.1601935485</v>
      </c>
      <c r="H1995" s="6">
        <f t="shared" si="102"/>
        <v>-77812.160193548538</v>
      </c>
      <c r="I1995" s="1">
        <f t="shared" si="100"/>
        <v>5714665.2546109688</v>
      </c>
      <c r="J1995" s="2">
        <f t="shared" si="103"/>
        <v>-549665.25461096875</v>
      </c>
    </row>
    <row r="1996" spans="3:10" ht="18" x14ac:dyDescent="0.45">
      <c r="C1996" s="4" t="s">
        <v>2032</v>
      </c>
      <c r="D1996" s="23">
        <v>14250</v>
      </c>
      <c r="E1996" s="4">
        <v>1584.3</v>
      </c>
      <c r="F1996" s="21">
        <v>5230000</v>
      </c>
      <c r="G1996" s="21">
        <f t="shared" si="99"/>
        <v>5318042.4755650572</v>
      </c>
      <c r="H1996" s="6">
        <f t="shared" si="102"/>
        <v>-88042.475565057248</v>
      </c>
      <c r="I1996" s="1">
        <f t="shared" si="100"/>
        <v>5796666.2983659124</v>
      </c>
      <c r="J1996" s="2">
        <f t="shared" si="103"/>
        <v>-566666.2983659124</v>
      </c>
    </row>
    <row r="1997" spans="3:10" ht="18" x14ac:dyDescent="0.45">
      <c r="C1997" s="4" t="s">
        <v>2033</v>
      </c>
      <c r="D1997" s="23">
        <v>14440</v>
      </c>
      <c r="E1997" s="4">
        <v>1587</v>
      </c>
      <c r="F1997" s="21">
        <v>5250000</v>
      </c>
      <c r="G1997" s="21">
        <f t="shared" si="99"/>
        <v>5398058.3775198525</v>
      </c>
      <c r="H1997" s="6">
        <f t="shared" si="102"/>
        <v>-148058.37751985248</v>
      </c>
      <c r="I1997" s="1">
        <f t="shared" si="100"/>
        <v>5883883.6314966399</v>
      </c>
      <c r="J1997" s="2">
        <f t="shared" si="103"/>
        <v>-633883.63149663992</v>
      </c>
    </row>
    <row r="1998" spans="3:10" ht="18" x14ac:dyDescent="0.45">
      <c r="C1998" s="4" t="s">
        <v>2034</v>
      </c>
      <c r="D1998" s="23">
        <v>14380</v>
      </c>
      <c r="E1998" s="4">
        <v>1608</v>
      </c>
      <c r="F1998" s="21">
        <v>5330000</v>
      </c>
      <c r="G1998" s="21">
        <f t="shared" si="99"/>
        <v>5446716.7439796804</v>
      </c>
      <c r="H1998" s="6">
        <f t="shared" si="102"/>
        <v>-116716.74397968035</v>
      </c>
      <c r="I1998" s="1">
        <f t="shared" si="100"/>
        <v>5936921.2509378521</v>
      </c>
      <c r="J1998" s="2">
        <f t="shared" si="103"/>
        <v>-606921.25093785208</v>
      </c>
    </row>
    <row r="1999" spans="3:10" ht="18" x14ac:dyDescent="0.45">
      <c r="C1999" s="4" t="s">
        <v>2035</v>
      </c>
      <c r="D1999" s="23">
        <v>14390</v>
      </c>
      <c r="E1999" s="4">
        <v>1618.5</v>
      </c>
      <c r="F1999" s="21">
        <v>5370000</v>
      </c>
      <c r="G1999" s="21">
        <f t="shared" si="99"/>
        <v>5486059.278381506</v>
      </c>
      <c r="H1999" s="6">
        <f t="shared" si="102"/>
        <v>-116059.27838150598</v>
      </c>
      <c r="I1999" s="1">
        <f t="shared" si="100"/>
        <v>5979804.6134358421</v>
      </c>
      <c r="J1999" s="2">
        <f t="shared" si="103"/>
        <v>-609804.6134358421</v>
      </c>
    </row>
    <row r="2000" spans="3:10" ht="18" x14ac:dyDescent="0.45">
      <c r="C2000" s="4" t="s">
        <v>2036</v>
      </c>
      <c r="D2000" s="23">
        <v>15150</v>
      </c>
      <c r="E2000" s="4">
        <v>1643</v>
      </c>
      <c r="F2000" s="21">
        <v>5880000</v>
      </c>
      <c r="G2000" s="21">
        <f t="shared" si="99"/>
        <v>5862889.8037166828</v>
      </c>
      <c r="H2000" s="6">
        <f t="shared" si="102"/>
        <v>17110.196283317171</v>
      </c>
      <c r="I2000" s="1">
        <f t="shared" si="100"/>
        <v>6390549.8860511845</v>
      </c>
      <c r="J2000" s="2">
        <f t="shared" si="103"/>
        <v>-510549.8860511845</v>
      </c>
    </row>
    <row r="2001" spans="3:10" ht="18" x14ac:dyDescent="0.45">
      <c r="C2001" s="4" t="s">
        <v>2037</v>
      </c>
      <c r="D2001" s="23">
        <v>15350</v>
      </c>
      <c r="E2001" s="4">
        <v>1643</v>
      </c>
      <c r="F2001" s="21">
        <v>5850000</v>
      </c>
      <c r="G2001" s="21">
        <f t="shared" si="99"/>
        <v>5940221.6823136033</v>
      </c>
      <c r="H2001" s="6">
        <f t="shared" si="102"/>
        <v>-90221.682313603349</v>
      </c>
      <c r="I2001" s="1">
        <f t="shared" si="100"/>
        <v>6474841.6337218285</v>
      </c>
      <c r="J2001" s="2">
        <f t="shared" si="103"/>
        <v>-624841.63372182846</v>
      </c>
    </row>
    <row r="2002" spans="3:10" ht="18" x14ac:dyDescent="0.45">
      <c r="C2002" s="4" t="s">
        <v>2038</v>
      </c>
      <c r="D2002" s="23">
        <v>15500</v>
      </c>
      <c r="E2002" s="4">
        <v>1654</v>
      </c>
      <c r="F2002" s="21">
        <v>6080000</v>
      </c>
      <c r="G2002" s="21">
        <f t="shared" si="99"/>
        <v>6038345.6226087511</v>
      </c>
      <c r="H2002" s="6">
        <f t="shared" si="102"/>
        <v>41654.377391248941</v>
      </c>
      <c r="I2002" s="1">
        <f t="shared" si="100"/>
        <v>6581796.7286435394</v>
      </c>
      <c r="J2002" s="2">
        <f t="shared" si="103"/>
        <v>-501796.72864353936</v>
      </c>
    </row>
    <row r="2003" spans="3:10" ht="18" x14ac:dyDescent="0.45">
      <c r="C2003" s="4" t="s">
        <v>2039</v>
      </c>
      <c r="D2003" s="23">
        <v>15600</v>
      </c>
      <c r="E2003" s="4">
        <v>1650</v>
      </c>
      <c r="F2003" s="21">
        <v>5990000</v>
      </c>
      <c r="G2003" s="21">
        <f t="shared" si="99"/>
        <v>6062585.3776163058</v>
      </c>
      <c r="H2003" s="6">
        <f t="shared" si="102"/>
        <v>-72585.377616305836</v>
      </c>
      <c r="I2003" s="1">
        <f t="shared" si="100"/>
        <v>6608218.0616017738</v>
      </c>
      <c r="J2003" s="2">
        <f t="shared" si="103"/>
        <v>-618218.06160177384</v>
      </c>
    </row>
    <row r="2004" spans="3:10" ht="18" x14ac:dyDescent="0.45">
      <c r="C2004" s="4" t="s">
        <v>2040</v>
      </c>
      <c r="D2004" s="23">
        <v>15700</v>
      </c>
      <c r="E2004" s="4">
        <v>1645</v>
      </c>
      <c r="F2004" s="21">
        <v>6100000</v>
      </c>
      <c r="G2004" s="21">
        <f t="shared" si="99"/>
        <v>6082942.0650741076</v>
      </c>
      <c r="H2004" s="6">
        <f t="shared" si="102"/>
        <v>17057.93492589239</v>
      </c>
      <c r="I2004" s="1">
        <f t="shared" si="100"/>
        <v>6630406.8509307774</v>
      </c>
      <c r="J2004" s="2">
        <f t="shared" si="103"/>
        <v>-530406.85093077738</v>
      </c>
    </row>
    <row r="2005" spans="3:10" ht="18" x14ac:dyDescent="0.45">
      <c r="C2005" s="4" t="s">
        <v>2041</v>
      </c>
      <c r="D2005" s="23">
        <v>15710</v>
      </c>
      <c r="E2005" s="4">
        <v>1650</v>
      </c>
      <c r="F2005" s="21">
        <v>6020000</v>
      </c>
      <c r="G2005" s="21">
        <f t="shared" si="99"/>
        <v>6105299.1206636</v>
      </c>
      <c r="H2005" s="6">
        <f t="shared" si="102"/>
        <v>-85299.120663600042</v>
      </c>
      <c r="I2005" s="1">
        <f t="shared" si="100"/>
        <v>6654776.0415233243</v>
      </c>
      <c r="J2005" s="2">
        <f t="shared" si="103"/>
        <v>-634776.04152332433</v>
      </c>
    </row>
    <row r="2006" spans="3:10" ht="18" x14ac:dyDescent="0.45">
      <c r="C2006" s="4" t="s">
        <v>2042</v>
      </c>
      <c r="D2006" s="23">
        <v>14900</v>
      </c>
      <c r="E2006" s="4">
        <v>1586</v>
      </c>
      <c r="F2006" s="21">
        <v>5650000</v>
      </c>
      <c r="G2006" s="21">
        <f t="shared" si="99"/>
        <v>5566352.8785004662</v>
      </c>
      <c r="H2006" s="6">
        <f t="shared" si="102"/>
        <v>83647.121499533765</v>
      </c>
      <c r="I2006" s="1">
        <f t="shared" si="100"/>
        <v>6067324.6375655085</v>
      </c>
      <c r="J2006" s="2">
        <f t="shared" si="103"/>
        <v>-417324.63756550848</v>
      </c>
    </row>
    <row r="2007" spans="3:10" ht="18" x14ac:dyDescent="0.45">
      <c r="C2007" s="4" t="s">
        <v>2043</v>
      </c>
      <c r="D2007" s="23">
        <v>15450</v>
      </c>
      <c r="E2007" s="4">
        <v>1586</v>
      </c>
      <c r="F2007" s="21">
        <v>5900000</v>
      </c>
      <c r="G2007" s="21">
        <f t="shared" si="99"/>
        <v>5771637.7162974635</v>
      </c>
      <c r="H2007" s="6">
        <f t="shared" si="102"/>
        <v>128362.28370253649</v>
      </c>
      <c r="I2007" s="1">
        <f t="shared" si="100"/>
        <v>6291085.1107642353</v>
      </c>
      <c r="J2007" s="2">
        <f t="shared" si="103"/>
        <v>-391085.11076423526</v>
      </c>
    </row>
    <row r="2008" spans="3:10" ht="18" x14ac:dyDescent="0.45">
      <c r="C2008" s="4" t="s">
        <v>2044</v>
      </c>
      <c r="D2008" s="23">
        <v>15420</v>
      </c>
      <c r="E2008" s="4">
        <v>1598</v>
      </c>
      <c r="F2008" s="21">
        <v>5930000</v>
      </c>
      <c r="G2008" s="21">
        <f t="shared" si="99"/>
        <v>5803987.1990483226</v>
      </c>
      <c r="H2008" s="6">
        <f t="shared" si="102"/>
        <v>126012.80095167737</v>
      </c>
      <c r="I2008" s="1">
        <f t="shared" si="100"/>
        <v>6326346.0469626719</v>
      </c>
      <c r="J2008" s="2">
        <f t="shared" si="103"/>
        <v>-396346.04696267191</v>
      </c>
    </row>
    <row r="2009" spans="3:10" ht="18" x14ac:dyDescent="0.45">
      <c r="C2009" s="4" t="s">
        <v>2045</v>
      </c>
      <c r="D2009" s="23">
        <v>15300</v>
      </c>
      <c r="E2009" s="4">
        <v>1605</v>
      </c>
      <c r="F2009" s="21">
        <v>5770000</v>
      </c>
      <c r="G2009" s="21">
        <f t="shared" si="99"/>
        <v>5784063.5324566746</v>
      </c>
      <c r="H2009" s="6">
        <f t="shared" si="102"/>
        <v>-14063.532456674613</v>
      </c>
      <c r="I2009" s="1">
        <f t="shared" si="100"/>
        <v>6304629.2503777761</v>
      </c>
      <c r="J2009" s="2">
        <f t="shared" si="103"/>
        <v>-534629.2503777761</v>
      </c>
    </row>
    <row r="2010" spans="3:10" ht="18" x14ac:dyDescent="0.45">
      <c r="C2010" s="4" t="s">
        <v>2046</v>
      </c>
      <c r="D2010" s="23">
        <v>15400</v>
      </c>
      <c r="E2010" s="4">
        <v>1647</v>
      </c>
      <c r="F2010" s="21">
        <v>5900000</v>
      </c>
      <c r="G2010" s="21">
        <f t="shared" si="99"/>
        <v>5974051.4374819146</v>
      </c>
      <c r="H2010" s="6">
        <f t="shared" si="102"/>
        <v>-74051.437481914647</v>
      </c>
      <c r="I2010" s="1">
        <f t="shared" si="100"/>
        <v>6511716.0668552872</v>
      </c>
      <c r="J2010" s="2">
        <f t="shared" si="103"/>
        <v>-611716.06685528718</v>
      </c>
    </row>
    <row r="2011" spans="3:10" ht="18" x14ac:dyDescent="0.45">
      <c r="C2011" s="4" t="s">
        <v>2047</v>
      </c>
      <c r="D2011" s="23">
        <v>15280</v>
      </c>
      <c r="E2011" s="4">
        <v>1652</v>
      </c>
      <c r="F2011" s="21">
        <v>5870000</v>
      </c>
      <c r="G2011" s="21">
        <f t="shared" si="99"/>
        <v>5945519.1278011752</v>
      </c>
      <c r="H2011" s="6">
        <f t="shared" si="102"/>
        <v>-75519.127801175229</v>
      </c>
      <c r="I2011" s="1">
        <f t="shared" si="100"/>
        <v>6480615.8493032819</v>
      </c>
      <c r="J2011" s="2">
        <f t="shared" si="103"/>
        <v>-610615.84930328187</v>
      </c>
    </row>
    <row r="2012" spans="3:10" ht="18" x14ac:dyDescent="0.45">
      <c r="C2012" s="4" t="s">
        <v>2048</v>
      </c>
      <c r="D2012" s="23">
        <v>15300</v>
      </c>
      <c r="E2012" s="4">
        <v>1675</v>
      </c>
      <c r="F2012" s="21">
        <v>6000000</v>
      </c>
      <c r="G2012" s="21">
        <f t="shared" si="99"/>
        <v>6036109.9170498019</v>
      </c>
      <c r="H2012" s="6">
        <f t="shared" si="102"/>
        <v>-36109.917049801908</v>
      </c>
      <c r="I2012" s="1">
        <f t="shared" si="100"/>
        <v>6579359.8095842842</v>
      </c>
      <c r="J2012" s="2">
        <f t="shared" si="103"/>
        <v>-579359.8095842842</v>
      </c>
    </row>
    <row r="2013" spans="3:10" ht="18" x14ac:dyDescent="0.45">
      <c r="C2013" s="4" t="s">
        <v>2049</v>
      </c>
      <c r="D2013" s="23">
        <v>15490</v>
      </c>
      <c r="E2013" s="4">
        <v>1672</v>
      </c>
      <c r="F2013" s="21">
        <v>6120000</v>
      </c>
      <c r="G2013" s="21">
        <f t="shared" si="99"/>
        <v>6100069.9230299322</v>
      </c>
      <c r="H2013" s="6">
        <f t="shared" si="102"/>
        <v>19930.076970067807</v>
      </c>
      <c r="I2013" s="1">
        <f t="shared" si="100"/>
        <v>6649076.2161026262</v>
      </c>
      <c r="J2013" s="2">
        <f t="shared" si="103"/>
        <v>-529076.21610262617</v>
      </c>
    </row>
    <row r="2014" spans="3:10" ht="18" x14ac:dyDescent="0.45">
      <c r="C2014" s="4" t="s">
        <v>2050</v>
      </c>
      <c r="D2014" s="23">
        <v>15430</v>
      </c>
      <c r="E2014" s="4">
        <v>1664</v>
      </c>
      <c r="F2014" s="21">
        <v>6050000</v>
      </c>
      <c r="G2014" s="21">
        <f t="shared" si="99"/>
        <v>6047410.8203067211</v>
      </c>
      <c r="H2014" s="6">
        <f t="shared" si="102"/>
        <v>2589.1796932788566</v>
      </c>
      <c r="I2014" s="1">
        <f t="shared" si="100"/>
        <v>6591677.7941343263</v>
      </c>
      <c r="J2014" s="2">
        <f t="shared" si="103"/>
        <v>-541677.79413432628</v>
      </c>
    </row>
    <row r="2015" spans="3:10" ht="18" x14ac:dyDescent="0.45">
      <c r="C2015" s="4" t="s">
        <v>2051</v>
      </c>
      <c r="D2015" s="23">
        <v>15380</v>
      </c>
      <c r="E2015" s="4">
        <v>1668</v>
      </c>
      <c r="F2015" s="21">
        <v>6030000</v>
      </c>
      <c r="G2015" s="21">
        <f t="shared" si="99"/>
        <v>6042308.7048837719</v>
      </c>
      <c r="H2015" s="6">
        <f t="shared" si="102"/>
        <v>-12308.704883771949</v>
      </c>
      <c r="I2015" s="1">
        <f t="shared" si="100"/>
        <v>6586116.4883233123</v>
      </c>
      <c r="J2015" s="2">
        <f t="shared" si="103"/>
        <v>-556116.48832331225</v>
      </c>
    </row>
    <row r="2016" spans="3:10" ht="18" x14ac:dyDescent="0.45">
      <c r="C2016" s="4" t="s">
        <v>2052</v>
      </c>
      <c r="D2016" s="23">
        <v>15350</v>
      </c>
      <c r="E2016" s="4">
        <v>1613</v>
      </c>
      <c r="F2016" s="21">
        <v>6000000</v>
      </c>
      <c r="G2016" s="21">
        <f t="shared" si="99"/>
        <v>5831848.7970613763</v>
      </c>
      <c r="H2016" s="6">
        <f t="shared" si="102"/>
        <v>168151.20293862373</v>
      </c>
      <c r="I2016" s="1">
        <f t="shared" si="100"/>
        <v>6356715.1887969002</v>
      </c>
      <c r="J2016" s="2">
        <f t="shared" si="103"/>
        <v>-356715.18879690021</v>
      </c>
    </row>
    <row r="2017" spans="3:10" ht="18" x14ac:dyDescent="0.45">
      <c r="C2017" s="4" t="s">
        <v>2053</v>
      </c>
      <c r="D2017" s="23">
        <v>15495</v>
      </c>
      <c r="E2017" s="4">
        <v>1529</v>
      </c>
      <c r="F2017" s="21">
        <v>5920000</v>
      </c>
      <c r="G2017" s="21">
        <f t="shared" si="99"/>
        <v>5580580.2026653374</v>
      </c>
      <c r="H2017" s="6">
        <f t="shared" si="102"/>
        <v>339419.79733466264</v>
      </c>
      <c r="I2017" s="1">
        <f t="shared" si="100"/>
        <v>6082832.4209052185</v>
      </c>
      <c r="J2017" s="2">
        <f t="shared" si="103"/>
        <v>-162832.42090521846</v>
      </c>
    </row>
    <row r="2018" spans="3:10" ht="18" x14ac:dyDescent="0.45">
      <c r="C2018" s="4" t="s">
        <v>2054</v>
      </c>
      <c r="D2018" s="23">
        <v>15630</v>
      </c>
      <c r="E2018" s="4">
        <v>1529</v>
      </c>
      <c r="F2018" s="21">
        <v>6020000</v>
      </c>
      <c r="G2018" s="21">
        <f t="shared" si="99"/>
        <v>5629157.3777127592</v>
      </c>
      <c r="H2018" s="6">
        <f t="shared" si="102"/>
        <v>390842.62228724081</v>
      </c>
      <c r="I2018" s="1">
        <f t="shared" si="100"/>
        <v>6135781.5417069076</v>
      </c>
      <c r="J2018" s="2">
        <f t="shared" si="103"/>
        <v>-115781.54170690756</v>
      </c>
    </row>
    <row r="2019" spans="3:10" ht="18" x14ac:dyDescent="0.45">
      <c r="C2019" s="4" t="s">
        <v>2055</v>
      </c>
      <c r="D2019" s="23">
        <v>15800</v>
      </c>
      <c r="E2019" s="4">
        <v>1473</v>
      </c>
      <c r="F2019" s="21">
        <v>6040000</v>
      </c>
      <c r="G2019" s="21">
        <f t="shared" si="99"/>
        <v>5482102.0795421656</v>
      </c>
      <c r="H2019" s="6">
        <f t="shared" si="102"/>
        <v>557897.92045783438</v>
      </c>
      <c r="I2019" s="1">
        <f t="shared" si="100"/>
        <v>5975491.2667009607</v>
      </c>
      <c r="J2019" s="2">
        <f t="shared" si="103"/>
        <v>64508.733299039304</v>
      </c>
    </row>
    <row r="2020" spans="3:10" ht="18" x14ac:dyDescent="0.45">
      <c r="C2020" s="4" t="s">
        <v>2056</v>
      </c>
      <c r="D2020" s="23">
        <v>16000</v>
      </c>
      <c r="E2020" s="4">
        <v>1487</v>
      </c>
      <c r="F2020" s="21">
        <v>6100000</v>
      </c>
      <c r="G2020" s="21">
        <f t="shared" si="99"/>
        <v>5604148.0693180719</v>
      </c>
      <c r="H2020" s="6">
        <f t="shared" si="102"/>
        <v>495851.93068192806</v>
      </c>
      <c r="I2020" s="1">
        <f t="shared" si="100"/>
        <v>6108521.3955566986</v>
      </c>
      <c r="J2020" s="2">
        <f>F2020-I2020</f>
        <v>-8521.3955566985533</v>
      </c>
    </row>
    <row r="2021" spans="3:10" ht="18" x14ac:dyDescent="0.45">
      <c r="C2021" s="4" t="s">
        <v>2057</v>
      </c>
      <c r="D2021" s="23">
        <v>16100</v>
      </c>
      <c r="E2021" s="4">
        <v>1503</v>
      </c>
      <c r="F2021" s="21">
        <v>6020000</v>
      </c>
      <c r="G2021" s="21">
        <f t="shared" si="99"/>
        <v>5699765.6660129251</v>
      </c>
      <c r="H2021" s="6">
        <f t="shared" si="102"/>
        <v>320234.3339870749</v>
      </c>
      <c r="I2021" s="1">
        <f t="shared" si="100"/>
        <v>6212744.5759540889</v>
      </c>
      <c r="J2021" s="2">
        <f t="shared" si="103"/>
        <v>-192744.57595408894</v>
      </c>
    </row>
    <row r="2022" spans="3:10" ht="18" x14ac:dyDescent="0.45">
      <c r="C2022" s="4" t="s">
        <v>2058</v>
      </c>
      <c r="D2022" s="23">
        <v>15880</v>
      </c>
      <c r="E2022" s="4">
        <v>1605</v>
      </c>
      <c r="F2022" s="21">
        <v>6085000</v>
      </c>
      <c r="G2022" s="21">
        <f t="shared" si="99"/>
        <v>6003139.1434909804</v>
      </c>
      <c r="H2022" s="6">
        <f t="shared" si="102"/>
        <v>81860.856509019621</v>
      </c>
      <c r="I2022" s="1">
        <f t="shared" si="100"/>
        <v>6543421.6664051693</v>
      </c>
      <c r="J2022" s="2">
        <f t="shared" si="103"/>
        <v>-458421.66640516929</v>
      </c>
    </row>
    <row r="2023" spans="3:10" ht="18" x14ac:dyDescent="0.45">
      <c r="C2023" s="4" t="s">
        <v>2059</v>
      </c>
      <c r="D2023" s="23">
        <v>15930</v>
      </c>
      <c r="E2023" s="4">
        <v>1613</v>
      </c>
      <c r="F2023" s="21">
        <v>6110000</v>
      </c>
      <c r="G2023" s="21">
        <f t="shared" si="99"/>
        <v>6052016.3737581577</v>
      </c>
      <c r="H2023" s="6">
        <f t="shared" si="102"/>
        <v>57983.626241842285</v>
      </c>
      <c r="I2023" s="1">
        <f t="shared" si="100"/>
        <v>6596697.8473963924</v>
      </c>
      <c r="J2023" s="2">
        <f t="shared" si="103"/>
        <v>-486697.84739639238</v>
      </c>
    </row>
    <row r="2024" spans="3:10" ht="18" x14ac:dyDescent="0.45">
      <c r="C2024" s="4" t="s">
        <v>2060</v>
      </c>
      <c r="D2024" s="23">
        <v>15950</v>
      </c>
      <c r="E2024" s="4">
        <v>1619</v>
      </c>
      <c r="F2024" s="21">
        <v>6180000</v>
      </c>
      <c r="G2024" s="21">
        <f t="shared" si="99"/>
        <v>6082130.1509500686</v>
      </c>
      <c r="H2024" s="6">
        <f t="shared" si="102"/>
        <v>97869.849049931392</v>
      </c>
      <c r="I2024" s="1">
        <f t="shared" si="100"/>
        <v>6629521.8645355757</v>
      </c>
      <c r="J2024" s="2">
        <f t="shared" si="103"/>
        <v>-449521.86453557573</v>
      </c>
    </row>
    <row r="2025" spans="3:10" ht="18" x14ac:dyDescent="0.45">
      <c r="C2025" s="4" t="s">
        <v>2061</v>
      </c>
      <c r="D2025" s="23">
        <v>16200</v>
      </c>
      <c r="E2025" s="4">
        <v>1631</v>
      </c>
      <c r="F2025" s="21">
        <v>6245000</v>
      </c>
      <c r="G2025" s="21">
        <f t="shared" si="99"/>
        <v>6223132.5704915924</v>
      </c>
      <c r="H2025" s="6">
        <f t="shared" si="102"/>
        <v>21867.4295084076</v>
      </c>
      <c r="I2025" s="1">
        <f t="shared" si="100"/>
        <v>6783214.5018358361</v>
      </c>
      <c r="J2025" s="2">
        <f t="shared" si="103"/>
        <v>-538214.5018358361</v>
      </c>
    </row>
    <row r="2026" spans="3:10" ht="18" x14ac:dyDescent="0.45">
      <c r="C2026" s="4" t="s">
        <v>2062</v>
      </c>
      <c r="D2026" s="23">
        <v>16400</v>
      </c>
      <c r="E2026" s="4">
        <v>1631</v>
      </c>
      <c r="F2026" s="21">
        <v>6280000</v>
      </c>
      <c r="G2026" s="21">
        <f t="shared" si="99"/>
        <v>6299899.6392630935</v>
      </c>
      <c r="H2026" s="6">
        <f t="shared" si="102"/>
        <v>-19899.639263093472</v>
      </c>
      <c r="I2026" s="1">
        <f t="shared" si="100"/>
        <v>6866890.6067967722</v>
      </c>
      <c r="J2026" s="2">
        <f t="shared" si="103"/>
        <v>-586890.60679677222</v>
      </c>
    </row>
    <row r="2027" spans="3:10" ht="18" x14ac:dyDescent="0.45">
      <c r="C2027" s="4" t="s">
        <v>2063</v>
      </c>
      <c r="D2027" s="23">
        <v>16480</v>
      </c>
      <c r="E2027" s="4">
        <v>1623</v>
      </c>
      <c r="F2027" s="21">
        <v>6350000</v>
      </c>
      <c r="G2027" s="21">
        <f t="shared" si="99"/>
        <v>6299579.5803620219</v>
      </c>
      <c r="H2027" s="6">
        <f t="shared" si="102"/>
        <v>50420.419637978077</v>
      </c>
      <c r="I2027" s="1">
        <f t="shared" si="100"/>
        <v>6866541.7425946044</v>
      </c>
      <c r="J2027" s="2">
        <f t="shared" si="103"/>
        <v>-516541.74259460438</v>
      </c>
    </row>
    <row r="2028" spans="3:10" ht="18" x14ac:dyDescent="0.45">
      <c r="C2028" s="4" t="s">
        <v>2064</v>
      </c>
      <c r="D2028" s="23">
        <v>16500</v>
      </c>
      <c r="E2028" s="4">
        <v>1593</v>
      </c>
      <c r="F2028" s="21">
        <v>6350000</v>
      </c>
      <c r="G2028" s="21">
        <f t="shared" si="99"/>
        <v>6190726.6067581903</v>
      </c>
      <c r="H2028" s="6">
        <f t="shared" si="102"/>
        <v>159273.39324180968</v>
      </c>
      <c r="I2028" s="1">
        <f t="shared" si="100"/>
        <v>6747892.0013664281</v>
      </c>
      <c r="J2028" s="2">
        <f t="shared" si="103"/>
        <v>-397892.0013664281</v>
      </c>
    </row>
    <row r="2029" spans="3:10" ht="18" x14ac:dyDescent="0.45">
      <c r="C2029" s="4" t="s">
        <v>2065</v>
      </c>
      <c r="D2029" s="23">
        <v>16350</v>
      </c>
      <c r="E2029" s="4">
        <v>1618</v>
      </c>
      <c r="F2029" s="21">
        <v>6380000</v>
      </c>
      <c r="G2029" s="21">
        <f t="shared" si="99"/>
        <v>6230686.9019065676</v>
      </c>
      <c r="H2029" s="6">
        <f t="shared" si="102"/>
        <v>149313.09809343237</v>
      </c>
      <c r="I2029" s="1">
        <f t="shared" si="100"/>
        <v>6791448.7230781596</v>
      </c>
      <c r="J2029" s="2">
        <f t="shared" si="103"/>
        <v>-411448.72307815962</v>
      </c>
    </row>
    <row r="2030" spans="3:10" ht="18" x14ac:dyDescent="0.45">
      <c r="C2030" s="4" t="s">
        <v>2066</v>
      </c>
      <c r="D2030" s="23">
        <v>16440</v>
      </c>
      <c r="E2030" s="4">
        <v>1618</v>
      </c>
      <c r="F2030" s="21">
        <v>6520000</v>
      </c>
      <c r="G2030" s="21">
        <f t="shared" si="99"/>
        <v>6264956.7380638514</v>
      </c>
      <c r="H2030" s="6">
        <f t="shared" si="102"/>
        <v>255043.26193614863</v>
      </c>
      <c r="I2030" s="1">
        <f t="shared" si="100"/>
        <v>6828802.8444895986</v>
      </c>
      <c r="J2030" s="2">
        <f t="shared" si="103"/>
        <v>-308802.84448959865</v>
      </c>
    </row>
    <row r="2031" spans="3:10" ht="18" x14ac:dyDescent="0.45">
      <c r="C2031" s="4" t="s">
        <v>2067</v>
      </c>
      <c r="D2031" s="23">
        <v>16375</v>
      </c>
      <c r="E2031" s="4">
        <v>1638</v>
      </c>
      <c r="F2031" s="21">
        <v>6470000</v>
      </c>
      <c r="G2031" s="21">
        <f t="shared" si="99"/>
        <v>6317279.3082660837</v>
      </c>
      <c r="H2031" s="6">
        <f t="shared" si="102"/>
        <v>152720.69173391629</v>
      </c>
      <c r="I2031" s="1">
        <f t="shared" si="100"/>
        <v>6885834.4460100317</v>
      </c>
      <c r="J2031" s="2">
        <f t="shared" si="103"/>
        <v>-415834.44601003174</v>
      </c>
    </row>
    <row r="2032" spans="3:10" ht="18" x14ac:dyDescent="0.45">
      <c r="C2032" s="4" t="s">
        <v>2068</v>
      </c>
      <c r="D2032" s="23">
        <v>16180</v>
      </c>
      <c r="E2032" s="4">
        <v>1657</v>
      </c>
      <c r="F2032" s="21">
        <v>6450000</v>
      </c>
      <c r="G2032" s="21">
        <f t="shared" si="99"/>
        <v>6314457.6125132618</v>
      </c>
      <c r="H2032" s="6">
        <f t="shared" si="102"/>
        <v>135542.38748673815</v>
      </c>
      <c r="I2032" s="1">
        <f t="shared" si="100"/>
        <v>6882758.7976394556</v>
      </c>
      <c r="J2032" s="2">
        <f t="shared" si="103"/>
        <v>-432758.79763945565</v>
      </c>
    </row>
    <row r="2033" spans="3:16" ht="18" x14ac:dyDescent="0.45">
      <c r="C2033" s="4" t="s">
        <v>2069</v>
      </c>
      <c r="D2033" s="23">
        <v>16100</v>
      </c>
      <c r="E2033" s="4">
        <v>1648</v>
      </c>
      <c r="F2033" s="21">
        <v>6400000</v>
      </c>
      <c r="G2033" s="21">
        <f t="shared" ref="G2033:G2096" si="104">E2033/31.103*8.133*D2033*0.9+5000</f>
        <v>6249160.8899463061</v>
      </c>
      <c r="H2033" s="6">
        <f t="shared" si="102"/>
        <v>150839.11005369388</v>
      </c>
      <c r="I2033" s="1">
        <f t="shared" ref="I2033:I2096" si="105">G2033*1.09</f>
        <v>6811585.3700414738</v>
      </c>
      <c r="J2033" s="2">
        <f t="shared" si="103"/>
        <v>-411585.37004147377</v>
      </c>
    </row>
    <row r="2034" spans="3:16" ht="18" x14ac:dyDescent="0.45">
      <c r="C2034" s="4" t="s">
        <v>2070</v>
      </c>
      <c r="D2034" s="23">
        <v>16140</v>
      </c>
      <c r="E2034" s="4">
        <v>1683.6</v>
      </c>
      <c r="F2034" s="21">
        <v>6480000</v>
      </c>
      <c r="G2034" s="21">
        <f t="shared" si="104"/>
        <v>6399895.4534546491</v>
      </c>
      <c r="H2034" s="6">
        <f t="shared" si="102"/>
        <v>80104.546545350924</v>
      </c>
      <c r="I2034" s="1">
        <f t="shared" si="105"/>
        <v>6975886.0442655683</v>
      </c>
      <c r="J2034" s="2">
        <f t="shared" si="103"/>
        <v>-495886.04426556826</v>
      </c>
    </row>
    <row r="2035" spans="3:16" ht="18" x14ac:dyDescent="0.45">
      <c r="C2035" s="4" t="s">
        <v>2071</v>
      </c>
      <c r="D2035" s="23">
        <v>16250</v>
      </c>
      <c r="E2035" s="4">
        <v>1683.6</v>
      </c>
      <c r="F2035" s="21">
        <v>6570000</v>
      </c>
      <c r="G2035" s="21">
        <f t="shared" si="104"/>
        <v>6443479.0036330884</v>
      </c>
      <c r="H2035" s="6">
        <f t="shared" si="102"/>
        <v>126520.99636691157</v>
      </c>
      <c r="I2035" s="1">
        <f t="shared" si="105"/>
        <v>7023392.1139600668</v>
      </c>
      <c r="J2035" s="2">
        <f t="shared" si="103"/>
        <v>-453392.11396006681</v>
      </c>
    </row>
    <row r="2036" spans="3:16" ht="18" x14ac:dyDescent="0.45">
      <c r="C2036" s="4" t="s">
        <v>2072</v>
      </c>
      <c r="D2036" s="23">
        <v>16100</v>
      </c>
      <c r="E2036" s="4">
        <v>1690</v>
      </c>
      <c r="F2036" s="21">
        <v>6480000</v>
      </c>
      <c r="G2036" s="21">
        <f t="shared" si="104"/>
        <v>6408296.0582580445</v>
      </c>
      <c r="H2036" s="6">
        <f t="shared" si="102"/>
        <v>71703.941741955467</v>
      </c>
      <c r="I2036" s="1">
        <f t="shared" si="105"/>
        <v>6985042.7035012692</v>
      </c>
      <c r="J2036" s="2">
        <f t="shared" si="103"/>
        <v>-505042.70350126922</v>
      </c>
    </row>
    <row r="2037" spans="3:16" ht="18" x14ac:dyDescent="0.45">
      <c r="C2037" s="4" t="s">
        <v>2073</v>
      </c>
      <c r="D2037" s="23">
        <v>16030</v>
      </c>
      <c r="E2037" s="4">
        <v>1721</v>
      </c>
      <c r="F2037" s="21">
        <v>6490000</v>
      </c>
      <c r="G2037" s="21">
        <f t="shared" si="104"/>
        <v>6497401.8683406748</v>
      </c>
      <c r="H2037" s="6">
        <f t="shared" si="102"/>
        <v>-7401.8683406747878</v>
      </c>
      <c r="I2037" s="1">
        <f t="shared" si="105"/>
        <v>7082168.0364913363</v>
      </c>
      <c r="J2037" s="2">
        <f t="shared" si="103"/>
        <v>-592168.0364913363</v>
      </c>
    </row>
    <row r="2038" spans="3:16" ht="18" x14ac:dyDescent="0.45">
      <c r="C2038" s="4" t="s">
        <v>2074</v>
      </c>
      <c r="D2038" s="23">
        <v>15990</v>
      </c>
      <c r="E2038" s="4">
        <v>1721</v>
      </c>
      <c r="F2038" s="21">
        <v>6485000</v>
      </c>
      <c r="G2038" s="21">
        <f t="shared" si="104"/>
        <v>6481201.2398482459</v>
      </c>
      <c r="H2038" s="6">
        <f t="shared" si="102"/>
        <v>3798.7601517541334</v>
      </c>
      <c r="I2038" s="1">
        <f t="shared" si="105"/>
        <v>7064509.3514345884</v>
      </c>
      <c r="J2038" s="2">
        <f t="shared" si="103"/>
        <v>-579509.35143458843</v>
      </c>
    </row>
    <row r="2039" spans="3:16" ht="18" x14ac:dyDescent="0.45">
      <c r="C2039" s="4" t="s">
        <v>2075</v>
      </c>
      <c r="D2039" s="23">
        <v>15840</v>
      </c>
      <c r="E2039" s="4">
        <v>1732</v>
      </c>
      <c r="F2039" s="21">
        <v>6405000</v>
      </c>
      <c r="G2039" s="21">
        <f t="shared" si="104"/>
        <v>6461454.0763270417</v>
      </c>
      <c r="H2039" s="6">
        <f t="shared" si="102"/>
        <v>-56454.076327041723</v>
      </c>
      <c r="I2039" s="1">
        <f t="shared" si="105"/>
        <v>7042984.9431964764</v>
      </c>
      <c r="J2039" s="2">
        <f t="shared" si="103"/>
        <v>-637984.94319647644</v>
      </c>
    </row>
    <row r="2040" spans="3:16" ht="18" x14ac:dyDescent="0.45">
      <c r="C2040" s="4" t="s">
        <v>2076</v>
      </c>
      <c r="D2040" s="23">
        <v>15580</v>
      </c>
      <c r="E2040" s="4">
        <v>1685</v>
      </c>
      <c r="F2040" s="21">
        <v>6290000</v>
      </c>
      <c r="G2040" s="21">
        <f t="shared" si="104"/>
        <v>6183148.7416004874</v>
      </c>
      <c r="H2040" s="6">
        <f t="shared" si="102"/>
        <v>106851.25839951262</v>
      </c>
      <c r="I2040" s="1">
        <f t="shared" si="105"/>
        <v>6739632.1283445321</v>
      </c>
      <c r="J2040" s="2">
        <f t="shared" si="103"/>
        <v>-449632.1283445321</v>
      </c>
    </row>
    <row r="2041" spans="3:16" ht="18" x14ac:dyDescent="0.45">
      <c r="C2041" s="4" t="s">
        <v>2077</v>
      </c>
      <c r="D2041" s="23">
        <v>15590</v>
      </c>
      <c r="E2041" s="4">
        <v>1685</v>
      </c>
      <c r="F2041" s="21">
        <v>6280000</v>
      </c>
      <c r="G2041" s="21">
        <f t="shared" si="104"/>
        <v>6187114.1772497818</v>
      </c>
      <c r="H2041" s="6">
        <f t="shared" si="102"/>
        <v>92885.822750218213</v>
      </c>
      <c r="I2041" s="1">
        <f t="shared" si="105"/>
        <v>6743954.4532022625</v>
      </c>
      <c r="J2041" s="2">
        <f t="shared" si="103"/>
        <v>-463954.45320226252</v>
      </c>
    </row>
    <row r="2042" spans="3:16" ht="18" x14ac:dyDescent="0.45">
      <c r="C2042" s="4" t="s">
        <v>2078</v>
      </c>
      <c r="D2042" s="23">
        <v>15630</v>
      </c>
      <c r="E2042" s="4">
        <v>1684</v>
      </c>
      <c r="F2042" s="21">
        <v>6220000</v>
      </c>
      <c r="G2042" s="21">
        <f t="shared" si="104"/>
        <v>6199297.5958589194</v>
      </c>
      <c r="H2042" s="6">
        <f t="shared" si="102"/>
        <v>20702.404141080566</v>
      </c>
      <c r="I2042" s="1">
        <f t="shared" si="105"/>
        <v>6757234.3794862228</v>
      </c>
      <c r="J2042" s="2">
        <f t="shared" si="103"/>
        <v>-537234.37948622275</v>
      </c>
    </row>
    <row r="2043" spans="3:16" ht="18" x14ac:dyDescent="0.45">
      <c r="C2043" s="4" t="s">
        <v>2079</v>
      </c>
      <c r="D2043" s="23">
        <v>16000</v>
      </c>
      <c r="E2043" s="4">
        <v>1669</v>
      </c>
      <c r="F2043" s="21">
        <v>6260000</v>
      </c>
      <c r="G2043" s="21">
        <f t="shared" si="104"/>
        <v>6289450.6574928453</v>
      </c>
      <c r="H2043" s="6">
        <f t="shared" si="102"/>
        <v>-29450.657492845319</v>
      </c>
      <c r="I2043" s="1">
        <f t="shared" si="105"/>
        <v>6855501.2166672023</v>
      </c>
      <c r="J2043" s="2">
        <f t="shared" si="103"/>
        <v>-595501.2166672023</v>
      </c>
    </row>
    <row r="2044" spans="3:16" ht="18" x14ac:dyDescent="0.45">
      <c r="C2044" s="4" t="s">
        <v>2080</v>
      </c>
      <c r="D2044" s="23">
        <v>16230</v>
      </c>
      <c r="E2044" s="4">
        <v>1701</v>
      </c>
      <c r="F2044" s="21">
        <v>6405000</v>
      </c>
      <c r="G2044" s="21">
        <f t="shared" si="104"/>
        <v>6502014.4819149273</v>
      </c>
      <c r="H2044" s="6">
        <f t="shared" si="102"/>
        <v>-97014.481914927252</v>
      </c>
      <c r="I2044" s="1">
        <f t="shared" si="105"/>
        <v>7087195.7852872713</v>
      </c>
      <c r="J2044" s="2">
        <f t="shared" si="103"/>
        <v>-682195.78528727125</v>
      </c>
    </row>
    <row r="2045" spans="3:16" ht="18" x14ac:dyDescent="0.45">
      <c r="C2045" s="4" t="s">
        <v>2081</v>
      </c>
      <c r="D2045" s="23">
        <v>16280</v>
      </c>
      <c r="E2045" s="4">
        <v>1731</v>
      </c>
      <c r="F2045" s="21">
        <v>6495000</v>
      </c>
      <c r="G2045" s="21">
        <f t="shared" si="104"/>
        <v>6636968.7295759246</v>
      </c>
      <c r="H2045" s="6">
        <f t="shared" si="102"/>
        <v>-141968.72957592458</v>
      </c>
      <c r="I2045" s="1">
        <f t="shared" si="105"/>
        <v>7234295.9152377583</v>
      </c>
      <c r="J2045" s="2">
        <f t="shared" si="103"/>
        <v>-739295.91523775831</v>
      </c>
    </row>
    <row r="2046" spans="3:16" ht="19.5" x14ac:dyDescent="0.5">
      <c r="C2046" s="4" t="s">
        <v>2082</v>
      </c>
      <c r="D2046" s="23">
        <v>16030</v>
      </c>
      <c r="E2046" s="4">
        <v>1731</v>
      </c>
      <c r="F2046" s="21">
        <v>6425000</v>
      </c>
      <c r="G2046" s="21">
        <f t="shared" si="104"/>
        <v>6535126.457930102</v>
      </c>
      <c r="H2046" s="6">
        <f t="shared" si="102"/>
        <v>-110126.45793010201</v>
      </c>
      <c r="I2046" s="1">
        <f t="shared" si="105"/>
        <v>7123287.8391438117</v>
      </c>
      <c r="J2046" s="2">
        <f t="shared" si="103"/>
        <v>-698287.83914381173</v>
      </c>
      <c r="M2046" s="4"/>
      <c r="N2046" s="22"/>
      <c r="O2046" s="22"/>
      <c r="P2046" s="4">
        <v>1731</v>
      </c>
    </row>
    <row r="2047" spans="3:16" ht="19.5" x14ac:dyDescent="0.5">
      <c r="C2047" s="4" t="s">
        <v>2083</v>
      </c>
      <c r="D2047" s="23">
        <v>16030</v>
      </c>
      <c r="E2047" s="4">
        <v>1731</v>
      </c>
      <c r="F2047" s="21">
        <v>6490000</v>
      </c>
      <c r="G2047" s="21">
        <f t="shared" si="104"/>
        <v>6535126.457930102</v>
      </c>
      <c r="H2047" s="6">
        <f t="shared" si="102"/>
        <v>-45126.457930102013</v>
      </c>
      <c r="I2047" s="1">
        <f t="shared" si="105"/>
        <v>7123287.8391438117</v>
      </c>
      <c r="J2047" s="2">
        <f t="shared" si="103"/>
        <v>-633287.83914381173</v>
      </c>
      <c r="M2047" s="4"/>
      <c r="N2047" s="22"/>
      <c r="O2047" s="22"/>
      <c r="P2047" s="4">
        <v>1718</v>
      </c>
    </row>
    <row r="2048" spans="3:16" ht="19.5" x14ac:dyDescent="0.5">
      <c r="C2048" s="4" t="s">
        <v>2084</v>
      </c>
      <c r="D2048" s="23">
        <v>16000</v>
      </c>
      <c r="E2048" s="4">
        <v>1718</v>
      </c>
      <c r="F2048" s="21">
        <v>6470000</v>
      </c>
      <c r="G2048" s="21">
        <f t="shared" si="104"/>
        <v>6473955.2004629774</v>
      </c>
      <c r="H2048" s="6">
        <f t="shared" si="102"/>
        <v>-3955.2004629774019</v>
      </c>
      <c r="I2048" s="1">
        <f t="shared" si="105"/>
        <v>7056611.168504646</v>
      </c>
      <c r="J2048" s="2">
        <f t="shared" si="103"/>
        <v>-586611.16850464605</v>
      </c>
      <c r="M2048" s="4"/>
      <c r="N2048" s="22"/>
      <c r="O2048" s="22"/>
      <c r="P2048" s="4">
        <v>1712</v>
      </c>
    </row>
    <row r="2049" spans="3:16" ht="19.5" x14ac:dyDescent="0.5">
      <c r="C2049" s="4" t="s">
        <v>2085</v>
      </c>
      <c r="D2049" s="23">
        <v>16030</v>
      </c>
      <c r="E2049" s="4">
        <v>1712</v>
      </c>
      <c r="F2049" s="21">
        <v>6460000</v>
      </c>
      <c r="G2049" s="21">
        <f t="shared" si="104"/>
        <v>6463449.7377101872</v>
      </c>
      <c r="H2049" s="6">
        <f t="shared" si="102"/>
        <v>-3449.7377101872116</v>
      </c>
      <c r="I2049" s="1">
        <f t="shared" si="105"/>
        <v>7045160.2141041048</v>
      </c>
      <c r="J2049" s="2">
        <f>F2049-I2049</f>
        <v>-585160.21410410479</v>
      </c>
      <c r="M2049" s="4"/>
      <c r="N2049" s="22"/>
      <c r="O2049" s="22"/>
      <c r="P2049" s="4">
        <v>1707</v>
      </c>
    </row>
    <row r="2050" spans="3:16" ht="19.5" x14ac:dyDescent="0.5">
      <c r="C2050" s="4" t="s">
        <v>2086</v>
      </c>
      <c r="D2050" s="23">
        <v>16230</v>
      </c>
      <c r="E2050" s="4">
        <v>1707</v>
      </c>
      <c r="F2050" s="4">
        <v>6485000</v>
      </c>
      <c r="G2050" s="21">
        <f t="shared" si="104"/>
        <v>6524931.640581294</v>
      </c>
      <c r="H2050" s="6">
        <f t="shared" ref="H2050:H2113" si="106">F:F-G:G</f>
        <v>-39931.640581293963</v>
      </c>
      <c r="I2050" s="1">
        <f t="shared" si="105"/>
        <v>7112175.488233611</v>
      </c>
      <c r="J2050" s="2">
        <f t="shared" ref="J2050:J2113" si="107">F2050-I2050</f>
        <v>-627175.48823361099</v>
      </c>
      <c r="M2050" s="4"/>
      <c r="N2050" s="22"/>
      <c r="O2050" s="22"/>
      <c r="P2050" s="4">
        <v>1715</v>
      </c>
    </row>
    <row r="2051" spans="3:16" ht="19.5" x14ac:dyDescent="0.5">
      <c r="C2051" s="4" t="s">
        <v>2087</v>
      </c>
      <c r="D2051" s="23">
        <v>16100</v>
      </c>
      <c r="E2051" s="4">
        <v>1715</v>
      </c>
      <c r="F2051" s="4">
        <v>6470000</v>
      </c>
      <c r="G2051" s="21">
        <f t="shared" si="104"/>
        <v>6503019.3727293173</v>
      </c>
      <c r="H2051" s="6">
        <f t="shared" si="106"/>
        <v>-33019.372729317285</v>
      </c>
      <c r="I2051" s="1">
        <f t="shared" si="105"/>
        <v>7088291.1162749566</v>
      </c>
      <c r="J2051" s="2">
        <f t="shared" si="107"/>
        <v>-618291.11627495661</v>
      </c>
      <c r="M2051" s="4"/>
      <c r="N2051" s="22"/>
      <c r="O2051" s="22"/>
      <c r="P2051" s="4">
        <v>1684</v>
      </c>
    </row>
    <row r="2052" spans="3:16" ht="19.5" x14ac:dyDescent="0.5">
      <c r="C2052" s="4" t="s">
        <v>2088</v>
      </c>
      <c r="D2052" s="23">
        <v>16030</v>
      </c>
      <c r="E2052" s="4">
        <v>1684</v>
      </c>
      <c r="F2052" s="4">
        <v>6395000</v>
      </c>
      <c r="G2052" s="21">
        <f t="shared" si="104"/>
        <v>6357820.8868597876</v>
      </c>
      <c r="H2052" s="6">
        <f t="shared" si="106"/>
        <v>37179.113140212372</v>
      </c>
      <c r="I2052" s="1">
        <f t="shared" si="105"/>
        <v>6930024.7666771691</v>
      </c>
      <c r="J2052" s="2">
        <f t="shared" si="107"/>
        <v>-535024.76667716913</v>
      </c>
      <c r="M2052" s="4"/>
      <c r="N2052" s="22"/>
      <c r="O2052" s="22"/>
      <c r="P2052" s="4">
        <v>1700</v>
      </c>
    </row>
    <row r="2053" spans="3:16" ht="19.5" x14ac:dyDescent="0.5">
      <c r="C2053" s="4" t="s">
        <v>2089</v>
      </c>
      <c r="D2053" s="23">
        <v>16010</v>
      </c>
      <c r="E2053" s="4">
        <v>1700</v>
      </c>
      <c r="F2053" s="4">
        <v>6400000</v>
      </c>
      <c r="G2053" s="21">
        <f t="shared" si="104"/>
        <v>6410178.7576761069</v>
      </c>
      <c r="H2053" s="6">
        <f t="shared" si="106"/>
        <v>-10178.757676106878</v>
      </c>
      <c r="I2053" s="1">
        <f t="shared" si="105"/>
        <v>6987094.8458669567</v>
      </c>
      <c r="J2053" s="2">
        <f t="shared" si="107"/>
        <v>-587094.84586695675</v>
      </c>
      <c r="M2053" s="4"/>
      <c r="N2053" s="22"/>
      <c r="O2053" s="22"/>
      <c r="P2053" s="4">
        <v>1707</v>
      </c>
    </row>
    <row r="2054" spans="3:16" ht="19.5" x14ac:dyDescent="0.5">
      <c r="C2054" s="4" t="s">
        <v>2090</v>
      </c>
      <c r="D2054" s="23">
        <v>16130</v>
      </c>
      <c r="E2054" s="4">
        <v>1707</v>
      </c>
      <c r="F2054" s="4">
        <v>6495000</v>
      </c>
      <c r="G2054" s="21">
        <f t="shared" si="104"/>
        <v>6484759.541748384</v>
      </c>
      <c r="H2054" s="6">
        <f t="shared" si="106"/>
        <v>10240.458251615986</v>
      </c>
      <c r="I2054" s="1">
        <f t="shared" si="105"/>
        <v>7068387.9005057393</v>
      </c>
      <c r="J2054" s="2">
        <f t="shared" si="107"/>
        <v>-573387.90050573926</v>
      </c>
      <c r="M2054" s="4"/>
      <c r="N2054" s="22"/>
      <c r="O2054" s="22"/>
      <c r="P2054" s="4">
        <v>1698</v>
      </c>
    </row>
    <row r="2055" spans="3:16" ht="19.5" x14ac:dyDescent="0.5">
      <c r="C2055" s="4" t="s">
        <v>2091</v>
      </c>
      <c r="D2055" s="23">
        <v>16135</v>
      </c>
      <c r="E2055" s="4">
        <v>1698</v>
      </c>
      <c r="F2055" s="4">
        <v>6525000</v>
      </c>
      <c r="G2055" s="21">
        <f t="shared" si="104"/>
        <v>6452593.6221907837</v>
      </c>
      <c r="H2055" s="6">
        <f t="shared" si="106"/>
        <v>72406.377809216268</v>
      </c>
      <c r="I2055" s="1">
        <f t="shared" si="105"/>
        <v>7033327.0481879544</v>
      </c>
      <c r="J2055" s="2">
        <f t="shared" si="107"/>
        <v>-508327.04818795435</v>
      </c>
      <c r="M2055" s="4"/>
      <c r="N2055" s="22"/>
      <c r="O2055" s="22"/>
      <c r="P2055" s="4">
        <v>1701</v>
      </c>
    </row>
    <row r="2056" spans="3:16" ht="19.5" x14ac:dyDescent="0.5">
      <c r="C2056" s="4" t="s">
        <v>2092</v>
      </c>
      <c r="D2056" s="23">
        <v>16270</v>
      </c>
      <c r="E2056" s="4">
        <v>1701</v>
      </c>
      <c r="F2056" s="4">
        <v>6625000</v>
      </c>
      <c r="G2056" s="21">
        <f t="shared" si="104"/>
        <v>6518026.8404655494</v>
      </c>
      <c r="H2056" s="6">
        <f t="shared" si="106"/>
        <v>106973.15953445062</v>
      </c>
      <c r="I2056" s="1">
        <f t="shared" si="105"/>
        <v>7104649.2561074495</v>
      </c>
      <c r="J2056" s="2">
        <f t="shared" si="107"/>
        <v>-479649.25610744953</v>
      </c>
      <c r="M2056" s="4"/>
      <c r="N2056" s="22"/>
      <c r="O2056" s="22"/>
      <c r="P2056" s="4">
        <v>1695</v>
      </c>
    </row>
    <row r="2057" spans="3:16" ht="19.5" x14ac:dyDescent="0.5">
      <c r="C2057" s="4" t="s">
        <v>2093</v>
      </c>
      <c r="D2057" s="23">
        <v>16300</v>
      </c>
      <c r="E2057" s="4">
        <v>1695</v>
      </c>
      <c r="F2057" s="4">
        <v>6675000</v>
      </c>
      <c r="G2057" s="21">
        <f t="shared" si="104"/>
        <v>6507020.1089927005</v>
      </c>
      <c r="H2057" s="6">
        <f t="shared" si="106"/>
        <v>167979.89100729953</v>
      </c>
      <c r="I2057" s="1">
        <f t="shared" si="105"/>
        <v>7092651.9188020444</v>
      </c>
      <c r="J2057" s="2">
        <f t="shared" si="107"/>
        <v>-417651.91880204435</v>
      </c>
      <c r="M2057" s="4"/>
      <c r="N2057" s="22"/>
      <c r="O2057" s="22"/>
      <c r="P2057" s="4">
        <v>1718</v>
      </c>
    </row>
    <row r="2058" spans="3:16" ht="19.5" x14ac:dyDescent="0.5">
      <c r="C2058" s="4" t="s">
        <v>2094</v>
      </c>
      <c r="D2058" s="23">
        <v>16450</v>
      </c>
      <c r="E2058" s="4">
        <v>1703.4</v>
      </c>
      <c r="F2058" s="4">
        <v>6800000</v>
      </c>
      <c r="G2058" s="21">
        <f t="shared" si="104"/>
        <v>6599373.5755714877</v>
      </c>
      <c r="H2058" s="6">
        <f t="shared" si="106"/>
        <v>200626.42442851234</v>
      </c>
      <c r="I2058" s="1">
        <f t="shared" si="105"/>
        <v>7193317.1973729217</v>
      </c>
      <c r="J2058" s="2">
        <f t="shared" si="107"/>
        <v>-393317.19737292174</v>
      </c>
      <c r="M2058" s="4"/>
      <c r="N2058" s="22"/>
      <c r="O2058" s="22"/>
      <c r="P2058" s="4">
        <v>1703.4</v>
      </c>
    </row>
    <row r="2059" spans="3:16" ht="19.5" x14ac:dyDescent="0.5">
      <c r="C2059" s="4" t="s">
        <v>2095</v>
      </c>
      <c r="D2059" s="23">
        <v>16510</v>
      </c>
      <c r="E2059" s="4">
        <v>1703.4</v>
      </c>
      <c r="F2059" s="4">
        <v>6900000</v>
      </c>
      <c r="G2059" s="21">
        <f t="shared" si="104"/>
        <v>6623426.0019869469</v>
      </c>
      <c r="H2059" s="6">
        <f t="shared" si="106"/>
        <v>276573.99801305309</v>
      </c>
      <c r="I2059" s="1">
        <f t="shared" si="105"/>
        <v>7219534.3421657728</v>
      </c>
      <c r="J2059" s="2">
        <f t="shared" si="107"/>
        <v>-319534.3421657728</v>
      </c>
      <c r="M2059" s="4"/>
      <c r="N2059" s="22"/>
      <c r="O2059" s="22"/>
      <c r="P2059" s="4">
        <v>1698</v>
      </c>
    </row>
    <row r="2060" spans="3:16" ht="19.5" x14ac:dyDescent="0.5">
      <c r="C2060" s="4" t="s">
        <v>2096</v>
      </c>
      <c r="D2060" s="23">
        <v>16700</v>
      </c>
      <c r="E2060" s="4">
        <v>1698</v>
      </c>
      <c r="F2060" s="4">
        <v>6995000</v>
      </c>
      <c r="G2060" s="21">
        <f t="shared" si="104"/>
        <v>6678369.2897791192</v>
      </c>
      <c r="H2060" s="6">
        <f t="shared" si="106"/>
        <v>316630.71022088081</v>
      </c>
      <c r="I2060" s="1">
        <f t="shared" si="105"/>
        <v>7279422.5258592404</v>
      </c>
      <c r="J2060" s="2">
        <f t="shared" si="107"/>
        <v>-284422.52585924044</v>
      </c>
      <c r="M2060" s="4"/>
      <c r="N2060" s="22"/>
      <c r="O2060" s="22"/>
      <c r="P2060" s="4">
        <v>1704</v>
      </c>
    </row>
    <row r="2061" spans="3:16" ht="19.5" x14ac:dyDescent="0.5">
      <c r="C2061" s="4" t="s">
        <v>2097</v>
      </c>
      <c r="D2061" s="23">
        <v>17130</v>
      </c>
      <c r="E2061" s="4">
        <v>1704</v>
      </c>
      <c r="F2061" s="4">
        <v>7140000</v>
      </c>
      <c r="G2061" s="21">
        <f t="shared" si="104"/>
        <v>6874386.5396907041</v>
      </c>
      <c r="H2061" s="6">
        <f t="shared" si="106"/>
        <v>265613.46030929592</v>
      </c>
      <c r="I2061" s="1">
        <f t="shared" si="105"/>
        <v>7493081.3282628683</v>
      </c>
      <c r="J2061" s="2">
        <f t="shared" si="107"/>
        <v>-353081.32826286834</v>
      </c>
      <c r="M2061" s="4"/>
      <c r="N2061" s="22"/>
      <c r="O2061" s="22"/>
      <c r="P2061" s="4">
        <v>1707</v>
      </c>
    </row>
    <row r="2062" spans="3:16" ht="19.5" x14ac:dyDescent="0.5">
      <c r="C2062" s="4" t="s">
        <v>2098</v>
      </c>
      <c r="D2062" s="23">
        <v>17090</v>
      </c>
      <c r="E2062" s="4">
        <v>1707</v>
      </c>
      <c r="F2062" s="4">
        <v>7040000</v>
      </c>
      <c r="G2062" s="21">
        <f t="shared" si="104"/>
        <v>6870411.6905443193</v>
      </c>
      <c r="H2062" s="6">
        <f t="shared" si="106"/>
        <v>169588.30945568066</v>
      </c>
      <c r="I2062" s="1">
        <f t="shared" si="105"/>
        <v>7488748.7426933087</v>
      </c>
      <c r="J2062" s="2">
        <f t="shared" si="107"/>
        <v>-448748.74269330874</v>
      </c>
      <c r="M2062" s="4"/>
      <c r="N2062" s="22"/>
      <c r="O2062" s="22"/>
      <c r="P2062" s="4">
        <v>1718</v>
      </c>
    </row>
    <row r="2063" spans="3:16" ht="19.5" x14ac:dyDescent="0.5">
      <c r="C2063" s="4" t="s">
        <v>2099</v>
      </c>
      <c r="D2063" s="23">
        <v>16900</v>
      </c>
      <c r="E2063" s="4">
        <v>1718</v>
      </c>
      <c r="F2063" s="4">
        <v>6940000</v>
      </c>
      <c r="G2063" s="21">
        <f t="shared" si="104"/>
        <v>6837833.9304890186</v>
      </c>
      <c r="H2063" s="6">
        <f t="shared" si="106"/>
        <v>102166.06951098144</v>
      </c>
      <c r="I2063" s="1">
        <f t="shared" si="105"/>
        <v>7453238.984233031</v>
      </c>
      <c r="J2063" s="2">
        <f t="shared" si="107"/>
        <v>-513238.98423303105</v>
      </c>
      <c r="M2063" s="4"/>
      <c r="N2063" s="22"/>
      <c r="O2063" s="22"/>
      <c r="P2063" s="4">
        <v>1734</v>
      </c>
    </row>
    <row r="2064" spans="3:16" ht="19.5" x14ac:dyDescent="0.5">
      <c r="C2064" s="4" t="s">
        <v>2100</v>
      </c>
      <c r="D2064" s="23">
        <v>17200</v>
      </c>
      <c r="E2064" s="4">
        <v>1743</v>
      </c>
      <c r="F2064" s="4">
        <v>7220000</v>
      </c>
      <c r="G2064" s="21">
        <f t="shared" si="104"/>
        <v>7060321.9342185631</v>
      </c>
      <c r="H2064" s="6">
        <f t="shared" si="106"/>
        <v>159678.06578143686</v>
      </c>
      <c r="I2064" s="1">
        <f t="shared" si="105"/>
        <v>7695750.9082982345</v>
      </c>
      <c r="J2064" s="2">
        <f t="shared" si="107"/>
        <v>-475750.90829823446</v>
      </c>
      <c r="M2064" s="4"/>
      <c r="N2064" s="22"/>
      <c r="O2064" s="22"/>
      <c r="P2064" s="4">
        <v>1743</v>
      </c>
    </row>
    <row r="2065" spans="3:16" ht="19.5" x14ac:dyDescent="0.5">
      <c r="C2065" s="4" t="s">
        <v>2101</v>
      </c>
      <c r="D2065" s="23">
        <v>17480</v>
      </c>
      <c r="E2065" s="4">
        <v>1743</v>
      </c>
      <c r="F2065" s="4">
        <v>7320000</v>
      </c>
      <c r="G2065" s="21">
        <f t="shared" si="104"/>
        <v>7175176.0122174695</v>
      </c>
      <c r="H2065" s="6">
        <f t="shared" si="106"/>
        <v>144823.98778253049</v>
      </c>
      <c r="I2065" s="1">
        <f t="shared" si="105"/>
        <v>7820941.8533170419</v>
      </c>
      <c r="J2065" s="2">
        <f t="shared" si="107"/>
        <v>-500941.85331704188</v>
      </c>
      <c r="M2065" s="4"/>
      <c r="N2065" s="22"/>
      <c r="O2065" s="22"/>
      <c r="P2065" s="4">
        <v>1765</v>
      </c>
    </row>
    <row r="2066" spans="3:16" ht="19.5" x14ac:dyDescent="0.5">
      <c r="C2066" s="4" t="s">
        <v>2102</v>
      </c>
      <c r="D2066" s="23">
        <v>17800</v>
      </c>
      <c r="E2066" s="4">
        <v>1765</v>
      </c>
      <c r="F2066" s="4">
        <v>7600000</v>
      </c>
      <c r="G2066" s="21">
        <f t="shared" si="104"/>
        <v>7398595.9521589549</v>
      </c>
      <c r="H2066" s="6">
        <f t="shared" si="106"/>
        <v>201404.04784104507</v>
      </c>
      <c r="I2066" s="1">
        <f t="shared" si="105"/>
        <v>8064469.5878532613</v>
      </c>
      <c r="J2066" s="2">
        <f t="shared" si="107"/>
        <v>-464469.58785326127</v>
      </c>
      <c r="M2066" s="4"/>
      <c r="N2066" s="22"/>
      <c r="O2066" s="22"/>
      <c r="P2066" s="4">
        <v>1733</v>
      </c>
    </row>
    <row r="2067" spans="3:16" ht="19.5" x14ac:dyDescent="0.5">
      <c r="C2067" s="4" t="s">
        <v>2103</v>
      </c>
      <c r="D2067" s="23">
        <v>17600</v>
      </c>
      <c r="E2067" s="4">
        <v>1733</v>
      </c>
      <c r="F2067" s="4">
        <v>7420000</v>
      </c>
      <c r="G2067" s="21">
        <f t="shared" si="104"/>
        <v>7182979.8013053387</v>
      </c>
      <c r="H2067" s="6">
        <f t="shared" si="106"/>
        <v>237020.19869466126</v>
      </c>
      <c r="I2067" s="1">
        <f t="shared" si="105"/>
        <v>7829447.9834228195</v>
      </c>
      <c r="J2067" s="2">
        <f t="shared" si="107"/>
        <v>-409447.98342281953</v>
      </c>
      <c r="M2067" s="4"/>
      <c r="N2067" s="22"/>
      <c r="O2067" s="22"/>
      <c r="P2067" s="4">
        <v>1750</v>
      </c>
    </row>
    <row r="2068" spans="3:16" ht="19.5" x14ac:dyDescent="0.5">
      <c r="C2068" s="4" t="s">
        <v>2104</v>
      </c>
      <c r="D2068" s="23">
        <v>17830</v>
      </c>
      <c r="E2068" s="4">
        <v>1750</v>
      </c>
      <c r="F2068" s="4">
        <v>7520000</v>
      </c>
      <c r="G2068" s="21">
        <f t="shared" si="104"/>
        <v>7348116.0740121529</v>
      </c>
      <c r="H2068" s="6">
        <f t="shared" si="106"/>
        <v>171883.92598784715</v>
      </c>
      <c r="I2068" s="1">
        <f t="shared" si="105"/>
        <v>8009446.5206732471</v>
      </c>
      <c r="J2068" s="2">
        <f t="shared" si="107"/>
        <v>-489446.52067324705</v>
      </c>
      <c r="M2068" s="4"/>
      <c r="N2068" s="22"/>
      <c r="O2068" s="22"/>
      <c r="P2068" s="4">
        <v>1738</v>
      </c>
    </row>
    <row r="2069" spans="3:16" ht="19.5" x14ac:dyDescent="0.5">
      <c r="C2069" s="4" t="s">
        <v>2105</v>
      </c>
      <c r="D2069" s="23">
        <v>17690</v>
      </c>
      <c r="E2069" s="4">
        <v>1738</v>
      </c>
      <c r="F2069" s="4">
        <v>7490000</v>
      </c>
      <c r="G2069" s="21">
        <f t="shared" si="104"/>
        <v>7240500.9752756963</v>
      </c>
      <c r="H2069" s="6">
        <f t="shared" si="106"/>
        <v>249499.02472430374</v>
      </c>
      <c r="I2069" s="1">
        <f t="shared" si="105"/>
        <v>7892146.0630505094</v>
      </c>
      <c r="J2069" s="2">
        <f t="shared" si="107"/>
        <v>-402146.06305050943</v>
      </c>
      <c r="M2069" s="4"/>
      <c r="N2069" s="22"/>
      <c r="O2069" s="22"/>
      <c r="P2069" s="4">
        <v>1735</v>
      </c>
    </row>
    <row r="2070" spans="3:16" ht="19.5" x14ac:dyDescent="0.5">
      <c r="C2070" s="4" t="s">
        <v>2106</v>
      </c>
      <c r="D2070" s="23">
        <v>17660</v>
      </c>
      <c r="E2070" s="4">
        <v>1735</v>
      </c>
      <c r="F2070" s="4">
        <v>7460000</v>
      </c>
      <c r="G2070" s="21">
        <f t="shared" si="104"/>
        <v>7215762.3049223544</v>
      </c>
      <c r="H2070" s="6">
        <f t="shared" si="106"/>
        <v>244237.69507764559</v>
      </c>
      <c r="I2070" s="1">
        <f t="shared" si="105"/>
        <v>7865180.9123653667</v>
      </c>
      <c r="J2070" s="2">
        <f t="shared" si="107"/>
        <v>-405180.9123653667</v>
      </c>
      <c r="M2070" s="4"/>
      <c r="N2070" s="22"/>
      <c r="O2070" s="22"/>
      <c r="P2070" s="4">
        <v>1735</v>
      </c>
    </row>
    <row r="2071" spans="3:16" ht="19.5" x14ac:dyDescent="0.5">
      <c r="C2071" s="4" t="s">
        <v>2107</v>
      </c>
      <c r="D2071" s="23">
        <v>17580</v>
      </c>
      <c r="E2071" s="4">
        <v>1725</v>
      </c>
      <c r="F2071" s="4">
        <v>7440000</v>
      </c>
      <c r="G2071" s="21">
        <f t="shared" si="104"/>
        <v>7141725.1503070425</v>
      </c>
      <c r="H2071" s="6">
        <f t="shared" si="106"/>
        <v>298274.84969295748</v>
      </c>
      <c r="I2071" s="1">
        <f t="shared" si="105"/>
        <v>7784480.4138346771</v>
      </c>
      <c r="J2071" s="2">
        <f t="shared" si="107"/>
        <v>-344480.41383467708</v>
      </c>
      <c r="M2071" s="4"/>
      <c r="N2071" s="22"/>
      <c r="O2071" s="22"/>
      <c r="P2071" s="4">
        <v>1727</v>
      </c>
    </row>
    <row r="2072" spans="3:16" ht="19.5" x14ac:dyDescent="0.5">
      <c r="C2072" s="4" t="s">
        <v>2108</v>
      </c>
      <c r="D2072" s="23">
        <v>17350</v>
      </c>
      <c r="E2072" s="4">
        <v>1705</v>
      </c>
      <c r="F2072" s="4">
        <v>7300000</v>
      </c>
      <c r="G2072" s="21">
        <f t="shared" si="104"/>
        <v>6966692.9387840386</v>
      </c>
      <c r="H2072" s="6">
        <f t="shared" si="106"/>
        <v>333307.06121596135</v>
      </c>
      <c r="I2072" s="1">
        <f t="shared" si="105"/>
        <v>7593695.3032746026</v>
      </c>
      <c r="J2072" s="2">
        <f t="shared" si="107"/>
        <v>-293695.30327460263</v>
      </c>
      <c r="M2072" s="4"/>
      <c r="N2072" s="22"/>
      <c r="O2072" s="22"/>
      <c r="P2072" s="4">
        <v>1725</v>
      </c>
    </row>
    <row r="2073" spans="3:16" ht="19.5" x14ac:dyDescent="0.5">
      <c r="C2073" s="4" t="s">
        <v>2109</v>
      </c>
      <c r="D2073" s="23">
        <v>17550</v>
      </c>
      <c r="E2073" s="4">
        <v>1721</v>
      </c>
      <c r="F2073" s="4">
        <v>7390000</v>
      </c>
      <c r="G2073" s="21">
        <f t="shared" si="104"/>
        <v>7113025.7510529524</v>
      </c>
      <c r="H2073" s="6">
        <f t="shared" si="106"/>
        <v>276974.24894704763</v>
      </c>
      <c r="I2073" s="1">
        <f t="shared" si="105"/>
        <v>7753198.068647719</v>
      </c>
      <c r="J2073" s="2">
        <f t="shared" si="107"/>
        <v>-363198.06864771899</v>
      </c>
      <c r="M2073" s="4"/>
      <c r="N2073" s="22"/>
      <c r="O2073" s="22"/>
      <c r="P2073" s="4">
        <v>1705</v>
      </c>
    </row>
    <row r="2074" spans="3:16" ht="19.5" x14ac:dyDescent="0.5">
      <c r="C2074" s="4" t="s">
        <v>2110</v>
      </c>
      <c r="D2074" s="23">
        <v>17620</v>
      </c>
      <c r="E2074" s="4">
        <v>1729</v>
      </c>
      <c r="F2074" s="4">
        <v>7400000</v>
      </c>
      <c r="G2074" s="21">
        <f t="shared" si="104"/>
        <v>7174550.0146609638</v>
      </c>
      <c r="H2074" s="6">
        <f t="shared" si="106"/>
        <v>225449.98533903621</v>
      </c>
      <c r="I2074" s="1">
        <f t="shared" si="105"/>
        <v>7820259.5159804514</v>
      </c>
      <c r="J2074" s="2">
        <f t="shared" si="107"/>
        <v>-420259.51598045137</v>
      </c>
      <c r="M2074" s="4"/>
      <c r="N2074" s="22"/>
      <c r="O2074" s="22"/>
      <c r="P2074" s="4">
        <v>1721</v>
      </c>
    </row>
    <row r="2075" spans="3:16" ht="19.5" x14ac:dyDescent="0.5">
      <c r="C2075" s="4" t="s">
        <v>2111</v>
      </c>
      <c r="D2075" s="23">
        <v>17570</v>
      </c>
      <c r="E2075" s="4">
        <v>1729</v>
      </c>
      <c r="F2075" s="4">
        <v>7360000</v>
      </c>
      <c r="G2075" s="21">
        <f t="shared" si="104"/>
        <v>7154205.0940745259</v>
      </c>
      <c r="H2075" s="6">
        <f t="shared" si="106"/>
        <v>205794.90592547413</v>
      </c>
      <c r="I2075" s="1">
        <f t="shared" si="105"/>
        <v>7798083.5525412336</v>
      </c>
      <c r="J2075" s="2">
        <f t="shared" si="107"/>
        <v>-438083.5525412336</v>
      </c>
      <c r="M2075" s="4"/>
      <c r="N2075" s="22"/>
      <c r="O2075" s="22"/>
      <c r="P2075" s="4">
        <v>1729</v>
      </c>
    </row>
    <row r="2076" spans="3:16" ht="19.5" x14ac:dyDescent="0.5">
      <c r="C2076" s="4" t="s">
        <v>2112</v>
      </c>
      <c r="D2076" s="23">
        <v>17650</v>
      </c>
      <c r="E2076" s="4">
        <v>1730</v>
      </c>
      <c r="F2076" s="4">
        <v>7420000</v>
      </c>
      <c r="G2076" s="21">
        <f t="shared" si="104"/>
        <v>7190910.6726039276</v>
      </c>
      <c r="H2076" s="6">
        <f t="shared" si="106"/>
        <v>229089.32739607245</v>
      </c>
      <c r="I2076" s="1">
        <f t="shared" si="105"/>
        <v>7838092.6331382813</v>
      </c>
      <c r="J2076" s="2">
        <f t="shared" si="107"/>
        <v>-418092.63313828129</v>
      </c>
      <c r="M2076" s="4"/>
      <c r="N2076" s="22"/>
      <c r="O2076" s="22"/>
      <c r="P2076" s="4">
        <v>1729</v>
      </c>
    </row>
    <row r="2077" spans="3:16" ht="19.5" x14ac:dyDescent="0.5">
      <c r="C2077" s="4" t="s">
        <v>2113</v>
      </c>
      <c r="D2077" s="23">
        <v>17680</v>
      </c>
      <c r="E2077" s="4">
        <v>1740</v>
      </c>
      <c r="F2077" s="4">
        <v>7440000</v>
      </c>
      <c r="G2077" s="21">
        <f t="shared" si="104"/>
        <v>7244732.3422177909</v>
      </c>
      <c r="H2077" s="6">
        <f t="shared" si="106"/>
        <v>195267.65778220911</v>
      </c>
      <c r="I2077" s="1">
        <f t="shared" si="105"/>
        <v>7896758.2530173929</v>
      </c>
      <c r="J2077" s="2">
        <f t="shared" si="107"/>
        <v>-456758.25301739294</v>
      </c>
      <c r="M2077" s="4"/>
      <c r="N2077" s="22"/>
      <c r="O2077" s="22"/>
      <c r="P2077" s="4">
        <v>1730</v>
      </c>
    </row>
    <row r="2078" spans="3:16" ht="19.5" x14ac:dyDescent="0.5">
      <c r="C2078" s="4" t="s">
        <v>2114</v>
      </c>
      <c r="D2078" s="23">
        <v>17670</v>
      </c>
      <c r="E2078" s="4">
        <v>1685</v>
      </c>
      <c r="F2078" s="4">
        <v>7300000</v>
      </c>
      <c r="G2078" s="21">
        <f t="shared" si="104"/>
        <v>7011924.7923029922</v>
      </c>
      <c r="H2078" s="6">
        <f t="shared" si="106"/>
        <v>288075.20769700781</v>
      </c>
      <c r="I2078" s="1">
        <f t="shared" si="105"/>
        <v>7642998.0236102622</v>
      </c>
      <c r="J2078" s="2">
        <f t="shared" si="107"/>
        <v>-342998.0236102622</v>
      </c>
      <c r="M2078" s="4"/>
      <c r="N2078" s="22"/>
      <c r="O2078" s="22"/>
      <c r="P2078" s="4">
        <v>1740</v>
      </c>
    </row>
    <row r="2079" spans="3:16" ht="19.5" x14ac:dyDescent="0.5">
      <c r="C2079" s="4" t="s">
        <v>2115</v>
      </c>
      <c r="D2079" s="23">
        <v>17680</v>
      </c>
      <c r="E2079" s="4">
        <v>1685</v>
      </c>
      <c r="F2079" s="4">
        <v>7330000</v>
      </c>
      <c r="G2079" s="21">
        <f t="shared" si="104"/>
        <v>7015890.2279522857</v>
      </c>
      <c r="H2079" s="6">
        <f t="shared" si="106"/>
        <v>314109.77204771433</v>
      </c>
      <c r="I2079" s="1">
        <f t="shared" si="105"/>
        <v>7647320.3484679917</v>
      </c>
      <c r="J2079" s="2">
        <f t="shared" si="107"/>
        <v>-317320.34846799169</v>
      </c>
      <c r="M2079" s="4"/>
      <c r="N2079" s="22"/>
      <c r="O2079" s="22"/>
      <c r="P2079" s="4">
        <v>1720</v>
      </c>
    </row>
    <row r="2080" spans="3:16" ht="19.5" x14ac:dyDescent="0.5">
      <c r="C2080" s="4" t="s">
        <v>2116</v>
      </c>
      <c r="D2080" s="23">
        <v>17580</v>
      </c>
      <c r="E2080" s="4">
        <v>1695</v>
      </c>
      <c r="F2080" s="4">
        <v>7260000</v>
      </c>
      <c r="G2080" s="21">
        <f t="shared" si="104"/>
        <v>7017608.191171268</v>
      </c>
      <c r="H2080" s="6">
        <f t="shared" si="106"/>
        <v>242391.808828732</v>
      </c>
      <c r="I2080" s="1">
        <f t="shared" si="105"/>
        <v>7649192.928376683</v>
      </c>
      <c r="J2080" s="2">
        <f t="shared" si="107"/>
        <v>-389192.92837668303</v>
      </c>
      <c r="M2080" s="4"/>
      <c r="N2080" s="22"/>
      <c r="O2080" s="22"/>
      <c r="P2080" s="4">
        <v>1709</v>
      </c>
    </row>
    <row r="2081" spans="3:16" ht="19.5" x14ac:dyDescent="0.5">
      <c r="C2081" s="4" t="s">
        <v>2117</v>
      </c>
      <c r="D2081" s="23">
        <v>17800</v>
      </c>
      <c r="E2081" s="4">
        <v>1708</v>
      </c>
      <c r="F2081" s="4">
        <v>7400000</v>
      </c>
      <c r="G2081" s="21">
        <f t="shared" si="104"/>
        <v>7159822.5984631693</v>
      </c>
      <c r="H2081" s="6">
        <f t="shared" si="106"/>
        <v>240177.4015368307</v>
      </c>
      <c r="I2081" s="1">
        <f t="shared" si="105"/>
        <v>7804206.6323248548</v>
      </c>
      <c r="J2081" s="2">
        <f t="shared" si="107"/>
        <v>-404206.63232485484</v>
      </c>
      <c r="M2081" s="4"/>
      <c r="N2081" s="22"/>
      <c r="O2081" s="22"/>
      <c r="P2081" s="4">
        <v>1703</v>
      </c>
    </row>
    <row r="2082" spans="3:16" ht="19.5" x14ac:dyDescent="0.5">
      <c r="C2082" s="4" t="s">
        <v>2118</v>
      </c>
      <c r="D2082" s="23">
        <v>17950</v>
      </c>
      <c r="E2082" s="4">
        <v>1722</v>
      </c>
      <c r="F2082" s="4">
        <v>7510000</v>
      </c>
      <c r="G2082" s="21">
        <f t="shared" si="104"/>
        <v>7279256.3427965138</v>
      </c>
      <c r="H2082" s="6">
        <f t="shared" si="106"/>
        <v>230743.65720348619</v>
      </c>
      <c r="I2082" s="1">
        <f t="shared" si="105"/>
        <v>7934389.4136482002</v>
      </c>
      <c r="J2082" s="2">
        <f t="shared" si="107"/>
        <v>-424389.41364820022</v>
      </c>
      <c r="M2082" s="4"/>
      <c r="N2082" s="22"/>
      <c r="O2082" s="22"/>
      <c r="P2082" s="4">
        <v>1685</v>
      </c>
    </row>
    <row r="2083" spans="3:16" ht="19.5" x14ac:dyDescent="0.5">
      <c r="C2083" s="4" t="s">
        <v>2119</v>
      </c>
      <c r="D2083" s="23">
        <v>17980</v>
      </c>
      <c r="E2083" s="4">
        <v>1727</v>
      </c>
      <c r="F2083" s="4">
        <v>7600000</v>
      </c>
      <c r="G2083" s="21">
        <f t="shared" si="104"/>
        <v>7312570.7089991309</v>
      </c>
      <c r="H2083" s="6">
        <f t="shared" si="106"/>
        <v>287429.29100086913</v>
      </c>
      <c r="I2083" s="1">
        <f t="shared" si="105"/>
        <v>7970702.0728090536</v>
      </c>
      <c r="J2083" s="2">
        <f t="shared" si="107"/>
        <v>-370702.07280905358</v>
      </c>
      <c r="M2083" s="4"/>
      <c r="N2083" s="22"/>
      <c r="O2083" s="22"/>
      <c r="P2083" s="4">
        <v>1695</v>
      </c>
    </row>
    <row r="2084" spans="3:16" ht="19.5" x14ac:dyDescent="0.5">
      <c r="C2084" s="4" t="s">
        <v>2120</v>
      </c>
      <c r="D2084" s="23">
        <v>17950</v>
      </c>
      <c r="E2084" s="4">
        <v>1731</v>
      </c>
      <c r="F2084" s="4">
        <v>7550000</v>
      </c>
      <c r="G2084" s="21">
        <f t="shared" si="104"/>
        <v>7317275.1041700151</v>
      </c>
      <c r="H2084" s="6">
        <f t="shared" si="106"/>
        <v>232724.89582998492</v>
      </c>
      <c r="I2084" s="1">
        <f t="shared" si="105"/>
        <v>7975829.8635453172</v>
      </c>
      <c r="J2084" s="2">
        <f t="shared" si="107"/>
        <v>-425829.8635453172</v>
      </c>
      <c r="M2084" s="4"/>
      <c r="N2084" s="22"/>
      <c r="O2084" s="22"/>
      <c r="P2084" s="4">
        <v>1708</v>
      </c>
    </row>
    <row r="2085" spans="3:16" ht="19.5" x14ac:dyDescent="0.5">
      <c r="C2085" s="4" t="s">
        <v>2121</v>
      </c>
      <c r="D2085" s="23">
        <v>18040</v>
      </c>
      <c r="E2085" s="4">
        <v>1731</v>
      </c>
      <c r="F2085" s="4">
        <v>7610000</v>
      </c>
      <c r="G2085" s="21">
        <f t="shared" si="104"/>
        <v>7353938.3219625112</v>
      </c>
      <c r="H2085" s="6">
        <f t="shared" si="106"/>
        <v>256061.67803748883</v>
      </c>
      <c r="I2085" s="1">
        <f t="shared" si="105"/>
        <v>8015792.7709391378</v>
      </c>
      <c r="J2085" s="2">
        <f t="shared" si="107"/>
        <v>-405792.77093913779</v>
      </c>
      <c r="M2085" s="4"/>
      <c r="N2085" s="22"/>
      <c r="O2085" s="22"/>
      <c r="P2085" s="4">
        <v>1722</v>
      </c>
    </row>
    <row r="2086" spans="3:16" ht="19.5" x14ac:dyDescent="0.5">
      <c r="C2086" s="4" t="s">
        <v>2122</v>
      </c>
      <c r="D2086" s="23">
        <v>18250</v>
      </c>
      <c r="E2086" s="4">
        <v>1711</v>
      </c>
      <c r="F2086" s="4">
        <v>7670000</v>
      </c>
      <c r="G2086" s="21">
        <f t="shared" si="104"/>
        <v>7353587.669195896</v>
      </c>
      <c r="H2086" s="6">
        <f t="shared" si="106"/>
        <v>316412.33080410399</v>
      </c>
      <c r="I2086" s="1">
        <f t="shared" si="105"/>
        <v>8015410.5594235277</v>
      </c>
      <c r="J2086" s="2">
        <f t="shared" si="107"/>
        <v>-345410.55942352768</v>
      </c>
      <c r="M2086" s="4"/>
      <c r="N2086" s="22"/>
      <c r="O2086" s="22"/>
      <c r="P2086" s="4">
        <v>1727</v>
      </c>
    </row>
    <row r="2087" spans="3:16" ht="19.5" x14ac:dyDescent="0.5">
      <c r="C2087" s="4" t="s">
        <v>2123</v>
      </c>
      <c r="D2087" s="23">
        <v>18500</v>
      </c>
      <c r="E2087" s="4">
        <v>1732</v>
      </c>
      <c r="F2087" s="4">
        <v>7700000</v>
      </c>
      <c r="G2087" s="21">
        <f t="shared" si="104"/>
        <v>7545681.844195093</v>
      </c>
      <c r="H2087" s="6">
        <f t="shared" si="106"/>
        <v>154318.15580490697</v>
      </c>
      <c r="I2087" s="1">
        <f t="shared" si="105"/>
        <v>8224793.2101726523</v>
      </c>
      <c r="J2087" s="2">
        <f t="shared" si="107"/>
        <v>-524793.21017265227</v>
      </c>
      <c r="M2087" s="4"/>
      <c r="N2087" s="22"/>
      <c r="O2087" s="22"/>
      <c r="P2087" s="4">
        <v>1735</v>
      </c>
    </row>
    <row r="2088" spans="3:16" ht="19.5" x14ac:dyDescent="0.5">
      <c r="C2088" s="4" t="s">
        <v>2124</v>
      </c>
      <c r="D2088" s="23">
        <v>18790</v>
      </c>
      <c r="E2088" s="4">
        <v>1721</v>
      </c>
      <c r="F2088" s="4">
        <v>7700000</v>
      </c>
      <c r="G2088" s="21">
        <f t="shared" si="104"/>
        <v>7615245.2343182322</v>
      </c>
      <c r="H2088" s="6">
        <f t="shared" si="106"/>
        <v>84754.765681767836</v>
      </c>
      <c r="I2088" s="1">
        <f t="shared" si="105"/>
        <v>8300617.305406874</v>
      </c>
      <c r="J2088" s="2">
        <f t="shared" si="107"/>
        <v>-600617.30540687405</v>
      </c>
      <c r="M2088" s="4"/>
      <c r="N2088" s="22"/>
      <c r="O2088" s="22"/>
      <c r="P2088" s="4">
        <v>1731</v>
      </c>
    </row>
    <row r="2089" spans="3:16" ht="19.5" x14ac:dyDescent="0.5">
      <c r="C2089" s="4" t="s">
        <v>2125</v>
      </c>
      <c r="D2089" s="23">
        <v>19050</v>
      </c>
      <c r="E2089" s="4">
        <v>1744</v>
      </c>
      <c r="F2089" s="4">
        <v>7920000</v>
      </c>
      <c r="G2089" s="21">
        <f t="shared" si="104"/>
        <v>7823662.4132720307</v>
      </c>
      <c r="H2089" s="6">
        <f t="shared" si="106"/>
        <v>96337.586727969348</v>
      </c>
      <c r="I2089" s="1">
        <f t="shared" si="105"/>
        <v>8527792.0304665137</v>
      </c>
      <c r="J2089" s="2">
        <f t="shared" si="107"/>
        <v>-607792.03046651371</v>
      </c>
      <c r="M2089" s="4"/>
      <c r="N2089" s="22"/>
      <c r="O2089" s="22"/>
      <c r="P2089" s="4">
        <v>1711</v>
      </c>
    </row>
    <row r="2090" spans="3:16" ht="19.5" x14ac:dyDescent="0.5">
      <c r="C2090" s="4" t="s">
        <v>2126</v>
      </c>
      <c r="D2090" s="23">
        <v>19700</v>
      </c>
      <c r="E2090" s="4">
        <v>1744</v>
      </c>
      <c r="F2090" s="4">
        <v>8150000</v>
      </c>
      <c r="G2090" s="21">
        <f t="shared" si="104"/>
        <v>8090440.9208114957</v>
      </c>
      <c r="H2090" s="6">
        <f t="shared" si="106"/>
        <v>59559.079188504256</v>
      </c>
      <c r="I2090" s="1">
        <f t="shared" si="105"/>
        <v>8818580.6036845315</v>
      </c>
      <c r="J2090" s="2">
        <f t="shared" si="107"/>
        <v>-668580.60368453152</v>
      </c>
      <c r="M2090" s="4"/>
      <c r="N2090" s="22"/>
      <c r="O2090" s="22"/>
      <c r="P2090" s="4">
        <v>1732</v>
      </c>
    </row>
    <row r="2091" spans="3:16" ht="19.5" x14ac:dyDescent="0.5">
      <c r="C2091" s="4" t="s">
        <v>2127</v>
      </c>
      <c r="D2091" s="23">
        <v>19800</v>
      </c>
      <c r="E2091" s="4">
        <v>1748</v>
      </c>
      <c r="F2091" s="4">
        <v>8200000</v>
      </c>
      <c r="G2091" s="21">
        <f t="shared" si="104"/>
        <v>8150122.4923640788</v>
      </c>
      <c r="H2091" s="6">
        <f t="shared" si="106"/>
        <v>49877.50763592124</v>
      </c>
      <c r="I2091" s="1">
        <f t="shared" si="105"/>
        <v>8883633.5166768469</v>
      </c>
      <c r="J2091" s="2">
        <f t="shared" si="107"/>
        <v>-683633.51667684689</v>
      </c>
      <c r="M2091" s="4"/>
      <c r="N2091" s="22"/>
      <c r="O2091" s="22"/>
      <c r="P2091" s="4">
        <v>1719</v>
      </c>
    </row>
    <row r="2092" spans="3:16" ht="19.5" x14ac:dyDescent="0.5">
      <c r="C2092" s="4" t="s">
        <v>2128</v>
      </c>
      <c r="D2092" s="23">
        <v>20300</v>
      </c>
      <c r="E2092" s="4">
        <v>1758</v>
      </c>
      <c r="F2092" s="4">
        <v>8720000</v>
      </c>
      <c r="G2092" s="21">
        <f t="shared" si="104"/>
        <v>8403580.9015207514</v>
      </c>
      <c r="H2092" s="6">
        <f t="shared" si="106"/>
        <v>316419.09847924858</v>
      </c>
      <c r="I2092" s="1">
        <f t="shared" si="105"/>
        <v>9159903.1826576199</v>
      </c>
      <c r="J2092" s="2">
        <f t="shared" si="107"/>
        <v>-439903.18265761994</v>
      </c>
      <c r="M2092" s="4"/>
      <c r="N2092" s="22"/>
      <c r="O2092" s="22"/>
      <c r="P2092" s="4">
        <v>1721</v>
      </c>
    </row>
    <row r="2093" spans="3:16" ht="19.5" x14ac:dyDescent="0.5">
      <c r="C2093" s="4" t="s">
        <v>2129</v>
      </c>
      <c r="D2093" s="23">
        <v>19500</v>
      </c>
      <c r="E2093" s="4">
        <v>1776</v>
      </c>
      <c r="F2093" s="4">
        <v>8400000</v>
      </c>
      <c r="G2093" s="21">
        <f t="shared" si="104"/>
        <v>8155205.7807928491</v>
      </c>
      <c r="H2093" s="6">
        <f t="shared" si="106"/>
        <v>244794.21920715086</v>
      </c>
      <c r="I2093" s="1">
        <f t="shared" si="105"/>
        <v>8889174.3010642063</v>
      </c>
      <c r="J2093" s="2">
        <f t="shared" si="107"/>
        <v>-489174.30106420629</v>
      </c>
      <c r="M2093" s="4"/>
      <c r="N2093" s="22"/>
      <c r="O2093" s="22"/>
      <c r="P2093" s="4">
        <v>1731</v>
      </c>
    </row>
    <row r="2094" spans="3:16" ht="19.5" x14ac:dyDescent="0.5">
      <c r="C2094" s="4" t="s">
        <v>2130</v>
      </c>
      <c r="D2094" s="23">
        <v>19150</v>
      </c>
      <c r="E2094" s="4">
        <v>1760</v>
      </c>
      <c r="F2094" s="4">
        <v>8350000</v>
      </c>
      <c r="G2094" s="21">
        <f t="shared" si="104"/>
        <v>7936812.6482975902</v>
      </c>
      <c r="H2094" s="6">
        <f t="shared" si="106"/>
        <v>413187.3517024098</v>
      </c>
      <c r="I2094" s="1">
        <f t="shared" si="105"/>
        <v>8651125.7866443731</v>
      </c>
      <c r="J2094" s="2">
        <f t="shared" si="107"/>
        <v>-301125.78664437309</v>
      </c>
      <c r="M2094" s="4"/>
      <c r="N2094" s="22"/>
      <c r="O2094" s="22"/>
      <c r="P2094" s="4">
        <v>1744</v>
      </c>
    </row>
    <row r="2095" spans="3:16" ht="19.5" x14ac:dyDescent="0.5">
      <c r="C2095" s="4" t="s">
        <v>2131</v>
      </c>
      <c r="D2095" s="23">
        <v>19700</v>
      </c>
      <c r="E2095" s="4">
        <v>1771.5</v>
      </c>
      <c r="F2095" s="4">
        <v>8500000</v>
      </c>
      <c r="G2095" s="21">
        <f t="shared" si="104"/>
        <v>8217934.9720284212</v>
      </c>
      <c r="H2095" s="6">
        <f t="shared" si="106"/>
        <v>282065.02797157876</v>
      </c>
      <c r="I2095" s="1">
        <f t="shared" si="105"/>
        <v>8957549.1195109803</v>
      </c>
      <c r="J2095" s="2">
        <f t="shared" si="107"/>
        <v>-457549.11951098032</v>
      </c>
      <c r="M2095" s="4"/>
      <c r="N2095" s="22"/>
      <c r="O2095" s="22"/>
      <c r="P2095" s="4">
        <v>1748</v>
      </c>
    </row>
    <row r="2096" spans="3:16" ht="19.5" x14ac:dyDescent="0.5">
      <c r="C2096" s="4" t="s">
        <v>2132</v>
      </c>
      <c r="D2096" s="23">
        <v>19990</v>
      </c>
      <c r="E2096" s="4">
        <v>1771.5</v>
      </c>
      <c r="F2096" s="4">
        <v>8700000</v>
      </c>
      <c r="G2096" s="21">
        <f t="shared" si="104"/>
        <v>8338836.0452207187</v>
      </c>
      <c r="H2096" s="6">
        <f t="shared" si="106"/>
        <v>361163.95477928128</v>
      </c>
      <c r="I2096" s="1">
        <f t="shared" si="105"/>
        <v>9089331.2892905846</v>
      </c>
      <c r="J2096" s="2">
        <f t="shared" si="107"/>
        <v>-389331.28929058462</v>
      </c>
      <c r="M2096" s="4"/>
      <c r="N2096" s="22"/>
      <c r="O2096" s="22"/>
      <c r="P2096" s="4">
        <v>1758</v>
      </c>
    </row>
    <row r="2097" spans="3:16" ht="19.5" x14ac:dyDescent="0.5">
      <c r="C2097" s="4" t="s">
        <v>2133</v>
      </c>
      <c r="D2097" s="23">
        <v>20100</v>
      </c>
      <c r="E2097" s="4">
        <v>1774</v>
      </c>
      <c r="F2097" s="4">
        <v>8780000</v>
      </c>
      <c r="G2097" s="21">
        <f t="shared" ref="G2097:G2160" si="108">E2097/31.103*8.133*D2097*0.9+5000</f>
        <v>8396520.7787030172</v>
      </c>
      <c r="H2097" s="6">
        <f t="shared" si="106"/>
        <v>383479.22129698284</v>
      </c>
      <c r="I2097" s="1">
        <f t="shared" ref="I2097:I2160" si="109">G2097*1.09</f>
        <v>9152207.6487862896</v>
      </c>
      <c r="J2097" s="2">
        <f t="shared" si="107"/>
        <v>-372207.64878628962</v>
      </c>
      <c r="M2097" s="4"/>
      <c r="N2097" s="22"/>
      <c r="O2097" s="22"/>
      <c r="P2097" s="4">
        <v>1776</v>
      </c>
    </row>
    <row r="2098" spans="3:16" ht="19.5" x14ac:dyDescent="0.5">
      <c r="C2098" s="4" t="s">
        <v>2134</v>
      </c>
      <c r="D2098" s="23">
        <v>20400</v>
      </c>
      <c r="E2098" s="4">
        <v>1770</v>
      </c>
      <c r="F2098" s="4">
        <v>8990000</v>
      </c>
      <c r="G2098" s="21">
        <f t="shared" si="108"/>
        <v>8502563.8234253917</v>
      </c>
      <c r="H2098" s="6">
        <f t="shared" si="106"/>
        <v>487436.17657460831</v>
      </c>
      <c r="I2098" s="1">
        <f t="shared" si="109"/>
        <v>9267794.5675336774</v>
      </c>
      <c r="J2098" s="2">
        <f t="shared" si="107"/>
        <v>-277794.56753367744</v>
      </c>
      <c r="M2098" s="4"/>
      <c r="N2098" s="22"/>
      <c r="O2098" s="22"/>
      <c r="P2098" s="4">
        <v>1760</v>
      </c>
    </row>
    <row r="2099" spans="3:16" ht="19.5" x14ac:dyDescent="0.5">
      <c r="C2099" s="4" t="s">
        <v>2135</v>
      </c>
      <c r="D2099" s="23">
        <v>20450</v>
      </c>
      <c r="E2099" s="4">
        <v>1781</v>
      </c>
      <c r="F2099" s="4">
        <v>9100000</v>
      </c>
      <c r="G2099" s="21">
        <f t="shared" si="108"/>
        <v>8576330.3399993572</v>
      </c>
      <c r="H2099" s="6">
        <f t="shared" si="106"/>
        <v>523669.66000064276</v>
      </c>
      <c r="I2099" s="1">
        <f t="shared" si="109"/>
        <v>9348200.0705993008</v>
      </c>
      <c r="J2099" s="2">
        <f t="shared" si="107"/>
        <v>-248200.07059930079</v>
      </c>
      <c r="M2099" s="4"/>
      <c r="N2099" s="22"/>
      <c r="O2099" s="22"/>
      <c r="P2099" s="4">
        <v>1765</v>
      </c>
    </row>
    <row r="2100" spans="3:16" ht="19.5" x14ac:dyDescent="0.5">
      <c r="C2100" s="4" t="s">
        <v>2136</v>
      </c>
      <c r="D2100" s="23">
        <v>20750</v>
      </c>
      <c r="E2100" s="4">
        <v>1773</v>
      </c>
      <c r="F2100" s="4">
        <v>9480000</v>
      </c>
      <c r="G2100" s="21">
        <f t="shared" si="108"/>
        <v>8663005.1144584101</v>
      </c>
      <c r="H2100" s="6">
        <f t="shared" si="106"/>
        <v>816994.88554158993</v>
      </c>
      <c r="I2100" s="1">
        <f t="shared" si="109"/>
        <v>9442675.5747596677</v>
      </c>
      <c r="J2100" s="2">
        <f t="shared" si="107"/>
        <v>37324.425240332261</v>
      </c>
      <c r="M2100" s="4"/>
      <c r="N2100" s="22"/>
      <c r="O2100" s="22"/>
      <c r="P2100" s="4">
        <v>1771.5</v>
      </c>
    </row>
    <row r="2101" spans="3:16" ht="19.5" x14ac:dyDescent="0.5">
      <c r="C2101" s="4" t="s">
        <v>2137</v>
      </c>
      <c r="D2101" s="23">
        <v>21300</v>
      </c>
      <c r="E2101" s="4">
        <v>1776</v>
      </c>
      <c r="F2101" s="4">
        <v>10000000</v>
      </c>
      <c r="G2101" s="21">
        <f t="shared" si="108"/>
        <v>8907532.4682506509</v>
      </c>
      <c r="H2101" s="6">
        <f t="shared" si="106"/>
        <v>1092467.5317493491</v>
      </c>
      <c r="I2101" s="1">
        <f t="shared" si="109"/>
        <v>9709210.3903932106</v>
      </c>
      <c r="J2101" s="2">
        <f t="shared" si="107"/>
        <v>290789.60960678943</v>
      </c>
      <c r="M2101" s="4"/>
      <c r="N2101" s="22"/>
      <c r="O2101" s="22"/>
      <c r="P2101" s="4">
        <v>1774</v>
      </c>
    </row>
    <row r="2102" spans="3:16" ht="19.5" x14ac:dyDescent="0.5">
      <c r="C2102" s="4" t="s">
        <v>2138</v>
      </c>
      <c r="D2102" s="23">
        <v>21800</v>
      </c>
      <c r="E2102" s="4">
        <v>1776</v>
      </c>
      <c r="F2102" s="4">
        <v>10400000</v>
      </c>
      <c r="G2102" s="21">
        <f t="shared" si="108"/>
        <v>9116512.1036555953</v>
      </c>
      <c r="H2102" s="6">
        <f t="shared" si="106"/>
        <v>1283487.8963444047</v>
      </c>
      <c r="I2102" s="1">
        <f t="shared" si="109"/>
        <v>9936998.1929845996</v>
      </c>
      <c r="J2102" s="2">
        <f t="shared" si="107"/>
        <v>463001.80701540038</v>
      </c>
      <c r="M2102" s="4"/>
      <c r="N2102" s="22"/>
      <c r="O2102" s="22"/>
      <c r="P2102" s="4">
        <v>1770</v>
      </c>
    </row>
    <row r="2103" spans="3:16" ht="19.5" x14ac:dyDescent="0.5">
      <c r="C2103" s="4" t="s">
        <v>2139</v>
      </c>
      <c r="D2103" s="23">
        <v>21500</v>
      </c>
      <c r="E2103" s="4">
        <v>1777</v>
      </c>
      <c r="F2103" s="4">
        <v>9650000</v>
      </c>
      <c r="G2103" s="21">
        <f t="shared" si="108"/>
        <v>8996184.0770986713</v>
      </c>
      <c r="H2103" s="6">
        <f t="shared" si="106"/>
        <v>653815.92290132865</v>
      </c>
      <c r="I2103" s="1">
        <f t="shared" si="109"/>
        <v>9805840.6440375522</v>
      </c>
      <c r="J2103" s="2">
        <f t="shared" si="107"/>
        <v>-155840.64403755218</v>
      </c>
      <c r="M2103" s="4"/>
      <c r="N2103" s="22"/>
      <c r="O2103" s="22"/>
      <c r="P2103" s="4">
        <v>1781</v>
      </c>
    </row>
    <row r="2104" spans="3:16" ht="19.5" x14ac:dyDescent="0.5">
      <c r="C2104" s="4" t="s">
        <v>2140</v>
      </c>
      <c r="D2104" s="23">
        <v>21980</v>
      </c>
      <c r="E2104" s="4">
        <v>1777</v>
      </c>
      <c r="F2104" s="4">
        <v>10200000</v>
      </c>
      <c r="G2104" s="21">
        <f t="shared" si="108"/>
        <v>9196917.4890525024</v>
      </c>
      <c r="H2104" s="6">
        <f t="shared" si="106"/>
        <v>1003082.5109474976</v>
      </c>
      <c r="I2104" s="1">
        <f t="shared" si="109"/>
        <v>10024640.063067228</v>
      </c>
      <c r="J2104" s="2">
        <f t="shared" si="107"/>
        <v>175359.9369327724</v>
      </c>
      <c r="M2104" s="4"/>
      <c r="N2104" s="22"/>
      <c r="O2104" s="22"/>
      <c r="P2104" s="4">
        <v>1773</v>
      </c>
    </row>
    <row r="2105" spans="3:16" ht="19.5" x14ac:dyDescent="0.5">
      <c r="C2105" s="4" t="s">
        <v>2141</v>
      </c>
      <c r="D2105" s="23">
        <v>22500</v>
      </c>
      <c r="E2105" s="4">
        <v>1802</v>
      </c>
      <c r="F2105" s="4">
        <v>10500000</v>
      </c>
      <c r="G2105" s="21">
        <f t="shared" si="108"/>
        <v>9546755.988168342</v>
      </c>
      <c r="H2105" s="6">
        <f t="shared" si="106"/>
        <v>953244.01183165796</v>
      </c>
      <c r="I2105" s="1">
        <f t="shared" si="109"/>
        <v>10405964.027103493</v>
      </c>
      <c r="J2105" s="2">
        <f t="shared" si="107"/>
        <v>94035.97289650701</v>
      </c>
      <c r="M2105" s="4"/>
      <c r="N2105" s="22"/>
      <c r="O2105" s="22"/>
      <c r="P2105" s="4">
        <v>1775</v>
      </c>
    </row>
    <row r="2106" spans="3:16" ht="19.5" x14ac:dyDescent="0.5">
      <c r="C2106" s="4" t="s">
        <v>2142</v>
      </c>
      <c r="D2106" s="23">
        <v>22400</v>
      </c>
      <c r="E2106" s="4">
        <v>1810</v>
      </c>
      <c r="F2106" s="4">
        <v>10400000</v>
      </c>
      <c r="G2106" s="21">
        <f t="shared" si="108"/>
        <v>9546520.6507410854</v>
      </c>
      <c r="H2106" s="6">
        <f t="shared" si="106"/>
        <v>853479.34925891459</v>
      </c>
      <c r="I2106" s="1">
        <f t="shared" si="109"/>
        <v>10405707.509307783</v>
      </c>
      <c r="J2106" s="2">
        <f t="shared" si="107"/>
        <v>-5707.509307783097</v>
      </c>
      <c r="M2106" s="4"/>
      <c r="N2106" s="22"/>
      <c r="O2106" s="22"/>
      <c r="P2106" s="4">
        <v>1776</v>
      </c>
    </row>
    <row r="2107" spans="3:16" ht="19.5" x14ac:dyDescent="0.5">
      <c r="C2107" s="4" t="s">
        <v>2143</v>
      </c>
      <c r="D2107" s="23">
        <v>22600</v>
      </c>
      <c r="E2107" s="4">
        <v>1799.3</v>
      </c>
      <c r="F2107" s="4">
        <v>10500000</v>
      </c>
      <c r="G2107" s="21">
        <f t="shared" si="108"/>
        <v>9574803.502748929</v>
      </c>
      <c r="H2107" s="6">
        <f t="shared" si="106"/>
        <v>925196.49725107104</v>
      </c>
      <c r="I2107" s="1">
        <f t="shared" si="109"/>
        <v>10436535.817996332</v>
      </c>
      <c r="J2107" s="2">
        <f t="shared" si="107"/>
        <v>63464.182003667578</v>
      </c>
      <c r="M2107" s="4"/>
      <c r="N2107" s="22"/>
      <c r="O2107" s="22"/>
      <c r="P2107" s="4">
        <v>1777</v>
      </c>
    </row>
    <row r="2108" spans="3:16" ht="19.5" x14ac:dyDescent="0.5">
      <c r="C2108" s="4" t="s">
        <v>2144</v>
      </c>
      <c r="D2108" s="23">
        <v>22750</v>
      </c>
      <c r="E2108" s="4">
        <v>1799.3</v>
      </c>
      <c r="F2108" s="4">
        <v>10450000</v>
      </c>
      <c r="G2108" s="21">
        <f t="shared" si="108"/>
        <v>9638319.8976786789</v>
      </c>
      <c r="H2108" s="6">
        <f t="shared" si="106"/>
        <v>811680.10232132114</v>
      </c>
      <c r="I2108" s="1">
        <f t="shared" si="109"/>
        <v>10505768.68846976</v>
      </c>
      <c r="J2108" s="2">
        <f t="shared" si="107"/>
        <v>-55768.68846976012</v>
      </c>
      <c r="M2108" s="4"/>
      <c r="N2108" s="22"/>
      <c r="O2108" s="22"/>
      <c r="P2108" s="4">
        <v>1777</v>
      </c>
    </row>
    <row r="2109" spans="3:16" ht="19.5" x14ac:dyDescent="0.5">
      <c r="C2109" s="4" t="s">
        <v>2145</v>
      </c>
      <c r="D2109" s="23">
        <v>23200</v>
      </c>
      <c r="E2109" s="4">
        <v>1809</v>
      </c>
      <c r="F2109" s="4">
        <v>10700000</v>
      </c>
      <c r="G2109" s="21">
        <f t="shared" si="108"/>
        <v>9881829.4170980267</v>
      </c>
      <c r="H2109" s="6">
        <f t="shared" si="106"/>
        <v>818170.58290197328</v>
      </c>
      <c r="I2109" s="1">
        <f t="shared" si="109"/>
        <v>10771194.064636851</v>
      </c>
      <c r="J2109" s="2">
        <f t="shared" si="107"/>
        <v>-71194.06463685073</v>
      </c>
      <c r="M2109" s="4"/>
      <c r="N2109" s="22"/>
      <c r="O2109" s="22"/>
      <c r="P2109" s="4">
        <v>1802</v>
      </c>
    </row>
    <row r="2110" spans="3:16" ht="19.5" x14ac:dyDescent="0.5">
      <c r="C2110" s="4" t="s">
        <v>2146</v>
      </c>
      <c r="D2110" s="23">
        <v>23700</v>
      </c>
      <c r="E2110" s="4">
        <v>1796</v>
      </c>
      <c r="F2110" s="4">
        <v>10800000</v>
      </c>
      <c r="G2110" s="21">
        <f t="shared" si="108"/>
        <v>10022184.658714592</v>
      </c>
      <c r="H2110" s="6">
        <f t="shared" si="106"/>
        <v>777815.34128540754</v>
      </c>
      <c r="I2110" s="1">
        <f t="shared" si="109"/>
        <v>10924181.277998907</v>
      </c>
      <c r="J2110" s="2">
        <f t="shared" si="107"/>
        <v>-124181.27799890749</v>
      </c>
      <c r="M2110" s="4"/>
      <c r="N2110" s="22"/>
      <c r="O2110" s="22"/>
      <c r="P2110" s="4">
        <v>1810</v>
      </c>
    </row>
    <row r="2111" spans="3:16" ht="19.5" x14ac:dyDescent="0.5">
      <c r="C2111" s="4" t="s">
        <v>2147</v>
      </c>
      <c r="D2111" s="23">
        <v>23850</v>
      </c>
      <c r="E2111" s="4">
        <v>1805</v>
      </c>
      <c r="F2111" s="4">
        <v>10750000</v>
      </c>
      <c r="G2111" s="21">
        <f t="shared" si="108"/>
        <v>10136099.740378741</v>
      </c>
      <c r="H2111" s="6">
        <f t="shared" si="106"/>
        <v>613900.25962125883</v>
      </c>
      <c r="I2111" s="1">
        <f t="shared" si="109"/>
        <v>11048348.717012828</v>
      </c>
      <c r="J2111" s="2">
        <f t="shared" si="107"/>
        <v>-298348.71701282822</v>
      </c>
      <c r="M2111" s="4"/>
      <c r="N2111" s="22"/>
      <c r="O2111" s="22"/>
      <c r="P2111" s="4">
        <v>1807</v>
      </c>
    </row>
    <row r="2112" spans="3:16" ht="19.5" x14ac:dyDescent="0.5">
      <c r="C2112" s="4" t="s">
        <v>2148</v>
      </c>
      <c r="D2112" s="23">
        <v>24100</v>
      </c>
      <c r="E2112" s="4">
        <v>1805</v>
      </c>
      <c r="F2112" s="4">
        <v>10950000</v>
      </c>
      <c r="G2112" s="21">
        <f t="shared" si="108"/>
        <v>10242295.754428832</v>
      </c>
      <c r="H2112" s="6">
        <f t="shared" si="106"/>
        <v>707704.24557116814</v>
      </c>
      <c r="I2112" s="1">
        <f t="shared" si="109"/>
        <v>11164102.372327428</v>
      </c>
      <c r="J2112" s="2">
        <f t="shared" si="107"/>
        <v>-214102.37232742831</v>
      </c>
      <c r="M2112" s="4"/>
      <c r="N2112" s="22"/>
      <c r="O2112" s="22"/>
      <c r="P2112" s="4">
        <v>1799.3</v>
      </c>
    </row>
    <row r="2113" spans="3:16" ht="19.5" x14ac:dyDescent="0.5">
      <c r="C2113" s="4" t="s">
        <v>2149</v>
      </c>
      <c r="D2113" s="23">
        <v>25100</v>
      </c>
      <c r="E2113" s="4">
        <v>1811</v>
      </c>
      <c r="F2113" s="4">
        <v>11200000</v>
      </c>
      <c r="G2113" s="21">
        <f t="shared" si="108"/>
        <v>10702521.627174227</v>
      </c>
      <c r="H2113" s="6">
        <f t="shared" si="106"/>
        <v>497478.37282577343</v>
      </c>
      <c r="I2113" s="1">
        <f t="shared" si="109"/>
        <v>11665748.573619908</v>
      </c>
      <c r="J2113" s="2">
        <f t="shared" si="107"/>
        <v>-465748.57361990772</v>
      </c>
      <c r="M2113" s="4"/>
      <c r="N2113" s="22"/>
      <c r="O2113" s="22"/>
      <c r="P2113" s="4">
        <v>1809</v>
      </c>
    </row>
    <row r="2114" spans="3:16" ht="19.5" x14ac:dyDescent="0.5">
      <c r="C2114" s="4" t="s">
        <v>2150</v>
      </c>
      <c r="D2114" s="23">
        <v>24800</v>
      </c>
      <c r="E2114" s="4">
        <v>1811</v>
      </c>
      <c r="F2114" s="4">
        <v>11180000</v>
      </c>
      <c r="G2114" s="21">
        <f t="shared" si="108"/>
        <v>10574662.802945053</v>
      </c>
      <c r="H2114" s="6">
        <f t="shared" ref="H2114:H2214" si="110">F:F-G:G</f>
        <v>605337.1970549468</v>
      </c>
      <c r="I2114" s="1">
        <f t="shared" si="109"/>
        <v>11526382.455210108</v>
      </c>
      <c r="J2114" s="2">
        <f t="shared" ref="J2114:J2214" si="111">F2114-I2114</f>
        <v>-346382.45521010831</v>
      </c>
      <c r="M2114" s="4"/>
      <c r="N2114" s="22"/>
      <c r="O2114" s="22"/>
      <c r="P2114" s="4">
        <v>1796</v>
      </c>
    </row>
    <row r="2115" spans="3:16" ht="19.5" x14ac:dyDescent="0.5">
      <c r="C2115" s="4" t="s">
        <v>2151</v>
      </c>
      <c r="D2115" s="23">
        <v>22700</v>
      </c>
      <c r="E2115" s="4">
        <v>1813</v>
      </c>
      <c r="F2115" s="4">
        <v>10700000</v>
      </c>
      <c r="G2115" s="21">
        <f t="shared" si="108"/>
        <v>9690335.3525383379</v>
      </c>
      <c r="H2115" s="6">
        <f t="shared" si="110"/>
        <v>1009664.6474616621</v>
      </c>
      <c r="I2115" s="1">
        <f t="shared" si="109"/>
        <v>10562465.534266789</v>
      </c>
      <c r="J2115" s="2">
        <f t="shared" si="111"/>
        <v>137534.46573321149</v>
      </c>
      <c r="M2115" s="4"/>
      <c r="N2115" s="22"/>
      <c r="O2115" s="22"/>
      <c r="P2115" s="4">
        <v>1805</v>
      </c>
    </row>
    <row r="2116" spans="3:16" ht="19.5" x14ac:dyDescent="0.5">
      <c r="C2116" s="4" t="s">
        <v>2152</v>
      </c>
      <c r="D2116" s="23">
        <v>21700</v>
      </c>
      <c r="E2116" s="4">
        <v>1828</v>
      </c>
      <c r="F2116" s="4">
        <v>10400000</v>
      </c>
      <c r="G2116" s="21">
        <f t="shared" si="108"/>
        <v>9340270.929492332</v>
      </c>
      <c r="H2116" s="6">
        <f t="shared" si="110"/>
        <v>1059729.070507668</v>
      </c>
      <c r="I2116" s="1">
        <f t="shared" si="109"/>
        <v>10180895.313146643</v>
      </c>
      <c r="J2116" s="2">
        <f t="shared" si="111"/>
        <v>219104.68685335666</v>
      </c>
      <c r="M2116" s="4"/>
      <c r="N2116" s="22"/>
      <c r="O2116" s="22"/>
      <c r="P2116" s="4">
        <v>1805</v>
      </c>
    </row>
    <row r="2117" spans="3:16" ht="19.5" x14ac:dyDescent="0.5">
      <c r="C2117" s="4" t="s">
        <v>2153</v>
      </c>
      <c r="D2117" s="23">
        <v>21900</v>
      </c>
      <c r="E2117" s="4">
        <v>1860</v>
      </c>
      <c r="F2117" s="4">
        <v>10100000</v>
      </c>
      <c r="G2117" s="21">
        <f t="shared" si="108"/>
        <v>9591234.7619200703</v>
      </c>
      <c r="H2117" s="6">
        <f t="shared" si="110"/>
        <v>508765.23807992972</v>
      </c>
      <c r="I2117" s="1">
        <f t="shared" si="109"/>
        <v>10454445.890492877</v>
      </c>
      <c r="J2117" s="2">
        <f t="shared" si="111"/>
        <v>-354445.89049287699</v>
      </c>
      <c r="M2117" s="4"/>
      <c r="N2117" s="22"/>
      <c r="O2117" s="22"/>
      <c r="P2117" s="4">
        <v>1805</v>
      </c>
    </row>
    <row r="2118" spans="3:16" ht="19.5" x14ac:dyDescent="0.5">
      <c r="C2118" s="4" t="s">
        <v>2154</v>
      </c>
      <c r="D2118" s="23">
        <v>21850</v>
      </c>
      <c r="E2118" s="4">
        <v>1879</v>
      </c>
      <c r="F2118" s="4">
        <v>10300000</v>
      </c>
      <c r="G2118" s="21">
        <f t="shared" si="108"/>
        <v>9667048.7141111791</v>
      </c>
      <c r="H2118" s="6">
        <f t="shared" si="110"/>
        <v>632951.28588882089</v>
      </c>
      <c r="I2118" s="1">
        <f t="shared" si="109"/>
        <v>10537083.098381186</v>
      </c>
      <c r="J2118" s="2">
        <f t="shared" si="111"/>
        <v>-237083.0983811859</v>
      </c>
      <c r="M2118" s="4"/>
      <c r="N2118" s="22"/>
      <c r="O2118" s="22"/>
      <c r="P2118" s="4">
        <v>1811</v>
      </c>
    </row>
    <row r="2119" spans="3:16" ht="19.5" x14ac:dyDescent="0.5">
      <c r="C2119" s="4" t="s">
        <v>2155</v>
      </c>
      <c r="D2119" s="23">
        <v>22750</v>
      </c>
      <c r="E2119" s="4">
        <v>1901</v>
      </c>
      <c r="F2119" s="4">
        <v>10900000</v>
      </c>
      <c r="G2119" s="21">
        <f t="shared" si="108"/>
        <v>10182814.219689418</v>
      </c>
      <c r="H2119" s="6">
        <f t="shared" si="110"/>
        <v>717185.78031058237</v>
      </c>
      <c r="I2119" s="1">
        <f t="shared" si="109"/>
        <v>11099267.499461466</v>
      </c>
      <c r="J2119" s="2">
        <f t="shared" si="111"/>
        <v>-199267.49946146645</v>
      </c>
      <c r="M2119" s="4"/>
      <c r="N2119" s="22"/>
      <c r="O2119" s="22"/>
      <c r="P2119" s="4">
        <v>1813</v>
      </c>
    </row>
    <row r="2120" spans="3:16" ht="19.5" x14ac:dyDescent="0.5">
      <c r="C2120" s="4" t="s">
        <v>2156</v>
      </c>
      <c r="D2120" s="23">
        <v>22900</v>
      </c>
      <c r="E2120" s="4">
        <v>1942</v>
      </c>
      <c r="F2120" s="4">
        <v>10950000</v>
      </c>
      <c r="G2120" s="21">
        <f t="shared" si="108"/>
        <v>10470878.997524353</v>
      </c>
      <c r="H2120" s="6">
        <f t="shared" si="110"/>
        <v>479121.00247564726</v>
      </c>
      <c r="I2120" s="1">
        <f t="shared" si="109"/>
        <v>11413258.107301544</v>
      </c>
      <c r="J2120" s="2">
        <f t="shared" si="111"/>
        <v>-463258.1073015444</v>
      </c>
      <c r="M2120" s="4"/>
      <c r="N2120" s="22"/>
      <c r="O2120" s="22"/>
      <c r="P2120" s="4">
        <v>1828</v>
      </c>
    </row>
    <row r="2121" spans="3:16" ht="19.5" x14ac:dyDescent="0.5">
      <c r="C2121" s="4" t="s">
        <v>2157</v>
      </c>
      <c r="D2121" s="23">
        <v>23100</v>
      </c>
      <c r="E2121" s="4">
        <v>1933</v>
      </c>
      <c r="F2121" s="4">
        <v>11250000</v>
      </c>
      <c r="G2121" s="21">
        <f t="shared" si="108"/>
        <v>10513357.403144389</v>
      </c>
      <c r="H2121" s="6">
        <f t="shared" si="110"/>
        <v>736642.59685561061</v>
      </c>
      <c r="I2121" s="1">
        <f t="shared" si="109"/>
        <v>11459559.569427386</v>
      </c>
      <c r="J2121" s="2">
        <f t="shared" si="111"/>
        <v>-209559.56942738593</v>
      </c>
      <c r="M2121" s="4"/>
      <c r="N2121" s="22"/>
      <c r="O2121" s="22"/>
      <c r="P2121" s="4">
        <v>1860</v>
      </c>
    </row>
    <row r="2122" spans="3:16" ht="19.5" x14ac:dyDescent="0.5">
      <c r="C2122" s="4" t="s">
        <v>2158</v>
      </c>
      <c r="D2122" s="23">
        <v>23400</v>
      </c>
      <c r="E2122" s="4">
        <v>1955</v>
      </c>
      <c r="F2122" s="4">
        <v>11150000</v>
      </c>
      <c r="G2122" s="21">
        <f t="shared" si="108"/>
        <v>10770981.284763526</v>
      </c>
      <c r="H2122" s="6">
        <f t="shared" si="110"/>
        <v>379018.71523647383</v>
      </c>
      <c r="I2122" s="1">
        <f t="shared" si="109"/>
        <v>11740369.600392245</v>
      </c>
      <c r="J2122" s="2">
        <f t="shared" si="111"/>
        <v>-590369.60039224476</v>
      </c>
      <c r="M2122" s="4"/>
      <c r="N2122" s="22"/>
      <c r="O2122" s="22"/>
      <c r="P2122" s="4">
        <v>1879</v>
      </c>
    </row>
    <row r="2123" spans="3:16" ht="19.5" x14ac:dyDescent="0.5">
      <c r="C2123" s="4" t="s">
        <v>2159</v>
      </c>
      <c r="D2123" s="23">
        <v>23350</v>
      </c>
      <c r="E2123" s="4">
        <v>1955</v>
      </c>
      <c r="F2123" s="4">
        <v>11100000</v>
      </c>
      <c r="G2123" s="21">
        <f t="shared" si="108"/>
        <v>10747977.051249074</v>
      </c>
      <c r="H2123" s="6">
        <f t="shared" si="110"/>
        <v>352022.94875092618</v>
      </c>
      <c r="I2123" s="1">
        <f t="shared" si="109"/>
        <v>11715294.985861491</v>
      </c>
      <c r="J2123" s="2">
        <f t="shared" si="111"/>
        <v>-615294.98586149141</v>
      </c>
      <c r="M2123" s="4"/>
      <c r="N2123" s="22"/>
      <c r="O2123" s="22"/>
      <c r="P2123" s="4">
        <v>1892</v>
      </c>
    </row>
    <row r="2124" spans="3:16" ht="19.5" x14ac:dyDescent="0.5">
      <c r="C2124" s="4" t="s">
        <v>2160</v>
      </c>
      <c r="D2124" s="23">
        <v>23450</v>
      </c>
      <c r="E2124" s="4">
        <v>1973</v>
      </c>
      <c r="F2124" s="4">
        <v>11300000</v>
      </c>
      <c r="G2124" s="21">
        <f t="shared" si="108"/>
        <v>10893321.446323505</v>
      </c>
      <c r="H2124" s="6">
        <f t="shared" si="110"/>
        <v>406678.55367649533</v>
      </c>
      <c r="I2124" s="1">
        <f t="shared" si="109"/>
        <v>11873720.376492621</v>
      </c>
      <c r="J2124" s="2">
        <f t="shared" si="111"/>
        <v>-573720.37649262138</v>
      </c>
      <c r="M2124" s="4"/>
      <c r="N2124" s="22"/>
      <c r="O2124" s="22"/>
      <c r="P2124" s="4">
        <v>1901</v>
      </c>
    </row>
    <row r="2125" spans="3:16" ht="19.5" x14ac:dyDescent="0.5">
      <c r="C2125" s="4" t="s">
        <v>2161</v>
      </c>
      <c r="D2125" s="23">
        <v>23350</v>
      </c>
      <c r="E2125" s="4">
        <v>1976</v>
      </c>
      <c r="F2125" s="4">
        <v>11250000</v>
      </c>
      <c r="G2125" s="21">
        <f t="shared" si="108"/>
        <v>10863374.758704945</v>
      </c>
      <c r="H2125" s="6">
        <f t="shared" si="110"/>
        <v>386625.24129505455</v>
      </c>
      <c r="I2125" s="1">
        <f t="shared" si="109"/>
        <v>11841078.486988392</v>
      </c>
      <c r="J2125" s="2">
        <f t="shared" si="111"/>
        <v>-591078.48698839173</v>
      </c>
      <c r="M2125" s="4"/>
      <c r="N2125" s="22"/>
      <c r="O2125" s="22"/>
      <c r="P2125" s="4"/>
    </row>
    <row r="2126" spans="3:16" ht="19.5" x14ac:dyDescent="0.5">
      <c r="C2126" s="4" t="s">
        <v>2162</v>
      </c>
      <c r="D2126" s="23">
        <v>23050</v>
      </c>
      <c r="E2126" s="4">
        <v>1976</v>
      </c>
      <c r="F2126" s="4">
        <v>11150000</v>
      </c>
      <c r="G2126" s="21">
        <f t="shared" si="108"/>
        <v>10723866.73182651</v>
      </c>
      <c r="H2126" s="6">
        <f t="shared" si="110"/>
        <v>426133.26817348972</v>
      </c>
      <c r="I2126" s="1">
        <f t="shared" si="109"/>
        <v>11689014.737690898</v>
      </c>
      <c r="J2126" s="2">
        <f t="shared" si="111"/>
        <v>-539014.73769089766</v>
      </c>
      <c r="M2126" s="4"/>
      <c r="N2126" s="22"/>
      <c r="O2126" s="22"/>
      <c r="P2126" s="4"/>
    </row>
    <row r="2127" spans="3:16" ht="19.5" x14ac:dyDescent="0.5">
      <c r="C2127" s="4" t="s">
        <v>2163</v>
      </c>
      <c r="D2127" s="23">
        <v>23250</v>
      </c>
      <c r="E2127" s="4">
        <v>1972</v>
      </c>
      <c r="F2127" s="4">
        <v>11250000</v>
      </c>
      <c r="G2127" s="21">
        <f t="shared" si="108"/>
        <v>10794985.702343825</v>
      </c>
      <c r="H2127" s="6">
        <f t="shared" si="110"/>
        <v>455014.29765617475</v>
      </c>
      <c r="I2127" s="1">
        <f t="shared" si="109"/>
        <v>11766534.415554771</v>
      </c>
      <c r="J2127" s="2">
        <f t="shared" si="111"/>
        <v>-516534.4155547712</v>
      </c>
      <c r="M2127" s="4"/>
      <c r="N2127" s="22"/>
      <c r="O2127" s="22"/>
      <c r="P2127" s="4"/>
    </row>
    <row r="2128" spans="3:16" ht="19.5" x14ac:dyDescent="0.5">
      <c r="C2128" s="4" t="s">
        <v>2164</v>
      </c>
      <c r="D2128" s="23">
        <v>23300</v>
      </c>
      <c r="E2128" s="4">
        <v>1974</v>
      </c>
      <c r="F2128" s="4">
        <v>11150000</v>
      </c>
      <c r="G2128" s="21">
        <f t="shared" si="108"/>
        <v>10829156.696781659</v>
      </c>
      <c r="H2128" s="6">
        <f t="shared" si="110"/>
        <v>320843.3032183405</v>
      </c>
      <c r="I2128" s="1">
        <f t="shared" si="109"/>
        <v>11803780.799492009</v>
      </c>
      <c r="J2128" s="2">
        <f t="shared" si="111"/>
        <v>-653780.79949200898</v>
      </c>
      <c r="M2128" s="4"/>
      <c r="N2128" s="22"/>
      <c r="O2128" s="22"/>
      <c r="P2128" s="4"/>
    </row>
    <row r="2129" spans="3:16" ht="19.5" x14ac:dyDescent="0.5">
      <c r="C2129" s="4" t="s">
        <v>2165</v>
      </c>
      <c r="D2129" s="23">
        <v>23580</v>
      </c>
      <c r="E2129" s="4">
        <v>2040.7</v>
      </c>
      <c r="F2129" s="4">
        <v>11400000</v>
      </c>
      <c r="G2129" s="21">
        <f t="shared" si="108"/>
        <v>11329367.810442721</v>
      </c>
      <c r="H2129" s="6">
        <f t="shared" si="110"/>
        <v>70632.189557278529</v>
      </c>
      <c r="I2129" s="1">
        <f t="shared" si="109"/>
        <v>12349010.913382567</v>
      </c>
      <c r="J2129" s="2">
        <f t="shared" si="111"/>
        <v>-949010.91338256747</v>
      </c>
      <c r="M2129" s="4"/>
      <c r="N2129" s="22"/>
      <c r="O2129" s="22"/>
      <c r="P2129" s="4"/>
    </row>
    <row r="2130" spans="3:16" ht="19.5" x14ac:dyDescent="0.5">
      <c r="C2130" s="4" t="s">
        <v>2166</v>
      </c>
      <c r="D2130" s="23">
        <v>23590</v>
      </c>
      <c r="E2130" s="4">
        <v>2058.4</v>
      </c>
      <c r="F2130" s="4">
        <v>11500000</v>
      </c>
      <c r="G2130" s="21">
        <f t="shared" si="108"/>
        <v>11432433.836710285</v>
      </c>
      <c r="H2130" s="6">
        <f t="shared" si="110"/>
        <v>67566.163289714605</v>
      </c>
      <c r="I2130" s="1">
        <f t="shared" si="109"/>
        <v>12461352.882014211</v>
      </c>
      <c r="J2130" s="2">
        <f t="shared" si="111"/>
        <v>-961352.88201421127</v>
      </c>
      <c r="M2130" s="4"/>
      <c r="N2130" s="22"/>
      <c r="O2130" s="22"/>
      <c r="P2130" s="4"/>
    </row>
    <row r="2131" spans="3:16" ht="19.5" x14ac:dyDescent="0.5">
      <c r="C2131" s="4" t="s">
        <v>2167</v>
      </c>
      <c r="D2131" s="23">
        <v>21500</v>
      </c>
      <c r="E2131" s="4">
        <v>2036.15</v>
      </c>
      <c r="F2131" s="4">
        <v>10350000</v>
      </c>
      <c r="G2131" s="21">
        <f t="shared" si="108"/>
        <v>10307419.503986752</v>
      </c>
      <c r="H2131" s="6">
        <f t="shared" si="110"/>
        <v>42580.496013248339</v>
      </c>
      <c r="I2131" s="1">
        <f t="shared" si="109"/>
        <v>11235087.259345559</v>
      </c>
      <c r="J2131" s="2">
        <f t="shared" si="111"/>
        <v>-885087.2593455594</v>
      </c>
      <c r="M2131" s="4"/>
      <c r="N2131" s="22"/>
      <c r="O2131" s="22"/>
      <c r="P2131" s="4"/>
    </row>
    <row r="2132" spans="3:16" ht="19.5" x14ac:dyDescent="0.5">
      <c r="C2132" s="4" t="s">
        <v>2168</v>
      </c>
      <c r="D2132" s="23">
        <v>21600</v>
      </c>
      <c r="E2132" s="4">
        <v>2031.25</v>
      </c>
      <c r="F2132" s="4">
        <v>10550000</v>
      </c>
      <c r="G2132" s="21">
        <f t="shared" si="108"/>
        <v>10330429.620936885</v>
      </c>
      <c r="H2132" s="6">
        <f t="shared" si="110"/>
        <v>219570.37906311452</v>
      </c>
      <c r="I2132" s="1">
        <f t="shared" si="109"/>
        <v>11260168.286821205</v>
      </c>
      <c r="J2132" s="2">
        <f t="shared" si="111"/>
        <v>-710168.28682120517</v>
      </c>
      <c r="M2132" s="4"/>
      <c r="N2132" s="22"/>
      <c r="O2132" s="22"/>
      <c r="P2132" s="4"/>
    </row>
    <row r="2133" spans="3:16" ht="19.5" x14ac:dyDescent="0.5">
      <c r="C2133" s="4" t="s">
        <v>2169</v>
      </c>
      <c r="D2133" s="23">
        <v>21950</v>
      </c>
      <c r="E2133" s="4">
        <v>1998</v>
      </c>
      <c r="F2133" s="4">
        <v>10950000</v>
      </c>
      <c r="G2133" s="21">
        <f t="shared" si="108"/>
        <v>10325981.743561713</v>
      </c>
      <c r="H2133" s="6">
        <f t="shared" si="110"/>
        <v>624018.25643828698</v>
      </c>
      <c r="I2133" s="1">
        <f t="shared" si="109"/>
        <v>11255320.100482268</v>
      </c>
      <c r="J2133" s="2">
        <f t="shared" si="111"/>
        <v>-305320.10048226826</v>
      </c>
      <c r="M2133" s="4"/>
      <c r="N2133" s="22"/>
      <c r="O2133" s="22"/>
      <c r="P2133" s="4"/>
    </row>
    <row r="2134" spans="3:16" ht="19.5" x14ac:dyDescent="0.5">
      <c r="C2134" s="4" t="s">
        <v>2170</v>
      </c>
      <c r="D2134" s="23">
        <v>22270</v>
      </c>
      <c r="E2134" s="4">
        <v>1936</v>
      </c>
      <c r="F2134" s="4">
        <v>10400000</v>
      </c>
      <c r="G2134" s="21">
        <f t="shared" si="108"/>
        <v>10151507.281741308</v>
      </c>
      <c r="H2134" s="6">
        <f t="shared" si="110"/>
        <v>248492.71825869195</v>
      </c>
      <c r="I2134" s="1">
        <f t="shared" si="109"/>
        <v>11065142.937098026</v>
      </c>
      <c r="J2134" s="2">
        <f t="shared" si="111"/>
        <v>-665142.93709802628</v>
      </c>
      <c r="M2134" s="4"/>
      <c r="N2134" s="22"/>
      <c r="O2134" s="22"/>
      <c r="P2134" s="4"/>
    </row>
    <row r="2135" spans="3:16" ht="19.5" x14ac:dyDescent="0.5">
      <c r="C2135" s="4" t="s">
        <v>2171</v>
      </c>
      <c r="D2135" s="23">
        <v>22570</v>
      </c>
      <c r="E2135" s="4">
        <v>1940</v>
      </c>
      <c r="F2135" s="4">
        <v>10600000</v>
      </c>
      <c r="G2135" s="21">
        <f t="shared" si="108"/>
        <v>10309437.522425488</v>
      </c>
      <c r="H2135" s="6">
        <f t="shared" si="110"/>
        <v>290562.47757451236</v>
      </c>
      <c r="I2135" s="1">
        <f t="shared" si="109"/>
        <v>11237286.899443783</v>
      </c>
      <c r="J2135" s="2">
        <f t="shared" si="111"/>
        <v>-637286.89944378287</v>
      </c>
      <c r="M2135" s="4"/>
      <c r="N2135" s="22"/>
      <c r="O2135" s="22"/>
      <c r="P2135" s="4"/>
    </row>
    <row r="2136" spans="3:16" ht="19.5" x14ac:dyDescent="0.5">
      <c r="C2136" s="4" t="s">
        <v>2172</v>
      </c>
      <c r="D2136" s="23">
        <v>22250</v>
      </c>
      <c r="E2136" s="4">
        <v>1948</v>
      </c>
      <c r="F2136" s="4">
        <v>10450000</v>
      </c>
      <c r="G2136" s="21">
        <f t="shared" si="108"/>
        <v>10205230.109635726</v>
      </c>
      <c r="H2136" s="6">
        <f t="shared" si="110"/>
        <v>244769.89036427438</v>
      </c>
      <c r="I2136" s="1">
        <f t="shared" si="109"/>
        <v>11123700.819502942</v>
      </c>
      <c r="J2136" s="2">
        <f t="shared" si="111"/>
        <v>-673700.81950294226</v>
      </c>
      <c r="M2136" s="4"/>
      <c r="N2136" s="22"/>
      <c r="O2136" s="22"/>
      <c r="P2136" s="4"/>
    </row>
    <row r="2137" spans="3:16" ht="19.5" x14ac:dyDescent="0.5">
      <c r="C2137" s="4" t="s">
        <v>2173</v>
      </c>
      <c r="D2137" s="23">
        <v>22350</v>
      </c>
      <c r="E2137" s="4">
        <v>1954</v>
      </c>
      <c r="F2137" s="4">
        <v>10600000</v>
      </c>
      <c r="G2137" s="21">
        <f t="shared" si="108"/>
        <v>10282632.589460822</v>
      </c>
      <c r="H2137" s="6">
        <f t="shared" si="110"/>
        <v>317367.41053917818</v>
      </c>
      <c r="I2137" s="1">
        <f t="shared" si="109"/>
        <v>11208069.522512296</v>
      </c>
      <c r="J2137" s="2">
        <f t="shared" si="111"/>
        <v>-608069.52251229621</v>
      </c>
      <c r="M2137" s="4"/>
      <c r="N2137" s="22"/>
      <c r="O2137" s="22"/>
      <c r="P2137" s="4"/>
    </row>
    <row r="2138" spans="3:16" ht="19.5" x14ac:dyDescent="0.5">
      <c r="C2138" s="4" t="s">
        <v>2174</v>
      </c>
      <c r="D2138" s="23">
        <v>23000</v>
      </c>
      <c r="E2138" s="4">
        <v>2002</v>
      </c>
      <c r="F2138" s="4">
        <v>10900000</v>
      </c>
      <c r="G2138" s="21">
        <f t="shared" si="108"/>
        <v>10841347.175513614</v>
      </c>
      <c r="H2138" s="6">
        <f t="shared" si="110"/>
        <v>58652.824486386031</v>
      </c>
      <c r="I2138" s="1">
        <f t="shared" si="109"/>
        <v>11817068.42130984</v>
      </c>
      <c r="J2138" s="2">
        <f t="shared" si="111"/>
        <v>-917068.42130983993</v>
      </c>
      <c r="M2138" s="4"/>
      <c r="N2138" s="22"/>
      <c r="O2138" s="22"/>
      <c r="P2138" s="4"/>
    </row>
    <row r="2139" spans="3:16" ht="19.5" x14ac:dyDescent="0.5">
      <c r="C2139" s="4" t="s">
        <v>2175</v>
      </c>
      <c r="D2139" s="23">
        <v>22990</v>
      </c>
      <c r="E2139" s="4">
        <v>1984.6</v>
      </c>
      <c r="F2139" s="4">
        <v>10850000</v>
      </c>
      <c r="G2139" s="21">
        <f t="shared" si="108"/>
        <v>10742494.630543675</v>
      </c>
      <c r="H2139" s="6">
        <f t="shared" si="110"/>
        <v>107505.36945632473</v>
      </c>
      <c r="I2139" s="1">
        <f t="shared" si="109"/>
        <v>11709319.147292607</v>
      </c>
      <c r="J2139" s="2">
        <f t="shared" si="111"/>
        <v>-859319.14729260653</v>
      </c>
      <c r="M2139" s="4"/>
      <c r="N2139" s="22"/>
      <c r="O2139" s="22"/>
      <c r="P2139" s="4"/>
    </row>
    <row r="2140" spans="3:16" ht="19.5" x14ac:dyDescent="0.5">
      <c r="C2140" s="4" t="s">
        <v>2176</v>
      </c>
      <c r="D2140" s="23">
        <v>22750</v>
      </c>
      <c r="E2140" s="4">
        <v>1942.6</v>
      </c>
      <c r="F2140" s="4">
        <v>10750000</v>
      </c>
      <c r="G2140" s="21">
        <f t="shared" si="108"/>
        <v>10405537.560846219</v>
      </c>
      <c r="H2140" s="6">
        <f t="shared" si="110"/>
        <v>344462.43915378116</v>
      </c>
      <c r="I2140" s="1">
        <f t="shared" si="109"/>
        <v>11342035.941322379</v>
      </c>
      <c r="J2140" s="2">
        <f t="shared" si="111"/>
        <v>-592035.94132237881</v>
      </c>
      <c r="M2140" s="4"/>
      <c r="N2140" s="22"/>
      <c r="O2140" s="22"/>
      <c r="P2140" s="4"/>
    </row>
    <row r="2141" spans="3:16" ht="19.5" x14ac:dyDescent="0.5">
      <c r="C2141" s="4" t="s">
        <v>2177</v>
      </c>
      <c r="D2141" s="23">
        <v>23050</v>
      </c>
      <c r="E2141" s="4">
        <v>1920</v>
      </c>
      <c r="F2141" s="4">
        <v>10800000</v>
      </c>
      <c r="G2141" s="21">
        <f t="shared" si="108"/>
        <v>10420093.180722116</v>
      </c>
      <c r="H2141" s="6">
        <f t="shared" si="110"/>
        <v>379906.81927788444</v>
      </c>
      <c r="I2141" s="1">
        <f t="shared" si="109"/>
        <v>11357901.566987107</v>
      </c>
      <c r="J2141" s="2">
        <f t="shared" si="111"/>
        <v>-557901.56698710658</v>
      </c>
      <c r="M2141" s="4"/>
      <c r="N2141" s="22"/>
      <c r="O2141" s="22"/>
      <c r="P2141" s="4"/>
    </row>
    <row r="2142" spans="3:16" ht="19.5" x14ac:dyDescent="0.5">
      <c r="C2142" s="4" t="s">
        <v>2178</v>
      </c>
      <c r="D2142" s="23">
        <v>22850</v>
      </c>
      <c r="E2142" s="4">
        <v>1940</v>
      </c>
      <c r="F2142" s="4">
        <v>10550000</v>
      </c>
      <c r="G2142" s="21">
        <f t="shared" si="108"/>
        <v>10437272.812911937</v>
      </c>
      <c r="H2142" s="6">
        <f t="shared" si="110"/>
        <v>112727.18708806299</v>
      </c>
      <c r="I2142" s="1">
        <f t="shared" si="109"/>
        <v>11376627.366074013</v>
      </c>
      <c r="J2142" s="2">
        <f t="shared" si="111"/>
        <v>-826627.36607401259</v>
      </c>
      <c r="M2142" s="4"/>
      <c r="N2142" s="22"/>
      <c r="O2142" s="22"/>
      <c r="P2142" s="4"/>
    </row>
    <row r="2143" spans="3:16" ht="19.5" x14ac:dyDescent="0.5">
      <c r="C2143" s="4" t="s">
        <v>2179</v>
      </c>
      <c r="D2143" s="23">
        <v>23030</v>
      </c>
      <c r="E2143" s="4">
        <v>1958</v>
      </c>
      <c r="F2143" s="4">
        <v>10800000</v>
      </c>
      <c r="G2143" s="21">
        <f t="shared" si="108"/>
        <v>10617009.419605823</v>
      </c>
      <c r="H2143" s="6">
        <f t="shared" si="110"/>
        <v>182990.58039417677</v>
      </c>
      <c r="I2143" s="1">
        <f t="shared" si="109"/>
        <v>11572540.267370349</v>
      </c>
      <c r="J2143" s="2">
        <f t="shared" si="111"/>
        <v>-772540.2673703488</v>
      </c>
      <c r="M2143" s="4"/>
      <c r="N2143" s="22"/>
      <c r="O2143" s="22"/>
      <c r="P2143" s="4"/>
    </row>
    <row r="2144" spans="3:16" ht="19.5" x14ac:dyDescent="0.5">
      <c r="C2144" s="4" t="s">
        <v>2210</v>
      </c>
      <c r="D2144" s="23">
        <v>22970</v>
      </c>
      <c r="E2144" s="4">
        <v>1929</v>
      </c>
      <c r="F2144" s="4">
        <v>10700000</v>
      </c>
      <c r="G2144" s="21">
        <f t="shared" si="108"/>
        <v>10432596.658232324</v>
      </c>
      <c r="H2144" s="6">
        <f t="shared" si="110"/>
        <v>267403.34176767617</v>
      </c>
      <c r="I2144" s="1">
        <f t="shared" si="109"/>
        <v>11371530.357473234</v>
      </c>
      <c r="J2144" s="2">
        <f t="shared" si="111"/>
        <v>-671530.35747323371</v>
      </c>
      <c r="M2144" s="4"/>
      <c r="N2144" s="22"/>
      <c r="O2144" s="22"/>
      <c r="P2144" s="4"/>
    </row>
    <row r="2145" spans="3:16" ht="22.5" x14ac:dyDescent="0.55000000000000004">
      <c r="C2145" s="26" t="s">
        <v>2180</v>
      </c>
      <c r="D2145" s="27">
        <v>23370</v>
      </c>
      <c r="E2145" s="4">
        <v>1916</v>
      </c>
      <c r="F2145" s="28">
        <v>10800000</v>
      </c>
      <c r="G2145" s="21">
        <f t="shared" si="108"/>
        <v>10542685.153329259</v>
      </c>
      <c r="H2145" s="6">
        <f t="shared" si="110"/>
        <v>257314.84667074122</v>
      </c>
      <c r="I2145" s="1">
        <f t="shared" si="109"/>
        <v>11491526.817128893</v>
      </c>
      <c r="J2145" s="2">
        <f t="shared" si="111"/>
        <v>-691526.81712889299</v>
      </c>
      <c r="M2145" s="4"/>
      <c r="N2145" s="22"/>
      <c r="O2145" s="22"/>
      <c r="P2145" s="4"/>
    </row>
    <row r="2146" spans="3:16" ht="22.5" x14ac:dyDescent="0.55000000000000004">
      <c r="C2146" s="26" t="s">
        <v>2181</v>
      </c>
      <c r="D2146" s="27">
        <v>23600</v>
      </c>
      <c r="E2146" s="4">
        <v>1962</v>
      </c>
      <c r="F2146" s="28">
        <v>10870000</v>
      </c>
      <c r="G2146" s="21">
        <f t="shared" si="108"/>
        <v>10901875.961804327</v>
      </c>
      <c r="H2146" s="6">
        <f t="shared" si="110"/>
        <v>-31875.961804326624</v>
      </c>
      <c r="I2146" s="1">
        <f t="shared" si="109"/>
        <v>11883044.798366716</v>
      </c>
      <c r="J2146" s="2">
        <f t="shared" si="111"/>
        <v>-1013044.7983667161</v>
      </c>
      <c r="M2146" s="4"/>
      <c r="N2146" s="22"/>
      <c r="O2146" s="22"/>
      <c r="P2146" s="4"/>
    </row>
    <row r="2147" spans="3:16" ht="22.5" x14ac:dyDescent="0.55000000000000004">
      <c r="C2147" s="26" t="s">
        <v>2182</v>
      </c>
      <c r="D2147" s="27">
        <v>23450</v>
      </c>
      <c r="E2147" s="4">
        <v>1964</v>
      </c>
      <c r="F2147" s="28">
        <v>10800000</v>
      </c>
      <c r="G2147" s="21">
        <f t="shared" si="108"/>
        <v>10843653.48230074</v>
      </c>
      <c r="H2147" s="6">
        <f t="shared" si="110"/>
        <v>-43653.482300739735</v>
      </c>
      <c r="I2147" s="1">
        <f t="shared" si="109"/>
        <v>11819582.295707807</v>
      </c>
      <c r="J2147" s="2">
        <f t="shared" si="111"/>
        <v>-1019582.2957078069</v>
      </c>
      <c r="M2147" s="4"/>
      <c r="N2147" s="22"/>
      <c r="O2147" s="22"/>
      <c r="P2147" s="4"/>
    </row>
    <row r="2148" spans="3:16" ht="22.5" x14ac:dyDescent="0.55000000000000004">
      <c r="C2148" s="26" t="s">
        <v>2183</v>
      </c>
      <c r="D2148">
        <v>23810</v>
      </c>
      <c r="E2148" s="27">
        <v>1965</v>
      </c>
      <c r="F2148" s="29">
        <v>11200000</v>
      </c>
      <c r="G2148" s="21">
        <f t="shared" si="108"/>
        <v>11015649.84101212</v>
      </c>
      <c r="H2148" s="6">
        <f t="shared" si="110"/>
        <v>184350.15898787975</v>
      </c>
      <c r="I2148" s="1">
        <f t="shared" si="109"/>
        <v>12007058.326703211</v>
      </c>
      <c r="J2148" s="2">
        <f t="shared" si="111"/>
        <v>-807058.32670321129</v>
      </c>
    </row>
    <row r="2149" spans="3:16" ht="22.5" x14ac:dyDescent="0.55000000000000004">
      <c r="C2149" s="26" t="s">
        <v>2184</v>
      </c>
      <c r="D2149">
        <v>24050</v>
      </c>
      <c r="E2149" s="27">
        <v>1989</v>
      </c>
      <c r="F2149" s="29">
        <v>11300000</v>
      </c>
      <c r="G2149" s="21">
        <f t="shared" si="108"/>
        <v>11262471.734720122</v>
      </c>
      <c r="H2149" s="6">
        <f t="shared" si="110"/>
        <v>37528.265279877931</v>
      </c>
      <c r="I2149" s="1">
        <f t="shared" si="109"/>
        <v>12276094.190844934</v>
      </c>
      <c r="J2149" s="2">
        <f t="shared" si="111"/>
        <v>-976094.19084493443</v>
      </c>
    </row>
    <row r="2150" spans="3:16" ht="22.5" x14ac:dyDescent="0.55000000000000004">
      <c r="C2150" s="26" t="s">
        <v>2185</v>
      </c>
      <c r="D2150">
        <v>24450</v>
      </c>
      <c r="E2150" s="27">
        <v>1958</v>
      </c>
      <c r="F2150" s="29">
        <v>11350000</v>
      </c>
      <c r="G2150" s="21">
        <f t="shared" si="108"/>
        <v>11271332.188856378</v>
      </c>
      <c r="H2150" s="6">
        <f t="shared" si="110"/>
        <v>78667.811143621802</v>
      </c>
      <c r="I2150" s="1">
        <f t="shared" si="109"/>
        <v>12285752.085853454</v>
      </c>
      <c r="J2150" s="2">
        <f t="shared" si="111"/>
        <v>-935752.08585345373</v>
      </c>
    </row>
    <row r="2151" spans="3:16" ht="22.5" x14ac:dyDescent="0.55000000000000004">
      <c r="C2151" s="26" t="s">
        <v>2186</v>
      </c>
      <c r="D2151">
        <v>24200</v>
      </c>
      <c r="E2151">
        <v>1935</v>
      </c>
      <c r="F2151" s="29">
        <v>11200000</v>
      </c>
      <c r="G2151" s="21">
        <f t="shared" si="108"/>
        <v>11025145.706201974</v>
      </c>
      <c r="H2151" s="6">
        <f t="shared" si="110"/>
        <v>174854.2937980257</v>
      </c>
      <c r="I2151" s="1">
        <f t="shared" si="109"/>
        <v>12017408.819760153</v>
      </c>
      <c r="J2151" s="2">
        <f t="shared" si="111"/>
        <v>-817408.81976015307</v>
      </c>
    </row>
    <row r="2152" spans="3:16" ht="22.5" x14ac:dyDescent="0.55000000000000004">
      <c r="C2152" s="26" t="s">
        <v>2187</v>
      </c>
      <c r="D2152">
        <v>24200</v>
      </c>
      <c r="E2152" s="31">
        <v>1920</v>
      </c>
      <c r="F2152" s="29">
        <v>11200000</v>
      </c>
      <c r="G2152" s="21">
        <f t="shared" si="108"/>
        <v>10939718.220107384</v>
      </c>
      <c r="H2152" s="6">
        <f t="shared" si="110"/>
        <v>260281.77989261597</v>
      </c>
      <c r="I2152" s="1">
        <f t="shared" si="109"/>
        <v>11924292.85991705</v>
      </c>
      <c r="J2152" s="2">
        <f t="shared" si="111"/>
        <v>-724292.85991705023</v>
      </c>
    </row>
    <row r="2153" spans="3:16" ht="22.5" x14ac:dyDescent="0.55000000000000004">
      <c r="C2153" s="26" t="s">
        <v>2188</v>
      </c>
      <c r="D2153">
        <v>24500</v>
      </c>
      <c r="E2153">
        <v>1935</v>
      </c>
      <c r="F2153" s="29">
        <v>11400000</v>
      </c>
      <c r="G2153" s="21">
        <f t="shared" si="108"/>
        <v>11161759.082725137</v>
      </c>
      <c r="H2153" s="6">
        <f t="shared" si="110"/>
        <v>238240.91727486253</v>
      </c>
      <c r="I2153" s="1">
        <f t="shared" si="109"/>
        <v>12166317.400170401</v>
      </c>
      <c r="J2153" s="2">
        <f t="shared" si="111"/>
        <v>-766317.40017040074</v>
      </c>
    </row>
    <row r="2154" spans="3:16" ht="22.5" x14ac:dyDescent="0.55000000000000004">
      <c r="C2154" s="26" t="s">
        <v>2189</v>
      </c>
      <c r="D2154">
        <v>24520</v>
      </c>
      <c r="E2154">
        <v>1935</v>
      </c>
      <c r="F2154" s="29">
        <v>11330000</v>
      </c>
      <c r="G2154" s="21">
        <f t="shared" si="108"/>
        <v>11170866.641160017</v>
      </c>
      <c r="H2154" s="6">
        <f t="shared" si="110"/>
        <v>159133.35883998312</v>
      </c>
      <c r="I2154" s="1">
        <f t="shared" si="109"/>
        <v>12176244.638864418</v>
      </c>
      <c r="J2154" s="2">
        <f t="shared" si="111"/>
        <v>-846244.63886441849</v>
      </c>
    </row>
    <row r="2155" spans="3:16" ht="22.5" x14ac:dyDescent="0.55000000000000004">
      <c r="C2155" s="26" t="s">
        <v>2190</v>
      </c>
      <c r="D2155">
        <v>24800</v>
      </c>
      <c r="E2155">
        <v>1929</v>
      </c>
      <c r="F2155" s="29">
        <v>11400000</v>
      </c>
      <c r="G2155" s="21">
        <f t="shared" si="108"/>
        <v>11263354.25007234</v>
      </c>
      <c r="H2155" s="6">
        <f t="shared" si="110"/>
        <v>136645.74992766045</v>
      </c>
      <c r="I2155" s="1">
        <f t="shared" si="109"/>
        <v>12277056.132578852</v>
      </c>
      <c r="J2155" s="2">
        <f t="shared" si="111"/>
        <v>-877056.13257885166</v>
      </c>
    </row>
    <row r="2156" spans="3:16" ht="22.5" x14ac:dyDescent="0.55000000000000004">
      <c r="C2156" s="26" t="s">
        <v>2191</v>
      </c>
      <c r="D2156">
        <v>25200</v>
      </c>
      <c r="E2156">
        <v>1918</v>
      </c>
      <c r="F2156" s="29">
        <v>11560000</v>
      </c>
      <c r="G2156" s="21">
        <f t="shared" si="108"/>
        <v>11379705.074108606</v>
      </c>
      <c r="H2156" s="6">
        <f t="shared" si="110"/>
        <v>180294.9258913938</v>
      </c>
      <c r="I2156" s="1">
        <f t="shared" si="109"/>
        <v>12403878.530778382</v>
      </c>
      <c r="J2156" s="2">
        <f t="shared" si="111"/>
        <v>-843878.53077838197</v>
      </c>
    </row>
    <row r="2157" spans="3:16" ht="22.5" x14ac:dyDescent="0.55000000000000004">
      <c r="C2157" s="26" t="s">
        <v>2192</v>
      </c>
      <c r="D2157">
        <v>25500</v>
      </c>
      <c r="E2157">
        <v>1948</v>
      </c>
      <c r="F2157" s="29">
        <v>11850000</v>
      </c>
      <c r="G2157" s="21">
        <f t="shared" si="108"/>
        <v>11695151.361604989</v>
      </c>
      <c r="H2157" s="6">
        <f t="shared" si="110"/>
        <v>154848.63839501143</v>
      </c>
      <c r="I2157" s="1">
        <f t="shared" si="109"/>
        <v>12747714.984149439</v>
      </c>
      <c r="J2157" s="2">
        <f t="shared" si="111"/>
        <v>-897714.98414943926</v>
      </c>
    </row>
    <row r="2158" spans="3:16" ht="22.5" x14ac:dyDescent="0.55000000000000004">
      <c r="C2158" s="26" t="s">
        <v>2193</v>
      </c>
      <c r="D2158">
        <v>25650</v>
      </c>
      <c r="E2158">
        <v>1960</v>
      </c>
      <c r="F2158" s="29">
        <v>11970000</v>
      </c>
      <c r="G2158" s="21">
        <f t="shared" si="108"/>
        <v>11836353.817959679</v>
      </c>
      <c r="H2158" s="6">
        <f t="shared" si="110"/>
        <v>133646.18204032071</v>
      </c>
      <c r="I2158" s="1">
        <f t="shared" si="109"/>
        <v>12901625.661576051</v>
      </c>
      <c r="J2158" s="2">
        <f t="shared" si="111"/>
        <v>-931625.66157605127</v>
      </c>
    </row>
    <row r="2159" spans="3:16" ht="22.5" x14ac:dyDescent="0.55000000000000004">
      <c r="C2159" s="30" t="s">
        <v>2194</v>
      </c>
      <c r="D2159">
        <v>25650</v>
      </c>
      <c r="E2159">
        <v>1947</v>
      </c>
      <c r="F2159" s="29">
        <v>11970000</v>
      </c>
      <c r="G2159" s="21">
        <f t="shared" si="108"/>
        <v>11757880.552840561</v>
      </c>
      <c r="H2159" s="6">
        <f t="shared" si="110"/>
        <v>212119.44715943933</v>
      </c>
      <c r="I2159" s="1">
        <f t="shared" si="109"/>
        <v>12816089.802596211</v>
      </c>
      <c r="J2159" s="2">
        <f t="shared" si="111"/>
        <v>-846089.80259621143</v>
      </c>
    </row>
    <row r="2160" spans="3:16" ht="22.5" x14ac:dyDescent="0.55000000000000004">
      <c r="C2160" s="26" t="s">
        <v>2195</v>
      </c>
      <c r="D2160">
        <v>26100</v>
      </c>
      <c r="E2160">
        <v>1940</v>
      </c>
      <c r="F2160" s="29">
        <v>12300000</v>
      </c>
      <c r="G2160" s="21">
        <f t="shared" si="108"/>
        <v>11921075.291772496</v>
      </c>
      <c r="H2160" s="6">
        <f t="shared" si="110"/>
        <v>378924.70822750404</v>
      </c>
      <c r="I2160" s="1">
        <f t="shared" si="109"/>
        <v>12993972.068032021</v>
      </c>
      <c r="J2160" s="2">
        <f t="shared" si="111"/>
        <v>-693972.0680320207</v>
      </c>
    </row>
    <row r="2161" spans="3:10" ht="22.5" x14ac:dyDescent="0.55000000000000004">
      <c r="C2161" s="26" t="s">
        <v>2196</v>
      </c>
      <c r="D2161">
        <v>26650</v>
      </c>
      <c r="E2161">
        <v>1940</v>
      </c>
      <c r="F2161" s="29">
        <v>12650000</v>
      </c>
      <c r="G2161" s="21">
        <f t="shared" ref="G2161:G2224" si="112">E2161/31.103*8.133*D2161*0.9+5000</f>
        <v>12172180.326656591</v>
      </c>
      <c r="H2161" s="6">
        <f t="shared" si="110"/>
        <v>477819.67334340885</v>
      </c>
      <c r="I2161" s="1">
        <f t="shared" ref="I2161:I2224" si="113">G2161*1.09</f>
        <v>13267676.556055686</v>
      </c>
      <c r="J2161" s="2">
        <f t="shared" si="111"/>
        <v>-617676.55605568551</v>
      </c>
    </row>
    <row r="2162" spans="3:10" ht="22.5" x14ac:dyDescent="0.55000000000000004">
      <c r="C2162" s="26" t="s">
        <v>2197</v>
      </c>
      <c r="D2162">
        <v>26320</v>
      </c>
      <c r="E2162">
        <v>1957</v>
      </c>
      <c r="F2162" s="29">
        <v>12500000</v>
      </c>
      <c r="G2162" s="21">
        <f t="shared" si="112"/>
        <v>12126816.684178373</v>
      </c>
      <c r="H2162" s="6">
        <f t="shared" si="110"/>
        <v>373183.31582162715</v>
      </c>
      <c r="I2162" s="1">
        <f t="shared" si="113"/>
        <v>13218230.185754428</v>
      </c>
      <c r="J2162" s="2">
        <f t="shared" si="111"/>
        <v>-718230.18575442769</v>
      </c>
    </row>
    <row r="2163" spans="3:10" ht="22.5" x14ac:dyDescent="0.55000000000000004">
      <c r="C2163" s="26" t="s">
        <v>2198</v>
      </c>
      <c r="D2163" s="26">
        <v>26700</v>
      </c>
      <c r="E2163">
        <v>1952</v>
      </c>
      <c r="F2163" s="29">
        <v>12850000</v>
      </c>
      <c r="G2163" s="21">
        <f t="shared" si="112"/>
        <v>12270410.168794006</v>
      </c>
      <c r="H2163" s="6">
        <f t="shared" si="110"/>
        <v>579589.83120599389</v>
      </c>
      <c r="I2163" s="1">
        <f t="shared" si="113"/>
        <v>13374747.083985468</v>
      </c>
      <c r="J2163" s="2">
        <f t="shared" si="111"/>
        <v>-524747.08398546837</v>
      </c>
    </row>
    <row r="2164" spans="3:10" ht="22.5" x14ac:dyDescent="0.55000000000000004">
      <c r="C2164" s="26" t="s">
        <v>2199</v>
      </c>
      <c r="D2164" s="26">
        <v>25850</v>
      </c>
      <c r="E2164">
        <v>1965</v>
      </c>
      <c r="F2164" s="29">
        <v>12860000</v>
      </c>
      <c r="G2164" s="21">
        <f t="shared" si="112"/>
        <v>11959023.45191782</v>
      </c>
      <c r="H2164" s="6">
        <f t="shared" si="110"/>
        <v>900976.54808218032</v>
      </c>
      <c r="I2164" s="1">
        <f t="shared" si="113"/>
        <v>13035335.562590424</v>
      </c>
      <c r="J2164" s="2">
        <f t="shared" si="111"/>
        <v>-175335.56259042397</v>
      </c>
    </row>
    <row r="2165" spans="3:10" ht="22.5" x14ac:dyDescent="0.55000000000000004">
      <c r="C2165" s="26" t="s">
        <v>2200</v>
      </c>
      <c r="D2165" s="26">
        <v>26900</v>
      </c>
      <c r="E2165">
        <v>1935</v>
      </c>
      <c r="F2165" s="29">
        <v>12855000</v>
      </c>
      <c r="G2165" s="21">
        <f t="shared" si="112"/>
        <v>12254666.094910458</v>
      </c>
      <c r="H2165" s="6">
        <f t="shared" si="110"/>
        <v>600333.90508954227</v>
      </c>
      <c r="I2165" s="1">
        <f t="shared" si="113"/>
        <v>13357586.043452401</v>
      </c>
      <c r="J2165" s="2">
        <f t="shared" si="111"/>
        <v>-502586.04345240071</v>
      </c>
    </row>
    <row r="2166" spans="3:10" ht="22.5" x14ac:dyDescent="0.55000000000000004">
      <c r="C2166" s="26" t="s">
        <v>2201</v>
      </c>
      <c r="D2166" s="26">
        <v>26550</v>
      </c>
      <c r="E2166">
        <v>1940</v>
      </c>
      <c r="F2166" s="29">
        <v>12795000</v>
      </c>
      <c r="G2166" s="21">
        <f t="shared" si="112"/>
        <v>12126524.865768574</v>
      </c>
      <c r="H2166" s="6">
        <f t="shared" si="110"/>
        <v>668475.13423142582</v>
      </c>
      <c r="I2166" s="1">
        <f t="shared" si="113"/>
        <v>13217912.103687746</v>
      </c>
      <c r="J2166" s="2">
        <f t="shared" si="111"/>
        <v>-422912.10368774645</v>
      </c>
    </row>
    <row r="2167" spans="3:10" ht="22.5" x14ac:dyDescent="0.55000000000000004">
      <c r="C2167" s="26" t="s">
        <v>2202</v>
      </c>
      <c r="D2167" s="26">
        <v>27200</v>
      </c>
      <c r="E2167">
        <v>1940</v>
      </c>
      <c r="F2167" s="29">
        <v>13200000</v>
      </c>
      <c r="G2167" s="21">
        <f t="shared" si="112"/>
        <v>12423285.361540686</v>
      </c>
      <c r="H2167" s="6">
        <f t="shared" si="110"/>
        <v>776714.63845931366</v>
      </c>
      <c r="I2167" s="1">
        <f t="shared" si="113"/>
        <v>13541381.044079348</v>
      </c>
      <c r="J2167" s="2">
        <f t="shared" si="111"/>
        <v>-341381.04407934844</v>
      </c>
    </row>
    <row r="2168" spans="3:10" ht="22.5" x14ac:dyDescent="0.55000000000000004">
      <c r="C2168" s="26" t="s">
        <v>2203</v>
      </c>
      <c r="D2168" s="26">
        <v>27250</v>
      </c>
      <c r="E2168">
        <v>1900</v>
      </c>
      <c r="F2168" s="29">
        <v>13100000</v>
      </c>
      <c r="G2168" s="21">
        <f t="shared" si="112"/>
        <v>12189595.296273669</v>
      </c>
      <c r="H2168" s="6">
        <f t="shared" si="110"/>
        <v>910404.70372633077</v>
      </c>
      <c r="I2168" s="1">
        <f t="shared" si="113"/>
        <v>13286658.8729383</v>
      </c>
      <c r="J2168" s="2">
        <f t="shared" si="111"/>
        <v>-186658.87293829955</v>
      </c>
    </row>
    <row r="2169" spans="3:10" ht="22.5" x14ac:dyDescent="0.55000000000000004">
      <c r="C2169" s="26"/>
      <c r="D2169" s="26">
        <v>27495</v>
      </c>
      <c r="E2169">
        <v>1907</v>
      </c>
      <c r="F2169" s="29">
        <v>13200000</v>
      </c>
      <c r="G2169" s="21">
        <f t="shared" si="112"/>
        <v>12344439.086599361</v>
      </c>
      <c r="H2169" s="6">
        <f t="shared" si="110"/>
        <v>855560.91340063885</v>
      </c>
      <c r="I2169" s="1">
        <f t="shared" si="113"/>
        <v>13455438.604393305</v>
      </c>
      <c r="J2169" s="2">
        <f t="shared" si="111"/>
        <v>-255438.60439330526</v>
      </c>
    </row>
    <row r="2170" spans="3:10" ht="22.5" x14ac:dyDescent="0.55000000000000004">
      <c r="C2170" s="26" t="s">
        <v>2204</v>
      </c>
      <c r="D2170" s="26">
        <v>27995</v>
      </c>
      <c r="E2170">
        <v>1866</v>
      </c>
      <c r="F2170" s="29">
        <v>13220000</v>
      </c>
      <c r="G2170" s="21">
        <f t="shared" si="112"/>
        <v>12298714.201170303</v>
      </c>
      <c r="H2170" s="6">
        <f t="shared" si="110"/>
        <v>921285.79882969707</v>
      </c>
      <c r="I2170" s="1">
        <f t="shared" si="113"/>
        <v>13405598.479275631</v>
      </c>
      <c r="J2170" s="2">
        <f t="shared" si="111"/>
        <v>-185598.47927563079</v>
      </c>
    </row>
    <row r="2171" spans="3:10" ht="22.5" x14ac:dyDescent="0.55000000000000004">
      <c r="C2171" s="26" t="s">
        <v>2205</v>
      </c>
      <c r="D2171" s="26">
        <v>28700</v>
      </c>
      <c r="E2171">
        <v>1860</v>
      </c>
      <c r="F2171" s="29">
        <v>13270000</v>
      </c>
      <c r="G2171" s="21">
        <f t="shared" si="112"/>
        <v>12567782.541876987</v>
      </c>
      <c r="H2171" s="6">
        <f t="shared" si="110"/>
        <v>702217.45812301338</v>
      </c>
      <c r="I2171" s="1">
        <f t="shared" si="113"/>
        <v>13698882.970645916</v>
      </c>
      <c r="J2171" s="2">
        <f t="shared" si="111"/>
        <v>-428882.97064591572</v>
      </c>
    </row>
    <row r="2172" spans="3:10" ht="22.5" x14ac:dyDescent="0.55000000000000004">
      <c r="C2172" s="26" t="s">
        <v>2206</v>
      </c>
      <c r="D2172" s="26">
        <v>28750</v>
      </c>
      <c r="E2172">
        <v>1862</v>
      </c>
      <c r="F2172" s="29">
        <v>13250000</v>
      </c>
      <c r="G2172" s="21">
        <f t="shared" si="112"/>
        <v>12603200.824679289</v>
      </c>
      <c r="H2172" s="6">
        <f t="shared" si="110"/>
        <v>646799.17532071099</v>
      </c>
      <c r="I2172" s="1">
        <f t="shared" si="113"/>
        <v>13737488.898900427</v>
      </c>
      <c r="J2172" s="2">
        <f t="shared" si="111"/>
        <v>-487488.89890042692</v>
      </c>
    </row>
    <row r="2173" spans="3:10" ht="22.5" x14ac:dyDescent="0.55000000000000004">
      <c r="C2173" s="26" t="s">
        <v>2207</v>
      </c>
      <c r="D2173" s="26">
        <v>28950</v>
      </c>
      <c r="E2173">
        <v>1862</v>
      </c>
      <c r="F2173" s="29">
        <v>13280000</v>
      </c>
      <c r="G2173" s="21">
        <f t="shared" si="112"/>
        <v>12690840.482590102</v>
      </c>
      <c r="H2173" s="6">
        <f t="shared" si="110"/>
        <v>589159.51740989834</v>
      </c>
      <c r="I2173" s="1">
        <f t="shared" si="113"/>
        <v>13833016.126023212</v>
      </c>
      <c r="J2173" s="2">
        <f t="shared" si="111"/>
        <v>-553016.12602321245</v>
      </c>
    </row>
    <row r="2174" spans="3:10" ht="22.5" x14ac:dyDescent="0.55000000000000004">
      <c r="C2174" s="26" t="s">
        <v>2208</v>
      </c>
      <c r="D2174" s="26">
        <v>29400</v>
      </c>
      <c r="E2174">
        <v>1870</v>
      </c>
      <c r="F2174" s="29">
        <v>13380000</v>
      </c>
      <c r="G2174" s="21">
        <f t="shared" si="112"/>
        <v>12943381.07578047</v>
      </c>
      <c r="H2174" s="6">
        <f t="shared" si="110"/>
        <v>436618.92421953008</v>
      </c>
      <c r="I2174" s="1">
        <f t="shared" si="113"/>
        <v>14108285.372600714</v>
      </c>
      <c r="J2174" s="2">
        <f t="shared" si="111"/>
        <v>-728285.37260071374</v>
      </c>
    </row>
    <row r="2175" spans="3:10" ht="22.5" x14ac:dyDescent="0.55000000000000004">
      <c r="C2175" s="26" t="s">
        <v>2209</v>
      </c>
      <c r="D2175" s="26">
        <v>29420</v>
      </c>
      <c r="E2175">
        <v>1890</v>
      </c>
      <c r="F2175" s="29">
        <v>13580000</v>
      </c>
      <c r="G2175" s="21">
        <f t="shared" si="112"/>
        <v>13090655.237758415</v>
      </c>
      <c r="H2175" s="6">
        <f t="shared" si="110"/>
        <v>489344.76224158518</v>
      </c>
      <c r="I2175" s="1">
        <f t="shared" si="113"/>
        <v>14268814.209156673</v>
      </c>
      <c r="J2175" s="2">
        <f t="shared" si="111"/>
        <v>-688814.2091566734</v>
      </c>
    </row>
    <row r="2176" spans="3:10" ht="22.5" x14ac:dyDescent="0.55000000000000004">
      <c r="C2176" s="26" t="s">
        <v>2211</v>
      </c>
      <c r="D2176" s="26">
        <v>29650</v>
      </c>
      <c r="E2176">
        <v>1897</v>
      </c>
      <c r="F2176" s="29">
        <v>14080000</v>
      </c>
      <c r="G2176" s="21">
        <f t="shared" si="112"/>
        <v>13241800.700414749</v>
      </c>
      <c r="H2176" s="6">
        <f t="shared" si="110"/>
        <v>838199.29958525114</v>
      </c>
      <c r="I2176" s="1">
        <f t="shared" si="113"/>
        <v>14433562.763452077</v>
      </c>
      <c r="J2176" s="2">
        <f t="shared" si="111"/>
        <v>-353562.76345207728</v>
      </c>
    </row>
    <row r="2177" spans="3:10" ht="22.5" x14ac:dyDescent="0.55000000000000004">
      <c r="C2177" s="26" t="s">
        <v>2212</v>
      </c>
      <c r="D2177" s="26">
        <v>29980</v>
      </c>
      <c r="E2177">
        <v>1096</v>
      </c>
      <c r="F2177" s="29">
        <v>14600000</v>
      </c>
      <c r="G2177" s="21">
        <f t="shared" si="112"/>
        <v>7737736.0118316542</v>
      </c>
      <c r="H2177" s="6">
        <f t="shared" si="110"/>
        <v>6862263.9881683458</v>
      </c>
      <c r="I2177" s="1">
        <f t="shared" si="113"/>
        <v>8434132.2528965045</v>
      </c>
      <c r="J2177" s="2">
        <f t="shared" si="111"/>
        <v>6165867.7471034955</v>
      </c>
    </row>
    <row r="2178" spans="3:10" ht="22.5" x14ac:dyDescent="0.55000000000000004">
      <c r="C2178" s="26" t="s">
        <v>2213</v>
      </c>
      <c r="D2178" s="26">
        <v>29500</v>
      </c>
      <c r="E2178">
        <v>1898</v>
      </c>
      <c r="F2178" s="29">
        <v>14300000</v>
      </c>
      <c r="G2178" s="21">
        <f t="shared" si="112"/>
        <v>13181777.88959264</v>
      </c>
      <c r="H2178" s="6">
        <f t="shared" si="110"/>
        <v>1118222.1104073599</v>
      </c>
      <c r="I2178" s="1">
        <f t="shared" si="113"/>
        <v>14368137.899655979</v>
      </c>
      <c r="J2178" s="2">
        <f t="shared" si="111"/>
        <v>-68137.899655979127</v>
      </c>
    </row>
    <row r="2179" spans="3:10" ht="22.5" x14ac:dyDescent="0.55000000000000004">
      <c r="C2179" s="26" t="s">
        <v>2214</v>
      </c>
      <c r="D2179" s="26">
        <v>28300</v>
      </c>
      <c r="E2179">
        <v>1898</v>
      </c>
      <c r="F2179" s="29">
        <v>13500000</v>
      </c>
      <c r="G2179" s="21">
        <f t="shared" si="112"/>
        <v>12645773.365270229</v>
      </c>
      <c r="H2179" s="6">
        <f t="shared" si="110"/>
        <v>854226.63472977094</v>
      </c>
      <c r="I2179" s="1">
        <f t="shared" si="113"/>
        <v>13783892.968144551</v>
      </c>
      <c r="J2179" s="2">
        <f t="shared" si="111"/>
        <v>-283892.96814455092</v>
      </c>
    </row>
    <row r="2180" spans="3:10" ht="22.5" x14ac:dyDescent="0.55000000000000004">
      <c r="C2180" s="26" t="s">
        <v>2215</v>
      </c>
      <c r="D2180" s="26">
        <v>29200</v>
      </c>
      <c r="E2180">
        <v>1916</v>
      </c>
      <c r="F2180" s="29">
        <v>14300000</v>
      </c>
      <c r="G2180" s="21">
        <f t="shared" si="112"/>
        <v>13171470.11027875</v>
      </c>
      <c r="H2180" s="6">
        <f t="shared" si="110"/>
        <v>1128529.8897212502</v>
      </c>
      <c r="I2180" s="1">
        <f t="shared" si="113"/>
        <v>14356902.420203838</v>
      </c>
      <c r="J2180" s="2">
        <f t="shared" si="111"/>
        <v>-56902.420203838497</v>
      </c>
    </row>
    <row r="2181" spans="3:10" ht="22.5" x14ac:dyDescent="0.55000000000000004">
      <c r="C2181" s="26" t="s">
        <v>2216</v>
      </c>
      <c r="D2181" s="26">
        <v>29500</v>
      </c>
      <c r="E2181">
        <v>1905</v>
      </c>
      <c r="F2181" s="29">
        <v>14580000</v>
      </c>
      <c r="G2181" s="21">
        <f t="shared" si="112"/>
        <v>13230375.068321383</v>
      </c>
      <c r="H2181" s="6">
        <f t="shared" si="110"/>
        <v>1349624.9316786174</v>
      </c>
      <c r="I2181" s="1">
        <f t="shared" si="113"/>
        <v>14421108.824470308</v>
      </c>
      <c r="J2181" s="2">
        <f t="shared" si="111"/>
        <v>158891.17552969232</v>
      </c>
    </row>
    <row r="2182" spans="3:10" ht="22.5" x14ac:dyDescent="0.55000000000000004">
      <c r="C2182" s="26" t="s">
        <v>2217</v>
      </c>
      <c r="D2182" s="26">
        <v>29680</v>
      </c>
      <c r="E2182">
        <v>1888</v>
      </c>
      <c r="F2182" s="29">
        <v>14700000</v>
      </c>
      <c r="G2182" s="21">
        <f t="shared" si="112"/>
        <v>13192330.419830883</v>
      </c>
      <c r="H2182" s="6">
        <f t="shared" si="110"/>
        <v>1507669.5801691171</v>
      </c>
      <c r="I2182" s="1">
        <f t="shared" si="113"/>
        <v>14379640.157615663</v>
      </c>
      <c r="J2182" s="2">
        <f t="shared" si="111"/>
        <v>320359.84238433652</v>
      </c>
    </row>
    <row r="2183" spans="3:10" ht="22.5" x14ac:dyDescent="0.55000000000000004">
      <c r="C2183" s="26" t="s">
        <v>2218</v>
      </c>
      <c r="D2183" s="26">
        <v>30700</v>
      </c>
      <c r="E2183">
        <v>1931</v>
      </c>
      <c r="F2183" s="29">
        <v>15300000</v>
      </c>
      <c r="G2183" s="21">
        <f t="shared" si="112"/>
        <v>13956202.761469951</v>
      </c>
      <c r="H2183" s="6">
        <f t="shared" si="110"/>
        <v>1343797.2385300491</v>
      </c>
      <c r="I2183" s="1">
        <f t="shared" si="113"/>
        <v>15212261.010002248</v>
      </c>
      <c r="J2183" s="2">
        <f t="shared" si="111"/>
        <v>87738.989997752011</v>
      </c>
    </row>
    <row r="2184" spans="3:10" ht="22.5" x14ac:dyDescent="0.55000000000000004">
      <c r="C2184" s="26" t="s">
        <v>2219</v>
      </c>
      <c r="D2184" s="26">
        <v>31200</v>
      </c>
      <c r="E2184">
        <v>1931</v>
      </c>
      <c r="F2184" s="29">
        <v>15700000</v>
      </c>
      <c r="G2184" s="21">
        <f t="shared" si="112"/>
        <v>14183421.047487378</v>
      </c>
      <c r="H2184" s="6">
        <f t="shared" si="110"/>
        <v>1516578.9525126219</v>
      </c>
      <c r="I2184" s="1">
        <f t="shared" si="113"/>
        <v>15459928.941761244</v>
      </c>
      <c r="J2184" s="2">
        <f t="shared" si="111"/>
        <v>240071.05823875591</v>
      </c>
    </row>
    <row r="2185" spans="3:10" ht="22.5" x14ac:dyDescent="0.55000000000000004">
      <c r="C2185" s="26" t="s">
        <v>2220</v>
      </c>
      <c r="D2185" s="26">
        <v>31600</v>
      </c>
      <c r="E2185">
        <v>1924</v>
      </c>
      <c r="F2185" s="29">
        <v>15950000</v>
      </c>
      <c r="G2185" s="21">
        <f t="shared" si="112"/>
        <v>14313139.03739189</v>
      </c>
      <c r="H2185" s="6">
        <f t="shared" si="110"/>
        <v>1636860.9626081102</v>
      </c>
      <c r="I2185" s="1">
        <f t="shared" si="113"/>
        <v>15601321.55075716</v>
      </c>
      <c r="J2185" s="2">
        <f t="shared" si="111"/>
        <v>348678.44924283959</v>
      </c>
    </row>
    <row r="2186" spans="3:10" ht="22.5" x14ac:dyDescent="0.55000000000000004">
      <c r="C2186" s="26" t="s">
        <v>2221</v>
      </c>
      <c r="D2186" s="26">
        <v>31700</v>
      </c>
      <c r="E2186">
        <v>1895</v>
      </c>
      <c r="F2186" s="29">
        <v>16200000</v>
      </c>
      <c r="G2186" s="21">
        <f t="shared" si="112"/>
        <v>14142072.261518179</v>
      </c>
      <c r="H2186" s="6">
        <f t="shared" si="110"/>
        <v>2057927.7384818215</v>
      </c>
      <c r="I2186" s="1">
        <f t="shared" si="113"/>
        <v>15414858.765054816</v>
      </c>
      <c r="J2186" s="2">
        <f t="shared" si="111"/>
        <v>785141.23494518362</v>
      </c>
    </row>
    <row r="2187" spans="3:10" ht="22.5" x14ac:dyDescent="0.55000000000000004">
      <c r="C2187" s="26" t="s">
        <v>2222</v>
      </c>
      <c r="D2187" s="26">
        <v>31750</v>
      </c>
      <c r="E2187">
        <v>1907</v>
      </c>
      <c r="F2187" s="29">
        <v>16100000</v>
      </c>
      <c r="G2187" s="21">
        <f t="shared" si="112"/>
        <v>14254034.042536087</v>
      </c>
      <c r="H2187" s="6">
        <f t="shared" si="110"/>
        <v>1845965.9574639127</v>
      </c>
      <c r="I2187" s="1">
        <f t="shared" si="113"/>
        <v>15536897.106364336</v>
      </c>
      <c r="J2187" s="2">
        <f t="shared" si="111"/>
        <v>563102.89363566414</v>
      </c>
    </row>
    <row r="2188" spans="3:10" ht="22.5" x14ac:dyDescent="0.55000000000000004">
      <c r="C2188" s="26" t="s">
        <v>2223</v>
      </c>
      <c r="D2188" s="26">
        <v>32100</v>
      </c>
      <c r="E2188">
        <v>1898</v>
      </c>
      <c r="F2188" s="29">
        <v>16380000</v>
      </c>
      <c r="G2188" s="21">
        <f t="shared" si="112"/>
        <v>14343121.025624534</v>
      </c>
      <c r="H2188" s="6">
        <f t="shared" si="110"/>
        <v>2036878.9743754659</v>
      </c>
      <c r="I2188" s="1">
        <f t="shared" si="113"/>
        <v>15634001.917930743</v>
      </c>
      <c r="J2188" s="2">
        <f t="shared" si="111"/>
        <v>745998.08206925727</v>
      </c>
    </row>
    <row r="2189" spans="3:10" ht="22.5" x14ac:dyDescent="0.55000000000000004">
      <c r="C2189" s="26" t="s">
        <v>2224</v>
      </c>
      <c r="D2189" s="26">
        <v>31900</v>
      </c>
      <c r="E2189">
        <v>1900</v>
      </c>
      <c r="F2189" s="29">
        <v>16100000</v>
      </c>
      <c r="G2189" s="21">
        <f t="shared" si="112"/>
        <v>14268801.466096517</v>
      </c>
      <c r="H2189" s="6">
        <f t="shared" si="110"/>
        <v>1831198.5339034833</v>
      </c>
      <c r="I2189" s="1">
        <f t="shared" si="113"/>
        <v>15552993.598045204</v>
      </c>
      <c r="J2189" s="2">
        <f t="shared" si="111"/>
        <v>547006.40195479617</v>
      </c>
    </row>
    <row r="2190" spans="3:10" ht="22.5" x14ac:dyDescent="0.55000000000000004">
      <c r="C2190" s="26" t="s">
        <v>2225</v>
      </c>
      <c r="D2190" s="26">
        <v>31300</v>
      </c>
      <c r="E2190">
        <v>1910</v>
      </c>
      <c r="F2190" s="29">
        <v>15700000</v>
      </c>
      <c r="G2190" s="21">
        <f t="shared" si="112"/>
        <v>14074177.413754297</v>
      </c>
      <c r="H2190" s="6">
        <f t="shared" si="110"/>
        <v>1625822.5862457026</v>
      </c>
      <c r="I2190" s="1">
        <f t="shared" si="113"/>
        <v>15340853.380992185</v>
      </c>
      <c r="J2190" s="2">
        <f t="shared" si="111"/>
        <v>359146.61900781468</v>
      </c>
    </row>
    <row r="2191" spans="3:10" ht="22.5" x14ac:dyDescent="0.55000000000000004">
      <c r="C2191" s="26" t="s">
        <v>2226</v>
      </c>
      <c r="D2191" s="26">
        <v>27600</v>
      </c>
      <c r="E2191">
        <v>1910</v>
      </c>
      <c r="F2191" s="29">
        <v>13950000</v>
      </c>
      <c r="G2191" s="21">
        <f t="shared" si="112"/>
        <v>12411047.815323278</v>
      </c>
      <c r="H2191" s="6">
        <f t="shared" si="110"/>
        <v>1538952.1846767217</v>
      </c>
      <c r="I2191" s="1">
        <f t="shared" si="113"/>
        <v>13528042.118702374</v>
      </c>
      <c r="J2191" s="2">
        <f t="shared" si="111"/>
        <v>421957.8812976256</v>
      </c>
    </row>
    <row r="2192" spans="3:10" ht="22.5" x14ac:dyDescent="0.55000000000000004">
      <c r="C2192" s="26" t="s">
        <v>2227</v>
      </c>
      <c r="D2192" s="26">
        <v>28400</v>
      </c>
      <c r="E2192">
        <v>1923</v>
      </c>
      <c r="F2192" s="29">
        <v>14100000</v>
      </c>
      <c r="G2192" s="21">
        <f t="shared" si="112"/>
        <v>12857529.982316816</v>
      </c>
      <c r="H2192" s="6">
        <f t="shared" si="110"/>
        <v>1242470.0176831838</v>
      </c>
      <c r="I2192" s="1">
        <f t="shared" si="113"/>
        <v>14014707.68072533</v>
      </c>
      <c r="J2192" s="2">
        <f t="shared" si="111"/>
        <v>85292.319274669513</v>
      </c>
    </row>
    <row r="2193" spans="3:10" ht="22.5" x14ac:dyDescent="0.55000000000000004">
      <c r="C2193" s="26" t="s">
        <v>2228</v>
      </c>
      <c r="D2193" s="26">
        <v>29700</v>
      </c>
      <c r="E2193">
        <v>1910</v>
      </c>
      <c r="F2193" s="29">
        <v>15100000</v>
      </c>
      <c r="G2193" s="21">
        <f t="shared" si="112"/>
        <v>13354986.236054398</v>
      </c>
      <c r="H2193" s="6">
        <f t="shared" si="110"/>
        <v>1745013.7639456019</v>
      </c>
      <c r="I2193" s="1">
        <f t="shared" si="113"/>
        <v>14556934.997299295</v>
      </c>
      <c r="J2193" s="2">
        <f t="shared" si="111"/>
        <v>543065.00270070508</v>
      </c>
    </row>
    <row r="2194" spans="3:10" ht="22.5" x14ac:dyDescent="0.55000000000000004">
      <c r="C2194" s="26" t="s">
        <v>2229</v>
      </c>
      <c r="D2194" s="26">
        <v>29100</v>
      </c>
      <c r="E2194">
        <v>1901</v>
      </c>
      <c r="F2194" s="29">
        <v>14500000</v>
      </c>
      <c r="G2194" s="21">
        <f t="shared" si="112"/>
        <v>13023654.67221811</v>
      </c>
      <c r="H2194" s="6">
        <f t="shared" si="110"/>
        <v>1476345.3277818896</v>
      </c>
      <c r="I2194" s="1">
        <f t="shared" si="113"/>
        <v>14195783.592717741</v>
      </c>
      <c r="J2194" s="2">
        <f t="shared" si="111"/>
        <v>304216.40728225932</v>
      </c>
    </row>
    <row r="2195" spans="3:10" ht="22.5" x14ac:dyDescent="0.55000000000000004">
      <c r="C2195" s="26" t="s">
        <v>2230</v>
      </c>
      <c r="D2195" s="26">
        <v>28100</v>
      </c>
      <c r="E2195">
        <v>1903</v>
      </c>
      <c r="F2195" s="29">
        <v>13980000</v>
      </c>
      <c r="G2195" s="21">
        <f t="shared" si="112"/>
        <v>12589504.186412884</v>
      </c>
      <c r="H2195" s="6">
        <f t="shared" si="110"/>
        <v>1390495.8135871161</v>
      </c>
      <c r="I2195" s="1">
        <f t="shared" si="113"/>
        <v>13722559.563190045</v>
      </c>
      <c r="J2195" s="2">
        <f t="shared" si="111"/>
        <v>257440.43680995516</v>
      </c>
    </row>
    <row r="2196" spans="3:10" ht="22.5" x14ac:dyDescent="0.55000000000000004">
      <c r="C2196" s="26" t="s">
        <v>2231</v>
      </c>
      <c r="D2196" s="26">
        <v>28500</v>
      </c>
      <c r="E2196">
        <v>1904</v>
      </c>
      <c r="F2196" s="29">
        <v>14100000</v>
      </c>
      <c r="G2196" s="21">
        <f t="shared" si="112"/>
        <v>12775350.152718388</v>
      </c>
      <c r="H2196" s="6">
        <f t="shared" si="110"/>
        <v>1324649.8472816125</v>
      </c>
      <c r="I2196" s="1">
        <f t="shared" si="113"/>
        <v>13925131.666463044</v>
      </c>
      <c r="J2196" s="2">
        <f t="shared" si="111"/>
        <v>174868.33353695646</v>
      </c>
    </row>
    <row r="2197" spans="3:10" ht="22.5" x14ac:dyDescent="0.55000000000000004">
      <c r="C2197" s="26" t="s">
        <v>2232</v>
      </c>
      <c r="D2197" s="26">
        <v>27900</v>
      </c>
      <c r="E2197">
        <v>1884</v>
      </c>
      <c r="F2197" s="29">
        <v>13400000</v>
      </c>
      <c r="G2197" s="21">
        <f t="shared" si="112"/>
        <v>12375182.391409187</v>
      </c>
      <c r="H2197" s="6">
        <f t="shared" si="110"/>
        <v>1024817.6085908134</v>
      </c>
      <c r="I2197" s="1">
        <f t="shared" si="113"/>
        <v>13488948.806636015</v>
      </c>
      <c r="J2197" s="2">
        <f t="shared" si="111"/>
        <v>-88948.806636014953</v>
      </c>
    </row>
    <row r="2198" spans="3:10" ht="22.5" x14ac:dyDescent="0.55000000000000004">
      <c r="C2198" s="26" t="s">
        <v>2233</v>
      </c>
      <c r="D2198" s="26">
        <v>28000</v>
      </c>
      <c r="E2198">
        <v>1870</v>
      </c>
      <c r="F2198" s="29">
        <v>13500000</v>
      </c>
      <c r="G2198" s="21">
        <f t="shared" si="112"/>
        <v>12327267.691219494</v>
      </c>
      <c r="H2198" s="6">
        <f t="shared" si="110"/>
        <v>1172732.3087805063</v>
      </c>
      <c r="I2198" s="1">
        <f t="shared" si="113"/>
        <v>13436721.783429248</v>
      </c>
      <c r="J2198" s="2">
        <f t="shared" si="111"/>
        <v>63278.216570751742</v>
      </c>
    </row>
    <row r="2199" spans="3:10" ht="22.5" x14ac:dyDescent="0.55000000000000004">
      <c r="C2199" s="26" t="s">
        <v>2234</v>
      </c>
      <c r="D2199" s="26">
        <v>27000</v>
      </c>
      <c r="E2199">
        <v>1879</v>
      </c>
      <c r="F2199" s="29">
        <v>12900000</v>
      </c>
      <c r="G2199" s="21">
        <f t="shared" si="112"/>
        <v>11944373.69707102</v>
      </c>
      <c r="H2199" s="6">
        <f t="shared" si="110"/>
        <v>955626.30292898044</v>
      </c>
      <c r="I2199" s="1">
        <f t="shared" si="113"/>
        <v>13019367.329807412</v>
      </c>
      <c r="J2199" s="2">
        <f t="shared" si="111"/>
        <v>-119367.32980741188</v>
      </c>
    </row>
    <row r="2200" spans="3:10" ht="22.5" x14ac:dyDescent="0.55000000000000004">
      <c r="C2200" s="26" t="s">
        <v>2235</v>
      </c>
      <c r="D2200" s="26">
        <v>27700</v>
      </c>
      <c r="E2200">
        <v>1879</v>
      </c>
      <c r="F2200" s="29">
        <v>13200000</v>
      </c>
      <c r="G2200" s="21">
        <f t="shared" si="112"/>
        <v>12253913.015143232</v>
      </c>
      <c r="H2200" s="6">
        <f t="shared" si="110"/>
        <v>946086.98485676758</v>
      </c>
      <c r="I2200" s="1">
        <f t="shared" si="113"/>
        <v>13356765.186506124</v>
      </c>
      <c r="J2200" s="2">
        <f t="shared" si="111"/>
        <v>-156765.18650612421</v>
      </c>
    </row>
    <row r="2201" spans="3:10" ht="22.5" x14ac:dyDescent="0.55000000000000004">
      <c r="C2201" s="26" t="s">
        <v>2236</v>
      </c>
      <c r="D2201" s="26">
        <v>29200</v>
      </c>
      <c r="E2201">
        <v>1900</v>
      </c>
      <c r="F2201" s="29">
        <v>14500000</v>
      </c>
      <c r="G2201" s="21">
        <f t="shared" si="112"/>
        <v>13061520.464263896</v>
      </c>
      <c r="H2201" s="6">
        <f t="shared" si="110"/>
        <v>1438479.5357361045</v>
      </c>
      <c r="I2201" s="1">
        <f t="shared" si="113"/>
        <v>14237057.306047646</v>
      </c>
      <c r="J2201" s="2">
        <f t="shared" si="111"/>
        <v>262942.69395235367</v>
      </c>
    </row>
    <row r="2202" spans="3:10" ht="22.5" x14ac:dyDescent="0.55000000000000004">
      <c r="C2202" s="26" t="s">
        <v>2237</v>
      </c>
      <c r="D2202" s="26">
        <v>29600</v>
      </c>
      <c r="E2202">
        <v>1908</v>
      </c>
      <c r="F2202" s="29">
        <v>14800000</v>
      </c>
      <c r="G2202" s="21">
        <f t="shared" si="112"/>
        <v>13296104.811754491</v>
      </c>
      <c r="H2202" s="6">
        <f t="shared" si="110"/>
        <v>1503895.1882455088</v>
      </c>
      <c r="I2202" s="1">
        <f t="shared" si="113"/>
        <v>14492754.244812397</v>
      </c>
      <c r="J2202" s="2">
        <f t="shared" si="111"/>
        <v>307245.75518760271</v>
      </c>
    </row>
    <row r="2203" spans="3:10" ht="22.5" x14ac:dyDescent="0.55000000000000004">
      <c r="C2203" s="26" t="s">
        <v>2238</v>
      </c>
      <c r="D2203" s="26">
        <v>26800</v>
      </c>
      <c r="E2203">
        <v>1950</v>
      </c>
      <c r="F2203" s="29">
        <v>12950000</v>
      </c>
      <c r="G2203" s="21">
        <f t="shared" si="112"/>
        <v>12303733.948493714</v>
      </c>
      <c r="H2203" s="6">
        <f t="shared" si="110"/>
        <v>646266.05150628649</v>
      </c>
      <c r="I2203" s="1">
        <f t="shared" si="113"/>
        <v>13411070.003858149</v>
      </c>
      <c r="J2203" s="2">
        <f t="shared" si="111"/>
        <v>-461070.00385814905</v>
      </c>
    </row>
    <row r="2204" spans="3:10" ht="22.5" x14ac:dyDescent="0.55000000000000004">
      <c r="C2204" s="26" t="s">
        <v>2239</v>
      </c>
      <c r="D2204" s="26">
        <v>24800</v>
      </c>
      <c r="E2204">
        <v>1950</v>
      </c>
      <c r="F2204" s="29">
        <v>11800000</v>
      </c>
      <c r="G2204" s="21">
        <f t="shared" si="112"/>
        <v>11385917.982188212</v>
      </c>
      <c r="H2204" s="6">
        <f t="shared" si="110"/>
        <v>414082.01781178825</v>
      </c>
      <c r="I2204" s="1">
        <f t="shared" si="113"/>
        <v>12410650.600585151</v>
      </c>
      <c r="J2204" s="2">
        <f t="shared" si="111"/>
        <v>-610650.60058515146</v>
      </c>
    </row>
    <row r="2205" spans="3:10" ht="22.5" x14ac:dyDescent="0.55000000000000004">
      <c r="C2205" s="26" t="s">
        <v>2240</v>
      </c>
      <c r="D2205" s="26">
        <v>25300</v>
      </c>
      <c r="E2205">
        <v>1950</v>
      </c>
      <c r="F2205" s="29">
        <v>12600000</v>
      </c>
      <c r="G2205" s="21">
        <f t="shared" si="112"/>
        <v>11615371.973764587</v>
      </c>
      <c r="H2205" s="6">
        <f t="shared" si="110"/>
        <v>984628.02623541281</v>
      </c>
      <c r="I2205" s="1">
        <f t="shared" si="113"/>
        <v>12660755.451403402</v>
      </c>
      <c r="J2205" s="2">
        <f t="shared" si="111"/>
        <v>-60755.451403401792</v>
      </c>
    </row>
    <row r="2206" spans="3:10" ht="22.5" x14ac:dyDescent="0.55000000000000004">
      <c r="C2206" s="26" t="s">
        <v>2241</v>
      </c>
      <c r="D2206" s="26">
        <v>26500</v>
      </c>
      <c r="E2206">
        <v>1850</v>
      </c>
      <c r="F2206" s="29">
        <v>13100000</v>
      </c>
      <c r="G2206" s="21">
        <f t="shared" si="112"/>
        <v>11542417.371314663</v>
      </c>
      <c r="H2206" s="6">
        <f t="shared" si="110"/>
        <v>1557582.6286853366</v>
      </c>
      <c r="I2206" s="1">
        <f t="shared" si="113"/>
        <v>12581234.934732985</v>
      </c>
      <c r="J2206" s="2">
        <f t="shared" si="111"/>
        <v>518765.06526701525</v>
      </c>
    </row>
    <row r="2207" spans="3:10" ht="22.5" x14ac:dyDescent="0.55000000000000004">
      <c r="C2207" s="26" t="s">
        <v>2242</v>
      </c>
      <c r="D2207" s="26">
        <v>27500</v>
      </c>
      <c r="E2207">
        <v>1880</v>
      </c>
      <c r="F2207" s="29">
        <v>13200000</v>
      </c>
      <c r="G2207" s="21">
        <f t="shared" si="112"/>
        <v>12171944.989229333</v>
      </c>
      <c r="H2207" s="6">
        <f t="shared" si="110"/>
        <v>1028055.0107706673</v>
      </c>
      <c r="I2207" s="1">
        <f t="shared" si="113"/>
        <v>13267420.038259974</v>
      </c>
      <c r="J2207" s="2">
        <f t="shared" si="111"/>
        <v>-67420.03825997375</v>
      </c>
    </row>
    <row r="2208" spans="3:10" ht="22.5" x14ac:dyDescent="0.55000000000000004">
      <c r="C2208" s="26" t="s">
        <v>2243</v>
      </c>
      <c r="D2208" s="26">
        <v>27450</v>
      </c>
      <c r="E2208">
        <v>1865</v>
      </c>
      <c r="F2208" s="29">
        <v>13150000</v>
      </c>
      <c r="G2208" s="21">
        <f t="shared" si="112"/>
        <v>12052923.085393691</v>
      </c>
      <c r="H2208" s="6">
        <f t="shared" si="110"/>
        <v>1097076.9146063086</v>
      </c>
      <c r="I2208" s="1">
        <f t="shared" si="113"/>
        <v>13137686.163079124</v>
      </c>
      <c r="J2208" s="2">
        <f t="shared" si="111"/>
        <v>12313.836920876056</v>
      </c>
    </row>
    <row r="2209" spans="3:10" ht="22.5" x14ac:dyDescent="0.55000000000000004">
      <c r="C2209" s="26" t="s">
        <v>2244</v>
      </c>
      <c r="D2209" s="26">
        <v>27000</v>
      </c>
      <c r="E2209">
        <v>1870</v>
      </c>
      <c r="F2209" s="29">
        <v>12950000</v>
      </c>
      <c r="G2209" s="21">
        <f t="shared" si="112"/>
        <v>11887186.70224737</v>
      </c>
      <c r="H2209" s="6">
        <f t="shared" si="110"/>
        <v>1062813.29775263</v>
      </c>
      <c r="I2209" s="1">
        <f t="shared" si="113"/>
        <v>12957033.505449634</v>
      </c>
      <c r="J2209" s="2">
        <f t="shared" si="111"/>
        <v>-7033.5054496340454</v>
      </c>
    </row>
    <row r="2210" spans="3:10" ht="22.5" x14ac:dyDescent="0.55000000000000004">
      <c r="C2210" s="26" t="s">
        <v>2245</v>
      </c>
      <c r="D2210" s="26">
        <v>26950</v>
      </c>
      <c r="E2210">
        <v>1890</v>
      </c>
      <c r="F2210" s="29">
        <v>12500000</v>
      </c>
      <c r="G2210" s="21">
        <f t="shared" si="112"/>
        <v>11992029.52609073</v>
      </c>
      <c r="H2210" s="6">
        <f t="shared" si="110"/>
        <v>507970.47390927002</v>
      </c>
      <c r="I2210" s="1">
        <f t="shared" si="113"/>
        <v>13071312.183438897</v>
      </c>
      <c r="J2210" s="2">
        <f t="shared" si="111"/>
        <v>-571312.18343889713</v>
      </c>
    </row>
    <row r="2211" spans="3:10" ht="22.5" x14ac:dyDescent="0.55000000000000004">
      <c r="C2211" s="26" t="s">
        <v>2246</v>
      </c>
      <c r="D2211" s="26">
        <v>26000</v>
      </c>
      <c r="E2211">
        <v>1890</v>
      </c>
      <c r="F2211" s="29">
        <v>12050000</v>
      </c>
      <c r="G2211" s="21">
        <f t="shared" si="112"/>
        <v>11569481.175449312</v>
      </c>
      <c r="H2211" s="6">
        <f t="shared" si="110"/>
        <v>480518.82455068827</v>
      </c>
      <c r="I2211" s="1">
        <f t="shared" si="113"/>
        <v>12610734.481239751</v>
      </c>
      <c r="J2211" s="2">
        <f t="shared" si="111"/>
        <v>-560734.48123975098</v>
      </c>
    </row>
    <row r="2212" spans="3:10" ht="22.5" x14ac:dyDescent="0.55000000000000004">
      <c r="C2212" s="26" t="s">
        <v>2247</v>
      </c>
      <c r="D2212" s="26">
        <v>26250</v>
      </c>
      <c r="E2212">
        <v>1892</v>
      </c>
      <c r="F2212" s="29">
        <v>12250000</v>
      </c>
      <c r="G2212" s="21">
        <f t="shared" si="112"/>
        <v>11693033.324759668</v>
      </c>
      <c r="H2212" s="6">
        <f t="shared" si="110"/>
        <v>556966.67524033226</v>
      </c>
      <c r="I2212" s="1">
        <f t="shared" si="113"/>
        <v>12745406.323988039</v>
      </c>
      <c r="J2212" s="2">
        <f t="shared" si="111"/>
        <v>-495406.32398803905</v>
      </c>
    </row>
    <row r="2213" spans="3:10" ht="22.5" x14ac:dyDescent="0.55000000000000004">
      <c r="C2213" s="26" t="s">
        <v>2248</v>
      </c>
      <c r="D2213" s="26">
        <v>26100</v>
      </c>
      <c r="E2213">
        <v>1888</v>
      </c>
      <c r="F2213" s="29">
        <v>12000000</v>
      </c>
      <c r="G2213" s="21">
        <f t="shared" si="112"/>
        <v>11601675.335498182</v>
      </c>
      <c r="H2213" s="6">
        <f t="shared" si="110"/>
        <v>398324.6645018179</v>
      </c>
      <c r="I2213" s="1">
        <f t="shared" si="113"/>
        <v>12645826.11569302</v>
      </c>
      <c r="J2213" s="2">
        <f t="shared" si="111"/>
        <v>-645826.1156930197</v>
      </c>
    </row>
    <row r="2214" spans="3:10" ht="22.5" x14ac:dyDescent="0.55000000000000004">
      <c r="C2214" s="26" t="s">
        <v>2249</v>
      </c>
      <c r="D2214">
        <v>25980</v>
      </c>
      <c r="E2214">
        <v>1870</v>
      </c>
      <c r="F2214" s="29">
        <v>11750000</v>
      </c>
      <c r="G2214" s="21">
        <f t="shared" si="112"/>
        <v>11438304.093495803</v>
      </c>
      <c r="H2214" s="6">
        <f t="shared" si="110"/>
        <v>311695.90650419705</v>
      </c>
      <c r="I2214" s="1">
        <f t="shared" si="113"/>
        <v>12467751.461910427</v>
      </c>
      <c r="J2214" s="2">
        <f t="shared" si="111"/>
        <v>-717751.46191042662</v>
      </c>
    </row>
    <row r="2215" spans="3:10" ht="22.5" x14ac:dyDescent="0.55000000000000004">
      <c r="C2215" s="26" t="s">
        <v>2250</v>
      </c>
      <c r="D2215">
        <v>25950</v>
      </c>
      <c r="E2215">
        <v>1863</v>
      </c>
      <c r="F2215" s="29">
        <v>11720000</v>
      </c>
      <c r="G2215" s="21">
        <f t="shared" si="112"/>
        <v>11382352.620165255</v>
      </c>
      <c r="H2215" s="6">
        <f t="shared" ref="H2215:H2278" si="114">F:F-G:G</f>
        <v>337647.37983474508</v>
      </c>
      <c r="I2215" s="1">
        <f t="shared" si="113"/>
        <v>12406764.355980128</v>
      </c>
      <c r="J2215" s="2">
        <f t="shared" ref="J2215:J2278" si="115">F2215-I2215</f>
        <v>-686764.35598012805</v>
      </c>
    </row>
    <row r="2216" spans="3:10" ht="22.5" x14ac:dyDescent="0.55000000000000004">
      <c r="C2216" s="26" t="s">
        <v>2251</v>
      </c>
      <c r="D2216" s="26">
        <v>26100</v>
      </c>
      <c r="E2216">
        <v>1870</v>
      </c>
      <c r="F2216" s="29">
        <v>11950000</v>
      </c>
      <c r="G2216" s="21">
        <f t="shared" si="112"/>
        <v>11491113.812172458</v>
      </c>
      <c r="H2216" s="6">
        <f t="shared" si="114"/>
        <v>458886.18782754242</v>
      </c>
      <c r="I2216" s="1">
        <f t="shared" si="113"/>
        <v>12525314.05526798</v>
      </c>
      <c r="J2216" s="2">
        <f t="shared" si="115"/>
        <v>-575314.05526798032</v>
      </c>
    </row>
    <row r="2217" spans="3:10" ht="22.5" x14ac:dyDescent="0.55000000000000004">
      <c r="C2217" s="26" t="s">
        <v>2252</v>
      </c>
      <c r="D2217" s="26">
        <v>25500</v>
      </c>
      <c r="E2217">
        <v>1870</v>
      </c>
      <c r="F2217" s="29">
        <v>11800000</v>
      </c>
      <c r="G2217" s="21">
        <f t="shared" si="112"/>
        <v>11227065.218789183</v>
      </c>
      <c r="H2217" s="6">
        <f t="shared" si="114"/>
        <v>572934.7812108174</v>
      </c>
      <c r="I2217" s="1">
        <f t="shared" si="113"/>
        <v>12237501.08848021</v>
      </c>
      <c r="J2217" s="2">
        <f t="shared" si="115"/>
        <v>-437501.08848020993</v>
      </c>
    </row>
    <row r="2218" spans="3:10" ht="22.5" x14ac:dyDescent="0.55000000000000004">
      <c r="C2218" s="26" t="s">
        <v>2253</v>
      </c>
      <c r="D2218" s="26">
        <v>25800</v>
      </c>
      <c r="E2218">
        <v>1840</v>
      </c>
      <c r="F2218" s="29">
        <v>11400000</v>
      </c>
      <c r="G2218" s="21">
        <f t="shared" si="112"/>
        <v>11176938.346783267</v>
      </c>
      <c r="H2218" s="6">
        <f t="shared" si="114"/>
        <v>223061.65321673267</v>
      </c>
      <c r="I2218" s="1">
        <f t="shared" si="113"/>
        <v>12182862.797993762</v>
      </c>
      <c r="J2218" s="2">
        <f t="shared" si="115"/>
        <v>-782862.79799376242</v>
      </c>
    </row>
    <row r="2219" spans="3:10" ht="22.5" x14ac:dyDescent="0.55000000000000004">
      <c r="C2219" s="26" t="s">
        <v>2254</v>
      </c>
      <c r="D2219">
        <v>25150</v>
      </c>
      <c r="E2219">
        <v>1810</v>
      </c>
      <c r="F2219" s="29">
        <v>11000000</v>
      </c>
      <c r="G2219" s="21">
        <f t="shared" si="112"/>
        <v>10717912.694916887</v>
      </c>
      <c r="H2219" s="6">
        <f t="shared" si="114"/>
        <v>282087.30508311279</v>
      </c>
      <c r="I2219" s="1">
        <f t="shared" si="113"/>
        <v>11682524.837459408</v>
      </c>
      <c r="J2219" s="2">
        <f t="shared" si="115"/>
        <v>-682524.83745940775</v>
      </c>
    </row>
    <row r="2220" spans="3:10" ht="22.5" x14ac:dyDescent="0.55000000000000004">
      <c r="C2220" s="26" t="s">
        <v>2255</v>
      </c>
      <c r="D2220">
        <v>25000</v>
      </c>
      <c r="E2220">
        <v>1810</v>
      </c>
      <c r="F2220" s="29">
        <v>10850000</v>
      </c>
      <c r="G2220" s="21">
        <f t="shared" si="112"/>
        <v>10654018.583416389</v>
      </c>
      <c r="H2220" s="6">
        <f t="shared" si="114"/>
        <v>195981.4165836107</v>
      </c>
      <c r="I2220" s="1">
        <f t="shared" si="113"/>
        <v>11612880.255923865</v>
      </c>
      <c r="J2220" s="2">
        <f t="shared" si="115"/>
        <v>-762880.25592386536</v>
      </c>
    </row>
    <row r="2221" spans="3:10" ht="22.5" x14ac:dyDescent="0.55000000000000004">
      <c r="C2221" s="26" t="s">
        <v>2256</v>
      </c>
      <c r="D2221">
        <v>24700</v>
      </c>
      <c r="E2221">
        <v>1785</v>
      </c>
      <c r="F2221" s="29">
        <v>10850000</v>
      </c>
      <c r="G2221" s="21">
        <f t="shared" si="112"/>
        <v>10380909.499083688</v>
      </c>
      <c r="H2221" s="6">
        <f t="shared" si="114"/>
        <v>469090.50091631152</v>
      </c>
      <c r="I2221" s="1">
        <f t="shared" si="113"/>
        <v>11315191.354001222</v>
      </c>
      <c r="J2221" s="2">
        <f t="shared" si="115"/>
        <v>-465191.35400122218</v>
      </c>
    </row>
    <row r="2222" spans="3:10" ht="22.5" x14ac:dyDescent="0.55000000000000004">
      <c r="C2222" s="26" t="s">
        <v>2257</v>
      </c>
      <c r="D2222">
        <v>24900</v>
      </c>
      <c r="E2222">
        <v>1788</v>
      </c>
      <c r="F2222">
        <v>10800000</v>
      </c>
      <c r="G2222" s="21">
        <f t="shared" si="112"/>
        <v>10482504.666430889</v>
      </c>
      <c r="H2222" s="6">
        <f t="shared" si="114"/>
        <v>317495.3335691113</v>
      </c>
      <c r="I2222" s="1">
        <f t="shared" si="113"/>
        <v>11425930.086409669</v>
      </c>
      <c r="J2222" s="2">
        <f t="shared" si="115"/>
        <v>-625930.08640966937</v>
      </c>
    </row>
    <row r="2223" spans="3:10" ht="22.5" x14ac:dyDescent="0.55000000000000004">
      <c r="C2223" s="26" t="s">
        <v>2258</v>
      </c>
      <c r="D2223">
        <v>24950</v>
      </c>
      <c r="E2223">
        <v>1788</v>
      </c>
      <c r="F2223">
        <v>10780000</v>
      </c>
      <c r="G2223" s="21">
        <f t="shared" si="112"/>
        <v>10503543.832427738</v>
      </c>
      <c r="H2223" s="6">
        <f t="shared" si="114"/>
        <v>276456.16757226177</v>
      </c>
      <c r="I2223" s="1">
        <f t="shared" si="113"/>
        <v>11448862.777346235</v>
      </c>
      <c r="J2223" s="2">
        <f t="shared" si="115"/>
        <v>-668862.77734623477</v>
      </c>
    </row>
    <row r="2224" spans="3:10" ht="22.5" x14ac:dyDescent="0.55000000000000004">
      <c r="C2224" s="26" t="s">
        <v>2259</v>
      </c>
      <c r="D2224">
        <v>25400</v>
      </c>
      <c r="E2224">
        <v>1755</v>
      </c>
      <c r="F2224">
        <v>11200000</v>
      </c>
      <c r="G2224" s="21">
        <f t="shared" si="112"/>
        <v>10495636.494871875</v>
      </c>
      <c r="H2224" s="6">
        <f t="shared" si="114"/>
        <v>704363.50512812473</v>
      </c>
      <c r="I2224" s="1">
        <f t="shared" si="113"/>
        <v>11440243.779410345</v>
      </c>
      <c r="J2224" s="2">
        <f t="shared" si="115"/>
        <v>-240243.77941034548</v>
      </c>
    </row>
    <row r="2225" spans="3:10" ht="22.5" x14ac:dyDescent="0.55000000000000004">
      <c r="C2225" s="26" t="s">
        <v>2260</v>
      </c>
      <c r="D2225">
        <v>26100</v>
      </c>
      <c r="E2225">
        <v>1805</v>
      </c>
      <c r="F2225">
        <v>11900000</v>
      </c>
      <c r="G2225" s="21">
        <f t="shared" ref="G2225:G2288" si="116">E2225/31.103*8.133*D2225*0.9+5000</f>
        <v>11091863.866829565</v>
      </c>
      <c r="H2225" s="6">
        <f t="shared" si="114"/>
        <v>808136.13317043521</v>
      </c>
      <c r="I2225" s="1">
        <f t="shared" ref="I2225:I2288" si="117">G2225*1.09</f>
        <v>12090131.614844227</v>
      </c>
      <c r="J2225" s="2">
        <f t="shared" si="115"/>
        <v>-190131.61484422721</v>
      </c>
    </row>
    <row r="2226" spans="3:10" ht="22.5" x14ac:dyDescent="0.55000000000000004">
      <c r="C2226" s="26" t="s">
        <v>2261</v>
      </c>
      <c r="D2226">
        <v>25500</v>
      </c>
      <c r="E2226">
        <v>1826</v>
      </c>
      <c r="F2226">
        <v>11850000</v>
      </c>
      <c r="G2226" s="21">
        <f t="shared" si="116"/>
        <v>10963016.625405909</v>
      </c>
      <c r="H2226" s="6">
        <f t="shared" si="114"/>
        <v>886983.37459409051</v>
      </c>
      <c r="I2226" s="1">
        <f t="shared" si="117"/>
        <v>11949688.121692441</v>
      </c>
      <c r="J2226" s="2">
        <f t="shared" si="115"/>
        <v>-99688.121692441404</v>
      </c>
    </row>
    <row r="2227" spans="3:10" ht="22.5" x14ac:dyDescent="0.55000000000000004">
      <c r="C2227" s="26" t="s">
        <v>2262</v>
      </c>
      <c r="D2227">
        <v>25950</v>
      </c>
      <c r="E2227">
        <v>1835</v>
      </c>
      <c r="F2227">
        <v>12100000</v>
      </c>
      <c r="G2227" s="21">
        <f t="shared" si="116"/>
        <v>11211356.445519723</v>
      </c>
      <c r="H2227" s="6">
        <f t="shared" si="114"/>
        <v>888643.554480277</v>
      </c>
      <c r="I2227" s="1">
        <f t="shared" si="117"/>
        <v>12220378.525616499</v>
      </c>
      <c r="J2227" s="2">
        <f t="shared" si="115"/>
        <v>-120378.52561649866</v>
      </c>
    </row>
    <row r="2228" spans="3:10" ht="22.5" x14ac:dyDescent="0.55000000000000004">
      <c r="C2228" s="26" t="s">
        <v>2263</v>
      </c>
      <c r="D2228">
        <v>25700</v>
      </c>
      <c r="E2228">
        <v>1838</v>
      </c>
      <c r="F2228">
        <v>11900000</v>
      </c>
      <c r="G2228" s="21">
        <f t="shared" si="116"/>
        <v>11121539.916406777</v>
      </c>
      <c r="H2228" s="6">
        <f t="shared" si="114"/>
        <v>778460.08359322324</v>
      </c>
      <c r="I2228" s="1">
        <f t="shared" si="117"/>
        <v>12122478.508883387</v>
      </c>
      <c r="J2228" s="2">
        <f t="shared" si="115"/>
        <v>-222478.50888338685</v>
      </c>
    </row>
    <row r="2229" spans="3:10" ht="22.5" x14ac:dyDescent="0.55000000000000004">
      <c r="C2229" s="26" t="s">
        <v>2264</v>
      </c>
      <c r="D2229">
        <v>25850</v>
      </c>
      <c r="E2229">
        <v>1838</v>
      </c>
      <c r="F2229">
        <v>12250000</v>
      </c>
      <c r="G2229" s="21">
        <f t="shared" si="116"/>
        <v>11186422.445101757</v>
      </c>
      <c r="H2229" s="6">
        <f t="shared" si="114"/>
        <v>1063577.5548982434</v>
      </c>
      <c r="I2229" s="1">
        <f t="shared" si="117"/>
        <v>12193200.465160916</v>
      </c>
      <c r="J2229" s="2">
        <f t="shared" si="115"/>
        <v>56799.534839084372</v>
      </c>
    </row>
    <row r="2230" spans="3:10" ht="22.5" x14ac:dyDescent="0.55000000000000004">
      <c r="C2230" s="26" t="s">
        <v>2265</v>
      </c>
      <c r="D2230">
        <v>25830</v>
      </c>
      <c r="E2230">
        <v>1860</v>
      </c>
      <c r="F2230">
        <v>12200000</v>
      </c>
      <c r="G2230" s="21">
        <f t="shared" si="116"/>
        <v>11311504.287689289</v>
      </c>
      <c r="H2230" s="6">
        <f t="shared" si="114"/>
        <v>888495.71231071092</v>
      </c>
      <c r="I2230" s="1">
        <f t="shared" si="117"/>
        <v>12329539.673581326</v>
      </c>
      <c r="J2230" s="2">
        <f t="shared" si="115"/>
        <v>-129539.67358132638</v>
      </c>
    </row>
    <row r="2231" spans="3:10" ht="22.5" x14ac:dyDescent="0.55000000000000004">
      <c r="C2231" s="30" t="s">
        <v>2266</v>
      </c>
      <c r="D2231" s="32">
        <v>25980</v>
      </c>
      <c r="E2231" s="32">
        <v>1865</v>
      </c>
      <c r="F2231" s="32">
        <v>12650000</v>
      </c>
      <c r="G2231" s="21">
        <f t="shared" si="116"/>
        <v>11407733.761695011</v>
      </c>
      <c r="H2231" s="6">
        <f t="shared" si="114"/>
        <v>1242266.2383049894</v>
      </c>
      <c r="I2231" s="1">
        <f t="shared" si="117"/>
        <v>12434429.800247563</v>
      </c>
      <c r="J2231" s="2">
        <f t="shared" si="115"/>
        <v>215570.19975243695</v>
      </c>
    </row>
    <row r="2232" spans="3:10" ht="22.5" x14ac:dyDescent="0.55000000000000004">
      <c r="C2232" s="26" t="s">
        <v>2267</v>
      </c>
      <c r="D2232">
        <v>26350</v>
      </c>
      <c r="E2232">
        <v>1848</v>
      </c>
      <c r="F2232">
        <v>12750000</v>
      </c>
      <c r="G2232" s="21">
        <f t="shared" si="116"/>
        <v>11464708.952834129</v>
      </c>
      <c r="H2232" s="6">
        <f t="shared" si="114"/>
        <v>1285291.0471658707</v>
      </c>
      <c r="I2232" s="1">
        <f t="shared" si="117"/>
        <v>12496532.758589203</v>
      </c>
      <c r="J2232" s="2">
        <f t="shared" si="115"/>
        <v>253467.24141079746</v>
      </c>
    </row>
    <row r="2233" spans="3:10" ht="22.5" x14ac:dyDescent="0.55000000000000004">
      <c r="C2233" s="26" t="s">
        <v>2268</v>
      </c>
      <c r="D2233">
        <v>26100</v>
      </c>
      <c r="E2233">
        <v>1842</v>
      </c>
      <c r="F2233">
        <v>12500000</v>
      </c>
      <c r="G2233" s="21">
        <f t="shared" si="116"/>
        <v>11319129.220332444</v>
      </c>
      <c r="H2233" s="6">
        <f t="shared" si="114"/>
        <v>1180870.7796675563</v>
      </c>
      <c r="I2233" s="1">
        <f t="shared" si="117"/>
        <v>12337850.850162365</v>
      </c>
      <c r="J2233" s="2">
        <f t="shared" si="115"/>
        <v>162149.14983763546</v>
      </c>
    </row>
    <row r="2234" spans="3:10" ht="22.5" x14ac:dyDescent="0.55000000000000004">
      <c r="C2234" s="26" t="s">
        <v>2269</v>
      </c>
      <c r="D2234">
        <v>26020</v>
      </c>
      <c r="E2234">
        <v>1839</v>
      </c>
      <c r="F2234">
        <v>12200000</v>
      </c>
      <c r="G2234" s="21">
        <f t="shared" si="116"/>
        <v>11266079.457479985</v>
      </c>
      <c r="H2234" s="6">
        <f t="shared" si="114"/>
        <v>933920.54252001457</v>
      </c>
      <c r="I2234" s="1">
        <f t="shared" si="117"/>
        <v>12280026.608653186</v>
      </c>
      <c r="J2234" s="2">
        <f t="shared" si="115"/>
        <v>-80026.608653185889</v>
      </c>
    </row>
    <row r="2235" spans="3:10" ht="22.5" x14ac:dyDescent="0.55000000000000004">
      <c r="C2235" s="26" t="s">
        <v>2276</v>
      </c>
      <c r="D2235">
        <v>25900</v>
      </c>
      <c r="E2235">
        <v>1839</v>
      </c>
      <c r="F2235">
        <v>11980000</v>
      </c>
      <c r="G2235" s="21">
        <f t="shared" si="116"/>
        <v>11214145.194032729</v>
      </c>
      <c r="H2235" s="6">
        <f t="shared" si="114"/>
        <v>765854.80596727133</v>
      </c>
      <c r="I2235" s="1">
        <f t="shared" si="117"/>
        <v>12223418.261495676</v>
      </c>
      <c r="J2235" s="2">
        <f t="shared" si="115"/>
        <v>-243418.26149567589</v>
      </c>
    </row>
    <row r="2236" spans="3:10" ht="22.5" x14ac:dyDescent="0.55000000000000004">
      <c r="C2236" s="26" t="s">
        <v>2270</v>
      </c>
      <c r="D2236">
        <v>25830</v>
      </c>
      <c r="E2236">
        <v>1827</v>
      </c>
      <c r="F2236">
        <v>12010000</v>
      </c>
      <c r="G2236" s="21">
        <f t="shared" si="116"/>
        <v>11110905.018068995</v>
      </c>
      <c r="H2236" s="6">
        <f t="shared" si="114"/>
        <v>899094.98193100467</v>
      </c>
      <c r="I2236" s="1">
        <f t="shared" si="117"/>
        <v>12110886.469695205</v>
      </c>
      <c r="J2236" s="2">
        <f t="shared" si="115"/>
        <v>-100886.46969520487</v>
      </c>
    </row>
    <row r="2237" spans="3:10" ht="22.5" x14ac:dyDescent="0.55000000000000004">
      <c r="C2237" s="26" t="s">
        <v>2271</v>
      </c>
      <c r="D2237">
        <v>26050</v>
      </c>
      <c r="E2237">
        <v>1846</v>
      </c>
      <c r="F2237">
        <v>12200000</v>
      </c>
      <c r="G2237" s="21">
        <f t="shared" si="116"/>
        <v>11321976.80320226</v>
      </c>
      <c r="H2237" s="6">
        <f t="shared" si="114"/>
        <v>878023.19679773971</v>
      </c>
      <c r="I2237" s="1">
        <f t="shared" si="117"/>
        <v>12340954.715490464</v>
      </c>
      <c r="J2237" s="2">
        <f t="shared" si="115"/>
        <v>-140954.71549046412</v>
      </c>
    </row>
    <row r="2238" spans="3:10" ht="22.5" x14ac:dyDescent="0.55000000000000004">
      <c r="C2238" s="26" t="s">
        <v>2272</v>
      </c>
      <c r="D2238">
        <v>25850</v>
      </c>
      <c r="E2238">
        <v>1858</v>
      </c>
      <c r="F2238">
        <v>11980000</v>
      </c>
      <c r="G2238" s="21">
        <f t="shared" si="116"/>
        <v>11308091.89499405</v>
      </c>
      <c r="H2238" s="6">
        <f t="shared" si="114"/>
        <v>671908.10500594974</v>
      </c>
      <c r="I2238" s="1">
        <f t="shared" si="117"/>
        <v>12325820.165543515</v>
      </c>
      <c r="J2238" s="2">
        <f t="shared" si="115"/>
        <v>-345820.16554351524</v>
      </c>
    </row>
    <row r="2239" spans="3:10" ht="22.5" x14ac:dyDescent="0.55000000000000004">
      <c r="C2239" s="26" t="s">
        <v>2273</v>
      </c>
      <c r="D2239">
        <v>25800</v>
      </c>
      <c r="E2239">
        <v>1880</v>
      </c>
      <c r="F2239">
        <v>11950000</v>
      </c>
      <c r="G2239" s="21">
        <f t="shared" si="116"/>
        <v>11419806.571713338</v>
      </c>
      <c r="H2239" s="6">
        <f t="shared" si="114"/>
        <v>530193.42828666233</v>
      </c>
      <c r="I2239" s="1">
        <f t="shared" si="117"/>
        <v>12447589.163167538</v>
      </c>
      <c r="J2239" s="2">
        <f t="shared" si="115"/>
        <v>-497589.16316753812</v>
      </c>
    </row>
    <row r="2240" spans="3:10" ht="22.5" x14ac:dyDescent="0.55000000000000004">
      <c r="C2240" s="26" t="s">
        <v>2274</v>
      </c>
      <c r="D2240">
        <v>25500</v>
      </c>
      <c r="E2240">
        <v>1881</v>
      </c>
      <c r="F2240">
        <v>11790000</v>
      </c>
      <c r="G2240" s="21">
        <f t="shared" si="116"/>
        <v>11293077.367134999</v>
      </c>
      <c r="H2240" s="6">
        <f t="shared" si="114"/>
        <v>496922.63286500052</v>
      </c>
      <c r="I2240" s="1">
        <f t="shared" si="117"/>
        <v>12309454.330177151</v>
      </c>
      <c r="J2240" s="2">
        <f t="shared" si="115"/>
        <v>-519454.33017715067</v>
      </c>
    </row>
    <row r="2241" spans="3:10" ht="22.5" x14ac:dyDescent="0.55000000000000004">
      <c r="C2241" s="26" t="s">
        <v>2275</v>
      </c>
      <c r="D2241">
        <v>25450</v>
      </c>
      <c r="E2241">
        <v>1881</v>
      </c>
      <c r="F2241">
        <v>11770000</v>
      </c>
      <c r="G2241" s="21">
        <f t="shared" si="116"/>
        <v>11270943.882101404</v>
      </c>
      <c r="H2241" s="6">
        <f t="shared" si="114"/>
        <v>499056.11789859645</v>
      </c>
      <c r="I2241" s="1">
        <f t="shared" si="117"/>
        <v>12285328.831490532</v>
      </c>
      <c r="J2241" s="2">
        <f t="shared" si="115"/>
        <v>-515328.83149053156</v>
      </c>
    </row>
    <row r="2242" spans="3:10" ht="22.5" x14ac:dyDescent="0.55000000000000004">
      <c r="C2242" s="26" t="s">
        <v>2277</v>
      </c>
      <c r="D2242">
        <v>25600</v>
      </c>
      <c r="E2242">
        <v>1881</v>
      </c>
      <c r="F2242">
        <v>11850000</v>
      </c>
      <c r="G2242" s="21">
        <f t="shared" si="116"/>
        <v>11337344.337202197</v>
      </c>
      <c r="H2242" s="6">
        <f t="shared" si="114"/>
        <v>512655.66279780306</v>
      </c>
      <c r="I2242" s="1">
        <f t="shared" si="117"/>
        <v>12357705.327550396</v>
      </c>
      <c r="J2242" s="2">
        <f t="shared" si="115"/>
        <v>-507705.32755039632</v>
      </c>
    </row>
    <row r="2243" spans="3:10" ht="22.5" x14ac:dyDescent="0.55000000000000004">
      <c r="C2243" s="26" t="s">
        <v>2278</v>
      </c>
      <c r="D2243">
        <v>25630</v>
      </c>
      <c r="E2243">
        <v>1874</v>
      </c>
      <c r="F2243">
        <v>11830000</v>
      </c>
      <c r="G2243" s="21">
        <f t="shared" si="116"/>
        <v>11308402.540398031</v>
      </c>
      <c r="H2243" s="6">
        <f t="shared" si="114"/>
        <v>521597.45960196853</v>
      </c>
      <c r="I2243" s="1">
        <f t="shared" si="117"/>
        <v>12326158.769033855</v>
      </c>
      <c r="J2243" s="2">
        <f t="shared" si="115"/>
        <v>-496158.76903385483</v>
      </c>
    </row>
    <row r="2244" spans="3:10" ht="22.5" x14ac:dyDescent="0.55000000000000004">
      <c r="C2244" s="26" t="s">
        <v>2279</v>
      </c>
      <c r="D2244">
        <v>25900</v>
      </c>
      <c r="E2244">
        <v>1870</v>
      </c>
      <c r="F2244">
        <v>11980000</v>
      </c>
      <c r="G2244" s="21">
        <f t="shared" si="116"/>
        <v>11403097.614378033</v>
      </c>
      <c r="H2244" s="6">
        <f t="shared" si="114"/>
        <v>576902.38562196679</v>
      </c>
      <c r="I2244" s="1">
        <f t="shared" si="117"/>
        <v>12429376.399672057</v>
      </c>
      <c r="J2244" s="2">
        <f t="shared" si="115"/>
        <v>-449376.39967205748</v>
      </c>
    </row>
    <row r="2245" spans="3:10" ht="22.5" x14ac:dyDescent="0.55000000000000004">
      <c r="C2245" s="26" t="s">
        <v>2280</v>
      </c>
      <c r="D2245">
        <v>25950</v>
      </c>
      <c r="E2245">
        <v>1875</v>
      </c>
      <c r="F2245">
        <v>11990000</v>
      </c>
      <c r="G2245" s="21">
        <f t="shared" si="116"/>
        <v>11455636.695013342</v>
      </c>
      <c r="H2245" s="6">
        <f t="shared" si="114"/>
        <v>534363.30498665757</v>
      </c>
      <c r="I2245" s="1">
        <f t="shared" si="117"/>
        <v>12486643.997564545</v>
      </c>
      <c r="J2245" s="2">
        <f t="shared" si="115"/>
        <v>-496643.9975645449</v>
      </c>
    </row>
    <row r="2246" spans="3:10" ht="22.5" x14ac:dyDescent="0.55000000000000004">
      <c r="C2246" s="26" t="s">
        <v>2281</v>
      </c>
      <c r="D2246">
        <v>25700</v>
      </c>
      <c r="E2246">
        <v>1879</v>
      </c>
      <c r="F2246">
        <v>11850000</v>
      </c>
      <c r="G2246" s="21">
        <f t="shared" si="116"/>
        <v>11369514.963508341</v>
      </c>
      <c r="H2246" s="6">
        <f t="shared" si="114"/>
        <v>480485.03649165854</v>
      </c>
      <c r="I2246" s="1">
        <f t="shared" si="117"/>
        <v>12392771.310224093</v>
      </c>
      <c r="J2246" s="2">
        <f t="shared" si="115"/>
        <v>-542771.3102240935</v>
      </c>
    </row>
    <row r="2247" spans="3:10" ht="22.5" x14ac:dyDescent="0.55000000000000004">
      <c r="C2247" s="26" t="s">
        <v>2282</v>
      </c>
      <c r="D2247">
        <v>25800</v>
      </c>
      <c r="E2247">
        <v>1879</v>
      </c>
      <c r="F2247">
        <v>11900000</v>
      </c>
      <c r="G2247" s="21">
        <f t="shared" si="116"/>
        <v>11413734.866090087</v>
      </c>
      <c r="H2247" s="6">
        <f t="shared" si="114"/>
        <v>486265.13390991278</v>
      </c>
      <c r="I2247" s="1">
        <f t="shared" si="117"/>
        <v>12440971.004038196</v>
      </c>
      <c r="J2247" s="2">
        <f t="shared" si="115"/>
        <v>-540971.00403819606</v>
      </c>
    </row>
    <row r="2248" spans="3:10" ht="22.5" x14ac:dyDescent="0.55000000000000004">
      <c r="C2248" s="26" t="s">
        <v>2283</v>
      </c>
      <c r="D2248">
        <v>25750</v>
      </c>
      <c r="E2248">
        <v>1880</v>
      </c>
      <c r="F2248">
        <v>11800000</v>
      </c>
      <c r="G2248" s="21">
        <f t="shared" si="116"/>
        <v>11397684.853551103</v>
      </c>
      <c r="H2248" s="6">
        <f t="shared" si="114"/>
        <v>402315.1464488972</v>
      </c>
      <c r="I2248" s="1">
        <f t="shared" si="117"/>
        <v>12423476.490370704</v>
      </c>
      <c r="J2248" s="2">
        <f t="shared" si="115"/>
        <v>-623476.49037070386</v>
      </c>
    </row>
    <row r="2249" spans="3:10" ht="22.5" x14ac:dyDescent="0.55000000000000004">
      <c r="C2249" s="26" t="s">
        <v>2284</v>
      </c>
      <c r="D2249">
        <v>25700</v>
      </c>
      <c r="E2249">
        <v>1879</v>
      </c>
      <c r="F2249">
        <v>11750000</v>
      </c>
      <c r="G2249" s="21">
        <f t="shared" si="116"/>
        <v>11369514.963508341</v>
      </c>
      <c r="H2249" s="6">
        <f t="shared" si="114"/>
        <v>380485.03649165854</v>
      </c>
      <c r="I2249" s="1">
        <f t="shared" si="117"/>
        <v>12392771.310224093</v>
      </c>
      <c r="J2249" s="2">
        <f t="shared" si="115"/>
        <v>-642771.3102240935</v>
      </c>
    </row>
    <row r="2250" spans="3:10" ht="22.5" x14ac:dyDescent="0.55000000000000004">
      <c r="C2250" s="26" t="s">
        <v>2285</v>
      </c>
      <c r="D2250">
        <v>25720</v>
      </c>
      <c r="E2250">
        <v>1885</v>
      </c>
      <c r="F2250">
        <v>11740000</v>
      </c>
      <c r="G2250" s="21">
        <f t="shared" si="116"/>
        <v>11414676.215799117</v>
      </c>
      <c r="H2250" s="6">
        <f t="shared" si="114"/>
        <v>325323.78420088254</v>
      </c>
      <c r="I2250" s="1">
        <f t="shared" si="117"/>
        <v>12441997.075221039</v>
      </c>
      <c r="J2250" s="2">
        <f t="shared" si="115"/>
        <v>-701997.07522103935</v>
      </c>
    </row>
    <row r="2251" spans="3:10" ht="22.5" x14ac:dyDescent="0.55000000000000004">
      <c r="C2251" s="26" t="s">
        <v>2286</v>
      </c>
      <c r="D2251">
        <v>25700</v>
      </c>
      <c r="E2251">
        <v>1895</v>
      </c>
      <c r="F2251">
        <v>11760000</v>
      </c>
      <c r="G2251" s="21">
        <f t="shared" si="116"/>
        <v>11466285.713596758</v>
      </c>
      <c r="H2251" s="6">
        <f t="shared" si="114"/>
        <v>293714.2864032425</v>
      </c>
      <c r="I2251" s="1">
        <f t="shared" si="117"/>
        <v>12498251.427820466</v>
      </c>
      <c r="J2251" s="2">
        <f t="shared" si="115"/>
        <v>-738251.42782046646</v>
      </c>
    </row>
    <row r="2252" spans="3:10" ht="22.5" x14ac:dyDescent="0.55000000000000004">
      <c r="C2252" s="26" t="s">
        <v>2287</v>
      </c>
      <c r="D2252">
        <v>25640</v>
      </c>
      <c r="E2252">
        <v>1898</v>
      </c>
      <c r="F2252">
        <v>11705000</v>
      </c>
      <c r="G2252" s="21">
        <f t="shared" si="116"/>
        <v>11457630.003022214</v>
      </c>
      <c r="H2252" s="6">
        <f t="shared" si="114"/>
        <v>247369.9969777856</v>
      </c>
      <c r="I2252" s="1">
        <f t="shared" si="117"/>
        <v>12488816.703294214</v>
      </c>
      <c r="J2252" s="2">
        <f t="shared" si="115"/>
        <v>-783816.70329421386</v>
      </c>
    </row>
    <row r="2253" spans="3:10" ht="22.5" x14ac:dyDescent="0.55000000000000004">
      <c r="C2253" s="26" t="s">
        <v>2288</v>
      </c>
      <c r="D2253">
        <v>25700</v>
      </c>
      <c r="E2253">
        <v>1898</v>
      </c>
      <c r="F2253">
        <v>11850000</v>
      </c>
      <c r="G2253" s="21">
        <f t="shared" si="116"/>
        <v>11484430.229238335</v>
      </c>
      <c r="H2253" s="6">
        <f t="shared" si="114"/>
        <v>365569.77076166496</v>
      </c>
      <c r="I2253" s="1">
        <f t="shared" si="117"/>
        <v>12518028.949869785</v>
      </c>
      <c r="J2253" s="2">
        <f t="shared" si="115"/>
        <v>-668028.94986978546</v>
      </c>
    </row>
    <row r="2254" spans="3:10" ht="22.5" x14ac:dyDescent="0.55000000000000004">
      <c r="C2254" s="26" t="s">
        <v>2289</v>
      </c>
      <c r="D2254">
        <v>25850</v>
      </c>
      <c r="E2254">
        <v>1935</v>
      </c>
      <c r="F2254">
        <v>12050000</v>
      </c>
      <c r="G2254" s="21">
        <f t="shared" si="116"/>
        <v>11776519.277079381</v>
      </c>
      <c r="H2254" s="6">
        <f t="shared" si="114"/>
        <v>273480.72292061895</v>
      </c>
      <c r="I2254" s="1">
        <f t="shared" si="117"/>
        <v>12836406.012016525</v>
      </c>
      <c r="J2254" s="2">
        <f t="shared" si="115"/>
        <v>-786406.01201652549</v>
      </c>
    </row>
    <row r="2255" spans="3:10" ht="22.5" x14ac:dyDescent="0.55000000000000004">
      <c r="C2255" s="26" t="s">
        <v>2290</v>
      </c>
      <c r="D2255">
        <v>26050</v>
      </c>
      <c r="E2255">
        <v>1945</v>
      </c>
      <c r="F2255">
        <v>12250000</v>
      </c>
      <c r="G2255" s="21">
        <f t="shared" si="116"/>
        <v>11928900.261228818</v>
      </c>
      <c r="H2255" s="6">
        <f t="shared" si="114"/>
        <v>321099.73877118155</v>
      </c>
      <c r="I2255" s="1">
        <f t="shared" si="117"/>
        <v>13002501.284739412</v>
      </c>
      <c r="J2255" s="2">
        <f t="shared" si="115"/>
        <v>-752501.28473941237</v>
      </c>
    </row>
    <row r="2256" spans="3:10" ht="22.5" x14ac:dyDescent="0.55000000000000004">
      <c r="C2256" s="26" t="s">
        <v>2291</v>
      </c>
      <c r="D2256">
        <v>25850</v>
      </c>
      <c r="E2256">
        <v>1910</v>
      </c>
      <c r="F2256">
        <v>12100000</v>
      </c>
      <c r="G2256" s="21">
        <f t="shared" si="116"/>
        <v>11624432.464714013</v>
      </c>
      <c r="H2256" s="6">
        <f t="shared" si="114"/>
        <v>475567.53528598696</v>
      </c>
      <c r="I2256" s="1">
        <f t="shared" si="117"/>
        <v>12670631.386538275</v>
      </c>
      <c r="J2256" s="2">
        <f t="shared" si="115"/>
        <v>-570631.38653827459</v>
      </c>
    </row>
    <row r="2257" spans="3:10" ht="22.5" x14ac:dyDescent="0.55000000000000004">
      <c r="C2257" s="26" t="s">
        <v>2292</v>
      </c>
      <c r="D2257">
        <v>25450</v>
      </c>
      <c r="E2257">
        <v>1910</v>
      </c>
      <c r="F2257">
        <v>11750000</v>
      </c>
      <c r="G2257" s="21">
        <f t="shared" si="116"/>
        <v>11444634.670289038</v>
      </c>
      <c r="H2257" s="6">
        <f t="shared" si="114"/>
        <v>305365.32971096225</v>
      </c>
      <c r="I2257" s="1">
        <f t="shared" si="117"/>
        <v>12474651.790615052</v>
      </c>
      <c r="J2257" s="2">
        <f t="shared" si="115"/>
        <v>-724651.79061505198</v>
      </c>
    </row>
    <row r="2258" spans="3:10" ht="22.5" x14ac:dyDescent="0.55000000000000004">
      <c r="C2258" s="26" t="s">
        <v>2293</v>
      </c>
      <c r="D2258">
        <v>24900</v>
      </c>
      <c r="E2258">
        <v>1850</v>
      </c>
      <c r="F2258">
        <v>11000000</v>
      </c>
      <c r="G2258" s="21">
        <f t="shared" si="116"/>
        <v>10845818.586631514</v>
      </c>
      <c r="H2258" s="6">
        <f t="shared" si="114"/>
        <v>154181.41336848587</v>
      </c>
      <c r="I2258" s="1">
        <f t="shared" si="117"/>
        <v>11821942.259428352</v>
      </c>
      <c r="J2258" s="2">
        <f t="shared" si="115"/>
        <v>-821942.25942835212</v>
      </c>
    </row>
    <row r="2259" spans="3:10" ht="22.5" x14ac:dyDescent="0.55000000000000004">
      <c r="C2259" s="26" t="s">
        <v>2294</v>
      </c>
      <c r="D2259">
        <v>24880</v>
      </c>
      <c r="E2259">
        <v>1850</v>
      </c>
      <c r="F2259">
        <v>11150000</v>
      </c>
      <c r="G2259" s="21">
        <f t="shared" si="116"/>
        <v>10837111.101822974</v>
      </c>
      <c r="H2259" s="6">
        <f t="shared" si="114"/>
        <v>312888.89817702584</v>
      </c>
      <c r="I2259" s="1">
        <f t="shared" si="117"/>
        <v>11812451.100987043</v>
      </c>
      <c r="J2259" s="2">
        <f t="shared" si="115"/>
        <v>-662451.10098704323</v>
      </c>
    </row>
    <row r="2260" spans="3:10" ht="22.5" x14ac:dyDescent="0.55000000000000004">
      <c r="C2260" s="26" t="s">
        <v>2295</v>
      </c>
      <c r="D2260">
        <v>24870</v>
      </c>
      <c r="E2260">
        <v>1851</v>
      </c>
      <c r="F2260">
        <v>11000000</v>
      </c>
      <c r="G2260" s="21">
        <f t="shared" si="116"/>
        <v>10838610.201234605</v>
      </c>
      <c r="H2260" s="6">
        <f t="shared" si="114"/>
        <v>161389.79876539484</v>
      </c>
      <c r="I2260" s="1">
        <f t="shared" si="117"/>
        <v>11814085.119345721</v>
      </c>
      <c r="J2260" s="2">
        <f t="shared" si="115"/>
        <v>-814085.11934572086</v>
      </c>
    </row>
    <row r="2261" spans="3:10" ht="22.5" x14ac:dyDescent="0.55000000000000004">
      <c r="C2261" s="26" t="s">
        <v>2296</v>
      </c>
      <c r="D2261">
        <v>24950</v>
      </c>
      <c r="E2261">
        <v>1858</v>
      </c>
      <c r="F2261">
        <v>11200000</v>
      </c>
      <c r="G2261" s="21">
        <f t="shared" si="116"/>
        <v>10914560.649133524</v>
      </c>
      <c r="H2261" s="6">
        <f t="shared" si="114"/>
        <v>285439.35086647607</v>
      </c>
      <c r="I2261" s="1">
        <f t="shared" si="117"/>
        <v>11896871.107555542</v>
      </c>
      <c r="J2261" s="2">
        <f t="shared" si="115"/>
        <v>-696871.10755554214</v>
      </c>
    </row>
    <row r="2262" spans="3:10" ht="22.5" x14ac:dyDescent="0.55000000000000004">
      <c r="C2262" s="26" t="s">
        <v>2297</v>
      </c>
      <c r="D2262">
        <v>24500</v>
      </c>
      <c r="E2262">
        <v>1860</v>
      </c>
      <c r="F2262">
        <v>10900000</v>
      </c>
      <c r="G2262" s="21">
        <f t="shared" si="116"/>
        <v>10729326.560138891</v>
      </c>
      <c r="H2262" s="6">
        <f t="shared" si="114"/>
        <v>170673.43986110948</v>
      </c>
      <c r="I2262" s="1">
        <f t="shared" si="117"/>
        <v>11694965.950551391</v>
      </c>
      <c r="J2262" s="2">
        <f t="shared" si="115"/>
        <v>-794965.95055139065</v>
      </c>
    </row>
    <row r="2263" spans="3:10" ht="22.5" x14ac:dyDescent="0.55000000000000004">
      <c r="C2263" s="26" t="s">
        <v>2298</v>
      </c>
      <c r="D2263">
        <v>23850</v>
      </c>
      <c r="E2263">
        <v>1845</v>
      </c>
      <c r="F2263">
        <v>10650000</v>
      </c>
      <c r="G2263" s="21">
        <f t="shared" si="116"/>
        <v>10360611.645982701</v>
      </c>
      <c r="H2263" s="6">
        <f t="shared" si="114"/>
        <v>289388.35401729867</v>
      </c>
      <c r="I2263" s="1">
        <f t="shared" si="117"/>
        <v>11293066.694121145</v>
      </c>
      <c r="J2263" s="2">
        <f t="shared" si="115"/>
        <v>-643066.69412114471</v>
      </c>
    </row>
    <row r="2264" spans="3:10" ht="22.5" x14ac:dyDescent="0.55000000000000004">
      <c r="C2264" s="26" t="s">
        <v>2299</v>
      </c>
      <c r="D2264">
        <v>22850</v>
      </c>
      <c r="E2264">
        <v>1829</v>
      </c>
      <c r="F2264">
        <v>10350000</v>
      </c>
      <c r="G2264" s="21">
        <f t="shared" si="116"/>
        <v>9840374.7292865627</v>
      </c>
      <c r="H2264" s="6">
        <f t="shared" si="114"/>
        <v>509625.27071343735</v>
      </c>
      <c r="I2264" s="1">
        <f t="shared" si="117"/>
        <v>10726008.454922354</v>
      </c>
      <c r="J2264" s="2">
        <f t="shared" si="115"/>
        <v>-376008.45492235385</v>
      </c>
    </row>
    <row r="2265" spans="3:10" ht="22.5" x14ac:dyDescent="0.55000000000000004">
      <c r="C2265" s="26" t="s">
        <v>2300</v>
      </c>
      <c r="D2265">
        <v>21600</v>
      </c>
      <c r="E2265">
        <v>1831</v>
      </c>
      <c r="F2265">
        <v>9890000</v>
      </c>
      <c r="G2265" s="21">
        <f t="shared" si="116"/>
        <v>9312501.1130759083</v>
      </c>
      <c r="H2265" s="6">
        <f t="shared" si="114"/>
        <v>577498.88692409173</v>
      </c>
      <c r="I2265" s="1">
        <f t="shared" si="117"/>
        <v>10150626.21325274</v>
      </c>
      <c r="J2265" s="2">
        <f t="shared" si="115"/>
        <v>-260626.21325273998</v>
      </c>
    </row>
    <row r="2266" spans="3:10" ht="22.5" x14ac:dyDescent="0.55000000000000004">
      <c r="C2266" s="26" t="s">
        <v>2301</v>
      </c>
      <c r="D2266">
        <v>22000</v>
      </c>
      <c r="E2266">
        <v>1839</v>
      </c>
      <c r="F2266">
        <v>10150000</v>
      </c>
      <c r="G2266" s="21">
        <f t="shared" si="116"/>
        <v>9526281.6319969129</v>
      </c>
      <c r="H2266" s="6">
        <f t="shared" si="114"/>
        <v>623718.36800308712</v>
      </c>
      <c r="I2266" s="1">
        <f t="shared" si="117"/>
        <v>10383646.978876635</v>
      </c>
      <c r="J2266" s="2">
        <f t="shared" si="115"/>
        <v>-233646.97887663543</v>
      </c>
    </row>
    <row r="2267" spans="3:10" ht="22.5" x14ac:dyDescent="0.55000000000000004">
      <c r="C2267" s="26" t="s">
        <v>2302</v>
      </c>
      <c r="D2267">
        <v>22850</v>
      </c>
      <c r="E2267">
        <v>1867</v>
      </c>
      <c r="F2267">
        <v>10350000</v>
      </c>
      <c r="G2267" s="21">
        <f t="shared" si="116"/>
        <v>10044718.217374528</v>
      </c>
      <c r="H2267" s="6">
        <f t="shared" si="114"/>
        <v>305281.78262547217</v>
      </c>
      <c r="I2267" s="1">
        <f t="shared" si="117"/>
        <v>10948742.856938235</v>
      </c>
      <c r="J2267" s="2">
        <f t="shared" si="115"/>
        <v>-598742.85693823546</v>
      </c>
    </row>
    <row r="2268" spans="3:10" ht="22.5" x14ac:dyDescent="0.55000000000000004">
      <c r="C2268" s="26" t="s">
        <v>2303</v>
      </c>
      <c r="D2268">
        <v>22800</v>
      </c>
      <c r="E2268">
        <v>1868</v>
      </c>
      <c r="F2268">
        <v>10425000</v>
      </c>
      <c r="G2268" s="21">
        <f t="shared" si="116"/>
        <v>10028115.16188149</v>
      </c>
      <c r="H2268" s="6">
        <f t="shared" si="114"/>
        <v>396884.83811851032</v>
      </c>
      <c r="I2268" s="1">
        <f t="shared" si="117"/>
        <v>10930645.526450824</v>
      </c>
      <c r="J2268" s="2">
        <f t="shared" si="115"/>
        <v>-505645.52645082399</v>
      </c>
    </row>
    <row r="2269" spans="3:10" ht="22.5" x14ac:dyDescent="0.55000000000000004">
      <c r="C2269" s="26" t="s">
        <v>2304</v>
      </c>
      <c r="D2269">
        <v>23200</v>
      </c>
      <c r="E2269">
        <v>1856</v>
      </c>
      <c r="F2269">
        <v>10430000</v>
      </c>
      <c r="G2269" s="21">
        <f t="shared" si="116"/>
        <v>10138441.347779954</v>
      </c>
      <c r="H2269" s="6">
        <f t="shared" si="114"/>
        <v>291558.65222004615</v>
      </c>
      <c r="I2269" s="1">
        <f t="shared" si="117"/>
        <v>11050901.06908015</v>
      </c>
      <c r="J2269" s="2">
        <f t="shared" si="115"/>
        <v>-620901.06908014975</v>
      </c>
    </row>
    <row r="2270" spans="3:10" ht="22.5" x14ac:dyDescent="0.55000000000000004">
      <c r="C2270" s="26" t="s">
        <v>2305</v>
      </c>
      <c r="D2270">
        <v>23650</v>
      </c>
      <c r="E2270">
        <v>1856</v>
      </c>
      <c r="F2270">
        <v>10730000</v>
      </c>
      <c r="G2270" s="21">
        <f t="shared" si="116"/>
        <v>10334995.167025687</v>
      </c>
      <c r="H2270" s="6">
        <f t="shared" si="114"/>
        <v>395004.83297431283</v>
      </c>
      <c r="I2270" s="1">
        <f t="shared" si="117"/>
        <v>11265144.732058</v>
      </c>
      <c r="J2270" s="2">
        <f t="shared" si="115"/>
        <v>-535144.73205799982</v>
      </c>
    </row>
    <row r="2271" spans="3:10" ht="22.5" x14ac:dyDescent="0.55000000000000004">
      <c r="C2271" s="26" t="s">
        <v>2306</v>
      </c>
      <c r="D2271">
        <v>23600</v>
      </c>
      <c r="E2271">
        <v>1853</v>
      </c>
      <c r="F2271">
        <v>10740000</v>
      </c>
      <c r="G2271" s="21">
        <f t="shared" si="116"/>
        <v>10296493.963926308</v>
      </c>
      <c r="H2271" s="6">
        <f t="shared" si="114"/>
        <v>443506.03607369214</v>
      </c>
      <c r="I2271" s="1">
        <f t="shared" si="117"/>
        <v>11223178.420679677</v>
      </c>
      <c r="J2271" s="2">
        <f t="shared" si="115"/>
        <v>-483178.42067967728</v>
      </c>
    </row>
    <row r="2272" spans="3:10" ht="22.5" x14ac:dyDescent="0.55000000000000004">
      <c r="C2272" s="26" t="s">
        <v>2307</v>
      </c>
      <c r="D2272">
        <v>23150</v>
      </c>
      <c r="E2272">
        <v>1853</v>
      </c>
      <c r="F2272">
        <v>10340000</v>
      </c>
      <c r="G2272" s="21">
        <f t="shared" si="116"/>
        <v>10100257.850207375</v>
      </c>
      <c r="H2272" s="6">
        <f t="shared" si="114"/>
        <v>239742.14979262464</v>
      </c>
      <c r="I2272" s="1">
        <f t="shared" si="117"/>
        <v>11009281.05672604</v>
      </c>
      <c r="J2272" s="2">
        <f t="shared" si="115"/>
        <v>-669281.05672604032</v>
      </c>
    </row>
    <row r="2273" spans="2:10" ht="22.5" x14ac:dyDescent="0.55000000000000004">
      <c r="C2273" s="26" t="s">
        <v>2308</v>
      </c>
      <c r="D2273">
        <v>23700</v>
      </c>
      <c r="E2273">
        <v>1849</v>
      </c>
      <c r="F2273">
        <v>10590000</v>
      </c>
      <c r="G2273" s="21">
        <f t="shared" si="116"/>
        <v>10317792.001093142</v>
      </c>
      <c r="H2273" s="6">
        <f t="shared" si="114"/>
        <v>272207.99890685827</v>
      </c>
      <c r="I2273" s="1">
        <f t="shared" si="117"/>
        <v>11246393.281191526</v>
      </c>
      <c r="J2273" s="2">
        <f t="shared" si="115"/>
        <v>-656393.28119152598</v>
      </c>
    </row>
    <row r="2274" spans="2:10" ht="22.5" x14ac:dyDescent="0.55000000000000004">
      <c r="C2274" s="26" t="s">
        <v>2309</v>
      </c>
      <c r="D2274">
        <v>23950</v>
      </c>
      <c r="E2274">
        <v>1845</v>
      </c>
      <c r="F2274">
        <v>10710000</v>
      </c>
      <c r="G2274" s="21">
        <f t="shared" si="116"/>
        <v>10404031.401311768</v>
      </c>
      <c r="H2274" s="6">
        <f t="shared" si="114"/>
        <v>305968.59868823178</v>
      </c>
      <c r="I2274" s="1">
        <f t="shared" si="117"/>
        <v>11340394.227429828</v>
      </c>
      <c r="J2274" s="2">
        <f t="shared" si="115"/>
        <v>-630394.22742982768</v>
      </c>
    </row>
    <row r="2275" spans="2:10" ht="22.5" x14ac:dyDescent="0.55000000000000004">
      <c r="B2275" t="s">
        <v>438</v>
      </c>
      <c r="C2275" s="26" t="s">
        <v>2310</v>
      </c>
      <c r="D2275">
        <v>24400</v>
      </c>
      <c r="E2275">
        <v>1848</v>
      </c>
      <c r="F2275">
        <v>10860000</v>
      </c>
      <c r="G2275" s="21">
        <f t="shared" si="116"/>
        <v>10616646.999967847</v>
      </c>
      <c r="H2275" s="6">
        <f t="shared" si="114"/>
        <v>243353.00003215298</v>
      </c>
      <c r="I2275" s="1">
        <f t="shared" si="117"/>
        <v>11572145.229964955</v>
      </c>
      <c r="J2275" s="2">
        <f t="shared" si="115"/>
        <v>-712145.22996495478</v>
      </c>
    </row>
    <row r="2276" spans="2:10" ht="22.5" x14ac:dyDescent="0.55000000000000004">
      <c r="B2276" t="s">
        <v>2316</v>
      </c>
      <c r="C2276" s="26" t="s">
        <v>2311</v>
      </c>
      <c r="D2276">
        <v>24500</v>
      </c>
      <c r="E2276">
        <v>1848</v>
      </c>
      <c r="F2276">
        <v>11050000</v>
      </c>
      <c r="G2276" s="21">
        <f t="shared" si="116"/>
        <v>10660137.356525091</v>
      </c>
      <c r="H2276" s="6">
        <f t="shared" si="114"/>
        <v>389862.64347490855</v>
      </c>
      <c r="I2276" s="1">
        <f t="shared" si="117"/>
        <v>11619549.718612351</v>
      </c>
      <c r="J2276" s="2">
        <f t="shared" si="115"/>
        <v>-569549.71861235052</v>
      </c>
    </row>
    <row r="2277" spans="2:10" ht="22.5" x14ac:dyDescent="0.55000000000000004">
      <c r="B2277" t="s">
        <v>442</v>
      </c>
      <c r="C2277" s="26" t="s">
        <v>2312</v>
      </c>
      <c r="D2277">
        <v>24100</v>
      </c>
      <c r="E2277">
        <v>1862</v>
      </c>
      <c r="F2277">
        <v>10900000</v>
      </c>
      <c r="G2277" s="21">
        <f t="shared" si="116"/>
        <v>10565578.778252902</v>
      </c>
      <c r="H2277" s="6">
        <f t="shared" si="114"/>
        <v>334421.22174709849</v>
      </c>
      <c r="I2277" s="1">
        <f t="shared" si="117"/>
        <v>11516480.868295664</v>
      </c>
      <c r="J2277" s="2">
        <f t="shared" si="115"/>
        <v>-616480.86829566397</v>
      </c>
    </row>
    <row r="2278" spans="2:10" ht="22.5" x14ac:dyDescent="0.55000000000000004">
      <c r="B2278" t="s">
        <v>671</v>
      </c>
      <c r="C2278" s="26" t="s">
        <v>2313</v>
      </c>
      <c r="D2278">
        <v>24400</v>
      </c>
      <c r="E2278">
        <v>1835</v>
      </c>
      <c r="F2278">
        <v>10930000</v>
      </c>
      <c r="G2278" s="21">
        <f t="shared" si="116"/>
        <v>10541997.968041666</v>
      </c>
      <c r="H2278" s="6">
        <f t="shared" si="114"/>
        <v>388002.03195833415</v>
      </c>
      <c r="I2278" s="1">
        <f t="shared" si="117"/>
        <v>11490777.785165416</v>
      </c>
      <c r="J2278" s="2">
        <f t="shared" si="115"/>
        <v>-560777.78516541608</v>
      </c>
    </row>
    <row r="2279" spans="2:10" ht="22.5" x14ac:dyDescent="0.55000000000000004">
      <c r="B2279" t="s">
        <v>446</v>
      </c>
      <c r="C2279" s="26" t="s">
        <v>2314</v>
      </c>
      <c r="D2279">
        <v>23980</v>
      </c>
      <c r="E2279">
        <v>1835</v>
      </c>
      <c r="F2279">
        <v>107300000</v>
      </c>
      <c r="G2279" s="21">
        <f t="shared" si="116"/>
        <v>10360623.412854064</v>
      </c>
      <c r="H2279" s="6">
        <f t="shared" ref="H2279:H2312" si="118">F:F-G:G</f>
        <v>96939376.587145939</v>
      </c>
      <c r="I2279" s="1">
        <f t="shared" si="117"/>
        <v>11293079.520010931</v>
      </c>
      <c r="J2279" s="2">
        <f t="shared" ref="J2279:J2312" si="119">F2279-I2279</f>
        <v>96006920.479989067</v>
      </c>
    </row>
    <row r="2280" spans="2:10" ht="22.5" x14ac:dyDescent="0.55000000000000004">
      <c r="B2280" t="s">
        <v>448</v>
      </c>
      <c r="C2280" s="26" t="s">
        <v>2315</v>
      </c>
      <c r="D2280">
        <v>23940</v>
      </c>
      <c r="E2280">
        <v>1818</v>
      </c>
      <c r="F2280">
        <v>10650000</v>
      </c>
      <c r="G2280" s="21">
        <f t="shared" si="116"/>
        <v>10247572.019547952</v>
      </c>
      <c r="H2280" s="6">
        <f t="shared" si="118"/>
        <v>402427.98045204766</v>
      </c>
      <c r="I2280" s="1">
        <f t="shared" si="117"/>
        <v>11169853.50130727</v>
      </c>
      <c r="J2280" s="2">
        <f t="shared" si="119"/>
        <v>-519853.50130726956</v>
      </c>
    </row>
    <row r="2281" spans="2:10" ht="22.5" x14ac:dyDescent="0.55000000000000004">
      <c r="C2281" s="26" t="s">
        <v>2317</v>
      </c>
      <c r="D2281">
        <v>24200</v>
      </c>
      <c r="E2281">
        <v>1815</v>
      </c>
      <c r="F2281">
        <v>10800000</v>
      </c>
      <c r="G2281" s="21">
        <f t="shared" si="116"/>
        <v>10341725.81744526</v>
      </c>
      <c r="H2281" s="6">
        <f t="shared" si="118"/>
        <v>458274.18255474046</v>
      </c>
      <c r="I2281" s="1">
        <f t="shared" si="117"/>
        <v>11272481.141015334</v>
      </c>
      <c r="J2281" s="2">
        <f t="shared" si="119"/>
        <v>-472481.14101533405</v>
      </c>
    </row>
    <row r="2282" spans="2:10" ht="22.5" x14ac:dyDescent="0.55000000000000004">
      <c r="C2282" s="26" t="s">
        <v>2318</v>
      </c>
      <c r="D2282">
        <v>24270</v>
      </c>
      <c r="E2282">
        <v>1815</v>
      </c>
      <c r="F2282">
        <v>10990000</v>
      </c>
      <c r="G2282" s="21">
        <f t="shared" si="116"/>
        <v>10371625.437578367</v>
      </c>
      <c r="H2282" s="6">
        <f t="shared" si="118"/>
        <v>618374.56242163293</v>
      </c>
      <c r="I2282" s="1">
        <f t="shared" si="117"/>
        <v>11305071.726960421</v>
      </c>
      <c r="J2282" s="2">
        <f t="shared" si="119"/>
        <v>-315071.72696042061</v>
      </c>
    </row>
    <row r="2283" spans="2:10" ht="22.5" x14ac:dyDescent="0.55000000000000004">
      <c r="C2283" s="26" t="s">
        <v>2319</v>
      </c>
      <c r="D2283">
        <v>24700</v>
      </c>
      <c r="E2283">
        <v>1838</v>
      </c>
      <c r="F2283">
        <v>11400000</v>
      </c>
      <c r="G2283" s="21">
        <f t="shared" si="116"/>
        <v>10688989.725106901</v>
      </c>
      <c r="H2283" s="6">
        <f t="shared" si="118"/>
        <v>711010.27489309944</v>
      </c>
      <c r="I2283" s="1">
        <f t="shared" si="117"/>
        <v>11650998.800366523</v>
      </c>
      <c r="J2283" s="2">
        <f t="shared" si="119"/>
        <v>-250998.80036652274</v>
      </c>
    </row>
    <row r="2284" spans="2:10" ht="22.5" x14ac:dyDescent="0.55000000000000004">
      <c r="C2284" s="26" t="s">
        <v>2325</v>
      </c>
      <c r="D2284">
        <v>25100</v>
      </c>
      <c r="E2284">
        <v>1838</v>
      </c>
      <c r="F2284">
        <v>11550000</v>
      </c>
      <c r="G2284" s="21">
        <f t="shared" si="116"/>
        <v>10862009.80162685</v>
      </c>
      <c r="H2284" s="6">
        <f t="shared" si="118"/>
        <v>687990.19837315008</v>
      </c>
      <c r="I2284" s="1">
        <f t="shared" si="117"/>
        <v>11839590.683773268</v>
      </c>
      <c r="J2284" s="2">
        <f t="shared" si="119"/>
        <v>-289590.68377326801</v>
      </c>
    </row>
    <row r="2285" spans="2:10" ht="22.5" x14ac:dyDescent="0.55000000000000004">
      <c r="C2285" s="26" t="s">
        <v>2320</v>
      </c>
      <c r="D2285">
        <v>25700</v>
      </c>
      <c r="E2285">
        <v>1840</v>
      </c>
      <c r="F2285">
        <v>11910000</v>
      </c>
      <c r="G2285" s="21">
        <f t="shared" si="116"/>
        <v>11133636.260167828</v>
      </c>
      <c r="H2285" s="6">
        <f t="shared" si="118"/>
        <v>776363.73983217217</v>
      </c>
      <c r="I2285" s="1">
        <f t="shared" si="117"/>
        <v>12135663.523582933</v>
      </c>
      <c r="J2285" s="2">
        <f t="shared" si="119"/>
        <v>-225663.52358293347</v>
      </c>
    </row>
    <row r="2286" spans="2:10" ht="22.5" x14ac:dyDescent="0.55000000000000004">
      <c r="C2286" s="26" t="s">
        <v>2321</v>
      </c>
      <c r="D2286">
        <v>26000</v>
      </c>
      <c r="E2286">
        <v>1825</v>
      </c>
      <c r="F2286">
        <v>11970000</v>
      </c>
      <c r="G2286" s="21">
        <f t="shared" si="116"/>
        <v>11171760.923383595</v>
      </c>
      <c r="H2286" s="6">
        <f t="shared" si="118"/>
        <v>798239.07661640458</v>
      </c>
      <c r="I2286" s="1">
        <f t="shared" si="117"/>
        <v>12177219.406488121</v>
      </c>
      <c r="J2286" s="2">
        <f t="shared" si="119"/>
        <v>-207219.40648812056</v>
      </c>
    </row>
    <row r="2287" spans="2:10" ht="22.5" x14ac:dyDescent="0.55000000000000004">
      <c r="C2287" s="26" t="s">
        <v>2322</v>
      </c>
      <c r="D2287">
        <v>25950</v>
      </c>
      <c r="E2287">
        <v>1825</v>
      </c>
      <c r="F2287">
        <v>11960000</v>
      </c>
      <c r="G2287" s="21">
        <f t="shared" si="116"/>
        <v>11150286.383146318</v>
      </c>
      <c r="H2287" s="6">
        <f t="shared" si="118"/>
        <v>809713.61685368232</v>
      </c>
      <c r="I2287" s="1">
        <f t="shared" si="117"/>
        <v>12153812.157629488</v>
      </c>
      <c r="J2287" s="2">
        <f t="shared" si="119"/>
        <v>-193812.15762948804</v>
      </c>
    </row>
    <row r="2288" spans="2:10" ht="22.5" x14ac:dyDescent="0.55000000000000004">
      <c r="C2288" s="26" t="s">
        <v>2323</v>
      </c>
      <c r="D2288">
        <v>25600</v>
      </c>
      <c r="E2288">
        <v>1823</v>
      </c>
      <c r="F2288">
        <v>11700000</v>
      </c>
      <c r="G2288" s="21">
        <f t="shared" si="116"/>
        <v>10987915.325209785</v>
      </c>
      <c r="H2288" s="6">
        <f t="shared" si="118"/>
        <v>712084.67479021475</v>
      </c>
      <c r="I2288" s="1">
        <f t="shared" si="117"/>
        <v>11976827.704478666</v>
      </c>
      <c r="J2288" s="2">
        <f t="shared" si="119"/>
        <v>-276827.70447866619</v>
      </c>
    </row>
    <row r="2289" spans="3:10" ht="22.5" x14ac:dyDescent="0.55000000000000004">
      <c r="C2289" s="26" t="s">
        <v>2324</v>
      </c>
      <c r="D2289">
        <v>25830</v>
      </c>
      <c r="E2289">
        <v>1810</v>
      </c>
      <c r="F2289">
        <v>11910000</v>
      </c>
      <c r="G2289" s="21">
        <f t="shared" ref="G2289:G2312" si="120">E2289/31.103*8.133*D2289*0.9+5000</f>
        <v>11007566.000385813</v>
      </c>
      <c r="H2289" s="6">
        <f t="shared" si="118"/>
        <v>902433.99961418658</v>
      </c>
      <c r="I2289" s="1">
        <f t="shared" ref="I2289:I2312" si="121">G2289*1.09</f>
        <v>11998246.940420538</v>
      </c>
      <c r="J2289" s="2">
        <f t="shared" si="119"/>
        <v>-88246.940420538187</v>
      </c>
    </row>
    <row r="2290" spans="3:10" ht="22.5" x14ac:dyDescent="0.55000000000000004">
      <c r="C2290" s="26" t="s">
        <v>2326</v>
      </c>
      <c r="D2290">
        <v>25800</v>
      </c>
      <c r="E2290">
        <v>1790</v>
      </c>
      <c r="F2290">
        <v>11760000</v>
      </c>
      <c r="G2290" s="21">
        <f t="shared" si="120"/>
        <v>10873353.065620678</v>
      </c>
      <c r="H2290" s="6">
        <f t="shared" si="118"/>
        <v>886646.93437932245</v>
      </c>
      <c r="I2290" s="1">
        <f t="shared" si="121"/>
        <v>11851954.84152654</v>
      </c>
      <c r="J2290" s="2">
        <f t="shared" si="119"/>
        <v>-91954.841526539996</v>
      </c>
    </row>
    <row r="2291" spans="3:10" ht="22.5" x14ac:dyDescent="0.55000000000000004">
      <c r="C2291" s="26" t="s">
        <v>2327</v>
      </c>
      <c r="D2291">
        <v>25930</v>
      </c>
      <c r="E2291">
        <v>1784</v>
      </c>
      <c r="F2291">
        <v>11820000</v>
      </c>
      <c r="G2291" s="21">
        <f t="shared" si="120"/>
        <v>10891502.2880108</v>
      </c>
      <c r="H2291" s="6">
        <f t="shared" si="118"/>
        <v>928497.71198919974</v>
      </c>
      <c r="I2291" s="1">
        <f t="shared" si="121"/>
        <v>11871737.493931774</v>
      </c>
      <c r="J2291" s="2">
        <f t="shared" si="119"/>
        <v>-51737.49393177405</v>
      </c>
    </row>
    <row r="2292" spans="3:10" ht="22.5" x14ac:dyDescent="0.55000000000000004">
      <c r="C2292" s="26" t="s">
        <v>2328</v>
      </c>
      <c r="D2292">
        <v>25400</v>
      </c>
      <c r="E2292">
        <v>1785</v>
      </c>
      <c r="F2292">
        <v>11520000</v>
      </c>
      <c r="G2292" s="21">
        <f t="shared" si="120"/>
        <v>10674963.614442335</v>
      </c>
      <c r="H2292" s="6">
        <f t="shared" si="118"/>
        <v>845036.38555766456</v>
      </c>
      <c r="I2292" s="1">
        <f t="shared" si="121"/>
        <v>11635710.339742146</v>
      </c>
      <c r="J2292" s="2">
        <f t="shared" si="119"/>
        <v>-115710.33974214643</v>
      </c>
    </row>
    <row r="2293" spans="3:10" ht="22.5" x14ac:dyDescent="0.55000000000000004">
      <c r="C2293" s="26" t="s">
        <v>2329</v>
      </c>
      <c r="D2293">
        <v>24700</v>
      </c>
      <c r="E2293">
        <v>1785</v>
      </c>
      <c r="F2293">
        <v>11200000</v>
      </c>
      <c r="G2293" s="21">
        <f t="shared" si="120"/>
        <v>10380909.499083688</v>
      </c>
      <c r="H2293" s="6">
        <f t="shared" si="118"/>
        <v>819090.50091631152</v>
      </c>
      <c r="I2293" s="1">
        <f t="shared" si="121"/>
        <v>11315191.354001222</v>
      </c>
      <c r="J2293" s="2">
        <f t="shared" si="119"/>
        <v>-115191.35400122218</v>
      </c>
    </row>
    <row r="2294" spans="3:10" ht="22.5" x14ac:dyDescent="0.55000000000000004">
      <c r="C2294" s="26" t="s">
        <v>2330</v>
      </c>
      <c r="D2294">
        <v>24550</v>
      </c>
      <c r="E2294">
        <v>1810</v>
      </c>
      <c r="F2294">
        <v>10970000</v>
      </c>
      <c r="G2294" s="21">
        <f t="shared" si="120"/>
        <v>10462336.248914894</v>
      </c>
      <c r="H2294" s="6">
        <f t="shared" si="118"/>
        <v>507663.75108510628</v>
      </c>
      <c r="I2294" s="1">
        <f t="shared" si="121"/>
        <v>11403946.511317234</v>
      </c>
      <c r="J2294" s="2">
        <f t="shared" si="119"/>
        <v>-433946.51131723449</v>
      </c>
    </row>
    <row r="2295" spans="3:10" ht="22.5" x14ac:dyDescent="0.55000000000000004">
      <c r="C2295" s="26" t="s">
        <v>2331</v>
      </c>
      <c r="D2295">
        <v>24850</v>
      </c>
      <c r="E2295">
        <v>1810</v>
      </c>
      <c r="F2295">
        <v>11200000</v>
      </c>
      <c r="G2295" s="21">
        <f t="shared" si="120"/>
        <v>10590124.471915891</v>
      </c>
      <c r="H2295" s="6">
        <f t="shared" si="118"/>
        <v>609875.52808410861</v>
      </c>
      <c r="I2295" s="1">
        <f t="shared" si="121"/>
        <v>11543235.674388323</v>
      </c>
      <c r="J2295" s="2">
        <f t="shared" si="119"/>
        <v>-343235.67438832298</v>
      </c>
    </row>
    <row r="2296" spans="3:10" ht="22.5" x14ac:dyDescent="0.55000000000000004">
      <c r="C2296" s="26" t="s">
        <v>2332</v>
      </c>
      <c r="D2296">
        <v>25350</v>
      </c>
      <c r="E2296">
        <v>1790</v>
      </c>
      <c r="F2296">
        <v>11350000</v>
      </c>
      <c r="G2296" s="21">
        <f t="shared" si="120"/>
        <v>10683788.767964503</v>
      </c>
      <c r="H2296" s="6">
        <f t="shared" si="118"/>
        <v>666211.2320354972</v>
      </c>
      <c r="I2296" s="1">
        <f t="shared" si="121"/>
        <v>11645329.757081309</v>
      </c>
      <c r="J2296" s="2">
        <f t="shared" si="119"/>
        <v>-295329.75708130933</v>
      </c>
    </row>
    <row r="2297" spans="3:10" ht="22.5" x14ac:dyDescent="0.55000000000000004">
      <c r="C2297" s="26" t="s">
        <v>2333</v>
      </c>
      <c r="D2297">
        <v>25520</v>
      </c>
      <c r="E2297">
        <v>1736</v>
      </c>
      <c r="F2297">
        <v>11150000</v>
      </c>
      <c r="G2297" s="21">
        <f t="shared" si="120"/>
        <v>10431088.145323602</v>
      </c>
      <c r="H2297" s="6">
        <f t="shared" si="118"/>
        <v>718911.85467639752</v>
      </c>
      <c r="I2297" s="1">
        <f t="shared" si="121"/>
        <v>11369886.078402728</v>
      </c>
      <c r="J2297" s="2">
        <f t="shared" si="119"/>
        <v>-219886.07840272784</v>
      </c>
    </row>
    <row r="2298" spans="3:10" ht="22.5" x14ac:dyDescent="0.55000000000000004">
      <c r="C2298" s="26" t="s">
        <v>2334</v>
      </c>
      <c r="D2298">
        <v>25200</v>
      </c>
      <c r="E2298">
        <v>1736</v>
      </c>
      <c r="F2298">
        <v>11050000</v>
      </c>
      <c r="G2298" s="21">
        <f t="shared" si="120"/>
        <v>10300353.497733338</v>
      </c>
      <c r="H2298" s="6">
        <f t="shared" si="118"/>
        <v>749646.5022666622</v>
      </c>
      <c r="I2298" s="1">
        <f t="shared" si="121"/>
        <v>11227385.312529339</v>
      </c>
      <c r="J2298" s="2">
        <f t="shared" si="119"/>
        <v>-177385.31252933852</v>
      </c>
    </row>
    <row r="2299" spans="3:10" ht="22.5" x14ac:dyDescent="0.55000000000000004">
      <c r="C2299" s="26" t="s">
        <v>2335</v>
      </c>
      <c r="D2299">
        <v>25450</v>
      </c>
      <c r="E2299">
        <v>1736</v>
      </c>
      <c r="F2299">
        <v>11170000</v>
      </c>
      <c r="G2299" s="21">
        <f t="shared" si="120"/>
        <v>10402489.941163233</v>
      </c>
      <c r="H2299" s="6">
        <f t="shared" si="118"/>
        <v>767510.05883676745</v>
      </c>
      <c r="I2299" s="1">
        <f t="shared" si="121"/>
        <v>11338714.035867924</v>
      </c>
      <c r="J2299" s="2">
        <f t="shared" si="119"/>
        <v>-168714.03586792387</v>
      </c>
    </row>
    <row r="2300" spans="3:10" ht="22.5" x14ac:dyDescent="0.55000000000000004">
      <c r="C2300" s="26" t="s">
        <v>2336</v>
      </c>
      <c r="D2300">
        <v>25050</v>
      </c>
      <c r="E2300">
        <v>1730</v>
      </c>
      <c r="F2300">
        <v>10900000</v>
      </c>
      <c r="G2300" s="21">
        <f t="shared" si="120"/>
        <v>10203700.416358549</v>
      </c>
      <c r="H2300" s="6">
        <f t="shared" si="118"/>
        <v>696299.58364145085</v>
      </c>
      <c r="I2300" s="1">
        <f t="shared" si="121"/>
        <v>11122033.45383082</v>
      </c>
      <c r="J2300" s="2">
        <f t="shared" si="119"/>
        <v>-222033.45383081958</v>
      </c>
    </row>
    <row r="2301" spans="3:10" ht="22.5" x14ac:dyDescent="0.55000000000000004">
      <c r="C2301" s="26" t="s">
        <v>2337</v>
      </c>
      <c r="D2301">
        <v>25300</v>
      </c>
      <c r="E2301">
        <v>1724</v>
      </c>
      <c r="F2301">
        <v>10950000</v>
      </c>
      <c r="G2301" s="21">
        <f t="shared" si="120"/>
        <v>10269759.63218982</v>
      </c>
      <c r="H2301" s="6">
        <f t="shared" si="118"/>
        <v>680240.36781018041</v>
      </c>
      <c r="I2301" s="1">
        <f t="shared" si="121"/>
        <v>11194037.999086903</v>
      </c>
      <c r="J2301" s="2">
        <f t="shared" si="119"/>
        <v>-244037.99908690341</v>
      </c>
    </row>
    <row r="2302" spans="3:10" ht="22.5" x14ac:dyDescent="0.55000000000000004">
      <c r="C2302" s="26" t="s">
        <v>2338</v>
      </c>
      <c r="D2302" s="33">
        <v>24970</v>
      </c>
      <c r="E2302">
        <v>1710</v>
      </c>
      <c r="F2302">
        <v>10670000</v>
      </c>
      <c r="G2302" s="21">
        <f t="shared" si="120"/>
        <v>10053602.205253512</v>
      </c>
      <c r="H2302" s="6">
        <f t="shared" si="118"/>
        <v>616397.79474648833</v>
      </c>
      <c r="I2302" s="1">
        <f t="shared" si="121"/>
        <v>10958426.403726328</v>
      </c>
      <c r="J2302" s="2">
        <f t="shared" si="119"/>
        <v>-288426.40372632816</v>
      </c>
    </row>
    <row r="2303" spans="3:10" ht="22.5" x14ac:dyDescent="0.55000000000000004">
      <c r="C2303" s="26" t="s">
        <v>2339</v>
      </c>
      <c r="D2303" s="33">
        <v>24750</v>
      </c>
      <c r="E2303">
        <v>1700</v>
      </c>
      <c r="F2303">
        <v>10350000</v>
      </c>
      <c r="G2303" s="21">
        <f t="shared" si="120"/>
        <v>9906822.2518728077</v>
      </c>
      <c r="H2303" s="6">
        <f t="shared" si="118"/>
        <v>443177.74812719226</v>
      </c>
      <c r="I2303" s="1">
        <f t="shared" si="121"/>
        <v>10798436.254541362</v>
      </c>
      <c r="J2303" s="2">
        <f t="shared" si="119"/>
        <v>-448436.2545413617</v>
      </c>
    </row>
    <row r="2304" spans="3:10" ht="22.5" x14ac:dyDescent="0.55000000000000004">
      <c r="C2304" s="26" t="s">
        <v>2340</v>
      </c>
      <c r="D2304" s="33">
        <v>24770</v>
      </c>
      <c r="E2304">
        <v>1700</v>
      </c>
      <c r="F2304">
        <v>10450000</v>
      </c>
      <c r="G2304" s="21">
        <f t="shared" si="120"/>
        <v>9914823.7243995741</v>
      </c>
      <c r="H2304" s="6">
        <f t="shared" si="118"/>
        <v>535176.2756004259</v>
      </c>
      <c r="I2304" s="1">
        <f t="shared" si="121"/>
        <v>10807157.859595537</v>
      </c>
      <c r="J2304" s="2">
        <f t="shared" si="119"/>
        <v>-357157.85959553719</v>
      </c>
    </row>
    <row r="2305" spans="3:10" ht="22.5" x14ac:dyDescent="0.55000000000000004">
      <c r="C2305" s="26" t="s">
        <v>2341</v>
      </c>
      <c r="D2305" s="33">
        <v>24900</v>
      </c>
      <c r="E2305">
        <v>1682</v>
      </c>
      <c r="F2305">
        <v>10510000</v>
      </c>
      <c r="G2305" s="21">
        <f t="shared" si="120"/>
        <v>9861355.0609265957</v>
      </c>
      <c r="H2305" s="6">
        <f t="shared" si="118"/>
        <v>648644.9390734043</v>
      </c>
      <c r="I2305" s="1">
        <f t="shared" si="121"/>
        <v>10748877.016409989</v>
      </c>
      <c r="J2305" s="2">
        <f t="shared" si="119"/>
        <v>-238877.01640998945</v>
      </c>
    </row>
    <row r="2306" spans="3:10" ht="22.5" x14ac:dyDescent="0.55000000000000004">
      <c r="C2306" s="26" t="s">
        <v>2342</v>
      </c>
      <c r="D2306" s="33">
        <v>24510</v>
      </c>
      <c r="E2306">
        <v>1715</v>
      </c>
      <c r="F2306">
        <v>10450000</v>
      </c>
      <c r="G2306" s="21">
        <f t="shared" si="120"/>
        <v>9897326.3866829555</v>
      </c>
      <c r="H2306" s="6">
        <f t="shared" si="118"/>
        <v>552673.61331704445</v>
      </c>
      <c r="I2306" s="1">
        <f t="shared" si="121"/>
        <v>10788085.761484422</v>
      </c>
      <c r="J2306" s="2">
        <f t="shared" si="119"/>
        <v>-338085.76148442179</v>
      </c>
    </row>
    <row r="2307" spans="3:10" ht="22.5" x14ac:dyDescent="0.55000000000000004">
      <c r="C2307" s="26" t="s">
        <v>2343</v>
      </c>
      <c r="D2307" s="33">
        <v>24600</v>
      </c>
      <c r="E2307">
        <v>1730</v>
      </c>
      <c r="F2307">
        <v>10550000</v>
      </c>
      <c r="G2307" s="21">
        <f t="shared" si="120"/>
        <v>10020490.229238337</v>
      </c>
      <c r="H2307" s="6">
        <f t="shared" si="118"/>
        <v>529509.77076166309</v>
      </c>
      <c r="I2307" s="1">
        <f t="shared" si="121"/>
        <v>10922334.349869788</v>
      </c>
      <c r="J2307" s="2">
        <f t="shared" si="119"/>
        <v>-372334.34986978769</v>
      </c>
    </row>
    <row r="2308" spans="3:10" ht="22.5" x14ac:dyDescent="0.55000000000000004">
      <c r="C2308" s="26" t="s">
        <v>2344</v>
      </c>
      <c r="D2308">
        <v>24850</v>
      </c>
      <c r="E2308">
        <v>1728</v>
      </c>
      <c r="F2308">
        <v>10750000</v>
      </c>
      <c r="G2308" s="21">
        <f t="shared" si="120"/>
        <v>10110577.396392629</v>
      </c>
      <c r="H2308" s="6">
        <f t="shared" si="118"/>
        <v>639422.60360737145</v>
      </c>
      <c r="I2308" s="1">
        <f t="shared" si="121"/>
        <v>11020529.362067966</v>
      </c>
      <c r="J2308" s="2">
        <f t="shared" si="119"/>
        <v>-270529.36206796579</v>
      </c>
    </row>
    <row r="2309" spans="3:10" ht="22.5" x14ac:dyDescent="0.55000000000000004">
      <c r="C2309" s="26" t="s">
        <v>2345</v>
      </c>
      <c r="D2309">
        <v>24650</v>
      </c>
      <c r="E2309">
        <v>1728</v>
      </c>
      <c r="F2309">
        <v>10700000</v>
      </c>
      <c r="G2309" s="21">
        <f t="shared" si="120"/>
        <v>10029244.781532327</v>
      </c>
      <c r="H2309" s="6">
        <f t="shared" si="118"/>
        <v>670755.21846767329</v>
      </c>
      <c r="I2309" s="1">
        <f t="shared" si="121"/>
        <v>10931876.811870238</v>
      </c>
      <c r="J2309" s="2">
        <f t="shared" si="119"/>
        <v>-231876.81187023781</v>
      </c>
    </row>
    <row r="2310" spans="3:10" ht="22.5" x14ac:dyDescent="0.55000000000000004">
      <c r="C2310" s="26" t="s">
        <v>2346</v>
      </c>
      <c r="D2310" s="33">
        <v>24580</v>
      </c>
      <c r="E2310">
        <v>1728</v>
      </c>
      <c r="F2310">
        <v>10730000</v>
      </c>
      <c r="G2310" s="21">
        <f t="shared" si="120"/>
        <v>10000778.36633122</v>
      </c>
      <c r="H2310" s="6">
        <f t="shared" si="118"/>
        <v>729221.63366878033</v>
      </c>
      <c r="I2310" s="1">
        <f t="shared" si="121"/>
        <v>10900848.419301031</v>
      </c>
      <c r="J2310" s="2">
        <f t="shared" si="119"/>
        <v>-170848.41930103116</v>
      </c>
    </row>
    <row r="2311" spans="3:10" ht="22.5" x14ac:dyDescent="0.55000000000000004">
      <c r="C2311" s="26" t="s">
        <v>2347</v>
      </c>
      <c r="D2311" s="33">
        <v>24900</v>
      </c>
      <c r="E2311">
        <v>1729</v>
      </c>
      <c r="F2311">
        <v>11010000</v>
      </c>
      <c r="G2311" s="21">
        <f t="shared" si="120"/>
        <v>10136770.452046424</v>
      </c>
      <c r="H2311" s="6">
        <f t="shared" si="118"/>
        <v>873229.54795357585</v>
      </c>
      <c r="I2311" s="1">
        <f t="shared" si="121"/>
        <v>11049079.792730603</v>
      </c>
      <c r="J2311" s="2">
        <f t="shared" si="119"/>
        <v>-39079.792730603367</v>
      </c>
    </row>
    <row r="2312" spans="3:10" ht="22.5" x14ac:dyDescent="0.55000000000000004">
      <c r="C2312" s="26" t="s">
        <v>2348</v>
      </c>
      <c r="D2312" s="33">
        <v>25000</v>
      </c>
      <c r="E2312">
        <v>1734</v>
      </c>
      <c r="F2312">
        <v>11000000</v>
      </c>
      <c r="G2312" s="21">
        <f t="shared" si="120"/>
        <v>10206877.471626529</v>
      </c>
      <c r="H2312" s="6">
        <f t="shared" si="118"/>
        <v>793122.52837347053</v>
      </c>
      <c r="I2312" s="1">
        <f t="shared" si="121"/>
        <v>11125496.444072917</v>
      </c>
      <c r="J2312" s="2">
        <f t="shared" si="119"/>
        <v>-125496.4440729171</v>
      </c>
    </row>
    <row r="2313" spans="3:10" ht="22.5" x14ac:dyDescent="0.55000000000000004">
      <c r="C2313" s="26" t="s">
        <v>2349</v>
      </c>
      <c r="D2313" s="33">
        <v>25300</v>
      </c>
    </row>
    <row r="2314" spans="3:10" ht="22.5" x14ac:dyDescent="0.55000000000000004">
      <c r="C2314" s="26" t="s">
        <v>2350</v>
      </c>
      <c r="D2314" s="33">
        <v>26000</v>
      </c>
    </row>
    <row r="2315" spans="3:10" ht="22.5" x14ac:dyDescent="0.55000000000000004">
      <c r="C2315" s="26" t="s">
        <v>2351</v>
      </c>
      <c r="D2315" s="33">
        <v>25800</v>
      </c>
    </row>
    <row r="2316" spans="3:10" ht="22.5" x14ac:dyDescent="0.55000000000000004">
      <c r="C2316" s="26" t="s">
        <v>2352</v>
      </c>
      <c r="D2316">
        <v>25700</v>
      </c>
    </row>
    <row r="2317" spans="3:10" ht="22.5" x14ac:dyDescent="0.55000000000000004">
      <c r="C2317" s="26" t="s">
        <v>2353</v>
      </c>
      <c r="D2317">
        <v>24550</v>
      </c>
    </row>
    <row r="2318" spans="3:10" ht="22.5" x14ac:dyDescent="0.55000000000000004">
      <c r="C2318" s="26" t="s">
        <v>2354</v>
      </c>
      <c r="D2318">
        <v>24850</v>
      </c>
    </row>
    <row r="2319" spans="3:10" ht="22.5" x14ac:dyDescent="0.55000000000000004">
      <c r="C2319" s="26" t="s">
        <v>2355</v>
      </c>
      <c r="D2319">
        <v>25000</v>
      </c>
    </row>
    <row r="2320" spans="3:10" ht="22.5" x14ac:dyDescent="0.55000000000000004">
      <c r="C2320" s="26" t="s">
        <v>2356</v>
      </c>
      <c r="D2320">
        <v>25050</v>
      </c>
    </row>
    <row r="2321" spans="3:4" ht="22.5" x14ac:dyDescent="0.55000000000000004">
      <c r="C2321" s="26" t="s">
        <v>2357</v>
      </c>
      <c r="D2321">
        <v>25150</v>
      </c>
    </row>
    <row r="2322" spans="3:4" ht="22.5" x14ac:dyDescent="0.55000000000000004">
      <c r="C2322" s="26" t="s">
        <v>2358</v>
      </c>
      <c r="D2322">
        <v>24750</v>
      </c>
    </row>
    <row r="2323" spans="3:4" ht="22.5" x14ac:dyDescent="0.55000000000000004">
      <c r="C2323" s="26" t="s">
        <v>2359</v>
      </c>
      <c r="D2323">
        <v>24800</v>
      </c>
    </row>
    <row r="2324" spans="3:4" ht="22.5" x14ac:dyDescent="0.55000000000000004">
      <c r="C2324" s="26" t="s">
        <v>2360</v>
      </c>
      <c r="D2324">
        <v>24810</v>
      </c>
    </row>
    <row r="2325" spans="3:4" ht="22.5" x14ac:dyDescent="0.55000000000000004">
      <c r="C2325" s="26" t="s">
        <v>2361</v>
      </c>
      <c r="D2325">
        <v>25000</v>
      </c>
    </row>
    <row r="2326" spans="3:4" ht="22.5" x14ac:dyDescent="0.55000000000000004">
      <c r="C2326" s="26" t="s">
        <v>2362</v>
      </c>
      <c r="D2326">
        <v>24800</v>
      </c>
    </row>
    <row r="2327" spans="3:4" ht="22.5" x14ac:dyDescent="0.55000000000000004">
      <c r="C2327" s="26" t="s">
        <v>2363</v>
      </c>
      <c r="D2327">
        <v>24940</v>
      </c>
    </row>
    <row r="2328" spans="3:4" ht="22.5" x14ac:dyDescent="0.55000000000000004">
      <c r="C2328" s="26" t="s">
        <v>2364</v>
      </c>
      <c r="D2328">
        <v>24930</v>
      </c>
    </row>
    <row r="2329" spans="3:4" ht="22.5" x14ac:dyDescent="0.55000000000000004">
      <c r="C2329" s="26" t="s">
        <v>2365</v>
      </c>
      <c r="D2329">
        <v>24840</v>
      </c>
    </row>
    <row r="2330" spans="3:4" ht="22.5" x14ac:dyDescent="0.55000000000000004">
      <c r="C2330" s="26" t="s">
        <v>2366</v>
      </c>
      <c r="D2330">
        <v>24500</v>
      </c>
    </row>
    <row r="2331" spans="3:4" ht="22.5" x14ac:dyDescent="0.55000000000000004">
      <c r="C2331" s="26" t="s">
        <v>2367</v>
      </c>
      <c r="D2331">
        <v>24200</v>
      </c>
    </row>
    <row r="2332" spans="3:4" ht="22.5" x14ac:dyDescent="0.55000000000000004">
      <c r="C2332" s="26" t="s">
        <v>2368</v>
      </c>
      <c r="D2332">
        <v>23950</v>
      </c>
    </row>
    <row r="2333" spans="3:4" ht="22.5" x14ac:dyDescent="0.55000000000000004">
      <c r="C2333" s="26" t="s">
        <v>2369</v>
      </c>
      <c r="D2333">
        <v>24100</v>
      </c>
    </row>
    <row r="2334" spans="3:4" ht="22.5" x14ac:dyDescent="0.55000000000000004">
      <c r="C2334" s="26" t="s">
        <v>2370</v>
      </c>
      <c r="D2334">
        <v>23900</v>
      </c>
    </row>
    <row r="2335" spans="3:4" ht="22.5" x14ac:dyDescent="0.55000000000000004">
      <c r="C2335" s="26" t="s">
        <v>2371</v>
      </c>
      <c r="D2335">
        <v>23850</v>
      </c>
    </row>
    <row r="2336" spans="3:4" ht="22.5" x14ac:dyDescent="0.55000000000000004">
      <c r="C2336" s="26" t="s">
        <v>2372</v>
      </c>
      <c r="D2336">
        <v>23910</v>
      </c>
    </row>
    <row r="2337" spans="3:4" ht="22.5" x14ac:dyDescent="0.55000000000000004">
      <c r="C2337" s="26" t="s">
        <v>2373</v>
      </c>
      <c r="D2337">
        <v>23650</v>
      </c>
    </row>
    <row r="2338" spans="3:4" ht="22.5" x14ac:dyDescent="0.55000000000000004">
      <c r="C2338" s="26" t="s">
        <v>2374</v>
      </c>
      <c r="D2338">
        <v>23700</v>
      </c>
    </row>
    <row r="2339" spans="3:4" ht="22.5" x14ac:dyDescent="0.55000000000000004">
      <c r="C2339" s="26" t="s">
        <v>2375</v>
      </c>
      <c r="D2339">
        <v>23690</v>
      </c>
    </row>
    <row r="2340" spans="3:4" ht="22.5" x14ac:dyDescent="0.55000000000000004">
      <c r="C2340" s="26" t="s">
        <v>2376</v>
      </c>
      <c r="D2340">
        <v>23500</v>
      </c>
    </row>
    <row r="2341" spans="3:4" ht="22.5" x14ac:dyDescent="0.55000000000000004">
      <c r="C2341" s="26" t="s">
        <v>2377</v>
      </c>
      <c r="D2341">
        <v>23050</v>
      </c>
    </row>
    <row r="2342" spans="3:4" ht="22.5" x14ac:dyDescent="0.55000000000000004">
      <c r="C2342" s="26" t="s">
        <v>2378</v>
      </c>
      <c r="D2342">
        <v>21850</v>
      </c>
    </row>
    <row r="2343" spans="3:4" ht="22.5" x14ac:dyDescent="0.55000000000000004">
      <c r="C2343" s="26" t="s">
        <v>2379</v>
      </c>
      <c r="D2343">
        <v>22050</v>
      </c>
    </row>
    <row r="2344" spans="3:4" ht="22.5" x14ac:dyDescent="0.55000000000000004">
      <c r="C2344" s="26" t="s">
        <v>2380</v>
      </c>
      <c r="D2344">
        <v>21050</v>
      </c>
    </row>
    <row r="2345" spans="3:4" ht="22.5" x14ac:dyDescent="0.55000000000000004">
      <c r="C2345" s="26" t="s">
        <v>2381</v>
      </c>
      <c r="D2345">
        <v>21500</v>
      </c>
    </row>
    <row r="2346" spans="3:4" ht="22.5" x14ac:dyDescent="0.55000000000000004">
      <c r="C2346" s="26" t="s">
        <v>2382</v>
      </c>
      <c r="D2346">
        <v>21450</v>
      </c>
    </row>
    <row r="2347" spans="3:4" ht="22.5" x14ac:dyDescent="0.55000000000000004">
      <c r="C2347" s="26" t="s">
        <v>2383</v>
      </c>
      <c r="D2347">
        <v>21600</v>
      </c>
    </row>
    <row r="2348" spans="3:4" ht="22.5" x14ac:dyDescent="0.55000000000000004">
      <c r="C2348" s="26" t="s">
        <v>2384</v>
      </c>
      <c r="D2348">
        <v>22000</v>
      </c>
    </row>
    <row r="2349" spans="3:4" ht="22.5" x14ac:dyDescent="0.55000000000000004">
      <c r="C2349" s="26" t="s">
        <v>2385</v>
      </c>
      <c r="D2349">
        <v>22450</v>
      </c>
    </row>
    <row r="2350" spans="3:4" ht="22.5" x14ac:dyDescent="0.55000000000000004">
      <c r="C2350" s="26" t="s">
        <v>2386</v>
      </c>
      <c r="D2350">
        <v>22570</v>
      </c>
    </row>
    <row r="2351" spans="3:4" ht="22.5" x14ac:dyDescent="0.55000000000000004">
      <c r="C2351" s="26" t="s">
        <v>2387</v>
      </c>
      <c r="D2351">
        <v>22820</v>
      </c>
    </row>
    <row r="2352" spans="3:4" ht="22.5" x14ac:dyDescent="0.55000000000000004">
      <c r="C2352" s="26" t="s">
        <v>2388</v>
      </c>
      <c r="D2352">
        <v>23320</v>
      </c>
    </row>
    <row r="2353" spans="3:4" ht="22.5" x14ac:dyDescent="0.55000000000000004">
      <c r="C2353" s="26" t="s">
        <v>2389</v>
      </c>
      <c r="D2353">
        <v>22880</v>
      </c>
    </row>
    <row r="2354" spans="3:4" ht="22.5" x14ac:dyDescent="0.55000000000000004">
      <c r="C2354" s="26" t="s">
        <v>2390</v>
      </c>
      <c r="D2354">
        <v>23150</v>
      </c>
    </row>
    <row r="2355" spans="3:4" ht="22.5" x14ac:dyDescent="0.55000000000000004">
      <c r="C2355" s="26" t="s">
        <v>2391</v>
      </c>
      <c r="D2355">
        <v>22650</v>
      </c>
    </row>
    <row r="2356" spans="3:4" ht="22.5" x14ac:dyDescent="0.55000000000000004">
      <c r="C2356" s="26" t="s">
        <v>2392</v>
      </c>
      <c r="D2356">
        <v>22970</v>
      </c>
    </row>
    <row r="2357" spans="3:4" ht="22.5" x14ac:dyDescent="0.55000000000000004">
      <c r="C2357" s="26" t="s">
        <v>2393</v>
      </c>
      <c r="D2357">
        <v>22900</v>
      </c>
    </row>
    <row r="2358" spans="3:4" ht="22.5" x14ac:dyDescent="0.55000000000000004">
      <c r="C2358" s="26" t="s">
        <v>2394</v>
      </c>
      <c r="D2358">
        <v>22990</v>
      </c>
    </row>
    <row r="2359" spans="3:4" ht="22.5" x14ac:dyDescent="0.55000000000000004">
      <c r="C2359" s="26" t="s">
        <v>2395</v>
      </c>
      <c r="D2359">
        <v>23150</v>
      </c>
    </row>
    <row r="2360" spans="3:4" ht="22.5" x14ac:dyDescent="0.55000000000000004">
      <c r="C2360" s="26" t="s">
        <v>2396</v>
      </c>
      <c r="D2360">
        <v>23100</v>
      </c>
    </row>
    <row r="2361" spans="3:4" ht="22.5" x14ac:dyDescent="0.55000000000000004">
      <c r="C2361" s="26" t="s">
        <v>2397</v>
      </c>
      <c r="D2361">
        <v>23250</v>
      </c>
    </row>
    <row r="2362" spans="3:4" ht="22.5" x14ac:dyDescent="0.55000000000000004">
      <c r="C2362" s="26" t="s">
        <v>2398</v>
      </c>
      <c r="D2362">
        <v>23230</v>
      </c>
    </row>
    <row r="2363" spans="3:4" ht="22.5" x14ac:dyDescent="0.55000000000000004">
      <c r="C2363" s="26" t="s">
        <v>2399</v>
      </c>
      <c r="D2363">
        <v>24050</v>
      </c>
    </row>
    <row r="2364" spans="3:4" ht="22.5" x14ac:dyDescent="0.55000000000000004">
      <c r="C2364" s="26" t="s">
        <v>2400</v>
      </c>
      <c r="D2364">
        <v>24100</v>
      </c>
    </row>
    <row r="2365" spans="3:4" ht="22.5" x14ac:dyDescent="0.55000000000000004">
      <c r="C2365" s="26" t="s">
        <v>2401</v>
      </c>
      <c r="D2365">
        <v>23950</v>
      </c>
    </row>
    <row r="2366" spans="3:4" ht="22.5" x14ac:dyDescent="0.55000000000000004">
      <c r="C2366" s="26" t="s">
        <v>2402</v>
      </c>
      <c r="D2366">
        <v>23970</v>
      </c>
    </row>
    <row r="2367" spans="3:4" ht="22.5" x14ac:dyDescent="0.55000000000000004">
      <c r="C2367" s="26" t="s">
        <v>2403</v>
      </c>
      <c r="D2367">
        <v>23920</v>
      </c>
    </row>
    <row r="2368" spans="3:4" ht="22.5" x14ac:dyDescent="0.55000000000000004">
      <c r="C2368" s="26" t="s">
        <v>2404</v>
      </c>
      <c r="D2368">
        <v>23780</v>
      </c>
    </row>
    <row r="2369" spans="3:4" ht="22.5" x14ac:dyDescent="0.55000000000000004">
      <c r="C2369" s="26" t="s">
        <v>2406</v>
      </c>
      <c r="D2369">
        <v>24100</v>
      </c>
    </row>
    <row r="2370" spans="3:4" ht="22.5" x14ac:dyDescent="0.55000000000000004">
      <c r="C2370" s="26" t="s">
        <v>2407</v>
      </c>
      <c r="D2370">
        <v>23970</v>
      </c>
    </row>
    <row r="2371" spans="3:4" ht="22.5" x14ac:dyDescent="0.55000000000000004">
      <c r="C2371" s="26" t="s">
        <v>2408</v>
      </c>
      <c r="D2371">
        <v>24070</v>
      </c>
    </row>
    <row r="2372" spans="3:4" ht="22.5" x14ac:dyDescent="0.55000000000000004">
      <c r="C2372" s="26" t="s">
        <v>2405</v>
      </c>
      <c r="D2372">
        <v>23950</v>
      </c>
    </row>
    <row r="2373" spans="3:4" ht="22.5" x14ac:dyDescent="0.55000000000000004">
      <c r="C2373" s="26" t="s">
        <v>2409</v>
      </c>
      <c r="D2373">
        <v>23650</v>
      </c>
    </row>
    <row r="2374" spans="3:4" ht="22.5" x14ac:dyDescent="0.55000000000000004">
      <c r="C2374" s="26" t="s">
        <v>2410</v>
      </c>
      <c r="D2374">
        <v>24000</v>
      </c>
    </row>
    <row r="2375" spans="3:4" ht="22.5" x14ac:dyDescent="0.55000000000000004">
      <c r="C2375" s="26" t="s">
        <v>2411</v>
      </c>
      <c r="D2375">
        <v>23920</v>
      </c>
    </row>
    <row r="2376" spans="3:4" ht="22.5" x14ac:dyDescent="0.55000000000000004">
      <c r="C2376" s="26" t="s">
        <v>2412</v>
      </c>
      <c r="D2376">
        <v>24050</v>
      </c>
    </row>
    <row r="2377" spans="3:4" ht="22.5" x14ac:dyDescent="0.55000000000000004">
      <c r="C2377" s="26" t="s">
        <v>2413</v>
      </c>
      <c r="D2377">
        <v>24210</v>
      </c>
    </row>
    <row r="2378" spans="3:4" ht="22.5" x14ac:dyDescent="0.55000000000000004">
      <c r="C2378" s="26" t="s">
        <v>2414</v>
      </c>
      <c r="D2378">
        <v>24440</v>
      </c>
    </row>
    <row r="2379" spans="3:4" ht="22.5" x14ac:dyDescent="0.55000000000000004">
      <c r="C2379" s="26" t="s">
        <v>2415</v>
      </c>
      <c r="D2379">
        <v>23800</v>
      </c>
    </row>
    <row r="2380" spans="3:4" ht="22.5" x14ac:dyDescent="0.55000000000000004">
      <c r="C2380" s="26" t="s">
        <v>2416</v>
      </c>
      <c r="D2380">
        <v>23830</v>
      </c>
    </row>
    <row r="2381" spans="3:4" ht="22.5" x14ac:dyDescent="0.55000000000000004">
      <c r="C2381" s="26" t="s">
        <v>2417</v>
      </c>
      <c r="D2381">
        <v>24000</v>
      </c>
    </row>
    <row r="2382" spans="3:4" ht="22.5" x14ac:dyDescent="0.55000000000000004">
      <c r="C2382" s="26" t="s">
        <v>2418</v>
      </c>
      <c r="D2382">
        <v>24230</v>
      </c>
    </row>
    <row r="2383" spans="3:4" ht="22.5" x14ac:dyDescent="0.55000000000000004">
      <c r="C2383" s="26" t="s">
        <v>2419</v>
      </c>
      <c r="D2383">
        <v>24120</v>
      </c>
    </row>
    <row r="2384" spans="3:4" ht="22.5" x14ac:dyDescent="0.55000000000000004">
      <c r="C2384" s="26" t="s">
        <v>2420</v>
      </c>
      <c r="D2384">
        <v>24130</v>
      </c>
    </row>
    <row r="2385" spans="3:4" ht="22.5" x14ac:dyDescent="0.55000000000000004">
      <c r="C2385" s="26" t="s">
        <v>2421</v>
      </c>
      <c r="D2385">
        <v>24550</v>
      </c>
    </row>
    <row r="2386" spans="3:4" ht="22.5" x14ac:dyDescent="0.55000000000000004">
      <c r="C2386" s="26" t="s">
        <v>2422</v>
      </c>
      <c r="D2386">
        <v>24400</v>
      </c>
    </row>
    <row r="2387" spans="3:4" ht="22.5" x14ac:dyDescent="0.55000000000000004">
      <c r="C2387" s="26" t="s">
        <v>2423</v>
      </c>
      <c r="D2387">
        <v>24800</v>
      </c>
    </row>
    <row r="2388" spans="3:4" ht="22.5" x14ac:dyDescent="0.55000000000000004">
      <c r="C2388" s="26" t="s">
        <v>2424</v>
      </c>
      <c r="D2388">
        <v>25050</v>
      </c>
    </row>
    <row r="2389" spans="3:4" ht="22.5" x14ac:dyDescent="0.55000000000000004">
      <c r="C2389" s="26" t="s">
        <v>2425</v>
      </c>
      <c r="D2389">
        <v>25250</v>
      </c>
    </row>
    <row r="2390" spans="3:4" ht="22.5" x14ac:dyDescent="0.55000000000000004">
      <c r="C2390" s="26" t="s">
        <v>2426</v>
      </c>
      <c r="D2390">
        <v>25050</v>
      </c>
    </row>
    <row r="2391" spans="3:4" ht="22.5" x14ac:dyDescent="0.55000000000000004">
      <c r="C2391" s="26" t="s">
        <v>2427</v>
      </c>
      <c r="D2391">
        <v>25140</v>
      </c>
    </row>
    <row r="2392" spans="3:4" ht="22.5" x14ac:dyDescent="0.55000000000000004">
      <c r="C2392" s="26" t="s">
        <v>2428</v>
      </c>
      <c r="D2392">
        <v>25190</v>
      </c>
    </row>
    <row r="2393" spans="3:4" ht="22.5" x14ac:dyDescent="0.55000000000000004">
      <c r="C2393" s="26" t="s">
        <v>2429</v>
      </c>
      <c r="D2393">
        <v>25010</v>
      </c>
    </row>
    <row r="2394" spans="3:4" ht="22.5" x14ac:dyDescent="0.55000000000000004">
      <c r="C2394" s="26" t="s">
        <v>2430</v>
      </c>
      <c r="D2394">
        <v>25140</v>
      </c>
    </row>
    <row r="2395" spans="3:4" ht="22.5" x14ac:dyDescent="0.55000000000000004">
      <c r="C2395" s="26" t="s">
        <v>2431</v>
      </c>
      <c r="D2395">
        <v>24980</v>
      </c>
    </row>
    <row r="2396" spans="3:4" ht="22.5" x14ac:dyDescent="0.55000000000000004">
      <c r="C2396" s="26" t="s">
        <v>2432</v>
      </c>
      <c r="D2396">
        <v>24990</v>
      </c>
    </row>
    <row r="2397" spans="3:4" ht="22.5" x14ac:dyDescent="0.55000000000000004">
      <c r="C2397" s="26" t="s">
        <v>2433</v>
      </c>
      <c r="D2397">
        <v>24920</v>
      </c>
    </row>
    <row r="2398" spans="3:4" ht="22.5" x14ac:dyDescent="0.55000000000000004">
      <c r="C2398" s="26" t="s">
        <v>2434</v>
      </c>
      <c r="D2398">
        <v>24930</v>
      </c>
    </row>
    <row r="2399" spans="3:4" ht="22.5" x14ac:dyDescent="0.55000000000000004">
      <c r="C2399" s="26" t="s">
        <v>2435</v>
      </c>
      <c r="D2399">
        <v>24940</v>
      </c>
    </row>
    <row r="2400" spans="3:4" ht="22.5" x14ac:dyDescent="0.55000000000000004">
      <c r="C2400" s="26" t="s">
        <v>2436</v>
      </c>
      <c r="D2400">
        <v>24780</v>
      </c>
    </row>
    <row r="2401" spans="3:4" ht="22.5" x14ac:dyDescent="0.55000000000000004">
      <c r="C2401" s="26" t="s">
        <v>2437</v>
      </c>
      <c r="D2401">
        <v>24500</v>
      </c>
    </row>
    <row r="2402" spans="3:4" ht="22.5" x14ac:dyDescent="0.55000000000000004">
      <c r="C2402" s="26" t="s">
        <v>2438</v>
      </c>
      <c r="D2402">
        <v>24700</v>
      </c>
    </row>
    <row r="2403" spans="3:4" ht="22.5" x14ac:dyDescent="0.55000000000000004">
      <c r="C2403" s="26" t="s">
        <v>2439</v>
      </c>
      <c r="D2403">
        <v>24670</v>
      </c>
    </row>
    <row r="2404" spans="3:4" ht="22.5" x14ac:dyDescent="0.55000000000000004">
      <c r="C2404" s="26" t="s">
        <v>2440</v>
      </c>
      <c r="D2404">
        <v>24620</v>
      </c>
    </row>
    <row r="2405" spans="3:4" ht="22.5" x14ac:dyDescent="0.55000000000000004">
      <c r="C2405" s="26" t="s">
        <v>2441</v>
      </c>
      <c r="D2405">
        <v>24420</v>
      </c>
    </row>
    <row r="2406" spans="3:4" ht="22.5" x14ac:dyDescent="0.55000000000000004">
      <c r="C2406" s="26" t="s">
        <v>2442</v>
      </c>
      <c r="D2406">
        <v>24550</v>
      </c>
    </row>
    <row r="2407" spans="3:4" ht="22.5" x14ac:dyDescent="0.55000000000000004">
      <c r="C2407" s="26" t="s">
        <v>2443</v>
      </c>
      <c r="D2407">
        <v>24680</v>
      </c>
    </row>
    <row r="2408" spans="3:4" ht="22.5" x14ac:dyDescent="0.55000000000000004">
      <c r="C2408" s="26" t="s">
        <v>2444</v>
      </c>
      <c r="D2408">
        <v>24900</v>
      </c>
    </row>
    <row r="2409" spans="3:4" ht="22.5" x14ac:dyDescent="0.55000000000000004">
      <c r="C2409" s="26" t="s">
        <v>2445</v>
      </c>
      <c r="D2409">
        <v>24970</v>
      </c>
    </row>
    <row r="2410" spans="3:4" ht="22.5" x14ac:dyDescent="0.55000000000000004">
      <c r="C2410" s="26" t="s">
        <v>2446</v>
      </c>
      <c r="D2410">
        <v>25100</v>
      </c>
    </row>
    <row r="2411" spans="3:4" ht="22.5" x14ac:dyDescent="0.55000000000000004">
      <c r="C2411" s="26" t="s">
        <v>2447</v>
      </c>
      <c r="D2411">
        <v>25550</v>
      </c>
    </row>
    <row r="2412" spans="3:4" ht="22.5" x14ac:dyDescent="0.55000000000000004">
      <c r="C2412" s="26" t="s">
        <v>2448</v>
      </c>
      <c r="D2412">
        <v>25700</v>
      </c>
    </row>
    <row r="2413" spans="3:4" ht="22.5" x14ac:dyDescent="0.55000000000000004">
      <c r="C2413" s="26" t="s">
        <v>2449</v>
      </c>
      <c r="D2413">
        <v>25550</v>
      </c>
    </row>
    <row r="2414" spans="3:4" ht="22.5" x14ac:dyDescent="0.55000000000000004">
      <c r="C2414" s="26" t="s">
        <v>2450</v>
      </c>
      <c r="D2414">
        <v>25500</v>
      </c>
    </row>
    <row r="2415" spans="3:4" ht="22.5" x14ac:dyDescent="0.55000000000000004">
      <c r="C2415" s="26" t="s">
        <v>2451</v>
      </c>
      <c r="D2415">
        <v>25700</v>
      </c>
    </row>
    <row r="2416" spans="3:4" ht="22.5" x14ac:dyDescent="0.55000000000000004">
      <c r="C2416" s="26" t="s">
        <v>2452</v>
      </c>
      <c r="D2416">
        <v>25520</v>
      </c>
    </row>
    <row r="2417" spans="3:4" ht="22.5" x14ac:dyDescent="0.55000000000000004">
      <c r="C2417" s="26" t="s">
        <v>2453</v>
      </c>
      <c r="D2417">
        <v>25580</v>
      </c>
    </row>
    <row r="2418" spans="3:4" ht="22.5" x14ac:dyDescent="0.55000000000000004">
      <c r="C2418" s="26" t="s">
        <v>2454</v>
      </c>
      <c r="D2418">
        <v>25590</v>
      </c>
    </row>
    <row r="2419" spans="3:4" ht="22.5" x14ac:dyDescent="0.55000000000000004">
      <c r="C2419" s="26" t="s">
        <v>2455</v>
      </c>
      <c r="D2419">
        <v>25700</v>
      </c>
    </row>
    <row r="2420" spans="3:4" ht="22.5" x14ac:dyDescent="0.55000000000000004">
      <c r="C2420" s="26" t="s">
        <v>2456</v>
      </c>
      <c r="D2420">
        <v>25920</v>
      </c>
    </row>
    <row r="2421" spans="3:4" ht="22.5" x14ac:dyDescent="0.55000000000000004">
      <c r="C2421" s="26" t="s">
        <v>2457</v>
      </c>
      <c r="D2421">
        <v>26120</v>
      </c>
    </row>
    <row r="2422" spans="3:4" ht="22.5" x14ac:dyDescent="0.55000000000000004">
      <c r="C2422" s="26" t="s">
        <v>2458</v>
      </c>
      <c r="D2422">
        <v>26600</v>
      </c>
    </row>
    <row r="2423" spans="3:4" ht="22.5" x14ac:dyDescent="0.55000000000000004">
      <c r="C2423" s="26" t="s">
        <v>2459</v>
      </c>
      <c r="D2423">
        <v>26400</v>
      </c>
    </row>
    <row r="2424" spans="3:4" ht="22.5" x14ac:dyDescent="0.55000000000000004">
      <c r="C2424" s="26" t="s">
        <v>2460</v>
      </c>
      <c r="D2424">
        <v>26420</v>
      </c>
    </row>
    <row r="2425" spans="3:4" ht="22.5" x14ac:dyDescent="0.55000000000000004">
      <c r="C2425" s="26" t="s">
        <v>2461</v>
      </c>
      <c r="D2425">
        <v>26850</v>
      </c>
    </row>
    <row r="2426" spans="3:4" ht="22.5" x14ac:dyDescent="0.55000000000000004">
      <c r="C2426" s="26" t="s">
        <v>2462</v>
      </c>
      <c r="D2426">
        <v>26850</v>
      </c>
    </row>
    <row r="2427" spans="3:4" ht="22.5" x14ac:dyDescent="0.55000000000000004">
      <c r="C2427" s="26" t="s">
        <v>2463</v>
      </c>
      <c r="D2427">
        <v>26850</v>
      </c>
    </row>
    <row r="2428" spans="3:4" ht="22.5" x14ac:dyDescent="0.55000000000000004">
      <c r="C2428" s="26" t="s">
        <v>2464</v>
      </c>
      <c r="D2428">
        <v>26850</v>
      </c>
    </row>
    <row r="2429" spans="3:4" ht="22.5" x14ac:dyDescent="0.55000000000000004">
      <c r="C2429" s="26" t="s">
        <v>2465</v>
      </c>
      <c r="D2429">
        <v>27400</v>
      </c>
    </row>
    <row r="2430" spans="3:4" ht="22.5" x14ac:dyDescent="0.55000000000000004">
      <c r="C2430" s="26" t="s">
        <v>2466</v>
      </c>
      <c r="D2430">
        <v>27600</v>
      </c>
    </row>
    <row r="2431" spans="3:4" ht="22.5" x14ac:dyDescent="0.55000000000000004">
      <c r="C2431" s="26" t="s">
        <v>2467</v>
      </c>
      <c r="D2431">
        <v>27650</v>
      </c>
    </row>
    <row r="2432" spans="3:4" ht="22.5" x14ac:dyDescent="0.55000000000000004">
      <c r="C2432" s="26" t="s">
        <v>2468</v>
      </c>
      <c r="D2432">
        <v>27900</v>
      </c>
    </row>
    <row r="2433" spans="3:4" ht="22.5" x14ac:dyDescent="0.55000000000000004">
      <c r="C2433" s="26" t="s">
        <v>2469</v>
      </c>
      <c r="D2433">
        <v>27880</v>
      </c>
    </row>
    <row r="2434" spans="3:4" ht="22.5" x14ac:dyDescent="0.55000000000000004">
      <c r="C2434" s="26" t="s">
        <v>2470</v>
      </c>
      <c r="D2434">
        <v>28100</v>
      </c>
    </row>
    <row r="2435" spans="3:4" ht="22.5" x14ac:dyDescent="0.55000000000000004">
      <c r="C2435" s="26" t="s">
        <v>2471</v>
      </c>
      <c r="D2435">
        <v>27550</v>
      </c>
    </row>
    <row r="2436" spans="3:4" ht="22.5" x14ac:dyDescent="0.55000000000000004">
      <c r="C2436" s="26" t="s">
        <v>2472</v>
      </c>
      <c r="D2436">
        <v>26980</v>
      </c>
    </row>
    <row r="2437" spans="3:4" ht="22.5" x14ac:dyDescent="0.55000000000000004">
      <c r="C2437" s="26" t="s">
        <v>2473</v>
      </c>
      <c r="D2437">
        <v>27300</v>
      </c>
    </row>
    <row r="2438" spans="3:4" ht="22.5" x14ac:dyDescent="0.55000000000000004">
      <c r="C2438" s="26" t="s">
        <v>2474</v>
      </c>
      <c r="D2438">
        <v>27050</v>
      </c>
    </row>
    <row r="2439" spans="3:4" ht="22.5" x14ac:dyDescent="0.55000000000000004">
      <c r="C2439" s="26" t="s">
        <v>2475</v>
      </c>
      <c r="D2439">
        <v>27280</v>
      </c>
    </row>
    <row r="2440" spans="3:4" ht="22.5" x14ac:dyDescent="0.55000000000000004">
      <c r="C2440" s="26" t="s">
        <v>2476</v>
      </c>
      <c r="D2440">
        <v>27050</v>
      </c>
    </row>
    <row r="2441" spans="3:4" ht="22.5" x14ac:dyDescent="0.55000000000000004">
      <c r="C2441" s="26" t="s">
        <v>2477</v>
      </c>
      <c r="D2441">
        <v>27160</v>
      </c>
    </row>
    <row r="2442" spans="3:4" ht="22.5" x14ac:dyDescent="0.55000000000000004">
      <c r="C2442" s="26" t="s">
        <v>2478</v>
      </c>
      <c r="D2442">
        <v>26980</v>
      </c>
    </row>
    <row r="2443" spans="3:4" ht="22.5" x14ac:dyDescent="0.55000000000000004">
      <c r="C2443" s="26" t="s">
        <v>2479</v>
      </c>
      <c r="D2443">
        <v>27200</v>
      </c>
    </row>
    <row r="2444" spans="3:4" ht="22.5" x14ac:dyDescent="0.55000000000000004">
      <c r="C2444" s="26" t="s">
        <v>2480</v>
      </c>
      <c r="D2444">
        <v>27650</v>
      </c>
    </row>
    <row r="2445" spans="3:4" ht="22.5" x14ac:dyDescent="0.55000000000000004">
      <c r="C2445" s="26" t="s">
        <v>2481</v>
      </c>
      <c r="D2445">
        <v>27800</v>
      </c>
    </row>
    <row r="2446" spans="3:4" ht="22.5" x14ac:dyDescent="0.55000000000000004">
      <c r="C2446" s="26" t="s">
        <v>2482</v>
      </c>
      <c r="D2446">
        <v>27720</v>
      </c>
    </row>
    <row r="2447" spans="3:4" ht="22.5" x14ac:dyDescent="0.55000000000000004">
      <c r="C2447" s="26" t="s">
        <v>2483</v>
      </c>
      <c r="D2447">
        <v>27500</v>
      </c>
    </row>
    <row r="2448" spans="3:4" ht="22.5" x14ac:dyDescent="0.55000000000000004">
      <c r="C2448" s="26" t="s">
        <v>2484</v>
      </c>
      <c r="D2448">
        <v>27150</v>
      </c>
    </row>
    <row r="2449" spans="3:4" ht="22.5" x14ac:dyDescent="0.55000000000000004">
      <c r="C2449" s="26" t="s">
        <v>2485</v>
      </c>
      <c r="D2449">
        <v>27650</v>
      </c>
    </row>
    <row r="2450" spans="3:4" ht="22.5" x14ac:dyDescent="0.55000000000000004">
      <c r="C2450" s="26" t="s">
        <v>2486</v>
      </c>
      <c r="D2450">
        <v>27350</v>
      </c>
    </row>
    <row r="2451" spans="3:4" ht="22.5" x14ac:dyDescent="0.55000000000000004">
      <c r="C2451" s="26" t="s">
        <v>2487</v>
      </c>
      <c r="D2451">
        <v>27400</v>
      </c>
    </row>
    <row r="2452" spans="3:4" ht="22.5" x14ac:dyDescent="0.55000000000000004">
      <c r="C2452" s="26" t="s">
        <v>2488</v>
      </c>
      <c r="D2452">
        <v>27350</v>
      </c>
    </row>
    <row r="2453" spans="3:4" ht="22.5" x14ac:dyDescent="0.55000000000000004">
      <c r="C2453" s="26" t="s">
        <v>2489</v>
      </c>
      <c r="D2453">
        <v>27420</v>
      </c>
    </row>
    <row r="2454" spans="3:4" ht="22.5" x14ac:dyDescent="0.55000000000000004">
      <c r="C2454" s="26" t="s">
        <v>2490</v>
      </c>
      <c r="D2454">
        <v>27350</v>
      </c>
    </row>
    <row r="2455" spans="3:4" ht="22.5" x14ac:dyDescent="0.55000000000000004">
      <c r="C2455" s="26" t="s">
        <v>2491</v>
      </c>
      <c r="D2455">
        <v>27520</v>
      </c>
    </row>
    <row r="2456" spans="3:4" ht="22.5" x14ac:dyDescent="0.55000000000000004">
      <c r="C2456" s="26" t="s">
        <v>2492</v>
      </c>
      <c r="D2456">
        <v>27570</v>
      </c>
    </row>
    <row r="2457" spans="3:4" ht="22.5" x14ac:dyDescent="0.55000000000000004">
      <c r="C2457" s="26" t="s">
        <v>2493</v>
      </c>
      <c r="D2457">
        <v>27680</v>
      </c>
    </row>
    <row r="2458" spans="3:4" ht="22.5" x14ac:dyDescent="0.55000000000000004">
      <c r="C2458" s="26" t="s">
        <v>2494</v>
      </c>
      <c r="D2458">
        <v>27530</v>
      </c>
    </row>
    <row r="2459" spans="3:4" ht="22.5" x14ac:dyDescent="0.55000000000000004">
      <c r="C2459" s="26" t="s">
        <v>2495</v>
      </c>
      <c r="D2459">
        <v>27650</v>
      </c>
    </row>
    <row r="2460" spans="3:4" ht="22.5" x14ac:dyDescent="0.55000000000000004">
      <c r="C2460" s="26" t="s">
        <v>2496</v>
      </c>
      <c r="D2460">
        <v>27850</v>
      </c>
    </row>
    <row r="2461" spans="3:4" ht="22.5" x14ac:dyDescent="0.55000000000000004">
      <c r="C2461" s="26" t="s">
        <v>2497</v>
      </c>
      <c r="D2461">
        <v>28250</v>
      </c>
    </row>
    <row r="2462" spans="3:4" ht="22.5" x14ac:dyDescent="0.55000000000000004">
      <c r="C2462" s="26" t="s">
        <v>2498</v>
      </c>
      <c r="D2462">
        <v>28400</v>
      </c>
    </row>
    <row r="2463" spans="3:4" ht="22.5" x14ac:dyDescent="0.55000000000000004">
      <c r="C2463" s="26" t="s">
        <v>2499</v>
      </c>
      <c r="D2463">
        <v>28150</v>
      </c>
    </row>
    <row r="2464" spans="3:4" ht="22.5" x14ac:dyDescent="0.55000000000000004">
      <c r="C2464" s="26" t="s">
        <v>2500</v>
      </c>
      <c r="D2464">
        <v>28020</v>
      </c>
    </row>
    <row r="2465" spans="3:4" ht="22.5" x14ac:dyDescent="0.55000000000000004">
      <c r="C2465" s="26" t="s">
        <v>2501</v>
      </c>
      <c r="D2465">
        <v>28140</v>
      </c>
    </row>
    <row r="2466" spans="3:4" ht="22.5" x14ac:dyDescent="0.55000000000000004">
      <c r="C2466" s="26" t="s">
        <v>2502</v>
      </c>
      <c r="D2466">
        <v>27900</v>
      </c>
    </row>
    <row r="2467" spans="3:4" ht="22.5" x14ac:dyDescent="0.55000000000000004">
      <c r="C2467" s="26" t="s">
        <v>2503</v>
      </c>
      <c r="D2467">
        <v>27700</v>
      </c>
    </row>
    <row r="2468" spans="3:4" ht="22.5" x14ac:dyDescent="0.55000000000000004">
      <c r="C2468" s="26" t="s">
        <v>2504</v>
      </c>
      <c r="D2468">
        <v>27480</v>
      </c>
    </row>
    <row r="2469" spans="3:4" ht="22.5" x14ac:dyDescent="0.55000000000000004">
      <c r="C2469" s="26" t="s">
        <v>2505</v>
      </c>
      <c r="D2469">
        <v>27370</v>
      </c>
    </row>
    <row r="2470" spans="3:4" ht="22.5" x14ac:dyDescent="0.55000000000000004">
      <c r="C2470" s="26" t="s">
        <v>2506</v>
      </c>
      <c r="D2470">
        <v>27100</v>
      </c>
    </row>
    <row r="2471" spans="3:4" ht="22.5" x14ac:dyDescent="0.55000000000000004">
      <c r="C2471" s="26" t="s">
        <v>2507</v>
      </c>
      <c r="D2471">
        <v>27200</v>
      </c>
    </row>
    <row r="2472" spans="3:4" ht="22.5" x14ac:dyDescent="0.55000000000000004">
      <c r="C2472" s="26" t="s">
        <v>2508</v>
      </c>
      <c r="D2472">
        <v>27070</v>
      </c>
    </row>
    <row r="2473" spans="3:4" ht="22.5" x14ac:dyDescent="0.55000000000000004">
      <c r="C2473" s="26" t="s">
        <v>2509</v>
      </c>
      <c r="D2473">
        <v>27200</v>
      </c>
    </row>
    <row r="2474" spans="3:4" ht="22.5" x14ac:dyDescent="0.55000000000000004">
      <c r="C2474" s="26" t="s">
        <v>2510</v>
      </c>
      <c r="D2474">
        <v>27220</v>
      </c>
    </row>
    <row r="2475" spans="3:4" ht="22.5" x14ac:dyDescent="0.55000000000000004">
      <c r="C2475" s="26" t="s">
        <v>2511</v>
      </c>
      <c r="D2475">
        <v>27215</v>
      </c>
    </row>
    <row r="2476" spans="3:4" ht="22.5" x14ac:dyDescent="0.55000000000000004">
      <c r="C2476" s="26" t="s">
        <v>2512</v>
      </c>
      <c r="D2476">
        <v>27420</v>
      </c>
    </row>
    <row r="2477" spans="3:4" ht="22.5" x14ac:dyDescent="0.55000000000000004">
      <c r="C2477" s="26" t="s">
        <v>2513</v>
      </c>
      <c r="D2477">
        <v>27290</v>
      </c>
    </row>
    <row r="2478" spans="3:4" ht="22.5" x14ac:dyDescent="0.55000000000000004">
      <c r="C2478" s="26" t="s">
        <v>2514</v>
      </c>
      <c r="D2478">
        <v>27400</v>
      </c>
    </row>
    <row r="2479" spans="3:4" ht="22.5" x14ac:dyDescent="0.55000000000000004">
      <c r="C2479" s="26" t="s">
        <v>2515</v>
      </c>
      <c r="D2479">
        <v>27530</v>
      </c>
    </row>
    <row r="2480" spans="3:4" ht="22.5" x14ac:dyDescent="0.55000000000000004">
      <c r="C2480" s="26" t="s">
        <v>2516</v>
      </c>
      <c r="D2480">
        <v>27610</v>
      </c>
    </row>
    <row r="2481" spans="3:6" ht="22.5" x14ac:dyDescent="0.55000000000000004">
      <c r="C2481" s="26" t="s">
        <v>2517</v>
      </c>
      <c r="D2481">
        <v>27520</v>
      </c>
    </row>
    <row r="2482" spans="3:6" ht="22.5" x14ac:dyDescent="0.55000000000000004">
      <c r="C2482" s="26" t="s">
        <v>2518</v>
      </c>
      <c r="D2482">
        <v>27720</v>
      </c>
    </row>
    <row r="2483" spans="3:6" ht="22.5" x14ac:dyDescent="0.55000000000000004">
      <c r="C2483" s="26" t="s">
        <v>2519</v>
      </c>
      <c r="D2483">
        <v>27540</v>
      </c>
    </row>
    <row r="2484" spans="3:6" ht="22.5" x14ac:dyDescent="0.55000000000000004">
      <c r="C2484" s="26" t="s">
        <v>2520</v>
      </c>
      <c r="D2484">
        <v>27640</v>
      </c>
    </row>
    <row r="2485" spans="3:6" ht="22.5" x14ac:dyDescent="0.55000000000000004">
      <c r="C2485" s="26" t="s">
        <v>2521</v>
      </c>
      <c r="D2485">
        <v>27530</v>
      </c>
    </row>
    <row r="2486" spans="3:6" ht="22.5" x14ac:dyDescent="0.55000000000000004">
      <c r="C2486" s="26" t="s">
        <v>2522</v>
      </c>
      <c r="D2486">
        <v>27570</v>
      </c>
    </row>
    <row r="2487" spans="3:6" ht="22.5" x14ac:dyDescent="0.55000000000000004">
      <c r="C2487" s="26" t="s">
        <v>2523</v>
      </c>
      <c r="D2487">
        <v>27590</v>
      </c>
    </row>
    <row r="2488" spans="3:6" ht="22.5" x14ac:dyDescent="0.55000000000000004">
      <c r="C2488" s="26" t="s">
        <v>2524</v>
      </c>
      <c r="D2488">
        <v>27740</v>
      </c>
    </row>
    <row r="2489" spans="3:6" ht="22.5" x14ac:dyDescent="0.55000000000000004">
      <c r="C2489" s="26" t="s">
        <v>2525</v>
      </c>
      <c r="D2489">
        <v>27640</v>
      </c>
    </row>
    <row r="2490" spans="3:6" ht="22.5" x14ac:dyDescent="0.55000000000000004">
      <c r="C2490" s="26" t="s">
        <v>2526</v>
      </c>
      <c r="D2490">
        <v>27820</v>
      </c>
    </row>
    <row r="2491" spans="3:6" ht="22.5" x14ac:dyDescent="0.55000000000000004">
      <c r="C2491" s="26" t="s">
        <v>2527</v>
      </c>
      <c r="D2491">
        <v>27880</v>
      </c>
    </row>
    <row r="2492" spans="3:6" ht="22.5" x14ac:dyDescent="0.55000000000000004">
      <c r="C2492" s="26" t="s">
        <v>2528</v>
      </c>
      <c r="D2492">
        <v>28100</v>
      </c>
    </row>
    <row r="2493" spans="3:6" ht="22.5" x14ac:dyDescent="0.55000000000000004">
      <c r="C2493" s="26" t="s">
        <v>2529</v>
      </c>
      <c r="D2493">
        <v>28110</v>
      </c>
    </row>
    <row r="2494" spans="3:6" ht="22.5" x14ac:dyDescent="0.55000000000000004">
      <c r="C2494" s="26" t="s">
        <v>2530</v>
      </c>
      <c r="D2494">
        <v>28250</v>
      </c>
    </row>
    <row r="2495" spans="3:6" ht="22.5" x14ac:dyDescent="0.55000000000000004">
      <c r="C2495" s="26" t="s">
        <v>2531</v>
      </c>
      <c r="D2495">
        <v>28400</v>
      </c>
    </row>
    <row r="2496" spans="3:6" ht="22.5" x14ac:dyDescent="0.55000000000000004">
      <c r="C2496" s="26" t="s">
        <v>2532</v>
      </c>
      <c r="D2496">
        <v>28700</v>
      </c>
      <c r="F2496">
        <v>27880</v>
      </c>
    </row>
    <row r="2497" spans="3:4" ht="22.5" x14ac:dyDescent="0.55000000000000004">
      <c r="C2497" s="26" t="s">
        <v>2533</v>
      </c>
      <c r="D2497">
        <v>28500</v>
      </c>
    </row>
    <row r="2498" spans="3:4" ht="22.5" x14ac:dyDescent="0.55000000000000004">
      <c r="C2498" s="26" t="s">
        <v>2534</v>
      </c>
      <c r="D2498">
        <v>28200</v>
      </c>
    </row>
    <row r="2499" spans="3:4" ht="22.5" x14ac:dyDescent="0.55000000000000004">
      <c r="C2499" s="26" t="s">
        <v>2535</v>
      </c>
      <c r="D2499">
        <v>28250</v>
      </c>
    </row>
    <row r="2500" spans="3:4" ht="22.5" x14ac:dyDescent="0.55000000000000004">
      <c r="C2500" s="26" t="s">
        <v>2536</v>
      </c>
      <c r="D2500">
        <v>28280</v>
      </c>
    </row>
    <row r="2501" spans="3:4" ht="22.5" x14ac:dyDescent="0.55000000000000004">
      <c r="C2501" s="26" t="s">
        <v>2537</v>
      </c>
      <c r="D2501">
        <v>28150</v>
      </c>
    </row>
    <row r="2502" spans="3:4" ht="22.5" x14ac:dyDescent="0.55000000000000004">
      <c r="C2502" s="26" t="s">
        <v>2538</v>
      </c>
      <c r="D2502">
        <v>28160</v>
      </c>
    </row>
    <row r="2503" spans="3:4" ht="22.5" x14ac:dyDescent="0.55000000000000004">
      <c r="C2503" s="26" t="s">
        <v>2539</v>
      </c>
      <c r="D2503">
        <v>28350</v>
      </c>
    </row>
    <row r="2504" spans="3:4" ht="22.5" x14ac:dyDescent="0.55000000000000004">
      <c r="C2504" s="26" t="s">
        <v>2540</v>
      </c>
      <c r="D2504">
        <v>28430</v>
      </c>
    </row>
    <row r="2505" spans="3:4" ht="22.5" x14ac:dyDescent="0.55000000000000004">
      <c r="C2505" s="26" t="s">
        <v>2541</v>
      </c>
      <c r="D2505">
        <v>28560</v>
      </c>
    </row>
    <row r="2506" spans="3:4" ht="22.5" x14ac:dyDescent="0.55000000000000004">
      <c r="C2506" s="26" t="s">
        <v>2542</v>
      </c>
      <c r="D2506">
        <v>29100</v>
      </c>
    </row>
    <row r="2507" spans="3:4" ht="22.5" x14ac:dyDescent="0.55000000000000004">
      <c r="C2507" s="26" t="s">
        <v>2543</v>
      </c>
      <c r="D2507">
        <v>29000</v>
      </c>
    </row>
    <row r="2508" spans="3:4" ht="22.5" x14ac:dyDescent="0.55000000000000004">
      <c r="C2508" s="26" t="s">
        <v>2544</v>
      </c>
      <c r="D2508">
        <v>29050</v>
      </c>
    </row>
    <row r="2509" spans="3:4" ht="22.5" x14ac:dyDescent="0.55000000000000004">
      <c r="C2509" s="26" t="s">
        <v>2545</v>
      </c>
      <c r="D2509">
        <v>29180</v>
      </c>
    </row>
    <row r="2510" spans="3:4" ht="22.5" x14ac:dyDescent="0.55000000000000004">
      <c r="C2510" s="26" t="s">
        <v>2546</v>
      </c>
      <c r="D2510">
        <v>29380</v>
      </c>
    </row>
    <row r="2511" spans="3:4" ht="22.5" x14ac:dyDescent="0.55000000000000004">
      <c r="C2511" s="26" t="s">
        <v>2547</v>
      </c>
      <c r="D2511">
        <v>28970</v>
      </c>
    </row>
    <row r="2512" spans="3:4" ht="22.5" x14ac:dyDescent="0.55000000000000004">
      <c r="C2512" s="26" t="s">
        <v>2548</v>
      </c>
      <c r="D2512">
        <v>29230</v>
      </c>
    </row>
    <row r="2513" spans="3:4" ht="22.5" x14ac:dyDescent="0.55000000000000004">
      <c r="C2513" s="26" t="s">
        <v>2549</v>
      </c>
      <c r="D2513">
        <v>29350</v>
      </c>
    </row>
    <row r="2514" spans="3:4" ht="22.5" x14ac:dyDescent="0.55000000000000004">
      <c r="C2514" s="26" t="s">
        <v>2550</v>
      </c>
      <c r="D2514">
        <v>30150</v>
      </c>
    </row>
    <row r="2515" spans="3:4" ht="22.5" x14ac:dyDescent="0.55000000000000004">
      <c r="C2515" s="26" t="s">
        <v>2551</v>
      </c>
      <c r="D2515">
        <v>30350</v>
      </c>
    </row>
    <row r="2516" spans="3:4" ht="22.5" x14ac:dyDescent="0.55000000000000004">
      <c r="C2516" s="26" t="s">
        <v>2552</v>
      </c>
      <c r="D2516">
        <v>30800</v>
      </c>
    </row>
    <row r="2517" spans="3:4" ht="22.5" x14ac:dyDescent="0.55000000000000004">
      <c r="C2517" s="26" t="s">
        <v>2553</v>
      </c>
      <c r="D2517">
        <v>30750</v>
      </c>
    </row>
    <row r="2518" spans="3:4" ht="22.5" x14ac:dyDescent="0.55000000000000004">
      <c r="C2518" s="26" t="s">
        <v>2554</v>
      </c>
      <c r="D2518">
        <v>30650</v>
      </c>
    </row>
    <row r="2519" spans="3:4" ht="22.5" x14ac:dyDescent="0.55000000000000004">
      <c r="C2519" s="26" t="s">
        <v>2555</v>
      </c>
      <c r="D2519">
        <v>30750</v>
      </c>
    </row>
    <row r="2520" spans="3:4" ht="22.5" x14ac:dyDescent="0.55000000000000004">
      <c r="C2520" s="26" t="s">
        <v>2556</v>
      </c>
      <c r="D2520">
        <v>30450</v>
      </c>
    </row>
    <row r="2521" spans="3:4" ht="22.5" x14ac:dyDescent="0.55000000000000004">
      <c r="C2521" s="26" t="s">
        <v>2557</v>
      </c>
      <c r="D2521">
        <v>30000</v>
      </c>
    </row>
    <row r="2522" spans="3:4" ht="22.5" x14ac:dyDescent="0.55000000000000004">
      <c r="C2522" s="26" t="s">
        <v>2558</v>
      </c>
      <c r="D2522">
        <v>29700</v>
      </c>
    </row>
    <row r="2523" spans="3:4" ht="22.5" x14ac:dyDescent="0.55000000000000004">
      <c r="C2523" s="26" t="s">
        <v>2559</v>
      </c>
      <c r="D2523">
        <v>30010</v>
      </c>
    </row>
    <row r="2524" spans="3:4" ht="22.5" x14ac:dyDescent="0.55000000000000004">
      <c r="C2524" s="26" t="s">
        <v>2560</v>
      </c>
      <c r="D2524">
        <v>30250</v>
      </c>
    </row>
    <row r="2525" spans="3:4" ht="22.5" x14ac:dyDescent="0.55000000000000004">
      <c r="C2525" s="26" t="s">
        <v>2561</v>
      </c>
      <c r="D2525">
        <v>29920</v>
      </c>
    </row>
    <row r="2526" spans="3:4" ht="22.5" x14ac:dyDescent="0.55000000000000004">
      <c r="C2526" s="26" t="s">
        <v>2562</v>
      </c>
      <c r="D2526">
        <v>29910</v>
      </c>
    </row>
    <row r="2527" spans="3:4" ht="22.5" x14ac:dyDescent="0.55000000000000004">
      <c r="C2527" s="26" t="s">
        <v>2563</v>
      </c>
      <c r="D2527">
        <v>29920</v>
      </c>
    </row>
    <row r="2528" spans="3:4" ht="22.5" x14ac:dyDescent="0.55000000000000004">
      <c r="C2528" s="26" t="s">
        <v>2564</v>
      </c>
      <c r="D2528">
        <v>30130</v>
      </c>
    </row>
    <row r="2529" spans="3:3" ht="22.5" x14ac:dyDescent="0.55000000000000004">
      <c r="C2529" s="26" t="s">
        <v>2565</v>
      </c>
    </row>
  </sheetData>
  <conditionalFormatting sqref="F555:F581">
    <cfRule type="cellIs" dxfId="95" priority="96" operator="greaterThan">
      <formula>1025000</formula>
    </cfRule>
  </conditionalFormatting>
  <conditionalFormatting sqref="E679:F680 D2:D682 E681 E685:E705">
    <cfRule type="cellIs" dxfId="94" priority="95" operator="lessThan">
      <formula>3300</formula>
    </cfRule>
  </conditionalFormatting>
  <conditionalFormatting sqref="F1:F682 F688 F690:F693 F698:F705 F714:F725 F727:F735 F737:F931 F935:F1006 F1008:F1164 F1171:F1587 F1630:F1633 F1649 F1643:F1644 F1664:F1681 F1684:F1695 F1713:F1725 F1728 F1731:F1732 F1742:F1745 F1748:F1802 F1805:F1806 F1809:F1811 F1830 F1839 F1846 F1875:F1878 F1899:F1904 F1917:F1918 F1922:F1923 F1935 F1946:F1948 F1963 F1985 F1995:F2037 F2047:F2120 F2163:F1048576">
    <cfRule type="cellIs" dxfId="93" priority="94" operator="lessThan">
      <formula>869000</formula>
    </cfRule>
  </conditionalFormatting>
  <conditionalFormatting sqref="I1:I1048576">
    <cfRule type="cellIs" dxfId="92" priority="93" operator="lessThan">
      <formula>$I$681</formula>
    </cfRule>
  </conditionalFormatting>
  <conditionalFormatting sqref="D683:D684">
    <cfRule type="cellIs" dxfId="91" priority="92" operator="lessThan">
      <formula>3235</formula>
    </cfRule>
  </conditionalFormatting>
  <conditionalFormatting sqref="F683:F684">
    <cfRule type="cellIs" dxfId="90" priority="91" operator="lessThan">
      <formula>905100</formula>
    </cfRule>
  </conditionalFormatting>
  <conditionalFormatting sqref="F685:F687 F689">
    <cfRule type="cellIs" dxfId="89" priority="90" operator="lessThan">
      <formula>905100</formula>
    </cfRule>
  </conditionalFormatting>
  <conditionalFormatting sqref="D685:D693">
    <cfRule type="cellIs" dxfId="88" priority="89" operator="lessThan">
      <formula>3235</formula>
    </cfRule>
  </conditionalFormatting>
  <conditionalFormatting sqref="D694:D705">
    <cfRule type="cellIs" dxfId="87" priority="88" operator="lessThan">
      <formula>3235</formula>
    </cfRule>
  </conditionalFormatting>
  <conditionalFormatting sqref="F694:F697">
    <cfRule type="cellIs" dxfId="86" priority="87" operator="lessThan">
      <formula>905100</formula>
    </cfRule>
  </conditionalFormatting>
  <conditionalFormatting sqref="D932:D1164">
    <cfRule type="cellIs" dxfId="85" priority="86" operator="greaterThan">
      <formula>3494</formula>
    </cfRule>
  </conditionalFormatting>
  <conditionalFormatting sqref="F932:F934">
    <cfRule type="cellIs" dxfId="84" priority="85" operator="lessThan">
      <formula>997000</formula>
    </cfRule>
  </conditionalFormatting>
  <conditionalFormatting sqref="F1:F1164 F1171:F1587 F1630:F1633 F1649 F1643:F1644 F1664:F1681 F1684:F1695 F1713:F1725 F1728 F1731:F1732 F1742:F1745 F1748:F1802 F1805:F1806 F1809:F1811 F1830 F1839 F1846 F1875:F1878 F1899:F1904 F1917:F1918 F1922:F1923 F1935 F1946:F1948 F1963 F1985 F1995:F2037 F2047:F2120 F2163:F1048576">
    <cfRule type="cellIs" dxfId="83" priority="84" operator="greaterThan">
      <formula>1208000</formula>
    </cfRule>
  </conditionalFormatting>
  <conditionalFormatting sqref="D1165:D1243">
    <cfRule type="cellIs" dxfId="82" priority="83" operator="greaterThan">
      <formula>3794</formula>
    </cfRule>
  </conditionalFormatting>
  <conditionalFormatting sqref="F1165:F1170">
    <cfRule type="cellIs" dxfId="81" priority="81" operator="greaterThan">
      <formula>1219000</formula>
    </cfRule>
    <cfRule type="cellIs" dxfId="80" priority="82" operator="greaterThan">
      <formula>1220000</formula>
    </cfRule>
  </conditionalFormatting>
  <conditionalFormatting sqref="H1:H1048576">
    <cfRule type="cellIs" dxfId="79" priority="80" operator="lessThan">
      <formula>49000</formula>
    </cfRule>
  </conditionalFormatting>
  <conditionalFormatting sqref="F1588:F1596">
    <cfRule type="cellIs" dxfId="78" priority="79" operator="greaterThan">
      <formula>1499000</formula>
    </cfRule>
  </conditionalFormatting>
  <conditionalFormatting sqref="D1607:D1608">
    <cfRule type="cellIs" dxfId="77" priority="78" operator="greaterThan">
      <formula>1499000</formula>
    </cfRule>
  </conditionalFormatting>
  <conditionalFormatting sqref="F1601:F1602 F1604:F1608">
    <cfRule type="cellIs" dxfId="76" priority="77" operator="greaterThan">
      <formula>1499000</formula>
    </cfRule>
  </conditionalFormatting>
  <conditionalFormatting sqref="D1609">
    <cfRule type="cellIs" dxfId="75" priority="76" operator="greaterThan">
      <formula>1499000</formula>
    </cfRule>
  </conditionalFormatting>
  <conditionalFormatting sqref="F1608:F1623">
    <cfRule type="cellIs" dxfId="74" priority="75" operator="greaterThan">
      <formula>1499000</formula>
    </cfRule>
  </conditionalFormatting>
  <conditionalFormatting sqref="D1608">
    <cfRule type="cellIs" dxfId="73" priority="74" operator="greaterThan">
      <formula>1499000</formula>
    </cfRule>
  </conditionalFormatting>
  <conditionalFormatting sqref="F1624:F1625">
    <cfRule type="cellIs" dxfId="72" priority="73" operator="greaterThan">
      <formula>1499000</formula>
    </cfRule>
  </conditionalFormatting>
  <conditionalFormatting sqref="F1626:F1627">
    <cfRule type="cellIs" dxfId="71" priority="72" operator="greaterThan">
      <formula>1499000</formula>
    </cfRule>
  </conditionalFormatting>
  <conditionalFormatting sqref="E1631:E1632">
    <cfRule type="cellIs" dxfId="70" priority="71" operator="greaterThan">
      <formula>1499000</formula>
    </cfRule>
  </conditionalFormatting>
  <conditionalFormatting sqref="F1628:F1629">
    <cfRule type="cellIs" dxfId="69" priority="70" operator="greaterThan">
      <formula>1499000</formula>
    </cfRule>
  </conditionalFormatting>
  <conditionalFormatting sqref="F1634:F1637">
    <cfRule type="cellIs" dxfId="68" priority="69" operator="greaterThan">
      <formula>1499000</formula>
    </cfRule>
  </conditionalFormatting>
  <conditionalFormatting sqref="F1638:F1642">
    <cfRule type="cellIs" dxfId="67" priority="68" operator="greaterThan">
      <formula>1499000</formula>
    </cfRule>
  </conditionalFormatting>
  <conditionalFormatting sqref="F1645:F1648">
    <cfRule type="cellIs" dxfId="66" priority="67" operator="greaterThan">
      <formula>1499000</formula>
    </cfRule>
  </conditionalFormatting>
  <conditionalFormatting sqref="F1650:F1663">
    <cfRule type="cellIs" dxfId="65" priority="66" operator="greaterThan">
      <formula>1499000</formula>
    </cfRule>
  </conditionalFormatting>
  <conditionalFormatting sqref="F1682:F1683">
    <cfRule type="cellIs" dxfId="64" priority="65" operator="greaterThan">
      <formula>1499000</formula>
    </cfRule>
  </conditionalFormatting>
  <conditionalFormatting sqref="F1696:F1699">
    <cfRule type="cellIs" dxfId="63" priority="64" operator="greaterThan">
      <formula>1499000</formula>
    </cfRule>
  </conditionalFormatting>
  <conditionalFormatting sqref="F1700:F1704">
    <cfRule type="cellIs" dxfId="62" priority="63" operator="greaterThan">
      <formula>1499000</formula>
    </cfRule>
  </conditionalFormatting>
  <conditionalFormatting sqref="F1705:F1708">
    <cfRule type="cellIs" dxfId="61" priority="62" operator="greaterThan">
      <formula>1499000</formula>
    </cfRule>
  </conditionalFormatting>
  <conditionalFormatting sqref="F1709:F1712">
    <cfRule type="cellIs" dxfId="60" priority="61" operator="greaterThan">
      <formula>1499000</formula>
    </cfRule>
  </conditionalFormatting>
  <conditionalFormatting sqref="F1726:F1727">
    <cfRule type="cellIs" dxfId="59" priority="60" operator="greaterThan">
      <formula>1499000</formula>
    </cfRule>
  </conditionalFormatting>
  <conditionalFormatting sqref="K1729:K1730">
    <cfRule type="cellIs" dxfId="58" priority="59" operator="greaterThan">
      <formula>1499000</formula>
    </cfRule>
  </conditionalFormatting>
  <conditionalFormatting sqref="F1729:F1730">
    <cfRule type="cellIs" dxfId="57" priority="58" operator="greaterThan">
      <formula>1499000</formula>
    </cfRule>
  </conditionalFormatting>
  <conditionalFormatting sqref="F1733:F1741">
    <cfRule type="cellIs" dxfId="56" priority="57" operator="greaterThan">
      <formula>1499000</formula>
    </cfRule>
  </conditionalFormatting>
  <conditionalFormatting sqref="F1746:F1747">
    <cfRule type="cellIs" dxfId="55" priority="56" operator="greaterThan">
      <formula>1499000</formula>
    </cfRule>
  </conditionalFormatting>
  <conditionalFormatting sqref="F1803:F1804">
    <cfRule type="cellIs" dxfId="54" priority="55" operator="greaterThan">
      <formula>1499000</formula>
    </cfRule>
  </conditionalFormatting>
  <conditionalFormatting sqref="F1807:F1808">
    <cfRule type="cellIs" dxfId="53" priority="54" operator="greaterThan">
      <formula>1499000</formula>
    </cfRule>
  </conditionalFormatting>
  <conditionalFormatting sqref="F1812:F1813">
    <cfRule type="cellIs" dxfId="52" priority="53" operator="greaterThan">
      <formula>1499000</formula>
    </cfRule>
  </conditionalFormatting>
  <conditionalFormatting sqref="F1814:F1815">
    <cfRule type="cellIs" dxfId="51" priority="52" operator="greaterThan">
      <formula>1499000</formula>
    </cfRule>
  </conditionalFormatting>
  <conditionalFormatting sqref="F1816:F1818">
    <cfRule type="cellIs" dxfId="50" priority="51" operator="greaterThan">
      <formula>1499000</formula>
    </cfRule>
  </conditionalFormatting>
  <conditionalFormatting sqref="F1819:F1821">
    <cfRule type="cellIs" dxfId="49" priority="50" operator="greaterThan">
      <formula>1499000</formula>
    </cfRule>
  </conditionalFormatting>
  <conditionalFormatting sqref="F1822">
    <cfRule type="cellIs" dxfId="48" priority="49" operator="greaterThan">
      <formula>1499000</formula>
    </cfRule>
  </conditionalFormatting>
  <conditionalFormatting sqref="F1823:F1824">
    <cfRule type="cellIs" dxfId="47" priority="48" operator="greaterThan">
      <formula>1499000</formula>
    </cfRule>
  </conditionalFormatting>
  <conditionalFormatting sqref="F1825:F1827 F1829">
    <cfRule type="cellIs" dxfId="46" priority="47" operator="greaterThan">
      <formula>1499000</formula>
    </cfRule>
  </conditionalFormatting>
  <conditionalFormatting sqref="F1828">
    <cfRule type="cellIs" dxfId="45" priority="46" operator="greaterThan">
      <formula>1499000</formula>
    </cfRule>
  </conditionalFormatting>
  <conditionalFormatting sqref="F1831">
    <cfRule type="cellIs" dxfId="44" priority="45" operator="greaterThan">
      <formula>1499000</formula>
    </cfRule>
  </conditionalFormatting>
  <conditionalFormatting sqref="F1832:F1833">
    <cfRule type="cellIs" dxfId="43" priority="44" operator="greaterThan">
      <formula>1499000</formula>
    </cfRule>
  </conditionalFormatting>
  <conditionalFormatting sqref="F1834:F1837">
    <cfRule type="cellIs" dxfId="42" priority="43" operator="greaterThan">
      <formula>1499000</formula>
    </cfRule>
  </conditionalFormatting>
  <conditionalFormatting sqref="F1838">
    <cfRule type="cellIs" dxfId="41" priority="42" operator="greaterThan">
      <formula>1499000</formula>
    </cfRule>
  </conditionalFormatting>
  <conditionalFormatting sqref="F1840:F1844">
    <cfRule type="cellIs" dxfId="40" priority="41" operator="greaterThan">
      <formula>1499000</formula>
    </cfRule>
  </conditionalFormatting>
  <conditionalFormatting sqref="F1845">
    <cfRule type="cellIs" dxfId="39" priority="40" operator="greaterThan">
      <formula>1499000</formula>
    </cfRule>
  </conditionalFormatting>
  <conditionalFormatting sqref="F1847">
    <cfRule type="cellIs" dxfId="38" priority="39" operator="greaterThan">
      <formula>1499000</formula>
    </cfRule>
  </conditionalFormatting>
  <conditionalFormatting sqref="F1848">
    <cfRule type="cellIs" dxfId="37" priority="38" operator="greaterThan">
      <formula>1499000</formula>
    </cfRule>
  </conditionalFormatting>
  <conditionalFormatting sqref="F1850:F1851">
    <cfRule type="cellIs" dxfId="36" priority="37" operator="greaterThan">
      <formula>1499000</formula>
    </cfRule>
  </conditionalFormatting>
  <conditionalFormatting sqref="F1849">
    <cfRule type="cellIs" dxfId="35" priority="36" operator="greaterThan">
      <formula>1499000</formula>
    </cfRule>
  </conditionalFormatting>
  <conditionalFormatting sqref="F1852">
    <cfRule type="cellIs" dxfId="34" priority="35" operator="greaterThan">
      <formula>1499000</formula>
    </cfRule>
  </conditionalFormatting>
  <conditionalFormatting sqref="F1854">
    <cfRule type="cellIs" dxfId="33" priority="34" operator="greaterThan">
      <formula>1499000</formula>
    </cfRule>
  </conditionalFormatting>
  <conditionalFormatting sqref="F1853">
    <cfRule type="cellIs" dxfId="32" priority="33" operator="greaterThan">
      <formula>1499000</formula>
    </cfRule>
  </conditionalFormatting>
  <conditionalFormatting sqref="F1855:F1858">
    <cfRule type="cellIs" dxfId="31" priority="32" operator="greaterThan">
      <formula>1499000</formula>
    </cfRule>
  </conditionalFormatting>
  <conditionalFormatting sqref="F1859">
    <cfRule type="cellIs" dxfId="30" priority="31" operator="greaterThan">
      <formula>1499000</formula>
    </cfRule>
  </conditionalFormatting>
  <conditionalFormatting sqref="F1860:F1871 F1873:F1874">
    <cfRule type="cellIs" dxfId="29" priority="30" operator="greaterThan">
      <formula>1499000</formula>
    </cfRule>
  </conditionalFormatting>
  <conditionalFormatting sqref="F1872">
    <cfRule type="cellIs" dxfId="28" priority="29" operator="greaterThan">
      <formula>1499000</formula>
    </cfRule>
  </conditionalFormatting>
  <conditionalFormatting sqref="F1879:F1881">
    <cfRule type="cellIs" dxfId="27" priority="28" operator="greaterThan">
      <formula>1499000</formula>
    </cfRule>
  </conditionalFormatting>
  <conditionalFormatting sqref="F1882:F1885">
    <cfRule type="cellIs" dxfId="26" priority="27" operator="greaterThan">
      <formula>1499000</formula>
    </cfRule>
  </conditionalFormatting>
  <conditionalFormatting sqref="F1886:F1891">
    <cfRule type="cellIs" dxfId="25" priority="26" operator="greaterThan">
      <formula>1499000</formula>
    </cfRule>
  </conditionalFormatting>
  <conditionalFormatting sqref="F1892:F1895">
    <cfRule type="cellIs" dxfId="24" priority="25" operator="greaterThan">
      <formula>1499000</formula>
    </cfRule>
  </conditionalFormatting>
  <conditionalFormatting sqref="F1896:F1898">
    <cfRule type="cellIs" dxfId="23" priority="24" operator="greaterThan">
      <formula>1499000</formula>
    </cfRule>
  </conditionalFormatting>
  <conditionalFormatting sqref="F1905:F1906">
    <cfRule type="cellIs" dxfId="22" priority="23" operator="greaterThan">
      <formula>1499000</formula>
    </cfRule>
  </conditionalFormatting>
  <conditionalFormatting sqref="F1907:F1909">
    <cfRule type="cellIs" dxfId="21" priority="22" operator="greaterThan">
      <formula>1499000</formula>
    </cfRule>
  </conditionalFormatting>
  <conditionalFormatting sqref="F1910:F1913">
    <cfRule type="cellIs" dxfId="20" priority="21" operator="greaterThan">
      <formula>1499000</formula>
    </cfRule>
  </conditionalFormatting>
  <conditionalFormatting sqref="F1914:F1915">
    <cfRule type="cellIs" dxfId="19" priority="20" operator="greaterThan">
      <formula>1499000</formula>
    </cfRule>
  </conditionalFormatting>
  <conditionalFormatting sqref="F1916">
    <cfRule type="cellIs" dxfId="18" priority="19" operator="greaterThan">
      <formula>1499000</formula>
    </cfRule>
  </conditionalFormatting>
  <conditionalFormatting sqref="F1919:F1921">
    <cfRule type="cellIs" dxfId="17" priority="18" operator="greaterThan">
      <formula>1499000</formula>
    </cfRule>
  </conditionalFormatting>
  <conditionalFormatting sqref="F1924:F1925">
    <cfRule type="cellIs" dxfId="16" priority="17" operator="greaterThan">
      <formula>1499000</formula>
    </cfRule>
  </conditionalFormatting>
  <conditionalFormatting sqref="F1926:F1934">
    <cfRule type="cellIs" dxfId="15" priority="16" operator="greaterThan">
      <formula>1499000</formula>
    </cfRule>
  </conditionalFormatting>
  <conditionalFormatting sqref="F1936:F1942">
    <cfRule type="cellIs" dxfId="14" priority="15" operator="greaterThan">
      <formula>1499000</formula>
    </cfRule>
  </conditionalFormatting>
  <conditionalFormatting sqref="F1943:F1945">
    <cfRule type="cellIs" dxfId="13" priority="14" operator="greaterThan">
      <formula>1499000</formula>
    </cfRule>
  </conditionalFormatting>
  <conditionalFormatting sqref="F1946:F1948">
    <cfRule type="cellIs" dxfId="12" priority="13" operator="greaterThan">
      <formula>1499000</formula>
    </cfRule>
  </conditionalFormatting>
  <conditionalFormatting sqref="F1949:F1960">
    <cfRule type="cellIs" dxfId="11" priority="12" operator="greaterThan">
      <formula>1499000</formula>
    </cfRule>
  </conditionalFormatting>
  <conditionalFormatting sqref="F1961:F1962">
    <cfRule type="cellIs" dxfId="10" priority="11" operator="greaterThan">
      <formula>1499000</formula>
    </cfRule>
  </conditionalFormatting>
  <conditionalFormatting sqref="F1964:F1979">
    <cfRule type="cellIs" dxfId="9" priority="10" operator="greaterThan">
      <formula>1499000</formula>
    </cfRule>
  </conditionalFormatting>
  <conditionalFormatting sqref="F1980:F1984">
    <cfRule type="cellIs" dxfId="8" priority="9" operator="greaterThan">
      <formula>1499000</formula>
    </cfRule>
  </conditionalFormatting>
  <conditionalFormatting sqref="F1986">
    <cfRule type="cellIs" dxfId="7" priority="8" operator="greaterThan">
      <formula>1499000</formula>
    </cfRule>
  </conditionalFormatting>
  <conditionalFormatting sqref="F1987:F1994">
    <cfRule type="cellIs" dxfId="6" priority="7" operator="greaterThan">
      <formula>1499000</formula>
    </cfRule>
  </conditionalFormatting>
  <conditionalFormatting sqref="F1995:F2037">
    <cfRule type="cellIs" dxfId="5" priority="6" operator="greaterThan">
      <formula>1499000</formula>
    </cfRule>
  </conditionalFormatting>
  <conditionalFormatting sqref="F2038:F2046">
    <cfRule type="cellIs" dxfId="4" priority="5" operator="greaterThan">
      <formula>1499000</formula>
    </cfRule>
  </conditionalFormatting>
  <conditionalFormatting sqref="F2121:F2144">
    <cfRule type="cellIs" dxfId="3" priority="4" operator="lessThan">
      <formula>869000</formula>
    </cfRule>
  </conditionalFormatting>
  <conditionalFormatting sqref="F2121:F2144">
    <cfRule type="cellIs" dxfId="2" priority="3" operator="greaterThan">
      <formula>1208000</formula>
    </cfRule>
  </conditionalFormatting>
  <conditionalFormatting sqref="F2145:F2147">
    <cfRule type="cellIs" dxfId="1" priority="2" operator="lessThan">
      <formula>869000</formula>
    </cfRule>
  </conditionalFormatting>
  <conditionalFormatting sqref="F2145:F2147">
    <cfRule type="cellIs" dxfId="0" priority="1" operator="greaterThan">
      <formula>1208000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حباب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Fateme Esmaeili</dc:creator>
  <cp:lastModifiedBy>Hamid Azizi</cp:lastModifiedBy>
  <cp:lastPrinted>2021-02-02T15:22:38Z</cp:lastPrinted>
  <dcterms:created xsi:type="dcterms:W3CDTF">2020-08-31T10:33:23Z</dcterms:created>
  <dcterms:modified xsi:type="dcterms:W3CDTF">2021-12-20T12:42:45Z</dcterms:modified>
</cp:coreProperties>
</file>