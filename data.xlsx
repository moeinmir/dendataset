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76DAB3F6-B48F-4E74-ABB1-BCE8AEF690C3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set'!$A$1:$BL$179</definedName>
    <definedName name="_xlnm._FilterDatabase" localSheetId="1" hidden="1">weekly!$A$1:$K$46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3" i="2" l="1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90" i="1"/>
  <c r="H102" i="5" l="1"/>
  <c r="G102" i="5"/>
  <c r="F102" i="5"/>
  <c r="G175" i="1" l="1"/>
  <c r="I179" i="1" s="1"/>
  <c r="H101" i="5" l="1"/>
  <c r="G101" i="5"/>
  <c r="F101" i="5"/>
  <c r="G180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6" i="2"/>
  <c r="G45" i="2"/>
  <c r="G44" i="2"/>
  <c r="G43" i="2"/>
  <c r="G42" i="2"/>
  <c r="G41" i="2"/>
  <c r="G40" i="2"/>
  <c r="G39" i="2"/>
  <c r="G38" i="2"/>
  <c r="D34" i="2"/>
  <c r="C34" i="2"/>
  <c r="B34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8" i="2" s="1"/>
  <c r="G16" i="2"/>
  <c r="E16" i="2"/>
  <c r="C40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93" i="1"/>
  <c r="AW179" i="1"/>
  <c r="AW182" i="1" s="1"/>
  <c r="AU179" i="1"/>
  <c r="T179" i="1"/>
  <c r="BB178" i="1"/>
  <c r="AY177" i="1"/>
  <c r="BJ175" i="1"/>
  <c r="BI175" i="1"/>
  <c r="K175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75" i="1" l="1"/>
  <c r="S1" i="1" s="1"/>
  <c r="M175" i="1"/>
  <c r="U1" i="1" s="1"/>
</calcChain>
</file>

<file path=xl/sharedStrings.xml><?xml version="1.0" encoding="utf-8"?>
<sst xmlns="http://schemas.openxmlformats.org/spreadsheetml/2006/main" count="1506" uniqueCount="462">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</sst>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82416"/>
        <c:axId val="-1841884592"/>
      </c:lineChart>
      <c:catAx>
        <c:axId val="-184188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84592"/>
        <c:crosses val="autoZero"/>
        <c:auto val="1"/>
        <c:lblAlgn val="ctr"/>
        <c:lblOffset val="100"/>
        <c:noMultiLvlLbl val="0"/>
      </c:catAx>
      <c:valAx>
        <c:axId val="-18418845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824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weekly!$B$27:$B$33</c15:sqref>
                  </c15:fullRef>
                </c:ext>
              </c:extLst>
              <c:f>weekly!$B$28:$B$33</c:f>
              <c:numCache>
                <c:formatCode>General</c:formatCode>
                <c:ptCount val="6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weekly!$H$27:$H$33</c15:sqref>
                  </c15:fullRef>
                </c:ext>
              </c:extLst>
              <c:f>weekly!$H$28:$H$33</c:f>
              <c:numCache>
                <c:formatCode>General</c:formatCode>
                <c:ptCount val="6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A6B-4C9B-BEA2-8EBE6A749D67}"/>
                </c:ext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A6B-4C9B-BEA2-8EBE6A749D67}"/>
                </c:ext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35-4297-AE12-FD7A52582D17}"/>
                </c:ext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weekly!$J$27:$J$33</c15:sqref>
                  </c15:fullRef>
                </c:ext>
              </c:extLst>
              <c:f>weekly!$J$28:$J$33</c:f>
              <c:numCache>
                <c:formatCode>General</c:formatCode>
                <c:ptCount val="6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9696"/>
        <c:axId val="-1841879152"/>
      </c:lineChart>
      <c:catAx>
        <c:axId val="-184187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9152"/>
        <c:crosses val="autoZero"/>
        <c:auto val="1"/>
        <c:lblAlgn val="ctr"/>
        <c:lblOffset val="100"/>
        <c:noMultiLvlLbl val="0"/>
      </c:catAx>
      <c:valAx>
        <c:axId val="-1841879152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96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سوم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weekly!$A$2:$A$33</c:f>
              <c:strCache>
                <c:ptCount val="32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</c:strCache>
            </c:strRef>
          </c:cat>
          <c:val>
            <c:numRef>
              <c:f>weekly!$D$2:$D$33</c:f>
              <c:numCache>
                <c:formatCode>General</c:formatCode>
                <c:ptCount val="32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6976"/>
        <c:axId val="-1841876432"/>
      </c:lineChart>
      <c:catAx>
        <c:axId val="-18418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6432"/>
        <c:crosses val="autoZero"/>
        <c:auto val="1"/>
        <c:lblAlgn val="ctr"/>
        <c:lblOffset val="100"/>
        <c:noMultiLvlLbl val="0"/>
      </c:catAx>
      <c:valAx>
        <c:axId val="-18418764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69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3712"/>
        <c:axId val="-1841875888"/>
      </c:lineChart>
      <c:catAx>
        <c:axId val="-184187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5888"/>
        <c:crosses val="autoZero"/>
        <c:auto val="1"/>
        <c:lblAlgn val="ctr"/>
        <c:lblOffset val="100"/>
        <c:noMultiLvlLbl val="0"/>
      </c:catAx>
      <c:valAx>
        <c:axId val="-18418758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371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سوم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weekly!$A$2:$A$33</c:f>
              <c:strCache>
                <c:ptCount val="32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</c:strCache>
            </c:strRef>
          </c:cat>
          <c:val>
            <c:numRef>
              <c:f>weekly!$F$2:$F$33</c:f>
              <c:numCache>
                <c:formatCode>General</c:formatCode>
                <c:ptCount val="32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4800"/>
        <c:axId val="-1841874256"/>
      </c:lineChart>
      <c:catAx>
        <c:axId val="-184187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4256"/>
        <c:crosses val="autoZero"/>
        <c:auto val="1"/>
        <c:lblAlgn val="ctr"/>
        <c:lblOffset val="100"/>
        <c:noMultiLvlLbl val="0"/>
      </c:catAx>
      <c:valAx>
        <c:axId val="-18418742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48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93AA-45C7-B323-3A3A6EDD9DAB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93AA-45C7-B323-3A3A6EDD9DA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weekly!$C$27:$C$33</c15:sqref>
                  </c15:fullRef>
                </c:ext>
              </c:extLst>
              <c:f>weekly!$C$28:$C$33</c:f>
              <c:numCache>
                <c:formatCode>General</c:formatCode>
                <c:ptCount val="6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93AA-45C7-B323-3A3A6EDD9DAB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93AA-45C7-B323-3A3A6EDD9DA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weekly!$K$27:$K$33</c15:sqref>
                  </c15:fullRef>
                </c:ext>
              </c:extLst>
              <c:f>weekly!$K$28:$K$33</c:f>
              <c:numCache>
                <c:formatCode>General</c:formatCode>
                <c:ptCount val="6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4-93AA-45C7-B323-3A3A6EDD9DAB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5-93AA-45C7-B323-3A3A6EDD9DAB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weekly!$I$27:$I$33</c15:sqref>
                  </c15:fullRef>
                </c:ext>
              </c:extLst>
              <c:f>weekly!$I$28:$I$33</c:f>
              <c:numCache>
                <c:formatCode>General</c:formatCode>
                <c:ptCount val="6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3168"/>
        <c:axId val="-1843300848"/>
      </c:lineChart>
      <c:catAx>
        <c:axId val="-184187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3300848"/>
        <c:crosses val="autoZero"/>
        <c:auto val="1"/>
        <c:lblAlgn val="ctr"/>
        <c:lblOffset val="100"/>
        <c:noMultiLvlLbl val="0"/>
      </c:catAx>
      <c:valAx>
        <c:axId val="-184330084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316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843309552"/>
        <c:axId val="-1843305744"/>
      </c:barChart>
      <c:catAx>
        <c:axId val="-184330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3305744"/>
        <c:crosses val="autoZero"/>
        <c:auto val="1"/>
        <c:lblAlgn val="ctr"/>
        <c:lblOffset val="100"/>
        <c:noMultiLvlLbl val="0"/>
      </c:catAx>
      <c:valAx>
        <c:axId val="-18433057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33095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19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5"/>
          <c:order val="2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change'!$F$107:$I$107</c:f>
              <c:numCache>
                <c:formatCode>General</c:formatCode>
                <c:ptCount val="4"/>
                <c:pt idx="0">
                  <c:v>0.39090262970859985</c:v>
                </c:pt>
                <c:pt idx="1">
                  <c:v>0.45008183306055649</c:v>
                </c:pt>
                <c:pt idx="2">
                  <c:v>1.3425043507085439</c:v>
                </c:pt>
                <c:pt idx="3">
                  <c:v>0.61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534-8918-426E116C15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554042704"/>
        <c:axId val="-155404216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</c:ext>
        </c:extLst>
      </c:barChart>
      <c:catAx>
        <c:axId val="-155404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4042160"/>
        <c:crosses val="autoZero"/>
        <c:auto val="1"/>
        <c:lblAlgn val="ctr"/>
        <c:lblOffset val="100"/>
        <c:noMultiLvlLbl val="0"/>
      </c:catAx>
      <c:valAx>
        <c:axId val="-1554042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404270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588</xdr:row>
      <xdr:rowOff>102960</xdr:rowOff>
    </xdr:from>
    <xdr:to>
      <xdr:col>11</xdr:col>
      <xdr:colOff>279360</xdr:colOff>
      <xdr:row>618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168</xdr:row>
      <xdr:rowOff>27711</xdr:rowOff>
    </xdr:from>
    <xdr:to>
      <xdr:col>41</xdr:col>
      <xdr:colOff>533400</xdr:colOff>
      <xdr:row>273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304</xdr:row>
      <xdr:rowOff>0</xdr:rowOff>
    </xdr:from>
    <xdr:to>
      <xdr:col>82</xdr:col>
      <xdr:colOff>0</xdr:colOff>
      <xdr:row>380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623</xdr:row>
      <xdr:rowOff>0</xdr:rowOff>
    </xdr:from>
    <xdr:to>
      <xdr:col>13</xdr:col>
      <xdr:colOff>354240</xdr:colOff>
      <xdr:row>653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403</xdr:row>
      <xdr:rowOff>0</xdr:rowOff>
    </xdr:from>
    <xdr:to>
      <xdr:col>83</xdr:col>
      <xdr:colOff>533400</xdr:colOff>
      <xdr:row>502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51</xdr:row>
      <xdr:rowOff>76321</xdr:rowOff>
    </xdr:from>
    <xdr:to>
      <xdr:col>44</xdr:col>
      <xdr:colOff>533400</xdr:colOff>
      <xdr:row>150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93"/>
  <sheetViews>
    <sheetView topLeftCell="B13" zoomScaleNormal="100" workbookViewId="0">
      <selection activeCell="E12" sqref="E12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L175/G175</f>
        <v>4217092.6780865043</v>
      </c>
      <c r="T1" s="3" t="s">
        <v>15</v>
      </c>
      <c r="U1" s="3">
        <f>M175/K175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K175/K62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74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2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2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2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2" s="119" customFormat="1" ht="2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74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2" s="125" customFormat="1" ht="2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2" s="119" customFormat="1" ht="2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2" s="119" customFormat="1" ht="2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2" s="125" customFormat="1" ht="2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2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2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2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2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2" s="132" customFormat="1" ht="2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2" s="113" customFormat="1" ht="21" customHeight="1">
      <c r="A174" s="109"/>
      <c r="B174" s="110" t="s">
        <v>459</v>
      </c>
      <c r="C174" s="111">
        <v>20</v>
      </c>
      <c r="D174" s="112">
        <v>27338</v>
      </c>
      <c r="E174" s="111">
        <v>27719</v>
      </c>
      <c r="F174" s="111">
        <v>27564</v>
      </c>
      <c r="G174" s="111">
        <v>7048800</v>
      </c>
      <c r="H174" s="111">
        <v>31502</v>
      </c>
      <c r="I174" s="111">
        <v>31582</v>
      </c>
      <c r="J174" s="113">
        <v>31542</v>
      </c>
      <c r="K174" s="111">
        <v>1145000</v>
      </c>
      <c r="L174" s="135">
        <f t="shared" si="23"/>
        <v>194293123200</v>
      </c>
      <c r="M174" s="135">
        <f t="shared" si="22"/>
        <v>36115590000</v>
      </c>
      <c r="N174" s="113">
        <v>27996</v>
      </c>
      <c r="O174" s="113">
        <v>31897</v>
      </c>
      <c r="P174" s="113">
        <v>27611</v>
      </c>
      <c r="Q174" s="113">
        <v>31817</v>
      </c>
      <c r="R174" s="111"/>
      <c r="S174" s="111"/>
      <c r="T174" s="111"/>
      <c r="U174" s="111"/>
      <c r="V174" s="113">
        <v>28340</v>
      </c>
      <c r="X174" s="113">
        <v>28370</v>
      </c>
      <c r="Y174" s="113">
        <v>32678</v>
      </c>
      <c r="Z174" s="111"/>
      <c r="AA174" s="111"/>
      <c r="AB174" s="111"/>
      <c r="AC174" s="111"/>
      <c r="AD174" s="111"/>
      <c r="AE174" s="111"/>
      <c r="AF174" s="111"/>
      <c r="AG174" s="111"/>
      <c r="AH174" s="111"/>
      <c r="AI174" s="111"/>
      <c r="AJ174" s="111"/>
      <c r="AK174" s="111"/>
      <c r="AL174" s="111"/>
      <c r="AM174" s="111"/>
      <c r="AN174" s="111"/>
      <c r="AO174" s="111"/>
      <c r="AP174" s="111"/>
      <c r="AQ174" s="111"/>
      <c r="AR174" s="111"/>
      <c r="AS174" s="112"/>
      <c r="AT174" s="112"/>
      <c r="AU174" s="112"/>
      <c r="AV174" s="112"/>
      <c r="AW174" s="112"/>
      <c r="AX174" s="112"/>
      <c r="AY174" s="111"/>
      <c r="AZ174" s="111"/>
      <c r="BA174" s="111"/>
      <c r="BB174" s="111"/>
      <c r="BC174" s="111"/>
      <c r="BE174" s="114"/>
      <c r="BF174" s="114"/>
      <c r="BG174" s="114"/>
      <c r="BH174" s="114"/>
    </row>
    <row r="175" spans="1:62" ht="18">
      <c r="A175" s="7"/>
      <c r="B175" s="8"/>
      <c r="C175" s="8"/>
      <c r="D175" s="26"/>
      <c r="E175" s="8"/>
      <c r="F175" s="8"/>
      <c r="G175" s="8">
        <f>SUM(G2:G166)/165</f>
        <v>6472793.3272727272</v>
      </c>
      <c r="H175" s="8"/>
      <c r="I175" s="8"/>
      <c r="J175" s="8"/>
      <c r="K175" s="8">
        <f>SUM(K2:K126)</f>
        <v>125564600</v>
      </c>
      <c r="L175" s="8">
        <f>SUM(L2:L169)</f>
        <v>27296369347209</v>
      </c>
      <c r="M175" s="9">
        <f>SUM(M2:M169)</f>
        <v>5008813900300</v>
      </c>
      <c r="N175" s="9"/>
      <c r="O175" s="9"/>
      <c r="P175" s="9"/>
      <c r="Q175" s="9"/>
      <c r="R175" s="9"/>
      <c r="S175" s="9"/>
      <c r="T175" s="9"/>
      <c r="U175" s="9"/>
      <c r="V175" s="132">
        <v>28330</v>
      </c>
      <c r="W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Y175" s="9"/>
      <c r="AZ175" s="9"/>
      <c r="BA175" s="9"/>
      <c r="BB175" s="9"/>
      <c r="BC175" s="9"/>
      <c r="BD175" s="9"/>
      <c r="BE175" s="10"/>
      <c r="BF175" s="10"/>
      <c r="BG175" s="10"/>
      <c r="BH175" s="10"/>
      <c r="BI175" t="e">
        <f>#REF!-N175</f>
        <v>#REF!</v>
      </c>
      <c r="BJ175" t="e">
        <f>(Y175-O175)/O175</f>
        <v>#DIV/0!</v>
      </c>
    </row>
    <row r="176" spans="1:62" ht="18">
      <c r="D176" s="26"/>
      <c r="V176" s="134"/>
      <c r="Z176" s="25"/>
      <c r="AB176" s="25"/>
      <c r="AS176" s="25"/>
      <c r="AW176" s="30"/>
    </row>
    <row r="177" spans="4:54" ht="18">
      <c r="D177" s="26"/>
      <c r="V177" s="134"/>
      <c r="Z177" s="25"/>
      <c r="AS177" s="26"/>
      <c r="AW177" s="30"/>
      <c r="AY177">
        <f>AY51-AY50</f>
        <v>35000</v>
      </c>
    </row>
    <row r="178" spans="4:54" ht="18">
      <c r="Z178" s="25"/>
      <c r="AS178" s="26">
        <v>10290000</v>
      </c>
      <c r="AW178" s="30"/>
      <c r="BB178">
        <f>AY60-AY59</f>
        <v>70000</v>
      </c>
    </row>
    <row r="179" spans="4:54" ht="18">
      <c r="I179">
        <f>(G166-G175)/G175</f>
        <v>0.61930089067377581</v>
      </c>
      <c r="T179">
        <f>V137-X140</f>
        <v>-620</v>
      </c>
      <c r="V179" s="25"/>
      <c r="Z179" s="25"/>
      <c r="AS179" s="26"/>
      <c r="AU179">
        <f>AS178-AS49</f>
        <v>195000</v>
      </c>
      <c r="AW179" s="30">
        <f>AC52-AY51</f>
        <v>305000</v>
      </c>
    </row>
    <row r="180" spans="4:54" ht="18">
      <c r="D180" s="99">
        <v>9387100</v>
      </c>
      <c r="G180">
        <f>(G165-G175)/G175</f>
        <v>0.73452162495206896</v>
      </c>
      <c r="V180" s="25"/>
      <c r="Z180" s="25"/>
      <c r="AW180" s="30"/>
    </row>
    <row r="181" spans="4:54" ht="17.25" customHeight="1">
      <c r="D181" s="99">
        <v>7622400</v>
      </c>
      <c r="V181" s="25"/>
      <c r="Z181" s="25"/>
    </row>
    <row r="182" spans="4:54" ht="18">
      <c r="D182" s="99">
        <v>9805000</v>
      </c>
      <c r="V182" s="25"/>
      <c r="Z182" s="25"/>
      <c r="AW182">
        <f>AW179/AY51</f>
        <v>2.9539951573849879E-2</v>
      </c>
    </row>
    <row r="183" spans="4:54" ht="18">
      <c r="D183" s="99">
        <v>12098700</v>
      </c>
      <c r="V183" s="25"/>
    </row>
    <row r="184" spans="4:54" ht="18">
      <c r="D184" s="99">
        <v>8231300</v>
      </c>
      <c r="V184" s="25"/>
    </row>
    <row r="185" spans="4:54" ht="18">
      <c r="D185" s="117">
        <v>8525400</v>
      </c>
    </row>
    <row r="186" spans="4:54" ht="18">
      <c r="D186" s="117">
        <v>8525400</v>
      </c>
    </row>
    <row r="187" spans="4:54" ht="18">
      <c r="D187" s="123">
        <v>11227200</v>
      </c>
    </row>
    <row r="188" spans="4:54" ht="18">
      <c r="D188" s="117">
        <v>10481400</v>
      </c>
      <c r="G188" s="9">
        <v>8861800</v>
      </c>
    </row>
    <row r="189" spans="4:54" ht="18">
      <c r="D189" s="111">
        <v>10300800</v>
      </c>
      <c r="G189" s="9">
        <v>8230700</v>
      </c>
    </row>
    <row r="190" spans="4:54" ht="18">
      <c r="D190">
        <f>SUM(D180:D189)/10</f>
        <v>9620470</v>
      </c>
      <c r="G190" s="9">
        <v>8995300</v>
      </c>
    </row>
    <row r="191" spans="4:54" ht="18">
      <c r="G191" s="9">
        <v>10062100</v>
      </c>
    </row>
    <row r="192" spans="4:54" ht="18">
      <c r="G192" s="9">
        <v>8462400</v>
      </c>
    </row>
    <row r="193" spans="7:7">
      <c r="G193">
        <f>SUM(G188:G192)</f>
        <v>44612300</v>
      </c>
    </row>
  </sheetData>
  <autoFilter ref="A1:BL179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tabSelected="1" topLeftCell="A395" zoomScale="55" zoomScaleNormal="55" workbookViewId="0">
      <selection activeCell="I400" sqref="I400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5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5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5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5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>D33/6</f>
        <v>9444533.333333334</v>
      </c>
      <c r="F33" s="73">
        <v>11673200</v>
      </c>
      <c r="G33" s="73">
        <f>F33/6</f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>
      <c r="B34">
        <f>(B2-B8)/B2</f>
        <v>0.15346494762288476</v>
      </c>
      <c r="C34">
        <f>(C2-C8)/C2</f>
        <v>0.1154959674639829</v>
      </c>
      <c r="D34">
        <f>SUM(D2:D16)/15</f>
        <v>29639479.933333334</v>
      </c>
    </row>
    <row r="38" spans="1:11">
      <c r="D38">
        <v>5375132</v>
      </c>
      <c r="E38">
        <f>(E17-D38)/D38</f>
        <v>4.5958809321644006E-2</v>
      </c>
      <c r="G38">
        <f t="shared" ref="G38:G46" si="0">B3-B2</f>
        <v>-554</v>
      </c>
    </row>
    <row r="39" spans="1:11">
      <c r="G39">
        <f t="shared" si="0"/>
        <v>-302</v>
      </c>
    </row>
    <row r="40" spans="1:11">
      <c r="C40">
        <f>(D38-E16)/E16</f>
        <v>0.17110375179746395</v>
      </c>
      <c r="G40">
        <f t="shared" si="0"/>
        <v>-511</v>
      </c>
    </row>
    <row r="41" spans="1:11">
      <c r="G41">
        <f t="shared" si="0"/>
        <v>-362</v>
      </c>
    </row>
    <row r="42" spans="1:11">
      <c r="G42">
        <f t="shared" si="0"/>
        <v>-1699</v>
      </c>
    </row>
    <row r="43" spans="1:11">
      <c r="G43">
        <f t="shared" si="0"/>
        <v>-381</v>
      </c>
    </row>
    <row r="44" spans="1:11">
      <c r="G44">
        <f t="shared" si="0"/>
        <v>1075</v>
      </c>
    </row>
    <row r="45" spans="1:11">
      <c r="G45">
        <f t="shared" si="0"/>
        <v>151</v>
      </c>
    </row>
    <row r="46" spans="1:11">
      <c r="G46">
        <f t="shared" si="0"/>
        <v>1043</v>
      </c>
    </row>
  </sheetData>
  <autoFilter ref="A1:K46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14"/>
  <sheetViews>
    <sheetView topLeftCell="A1285" zoomScale="85" zoomScaleNormal="85" workbookViewId="0">
      <selection activeCell="D1308" sqref="D1308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36" t="s">
        <v>246</v>
      </c>
      <c r="B1" s="136"/>
      <c r="C1" s="136"/>
      <c r="D1" s="136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6" t="s">
        <v>256</v>
      </c>
      <c r="B11" s="136"/>
      <c r="C11" s="136"/>
      <c r="D11" s="136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6" t="s">
        <v>258</v>
      </c>
      <c r="B21" s="136"/>
      <c r="C21" s="136"/>
      <c r="D21" s="136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6" t="s">
        <v>259</v>
      </c>
      <c r="B31" s="136"/>
      <c r="C31" s="136"/>
      <c r="D31" s="136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6" t="s">
        <v>260</v>
      </c>
      <c r="B41" s="136"/>
      <c r="C41" s="136"/>
      <c r="D41" s="136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6" t="s">
        <v>262</v>
      </c>
      <c r="B51" s="136"/>
      <c r="C51" s="136"/>
      <c r="D51" s="136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6" t="s">
        <v>263</v>
      </c>
      <c r="B61" s="136"/>
      <c r="C61" s="136"/>
      <c r="D61" s="136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6" t="s">
        <v>264</v>
      </c>
      <c r="B71" s="136"/>
      <c r="C71" s="136"/>
      <c r="D71" s="136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6" t="s">
        <v>265</v>
      </c>
      <c r="B81" s="136"/>
      <c r="C81" s="136"/>
      <c r="D81" s="136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6" t="s">
        <v>269</v>
      </c>
      <c r="B93" s="136"/>
      <c r="C93" s="136"/>
      <c r="D93" s="136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6" t="s">
        <v>270</v>
      </c>
      <c r="B103" s="136"/>
      <c r="C103" s="136"/>
      <c r="D103" s="136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6" t="s">
        <v>272</v>
      </c>
      <c r="B113" s="136"/>
      <c r="C113" s="136"/>
      <c r="D113" s="136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6" t="s">
        <v>273</v>
      </c>
      <c r="B123" s="136"/>
      <c r="C123" s="136"/>
      <c r="D123" s="136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6" t="s">
        <v>274</v>
      </c>
      <c r="B133" s="136"/>
      <c r="C133" s="136"/>
      <c r="D133" s="136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6" t="s">
        <v>275</v>
      </c>
      <c r="B143" s="136"/>
      <c r="C143" s="136"/>
      <c r="D143" s="136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6" t="s">
        <v>277</v>
      </c>
      <c r="B153" s="136"/>
      <c r="C153" s="136"/>
      <c r="D153" s="136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6" t="s">
        <v>278</v>
      </c>
      <c r="B163" s="136"/>
      <c r="C163" s="136"/>
      <c r="D163" s="136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6" t="s">
        <v>279</v>
      </c>
      <c r="B173" s="136"/>
      <c r="C173" s="136"/>
      <c r="D173" s="136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6" t="s">
        <v>280</v>
      </c>
      <c r="B183" s="136"/>
      <c r="C183" s="136"/>
      <c r="D183" s="136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6" t="s">
        <v>281</v>
      </c>
      <c r="B193" s="136"/>
      <c r="C193" s="136"/>
      <c r="D193" s="136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6" t="s">
        <v>282</v>
      </c>
      <c r="B203" s="136"/>
      <c r="C203" s="136"/>
      <c r="D203" s="136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6" t="s">
        <v>283</v>
      </c>
      <c r="B213" s="136"/>
      <c r="C213" s="136"/>
      <c r="D213" s="136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6" t="s">
        <v>284</v>
      </c>
      <c r="B223" s="136"/>
      <c r="C223" s="136"/>
      <c r="D223" s="136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6" t="s">
        <v>285</v>
      </c>
      <c r="B233" s="136"/>
      <c r="C233" s="136"/>
      <c r="D233" s="136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6" t="s">
        <v>286</v>
      </c>
      <c r="B243" s="136"/>
      <c r="C243" s="136"/>
      <c r="D243" s="136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6" t="s">
        <v>287</v>
      </c>
      <c r="B253" s="136"/>
      <c r="C253" s="136"/>
      <c r="D253" s="136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6" t="s">
        <v>288</v>
      </c>
      <c r="B263" s="136"/>
      <c r="C263" s="136"/>
      <c r="D263" s="136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6" t="s">
        <v>289</v>
      </c>
      <c r="B273" s="136"/>
      <c r="C273" s="136"/>
      <c r="D273" s="136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6" t="s">
        <v>290</v>
      </c>
      <c r="B283" s="136"/>
      <c r="C283" s="136"/>
      <c r="D283" s="136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6" t="s">
        <v>291</v>
      </c>
      <c r="B293" s="136"/>
      <c r="C293" s="136"/>
      <c r="D293" s="136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6" t="s">
        <v>292</v>
      </c>
      <c r="B303" s="136"/>
      <c r="C303" s="136"/>
      <c r="D303" s="136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6" t="s">
        <v>296</v>
      </c>
      <c r="B313" s="136"/>
      <c r="C313" s="136"/>
      <c r="D313" s="136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6" t="s">
        <v>300</v>
      </c>
      <c r="B324" s="136"/>
      <c r="C324" s="136"/>
      <c r="D324" s="136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6" t="s">
        <v>303</v>
      </c>
      <c r="B335" s="136"/>
      <c r="C335" s="136"/>
      <c r="D335" s="136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6" t="s">
        <v>304</v>
      </c>
      <c r="B346" s="136"/>
      <c r="C346" s="136"/>
      <c r="D346" s="136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6" t="s">
        <v>305</v>
      </c>
      <c r="B357" s="136"/>
      <c r="C357" s="136"/>
      <c r="D357" s="136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6" t="s">
        <v>306</v>
      </c>
      <c r="B368" s="136"/>
      <c r="C368" s="136"/>
      <c r="D368" s="136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6" t="s">
        <v>307</v>
      </c>
      <c r="B379" s="136"/>
      <c r="C379" s="136"/>
      <c r="D379" s="136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6" t="s">
        <v>308</v>
      </c>
      <c r="B390" s="136"/>
      <c r="C390" s="136"/>
      <c r="D390" s="136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6" t="s">
        <v>309</v>
      </c>
      <c r="B401" s="136"/>
      <c r="C401" s="136"/>
      <c r="D401" s="136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6" t="s">
        <v>310</v>
      </c>
      <c r="B412" s="136"/>
      <c r="C412" s="136"/>
      <c r="D412" s="136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6" t="s">
        <v>311</v>
      </c>
      <c r="B423" s="136"/>
      <c r="C423" s="136"/>
      <c r="D423" s="136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6" t="s">
        <v>315</v>
      </c>
      <c r="B434" s="136"/>
      <c r="C434" s="136"/>
      <c r="D434" s="136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6" t="s">
        <v>316</v>
      </c>
      <c r="B445" s="136"/>
      <c r="C445" s="136"/>
      <c r="D445" s="136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6" t="s">
        <v>317</v>
      </c>
      <c r="B456" s="136"/>
      <c r="C456" s="136"/>
      <c r="D456" s="136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6" t="s">
        <v>318</v>
      </c>
      <c r="B467" s="136"/>
      <c r="C467" s="136"/>
      <c r="D467" s="136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6" t="s">
        <v>319</v>
      </c>
      <c r="B478" s="136"/>
      <c r="C478" s="136"/>
      <c r="D478" s="136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6" t="s">
        <v>320</v>
      </c>
      <c r="B489" s="136"/>
      <c r="C489" s="136"/>
      <c r="D489" s="136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6" t="s">
        <v>323</v>
      </c>
      <c r="B500" s="136"/>
      <c r="C500" s="136"/>
      <c r="D500" s="136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6" t="s">
        <v>324</v>
      </c>
      <c r="B511" s="136"/>
      <c r="C511" s="136"/>
      <c r="D511" s="136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6" t="s">
        <v>325</v>
      </c>
      <c r="B522" s="136"/>
      <c r="C522" s="136"/>
      <c r="D522" s="136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6" t="s">
        <v>326</v>
      </c>
      <c r="B533" s="136"/>
      <c r="C533" s="136"/>
      <c r="D533" s="136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6" t="s">
        <v>327</v>
      </c>
      <c r="B544" s="136"/>
      <c r="C544" s="136"/>
      <c r="D544" s="136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6" t="s">
        <v>328</v>
      </c>
      <c r="B555" s="136"/>
      <c r="C555" s="136"/>
      <c r="D555" s="136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6" t="s">
        <v>328</v>
      </c>
      <c r="B567" s="136"/>
      <c r="C567" s="136"/>
      <c r="D567" s="136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6" t="s">
        <v>333</v>
      </c>
      <c r="B579" s="136"/>
      <c r="C579" s="136"/>
      <c r="D579" s="136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6" t="s">
        <v>334</v>
      </c>
      <c r="B590" s="136"/>
      <c r="C590" s="136"/>
      <c r="D590" s="136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6" t="s">
        <v>335</v>
      </c>
      <c r="B601" s="136"/>
      <c r="C601" s="136"/>
      <c r="D601" s="136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6" t="s">
        <v>336</v>
      </c>
      <c r="B612" s="136"/>
      <c r="C612" s="136"/>
      <c r="D612" s="136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6" t="s">
        <v>337</v>
      </c>
      <c r="B623" s="136"/>
      <c r="C623" s="136"/>
      <c r="D623" s="136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6" t="s">
        <v>338</v>
      </c>
      <c r="B635" s="136"/>
      <c r="C635" s="136"/>
      <c r="D635" s="136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6" t="s">
        <v>340</v>
      </c>
      <c r="B647" s="136"/>
      <c r="C647" s="136"/>
      <c r="D647" s="136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6" t="s">
        <v>341</v>
      </c>
      <c r="B658" s="136"/>
      <c r="C658" s="136"/>
      <c r="D658" s="136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6" t="s">
        <v>342</v>
      </c>
      <c r="B670" s="136"/>
      <c r="C670" s="136"/>
      <c r="D670" s="136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6" t="s">
        <v>343</v>
      </c>
      <c r="B681" s="136"/>
      <c r="C681" s="136"/>
      <c r="D681" s="136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6" t="s">
        <v>344</v>
      </c>
      <c r="B692" s="136"/>
      <c r="C692" s="136"/>
      <c r="D692" s="136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6" t="s">
        <v>345</v>
      </c>
      <c r="B703" s="136"/>
      <c r="C703" s="136"/>
      <c r="D703" s="136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6" t="s">
        <v>348</v>
      </c>
      <c r="B715" s="136"/>
      <c r="C715" s="136"/>
      <c r="D715" s="136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6" t="s">
        <v>349</v>
      </c>
      <c r="B726" s="136"/>
      <c r="C726" s="136"/>
      <c r="D726" s="136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6" t="s">
        <v>350</v>
      </c>
      <c r="B738" s="136"/>
      <c r="C738" s="136"/>
      <c r="D738" s="136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6" t="s">
        <v>351</v>
      </c>
      <c r="B749" s="136"/>
      <c r="C749" s="136"/>
      <c r="D749" s="136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6" t="s">
        <v>352</v>
      </c>
      <c r="B760" s="136"/>
      <c r="C760" s="136"/>
      <c r="D760" s="136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6" t="s">
        <v>353</v>
      </c>
      <c r="B772" s="136"/>
      <c r="C772" s="136"/>
      <c r="D772" s="136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6" t="s">
        <v>355</v>
      </c>
      <c r="B784" s="136"/>
      <c r="C784" s="136"/>
      <c r="D784" s="136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6" t="s">
        <v>356</v>
      </c>
      <c r="B796" s="136"/>
      <c r="C796" s="136"/>
      <c r="D796" s="136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6" t="s">
        <v>357</v>
      </c>
      <c r="B809" s="136"/>
      <c r="C809" s="136"/>
      <c r="D809" s="136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6" t="s">
        <v>358</v>
      </c>
      <c r="B820" s="136"/>
      <c r="C820" s="136"/>
      <c r="D820" s="136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6" t="s">
        <v>359</v>
      </c>
      <c r="B831" s="136"/>
      <c r="C831" s="136"/>
      <c r="D831" s="136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6" t="s">
        <v>360</v>
      </c>
      <c r="B842" s="136"/>
      <c r="C842" s="136"/>
      <c r="D842" s="136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6" t="s">
        <v>361</v>
      </c>
      <c r="B854" s="136"/>
      <c r="C854" s="136"/>
      <c r="D854" s="136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6" t="s">
        <v>363</v>
      </c>
      <c r="B865" s="136"/>
      <c r="C865" s="136"/>
      <c r="D865" s="136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6" t="s">
        <v>364</v>
      </c>
      <c r="B876" s="136"/>
      <c r="C876" s="136"/>
      <c r="D876" s="136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6" t="s">
        <v>367</v>
      </c>
      <c r="B888" s="136"/>
      <c r="C888" s="136"/>
      <c r="D888" s="136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6" t="s">
        <v>368</v>
      </c>
      <c r="B901" s="136"/>
      <c r="C901" s="136"/>
      <c r="D901" s="136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6" t="s">
        <v>369</v>
      </c>
      <c r="B913" s="136"/>
      <c r="C913" s="136"/>
      <c r="D913" s="136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6" t="s">
        <v>370</v>
      </c>
      <c r="B925" s="136"/>
      <c r="C925" s="136"/>
      <c r="D925" s="136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6" t="s">
        <v>371</v>
      </c>
      <c r="B937" s="136"/>
      <c r="C937" s="136"/>
      <c r="D937" s="136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6" t="s">
        <v>372</v>
      </c>
      <c r="B949" s="136"/>
      <c r="C949" s="136"/>
      <c r="D949" s="136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6" t="s">
        <v>400</v>
      </c>
      <c r="B961" s="136"/>
      <c r="C961" s="136"/>
      <c r="D961" s="136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6" t="s">
        <v>402</v>
      </c>
      <c r="B974" s="136"/>
      <c r="C974" s="136"/>
      <c r="D974" s="136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6" t="s">
        <v>404</v>
      </c>
      <c r="B987" s="136"/>
      <c r="C987" s="136"/>
      <c r="D987" s="136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6" t="s">
        <v>405</v>
      </c>
      <c r="B1000" s="136"/>
      <c r="C1000" s="136"/>
      <c r="D1000" s="136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6" t="s">
        <v>408</v>
      </c>
      <c r="B1012" s="136"/>
      <c r="C1012" s="136"/>
      <c r="D1012" s="136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6" t="s">
        <v>410</v>
      </c>
      <c r="B1025" s="136"/>
      <c r="C1025" s="136"/>
      <c r="D1025" s="136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6" t="s">
        <v>413</v>
      </c>
      <c r="B1037" s="136"/>
      <c r="C1037" s="136"/>
      <c r="D1037" s="136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6" t="s">
        <v>415</v>
      </c>
      <c r="B1049" s="136"/>
      <c r="C1049" s="136"/>
      <c r="D1049" s="136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6" t="s">
        <v>417</v>
      </c>
      <c r="B1061" s="136"/>
      <c r="C1061" s="136"/>
      <c r="D1061" s="136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6" t="s">
        <v>419</v>
      </c>
      <c r="B1073" s="136"/>
      <c r="C1073" s="136"/>
      <c r="D1073" s="136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6" t="s">
        <v>421</v>
      </c>
      <c r="B1085" s="136"/>
      <c r="C1085" s="136"/>
      <c r="D1085" s="136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6" t="s">
        <v>423</v>
      </c>
      <c r="B1098" s="136"/>
      <c r="C1098" s="136"/>
      <c r="D1098" s="136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6" t="s">
        <v>426</v>
      </c>
      <c r="B1110" s="136"/>
      <c r="C1110" s="136"/>
      <c r="D1110" s="136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6" t="s">
        <v>428</v>
      </c>
      <c r="B1123" s="136"/>
      <c r="C1123" s="136"/>
      <c r="D1123" s="136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6" t="s">
        <v>430</v>
      </c>
      <c r="B1136" s="136"/>
      <c r="C1136" s="136"/>
      <c r="D1136" s="136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6" t="s">
        <v>432</v>
      </c>
      <c r="B1149" s="136"/>
      <c r="C1149" s="136"/>
      <c r="D1149" s="136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6" t="s">
        <v>434</v>
      </c>
      <c r="B1162" s="136"/>
      <c r="C1162" s="136"/>
      <c r="D1162" s="136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6" t="s">
        <v>437</v>
      </c>
      <c r="B1173" s="136"/>
      <c r="C1173" s="136"/>
      <c r="D1173" s="136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6" t="s">
        <v>439</v>
      </c>
      <c r="B1185" s="136"/>
      <c r="C1185" s="136"/>
      <c r="D1185" s="136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6" t="s">
        <v>441</v>
      </c>
      <c r="B1197" s="136"/>
      <c r="C1197" s="136"/>
      <c r="D1197" s="136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6" t="s">
        <v>443</v>
      </c>
      <c r="B1209" s="136"/>
      <c r="C1209" s="136"/>
      <c r="D1209" s="136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6" t="s">
        <v>445</v>
      </c>
      <c r="B1222" s="136"/>
      <c r="C1222" s="136"/>
      <c r="D1222" s="136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6" t="s">
        <v>447</v>
      </c>
      <c r="B1234" s="136"/>
      <c r="C1234" s="136"/>
      <c r="D1234" s="136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6" t="s">
        <v>449</v>
      </c>
      <c r="B1246" s="136"/>
      <c r="C1246" s="136"/>
      <c r="D1246" s="136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6" t="s">
        <v>452</v>
      </c>
      <c r="B1258" s="136"/>
      <c r="C1258" s="136"/>
      <c r="D1258" s="136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6" t="s">
        <v>454</v>
      </c>
      <c r="B1270" s="136"/>
      <c r="C1270" s="136"/>
      <c r="D1270" s="136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6" t="s">
        <v>456</v>
      </c>
      <c r="B1282" s="136"/>
      <c r="C1282" s="136"/>
      <c r="D1282" s="136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6" t="s">
        <v>458</v>
      </c>
      <c r="B1294" s="136"/>
      <c r="C1294" s="136"/>
      <c r="D1294" s="136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6" t="s">
        <v>460</v>
      </c>
      <c r="B1306" s="136"/>
      <c r="C1306" s="136"/>
      <c r="D1306" s="136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</sheetData>
  <mergeCells count="117">
    <mergeCell ref="A1294:D1294"/>
    <mergeCell ref="A1234:D1234"/>
    <mergeCell ref="A1209:D1209"/>
    <mergeCell ref="A1197:D1197"/>
    <mergeCell ref="A1173:D1173"/>
    <mergeCell ref="A1162:D1162"/>
    <mergeCell ref="A1149:D1149"/>
    <mergeCell ref="A1136:D1136"/>
    <mergeCell ref="A1123:D1123"/>
    <mergeCell ref="A1282:D1282"/>
    <mergeCell ref="A1270:D1270"/>
    <mergeCell ref="A1258:D1258"/>
    <mergeCell ref="A1246:D1246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842:D842"/>
    <mergeCell ref="A854:D854"/>
    <mergeCell ref="A749:D749"/>
    <mergeCell ref="A760:D760"/>
    <mergeCell ref="A772:D772"/>
    <mergeCell ref="A784:D784"/>
    <mergeCell ref="A796:D796"/>
    <mergeCell ref="A738:D738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45:D445"/>
    <mergeCell ref="A456:D456"/>
    <mergeCell ref="A113:D113"/>
    <mergeCell ref="A123:D12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253:D253"/>
    <mergeCell ref="A263:D263"/>
    <mergeCell ref="A273:D273"/>
    <mergeCell ref="A283:D283"/>
    <mergeCell ref="A293:D293"/>
    <mergeCell ref="A303:D303"/>
    <mergeCell ref="A313:D313"/>
    <mergeCell ref="A357:D357"/>
    <mergeCell ref="A368:D368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306:D1306"/>
    <mergeCell ref="A390:D390"/>
    <mergeCell ref="A401:D401"/>
    <mergeCell ref="A324:D324"/>
    <mergeCell ref="A335:D335"/>
    <mergeCell ref="A346:D346"/>
    <mergeCell ref="A692:D692"/>
    <mergeCell ref="A703:D703"/>
    <mergeCell ref="A715:D715"/>
    <mergeCell ref="A726:D726"/>
    <mergeCell ref="A635:D635"/>
    <mergeCell ref="A647:D647"/>
    <mergeCell ref="A379:D379"/>
    <mergeCell ref="A865:D865"/>
    <mergeCell ref="A876:D876"/>
    <mergeCell ref="A888:D888"/>
    <mergeCell ref="A901:D901"/>
    <mergeCell ref="A913:D913"/>
    <mergeCell ref="A658:D658"/>
    <mergeCell ref="A670:D670"/>
    <mergeCell ref="A681:D681"/>
    <mergeCell ref="A809:D809"/>
    <mergeCell ref="A820:D820"/>
    <mergeCell ref="A831:D831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C13" sqref="C13"/>
    </sheetView>
  </sheetViews>
  <sheetFormatPr defaultColWidth="8.5546875" defaultRowHeight="14.4"/>
  <cols>
    <col min="1" max="1" width="23.6640625" style="88" customWidth="1"/>
    <col min="2" max="2" width="22.109375" style="88" customWidth="1"/>
    <col min="3" max="3" width="22.5546875" style="88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37" t="s">
        <v>373</v>
      </c>
      <c r="B1" s="137"/>
      <c r="C1" s="137"/>
    </row>
    <row r="2" spans="1:6" ht="24.9" customHeight="1">
      <c r="A2" s="89"/>
      <c r="B2" s="89" t="s">
        <v>374</v>
      </c>
      <c r="C2" s="89" t="s">
        <v>375</v>
      </c>
    </row>
    <row r="3" spans="1:6" ht="24.9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107"/>
  <sheetViews>
    <sheetView zoomScale="85" zoomScaleNormal="85" workbookViewId="0">
      <selection activeCell="K107" sqref="K107"/>
    </sheetView>
  </sheetViews>
  <sheetFormatPr defaultColWidth="8.5546875" defaultRowHeight="14.4"/>
  <cols>
    <col min="2" max="2" width="20.109375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0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0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07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13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13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13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13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13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13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  <c r="J107">
        <v>0.39</v>
      </c>
      <c r="K107">
        <v>0.45</v>
      </c>
      <c r="L107">
        <v>1.34</v>
      </c>
      <c r="M107">
        <v>0.61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2021-11-11T10:19:14Z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