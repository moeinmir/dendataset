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set'!$A$1:$BL$181</definedName>
    <definedName name="_xlnm._FilterDatabase" localSheetId="1" hidden="1">weekly!$A$1:$K$46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80" i="1" l="1"/>
  <c r="G177" i="1"/>
  <c r="M176" i="1" l="1"/>
  <c r="L176" i="1"/>
  <c r="D1340" i="3" l="1"/>
  <c r="X180" i="1"/>
  <c r="H109" i="5"/>
  <c r="G109" i="5"/>
  <c r="F109" i="5"/>
  <c r="M175" i="1" l="1"/>
  <c r="L175" i="1"/>
  <c r="H108" i="5" l="1"/>
  <c r="G108" i="5"/>
  <c r="F108" i="5"/>
  <c r="F4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2" i="1"/>
  <c r="H102" i="5" l="1"/>
  <c r="G102" i="5"/>
  <c r="F102" i="5"/>
  <c r="I181" i="1" l="1"/>
  <c r="H101" i="5" l="1"/>
  <c r="G101" i="5"/>
  <c r="F101" i="5"/>
  <c r="G182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6" i="2"/>
  <c r="G45" i="2"/>
  <c r="G44" i="2"/>
  <c r="G43" i="2"/>
  <c r="G42" i="2"/>
  <c r="G41" i="2"/>
  <c r="G40" i="2"/>
  <c r="G39" i="2"/>
  <c r="G38" i="2"/>
  <c r="D34" i="2"/>
  <c r="C34" i="2"/>
  <c r="B3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8" i="2" s="1"/>
  <c r="G16" i="2"/>
  <c r="E16" i="2"/>
  <c r="C4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5" i="1"/>
  <c r="AW181" i="1"/>
  <c r="AW184" i="1" s="1"/>
  <c r="AU181" i="1"/>
  <c r="T181" i="1"/>
  <c r="BB180" i="1"/>
  <c r="AY179" i="1"/>
  <c r="BJ177" i="1"/>
  <c r="BI177" i="1"/>
  <c r="K177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7" i="1" l="1"/>
  <c r="S1" i="1" s="1"/>
  <c r="M177" i="1"/>
  <c r="U1" i="1" s="1"/>
</calcChain>
</file>

<file path=xl/sharedStrings.xml><?xml version="1.0" encoding="utf-8"?>
<sst xmlns="http://schemas.openxmlformats.org/spreadsheetml/2006/main" count="1526" uniqueCount="465">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</sst>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69568"/>
        <c:axId val="281466848"/>
      </c:lineChart>
      <c:catAx>
        <c:axId val="28146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6848"/>
        <c:crosses val="autoZero"/>
        <c:auto val="1"/>
        <c:lblAlgn val="ctr"/>
        <c:lblOffset val="100"/>
        <c:noMultiLvlLbl val="0"/>
      </c:catAx>
      <c:valAx>
        <c:axId val="281466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95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weekly!$B$27:$B$33</c15:sqref>
                  </c15:fullRef>
                </c:ext>
              </c:extLst>
              <c:f>weekly!$B$28:$B$33</c:f>
              <c:numCache>
                <c:formatCode>General</c:formatCode>
                <c:ptCount val="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weekly!$H$27:$H$33</c15:sqref>
                  </c15:fullRef>
                </c:ext>
              </c:extLst>
              <c:f>weekly!$H$28:$H$33</c:f>
              <c:numCache>
                <c:formatCode>General</c:formatCode>
                <c:ptCount val="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weekly!$J$27:$J$33</c15:sqref>
                  </c15:fullRef>
                </c:ext>
              </c:extLst>
              <c:f>weekly!$J$28:$J$33</c:f>
              <c:numCache>
                <c:formatCode>General</c:formatCode>
                <c:ptCount val="6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65760"/>
        <c:axId val="281461408"/>
      </c:lineChart>
      <c:catAx>
        <c:axId val="28146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1408"/>
        <c:crosses val="autoZero"/>
        <c:auto val="1"/>
        <c:lblAlgn val="ctr"/>
        <c:lblOffset val="100"/>
        <c:noMultiLvlLbl val="0"/>
      </c:catAx>
      <c:valAx>
        <c:axId val="28146140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57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سوم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weekly!$D$2:$D$33</c:f>
              <c:numCache>
                <c:formatCode>General</c:formatCode>
                <c:ptCount val="32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59232"/>
        <c:axId val="281470112"/>
      </c:lineChart>
      <c:catAx>
        <c:axId val="28145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70112"/>
        <c:crosses val="autoZero"/>
        <c:auto val="1"/>
        <c:lblAlgn val="ctr"/>
        <c:lblOffset val="100"/>
        <c:noMultiLvlLbl val="0"/>
      </c:catAx>
      <c:valAx>
        <c:axId val="2814701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9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57056"/>
        <c:axId val="281455424"/>
      </c:lineChart>
      <c:catAx>
        <c:axId val="28145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5424"/>
        <c:crosses val="autoZero"/>
        <c:auto val="1"/>
        <c:lblAlgn val="ctr"/>
        <c:lblOffset val="100"/>
        <c:noMultiLvlLbl val="0"/>
      </c:catAx>
      <c:valAx>
        <c:axId val="281455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70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سوم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weekly!$F$2:$F$33</c:f>
              <c:numCache>
                <c:formatCode>General</c:formatCode>
                <c:ptCount val="32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66304"/>
        <c:axId val="281467392"/>
      </c:lineChart>
      <c:catAx>
        <c:axId val="28146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7392"/>
        <c:crosses val="autoZero"/>
        <c:auto val="1"/>
        <c:lblAlgn val="ctr"/>
        <c:lblOffset val="100"/>
        <c:noMultiLvlLbl val="0"/>
      </c:catAx>
      <c:valAx>
        <c:axId val="2814673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63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weekly!$C$27:$C$33</c15:sqref>
                  </c15:fullRef>
                </c:ext>
              </c:extLst>
              <c:f>weekly!$C$28:$C$33</c:f>
              <c:numCache>
                <c:formatCode>General</c:formatCode>
                <c:ptCount val="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weekly!$K$27:$K$33</c15:sqref>
                  </c15:fullRef>
                </c:ext>
              </c:extLst>
              <c:f>weekly!$K$28:$K$33</c:f>
              <c:numCache>
                <c:formatCode>General</c:formatCode>
                <c:ptCount val="6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weekly!$I$27:$I$33</c15:sqref>
                  </c15:fullRef>
                </c:ext>
              </c:extLst>
              <c:f>weekly!$I$28:$I$33</c:f>
              <c:numCache>
                <c:formatCode>General</c:formatCode>
                <c:ptCount val="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56512"/>
        <c:axId val="281467936"/>
      </c:lineChart>
      <c:catAx>
        <c:axId val="28145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7936"/>
        <c:crosses val="autoZero"/>
        <c:auto val="1"/>
        <c:lblAlgn val="ctr"/>
        <c:lblOffset val="100"/>
        <c:noMultiLvlLbl val="0"/>
      </c:catAx>
      <c:valAx>
        <c:axId val="28146793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65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1460864"/>
        <c:axId val="281457600"/>
      </c:barChart>
      <c:catAx>
        <c:axId val="2814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7600"/>
        <c:crosses val="autoZero"/>
        <c:auto val="1"/>
        <c:lblAlgn val="ctr"/>
        <c:lblOffset val="100"/>
        <c:noMultiLvlLbl val="0"/>
      </c:catAx>
      <c:valAx>
        <c:axId val="281457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08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(یکشنبه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23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7"/>
          <c:order val="2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change'!$F$109:$I$109</c:f>
              <c:numCache>
                <c:formatCode>General</c:formatCode>
                <c:ptCount val="4"/>
                <c:pt idx="0">
                  <c:v>-0.48746518105849584</c:v>
                </c:pt>
                <c:pt idx="1">
                  <c:v>-1.1023622047244095</c:v>
                </c:pt>
                <c:pt idx="2">
                  <c:v>0.29044665986341156</c:v>
                </c:pt>
                <c:pt idx="3">
                  <c:v>0.23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81461952"/>
        <c:axId val="28146304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28146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3040"/>
        <c:crosses val="autoZero"/>
        <c:auto val="1"/>
        <c:lblAlgn val="ctr"/>
        <c:lblOffset val="100"/>
        <c:noMultiLvlLbl val="0"/>
      </c:catAx>
      <c:valAx>
        <c:axId val="281463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1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588</xdr:row>
      <xdr:rowOff>102960</xdr:rowOff>
    </xdr:from>
    <xdr:to>
      <xdr:col>11</xdr:col>
      <xdr:colOff>279360</xdr:colOff>
      <xdr:row>618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168</xdr:row>
      <xdr:rowOff>27711</xdr:rowOff>
    </xdr:from>
    <xdr:to>
      <xdr:col>41</xdr:col>
      <xdr:colOff>533400</xdr:colOff>
      <xdr:row>273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304</xdr:row>
      <xdr:rowOff>0</xdr:rowOff>
    </xdr:from>
    <xdr:to>
      <xdr:col>82</xdr:col>
      <xdr:colOff>0</xdr:colOff>
      <xdr:row>380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623</xdr:row>
      <xdr:rowOff>0</xdr:rowOff>
    </xdr:from>
    <xdr:to>
      <xdr:col>13</xdr:col>
      <xdr:colOff>354240</xdr:colOff>
      <xdr:row>653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403</xdr:row>
      <xdr:rowOff>0</xdr:rowOff>
    </xdr:from>
    <xdr:to>
      <xdr:col>83</xdr:col>
      <xdr:colOff>533400</xdr:colOff>
      <xdr:row>502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51</xdr:row>
      <xdr:rowOff>76321</xdr:rowOff>
    </xdr:from>
    <xdr:to>
      <xdr:col>44</xdr:col>
      <xdr:colOff>533400</xdr:colOff>
      <xdr:row>150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95"/>
  <sheetViews>
    <sheetView tabSelected="1" topLeftCell="B166" zoomScaleNormal="100" workbookViewId="0">
      <selection activeCell="F172" sqref="F17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L177/G177</f>
        <v>4094964.9362283847</v>
      </c>
      <c r="T1" s="3" t="s">
        <v>15</v>
      </c>
      <c r="U1" s="3">
        <f>M177/K177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K177/K62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6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6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3" customFormat="1" ht="21" customHeight="1">
      <c r="A176" s="109"/>
      <c r="B176" s="110" t="s">
        <v>463</v>
      </c>
      <c r="C176" s="111">
        <v>23</v>
      </c>
      <c r="D176" s="112">
        <v>27494</v>
      </c>
      <c r="E176" s="111">
        <v>26882</v>
      </c>
      <c r="F176" s="111">
        <v>27339</v>
      </c>
      <c r="G176" s="111">
        <v>11746800</v>
      </c>
      <c r="H176" s="111">
        <v>31600</v>
      </c>
      <c r="I176" s="111">
        <v>31595</v>
      </c>
      <c r="J176" s="113">
        <v>31558</v>
      </c>
      <c r="K176" s="111">
        <v>915600</v>
      </c>
      <c r="L176" s="135">
        <f t="shared" si="23"/>
        <v>321145765200</v>
      </c>
      <c r="M176" s="135">
        <f t="shared" si="22"/>
        <v>28894504800</v>
      </c>
      <c r="N176" s="113">
        <v>27150</v>
      </c>
      <c r="O176" s="113">
        <v>31911</v>
      </c>
      <c r="P176" s="113">
        <v>27768</v>
      </c>
      <c r="Q176" s="113">
        <v>31916</v>
      </c>
      <c r="R176" s="111"/>
      <c r="S176" s="111"/>
      <c r="T176" s="111"/>
      <c r="U176" s="111"/>
      <c r="V176" s="113">
        <v>28720</v>
      </c>
      <c r="X176" s="113">
        <v>28580</v>
      </c>
      <c r="Y176" s="113">
        <v>32804</v>
      </c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2"/>
      <c r="AT176" s="112"/>
      <c r="AU176" s="112"/>
      <c r="AV176" s="112"/>
      <c r="AW176" s="112"/>
      <c r="AX176" s="112"/>
      <c r="AY176" s="111"/>
      <c r="AZ176" s="111"/>
      <c r="BA176" s="111"/>
      <c r="BB176" s="111"/>
      <c r="BC176" s="111"/>
      <c r="BE176" s="114"/>
      <c r="BF176" s="114"/>
      <c r="BG176" s="114"/>
      <c r="BH176" s="114"/>
    </row>
    <row r="177" spans="1:62" ht="18">
      <c r="A177" s="7"/>
      <c r="B177" s="8"/>
      <c r="C177" s="8"/>
      <c r="D177" s="26"/>
      <c r="E177" s="8"/>
      <c r="F177" s="8"/>
      <c r="G177" s="8">
        <f>SUM(G2:G176)/175</f>
        <v>6665837.1371428575</v>
      </c>
      <c r="H177" s="8"/>
      <c r="I177" s="8"/>
      <c r="J177" s="8"/>
      <c r="K177" s="8">
        <f>SUM(K2:K126)</f>
        <v>125564600</v>
      </c>
      <c r="L177" s="8">
        <f>SUM(L2:L169)</f>
        <v>27296369347209</v>
      </c>
      <c r="M177" s="9">
        <f>SUM(M2:M169)</f>
        <v>5008813900300</v>
      </c>
      <c r="N177" s="9"/>
      <c r="O177" s="9"/>
      <c r="P177" s="9"/>
      <c r="Q177" s="9"/>
      <c r="R177" s="9"/>
      <c r="S177" s="9"/>
      <c r="T177" s="9"/>
      <c r="U177" s="9"/>
      <c r="V177" s="132">
        <v>28710</v>
      </c>
      <c r="W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Y177" s="9"/>
      <c r="AZ177" s="9"/>
      <c r="BA177" s="9"/>
      <c r="BB177" s="9"/>
      <c r="BC177" s="9"/>
      <c r="BD177" s="9"/>
      <c r="BE177" s="10"/>
      <c r="BF177" s="10"/>
      <c r="BG177" s="10"/>
      <c r="BH177" s="10"/>
      <c r="BI177" t="e">
        <f>#REF!-N177</f>
        <v>#REF!</v>
      </c>
      <c r="BJ177" t="e">
        <f>(Y177-O177)/O177</f>
        <v>#DIV/0!</v>
      </c>
    </row>
    <row r="178" spans="1:62" ht="18">
      <c r="D178" s="26"/>
      <c r="V178" s="134">
        <v>28700</v>
      </c>
      <c r="Z178" s="25"/>
      <c r="AB178" s="25"/>
      <c r="AS178" s="25"/>
      <c r="AW178" s="30"/>
    </row>
    <row r="179" spans="1:62" ht="18">
      <c r="D179" s="26"/>
      <c r="V179" s="134">
        <v>28720</v>
      </c>
      <c r="Z179" s="25"/>
      <c r="AS179" s="26"/>
      <c r="AW179" s="30"/>
      <c r="AY179">
        <f>AY51-AY50</f>
        <v>35000</v>
      </c>
    </row>
    <row r="180" spans="1:62" ht="18">
      <c r="H180">
        <f>(G176-G177)/G177</f>
        <v>0.76223927442592287</v>
      </c>
      <c r="V180" s="134">
        <v>28710</v>
      </c>
      <c r="X180">
        <f>(X175-X169)/X169</f>
        <v>3.0498744169357734E-2</v>
      </c>
      <c r="Z180" s="25"/>
      <c r="AS180" s="26">
        <v>10290000</v>
      </c>
      <c r="AW180" s="30"/>
      <c r="BB180">
        <f>AY60-AY59</f>
        <v>70000</v>
      </c>
    </row>
    <row r="181" spans="1:62" ht="18">
      <c r="I181">
        <f>(G166-G177)/G177</f>
        <v>0.57240565353695194</v>
      </c>
      <c r="T181">
        <f>V137-X140</f>
        <v>-620</v>
      </c>
      <c r="V181" s="25"/>
      <c r="Z181" s="25"/>
      <c r="AS181" s="26"/>
      <c r="AU181">
        <f>AS180-AS49</f>
        <v>195000</v>
      </c>
      <c r="AW181" s="30">
        <f>AC52-AY51</f>
        <v>305000</v>
      </c>
    </row>
    <row r="182" spans="1:62" ht="18">
      <c r="D182" s="99">
        <v>9387100</v>
      </c>
      <c r="G182">
        <f>(G165-G177)/G177</f>
        <v>0.68428957518938949</v>
      </c>
      <c r="V182" s="25"/>
      <c r="Z182" s="25"/>
      <c r="AW182" s="30"/>
    </row>
    <row r="183" spans="1:62" ht="17.25" customHeight="1">
      <c r="D183" s="99">
        <v>7622400</v>
      </c>
      <c r="V183" s="25"/>
      <c r="Z183" s="25"/>
    </row>
    <row r="184" spans="1:62" ht="18">
      <c r="D184" s="99">
        <v>9805000</v>
      </c>
      <c r="V184" s="25"/>
      <c r="Z184" s="25"/>
      <c r="AW184">
        <f>AW181/AY51</f>
        <v>2.9539951573849879E-2</v>
      </c>
    </row>
    <row r="185" spans="1:62" ht="18">
      <c r="D185" s="99">
        <v>12098700</v>
      </c>
      <c r="V185" s="25"/>
    </row>
    <row r="186" spans="1:62" ht="18">
      <c r="D186" s="99">
        <v>8231300</v>
      </c>
      <c r="V186" s="25"/>
    </row>
    <row r="187" spans="1:62" ht="18">
      <c r="D187" s="117">
        <v>8525400</v>
      </c>
    </row>
    <row r="188" spans="1:62" ht="18">
      <c r="D188" s="117">
        <v>8525400</v>
      </c>
    </row>
    <row r="189" spans="1:62" ht="18">
      <c r="D189" s="123">
        <v>11227200</v>
      </c>
    </row>
    <row r="190" spans="1:62" ht="18">
      <c r="D190" s="117">
        <v>10481400</v>
      </c>
      <c r="G190" s="9">
        <v>8861800</v>
      </c>
    </row>
    <row r="191" spans="1:62" ht="18">
      <c r="D191" s="111">
        <v>10300800</v>
      </c>
      <c r="G191" s="9">
        <v>8230700</v>
      </c>
    </row>
    <row r="192" spans="1:62" ht="18">
      <c r="D192">
        <f>SUM(D182:D191)/10</f>
        <v>9620470</v>
      </c>
      <c r="G192" s="9">
        <v>8995300</v>
      </c>
    </row>
    <row r="193" spans="7:7" ht="18">
      <c r="G193" s="9">
        <v>10062100</v>
      </c>
    </row>
    <row r="194" spans="7:7" ht="18">
      <c r="G194" s="9">
        <v>8462400</v>
      </c>
    </row>
    <row r="195" spans="7:7">
      <c r="G195">
        <f>SUM(G190:G194)</f>
        <v>44612300</v>
      </c>
    </row>
  </sheetData>
  <autoFilter ref="A1:BL18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zoomScale="55" zoomScaleNormal="55" workbookViewId="0">
      <selection activeCell="E18" sqref="E1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>
      <c r="B34">
        <f>(B2-B8)/B2</f>
        <v>0.15346494762288476</v>
      </c>
      <c r="C34">
        <f>(C2-C8)/C2</f>
        <v>0.1154959674639829</v>
      </c>
      <c r="D34">
        <f>SUM(D2:D16)/15</f>
        <v>29639479.933333334</v>
      </c>
    </row>
    <row r="38" spans="1:11">
      <c r="D38">
        <v>5375132</v>
      </c>
      <c r="E38">
        <f>(E17-D38)/D38</f>
        <v>4.5958809321644006E-2</v>
      </c>
      <c r="G38">
        <f t="shared" ref="G38:G46" si="0">B3-B2</f>
        <v>-554</v>
      </c>
    </row>
    <row r="39" spans="1:11">
      <c r="G39">
        <f t="shared" si="0"/>
        <v>-302</v>
      </c>
    </row>
    <row r="40" spans="1:11">
      <c r="C40">
        <f>(D38-E16)/E16</f>
        <v>0.17110375179746395</v>
      </c>
      <c r="G40">
        <f t="shared" si="0"/>
        <v>-511</v>
      </c>
    </row>
    <row r="41" spans="1:11">
      <c r="G41">
        <f t="shared" si="0"/>
        <v>-362</v>
      </c>
    </row>
    <row r="42" spans="1:11">
      <c r="G42">
        <f t="shared" si="0"/>
        <v>-1699</v>
      </c>
    </row>
    <row r="43" spans="1:11">
      <c r="G43">
        <f t="shared" si="0"/>
        <v>-381</v>
      </c>
    </row>
    <row r="44" spans="1:11">
      <c r="G44">
        <f t="shared" si="0"/>
        <v>1075</v>
      </c>
    </row>
    <row r="45" spans="1:11">
      <c r="F45">
        <f>(F33-F32)/F32</f>
        <v>0.23948268173034043</v>
      </c>
      <c r="G45">
        <f t="shared" si="0"/>
        <v>151</v>
      </c>
    </row>
    <row r="46" spans="1:11">
      <c r="G46">
        <f t="shared" si="0"/>
        <v>1043</v>
      </c>
    </row>
  </sheetData>
  <autoFilter ref="A1:K46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40"/>
  <sheetViews>
    <sheetView topLeftCell="A1324" zoomScale="85" zoomScaleNormal="85" workbookViewId="0">
      <selection activeCell="H1339" sqref="H133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462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6" t="s">
        <v>464</v>
      </c>
      <c r="B1330" s="136"/>
      <c r="C1330" s="136"/>
      <c r="D1330" s="13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0" spans="1:4">
      <c r="D1340">
        <f>3.673*C1338</f>
        <v>28575.94</v>
      </c>
    </row>
  </sheetData>
  <mergeCells count="119">
    <mergeCell ref="A1318:D1318"/>
    <mergeCell ref="A1294:D1294"/>
    <mergeCell ref="A1234:D1234"/>
    <mergeCell ref="A1209:D1209"/>
    <mergeCell ref="A1197:D1197"/>
    <mergeCell ref="A1173:D1173"/>
    <mergeCell ref="A1162:D1162"/>
    <mergeCell ref="A1149:D1149"/>
    <mergeCell ref="A1136:D1136"/>
    <mergeCell ref="A1306:D1306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738:D738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330:D1330"/>
    <mergeCell ref="A831:D831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635:D635"/>
    <mergeCell ref="A647:D647"/>
    <mergeCell ref="A379:D379"/>
    <mergeCell ref="A658:D658"/>
    <mergeCell ref="A670:D670"/>
    <mergeCell ref="A681:D681"/>
    <mergeCell ref="A842:D842"/>
    <mergeCell ref="A854:D854"/>
    <mergeCell ref="A749:D749"/>
    <mergeCell ref="A760:D760"/>
    <mergeCell ref="A772:D772"/>
    <mergeCell ref="A784:D784"/>
    <mergeCell ref="A796:D79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7" t="s">
        <v>373</v>
      </c>
      <c r="B1" s="137"/>
      <c r="C1" s="13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9"/>
  <sheetViews>
    <sheetView topLeftCell="A37" zoomScale="85" zoomScaleNormal="85" workbookViewId="0">
      <selection activeCell="I15" sqref="I1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9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9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13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13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  <c r="J109">
        <v>-0.49</v>
      </c>
      <c r="K109">
        <v>-1.1000000000000001</v>
      </c>
      <c r="L109">
        <v>0.28999999999999998</v>
      </c>
      <c r="M109">
        <v>0.23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2021-11-14T13:30:02Z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