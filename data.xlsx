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set'!$A$1:$BN$247</definedName>
    <definedName name="_xlnm._FilterDatabase" localSheetId="1" hidden="1">weekly!$A$1:$K$57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47" i="1" l="1"/>
  <c r="H167" i="5" l="1"/>
  <c r="G167" i="5"/>
  <c r="F167" i="5"/>
  <c r="D2214" i="3" l="1"/>
  <c r="D2210" i="3"/>
  <c r="V250" i="1"/>
  <c r="D2185" i="3" l="1"/>
  <c r="H166" i="5" l="1"/>
  <c r="G166" i="5"/>
  <c r="F166" i="5"/>
  <c r="N248" i="1" l="1"/>
  <c r="N246" i="1"/>
  <c r="D246" i="1"/>
  <c r="P245" i="1"/>
  <c r="D2177" i="3" l="1"/>
  <c r="X250" i="1"/>
  <c r="H165" i="5" l="1"/>
  <c r="G165" i="5"/>
  <c r="F165" i="5"/>
  <c r="Y250" i="1"/>
  <c r="Y245" i="1"/>
  <c r="O247" i="1"/>
  <c r="E247" i="1"/>
  <c r="Y247" i="1" l="1"/>
  <c r="H164" i="5" l="1"/>
  <c r="G164" i="5"/>
  <c r="F164" i="5"/>
  <c r="W255" i="1"/>
  <c r="W256" i="1"/>
  <c r="D2162" i="3"/>
  <c r="H163" i="5" l="1"/>
  <c r="G163" i="5"/>
  <c r="F163" i="5"/>
  <c r="D2152" i="3"/>
  <c r="D2149" i="3"/>
  <c r="W246" i="1"/>
  <c r="A47" i="2" l="1"/>
  <c r="B45" i="2"/>
  <c r="D2135" i="3"/>
  <c r="H162" i="5" l="1"/>
  <c r="G162" i="5"/>
  <c r="F162" i="5"/>
  <c r="E253" i="1"/>
  <c r="F251" i="1"/>
  <c r="E250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5" i="2"/>
  <c r="C47" i="2"/>
  <c r="H46" i="2"/>
  <c r="B48" i="2"/>
  <c r="D2061" i="3"/>
  <c r="H157" i="5" l="1"/>
  <c r="G157" i="5"/>
  <c r="F157" i="5"/>
  <c r="H156" i="5" l="1"/>
  <c r="G156" i="5"/>
  <c r="F156" i="5"/>
  <c r="H155" i="5" l="1"/>
  <c r="G155" i="5"/>
  <c r="F155" i="5"/>
  <c r="V255" i="1"/>
  <c r="P248" i="1"/>
  <c r="H154" i="5" l="1"/>
  <c r="G154" i="5"/>
  <c r="F154" i="5"/>
  <c r="Y256" i="1"/>
  <c r="Y258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5" i="1" l="1"/>
  <c r="M216" i="1"/>
  <c r="L216" i="1"/>
  <c r="D1850" i="3" l="1"/>
  <c r="M215" i="1"/>
  <c r="L215" i="1"/>
  <c r="Y255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5" i="2" l="1"/>
  <c r="E47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1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2" i="1"/>
  <c r="N253" i="1"/>
  <c r="N254" i="1"/>
  <c r="N255" i="1"/>
  <c r="N256" i="1"/>
  <c r="N257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8" i="2" l="1"/>
  <c r="J47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6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7" i="2"/>
  <c r="G56" i="2"/>
  <c r="G55" i="2"/>
  <c r="G54" i="2"/>
  <c r="G53" i="2"/>
  <c r="G52" i="2"/>
  <c r="G51" i="2"/>
  <c r="G50" i="2"/>
  <c r="G49" i="2"/>
  <c r="C4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9" i="2" s="1"/>
  <c r="G16" i="2"/>
  <c r="E16" i="2"/>
  <c r="C5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5" i="1" l="1"/>
  <c r="S1" i="1" s="1"/>
  <c r="M245" i="1"/>
  <c r="U1" i="1" s="1"/>
</calcChain>
</file>

<file path=xl/sharedStrings.xml><?xml version="1.0" encoding="utf-8"?>
<sst xmlns="http://schemas.openxmlformats.org/spreadsheetml/2006/main" count="2192" uniqueCount="616">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</sst>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6496"/>
        <c:axId val="-505051936"/>
      </c:lineChart>
      <c:catAx>
        <c:axId val="-50504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1936"/>
        <c:crosses val="autoZero"/>
        <c:auto val="1"/>
        <c:lblAlgn val="ctr"/>
        <c:lblOffset val="100"/>
        <c:noMultiLvlLbl val="0"/>
      </c:catAx>
      <c:valAx>
        <c:axId val="-505051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64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weekly!$B$27:$B$44</c15:sqref>
                  </c15:fullRef>
                </c:ext>
              </c:extLst>
              <c:f>weekly!$B$28:$B$44</c:f>
              <c:numCache>
                <c:formatCode>General</c:formatCode>
                <c:ptCount val="1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weekly!$H$27:$H$44</c15:sqref>
                  </c15:fullRef>
                </c:ext>
              </c:extLst>
              <c:f>weekly!$H$28:$H$44</c:f>
              <c:numCache>
                <c:formatCode>General</c:formatCode>
                <c:ptCount val="1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51392"/>
        <c:axId val="-50505084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50505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0848"/>
        <c:crosses val="autoZero"/>
        <c:auto val="1"/>
        <c:lblAlgn val="ctr"/>
        <c:lblOffset val="100"/>
        <c:noMultiLvlLbl val="0"/>
      </c:catAx>
      <c:valAx>
        <c:axId val="-5050508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50304"/>
        <c:axId val="-505049760"/>
      </c:lineChart>
      <c:catAx>
        <c:axId val="-50505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9760"/>
        <c:crosses val="autoZero"/>
        <c:auto val="1"/>
        <c:lblAlgn val="ctr"/>
        <c:lblOffset val="100"/>
        <c:noMultiLvlLbl val="0"/>
      </c:catAx>
      <c:valAx>
        <c:axId val="-505049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03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9216"/>
        <c:axId val="-505048672"/>
      </c:lineChart>
      <c:catAx>
        <c:axId val="-5050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8672"/>
        <c:crosses val="autoZero"/>
        <c:auto val="1"/>
        <c:lblAlgn val="ctr"/>
        <c:lblOffset val="100"/>
        <c:noMultiLvlLbl val="0"/>
      </c:catAx>
      <c:valAx>
        <c:axId val="-50504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9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8128"/>
        <c:axId val="-505047584"/>
      </c:lineChart>
      <c:catAx>
        <c:axId val="-5050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7584"/>
        <c:crosses val="autoZero"/>
        <c:auto val="1"/>
        <c:lblAlgn val="ctr"/>
        <c:lblOffset val="100"/>
        <c:noMultiLvlLbl val="0"/>
      </c:catAx>
      <c:valAx>
        <c:axId val="-505047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8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weekly!$C$27:$C$44</c15:sqref>
                  </c15:fullRef>
                </c:ext>
              </c:extLst>
              <c:f>weekly!$C$28:$C$44</c:f>
              <c:numCache>
                <c:formatCode>General</c:formatCode>
                <c:ptCount val="1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weekly!$I$27:$I$44</c15:sqref>
                  </c15:fullRef>
                </c:ext>
              </c:extLst>
              <c:f>weekly!$I$28:$I$44</c:f>
              <c:numCache>
                <c:formatCode>General</c:formatCode>
                <c:ptCount val="1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7040"/>
        <c:axId val="-65351009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50504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53510096"/>
        <c:crosses val="autoZero"/>
        <c:auto val="1"/>
        <c:lblAlgn val="ctr"/>
        <c:lblOffset val="100"/>
        <c:noMultiLvlLbl val="0"/>
      </c:catAx>
      <c:valAx>
        <c:axId val="-65351009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70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63325248"/>
        <c:axId val="-563324160"/>
      </c:barChart>
      <c:catAx>
        <c:axId val="-56332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4160"/>
        <c:crosses val="autoZero"/>
        <c:auto val="1"/>
        <c:lblAlgn val="ctr"/>
        <c:lblOffset val="100"/>
        <c:noMultiLvlLbl val="0"/>
      </c:catAx>
      <c:valAx>
        <c:axId val="-563324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52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چهارشنبه 13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5"/>
          <c:order val="8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change'!$F$167:$I$167</c:f>
              <c:numCache>
                <c:formatCode>General</c:formatCode>
                <c:ptCount val="4"/>
                <c:pt idx="0">
                  <c:v>-0.97157250809643758</c:v>
                </c:pt>
                <c:pt idx="1">
                  <c:v>-0.49019607843137253</c:v>
                </c:pt>
                <c:pt idx="2">
                  <c:v>-0.79664914586070956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63320896"/>
        <c:axId val="-5633257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5633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5792"/>
        <c:crosses val="autoZero"/>
        <c:auto val="1"/>
        <c:lblAlgn val="ctr"/>
        <c:lblOffset val="100"/>
        <c:noMultiLvlLbl val="0"/>
      </c:catAx>
      <c:valAx>
        <c:axId val="-563325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08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599</xdr:row>
      <xdr:rowOff>102960</xdr:rowOff>
    </xdr:from>
    <xdr:to>
      <xdr:col>11</xdr:col>
      <xdr:colOff>279360</xdr:colOff>
      <xdr:row>629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179</xdr:row>
      <xdr:rowOff>27711</xdr:rowOff>
    </xdr:from>
    <xdr:to>
      <xdr:col>53</xdr:col>
      <xdr:colOff>335280</xdr:colOff>
      <xdr:row>284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315</xdr:row>
      <xdr:rowOff>0</xdr:rowOff>
    </xdr:from>
    <xdr:to>
      <xdr:col>82</xdr:col>
      <xdr:colOff>0</xdr:colOff>
      <xdr:row>391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634</xdr:row>
      <xdr:rowOff>0</xdr:rowOff>
    </xdr:from>
    <xdr:to>
      <xdr:col>13</xdr:col>
      <xdr:colOff>354240</xdr:colOff>
      <xdr:row>664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414</xdr:row>
      <xdr:rowOff>0</xdr:rowOff>
    </xdr:from>
    <xdr:to>
      <xdr:col>83</xdr:col>
      <xdr:colOff>533400</xdr:colOff>
      <xdr:row>513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62</xdr:row>
      <xdr:rowOff>76321</xdr:rowOff>
    </xdr:from>
    <xdr:to>
      <xdr:col>44</xdr:col>
      <xdr:colOff>533400</xdr:colOff>
      <xdr:row>161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0"/>
  <sheetViews>
    <sheetView topLeftCell="X1" zoomScaleNormal="100" workbookViewId="0">
      <pane ySplit="1" topLeftCell="A232" activePane="bottomLeft" state="frozen"/>
      <selection activeCell="B1" sqref="B1"/>
      <selection pane="bottomLeft" activeCell="AA243" sqref="AA24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L245/G245</f>
        <v>#DIV/0!</v>
      </c>
      <c r="T1" s="3" t="s">
        <v>15</v>
      </c>
      <c r="U1" s="3">
        <f>M245/K245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36" customFormat="1" ht="18">
      <c r="B244" s="131" t="s">
        <v>614</v>
      </c>
      <c r="C244" s="104">
        <v>13</v>
      </c>
      <c r="D244" s="137">
        <v>24900</v>
      </c>
      <c r="H244" s="136">
        <v>28216</v>
      </c>
      <c r="L244" s="208"/>
      <c r="M244" s="208"/>
      <c r="P244" s="136">
        <v>25149</v>
      </c>
      <c r="Q244" s="136">
        <v>28498</v>
      </c>
      <c r="V244" s="136">
        <v>27680</v>
      </c>
      <c r="X244" s="136">
        <v>27520</v>
      </c>
      <c r="Z244" s="138"/>
      <c r="AB244" s="137"/>
      <c r="AS244" s="137"/>
      <c r="AW244" s="137"/>
      <c r="BI244" s="177"/>
      <c r="BO244" s="151"/>
      <c r="BP244" s="151"/>
      <c r="BQ244" s="151"/>
      <c r="BR244" s="151"/>
    </row>
    <row r="245" spans="2:70" ht="18">
      <c r="D245" s="26"/>
      <c r="K245">
        <f>SUM(K2:K216)</f>
        <v>210358000</v>
      </c>
      <c r="L245" s="142">
        <f>SUM(L2:L216)</f>
        <v>38488576407409</v>
      </c>
      <c r="M245" s="142">
        <f>SUM(M2:M216)</f>
        <v>6182194847600</v>
      </c>
      <c r="P245">
        <f>P243-N242</f>
        <v>227</v>
      </c>
      <c r="V245" s="144">
        <v>27670</v>
      </c>
      <c r="Y245">
        <f>(38179-36734)/36734</f>
        <v>3.9336854140578213E-2</v>
      </c>
      <c r="Z245" s="25"/>
      <c r="AS245" s="26"/>
      <c r="AW245" s="30"/>
    </row>
    <row r="246" spans="2:70" ht="18">
      <c r="D246">
        <f>D243-F242</f>
        <v>65</v>
      </c>
      <c r="N246">
        <f>(38955-36945)/36945</f>
        <v>5.4405196914332113E-2</v>
      </c>
      <c r="V246" s="152">
        <v>27660</v>
      </c>
      <c r="W246">
        <f>V240-X239</f>
        <v>380</v>
      </c>
      <c r="Z246" s="25"/>
      <c r="AS246" s="26"/>
      <c r="AW246" s="30"/>
    </row>
    <row r="247" spans="2:70" ht="18">
      <c r="E247">
        <f>D242-F241</f>
        <v>101</v>
      </c>
      <c r="O247">
        <f>P242-N241</f>
        <v>249</v>
      </c>
      <c r="W247" s="152"/>
      <c r="X247">
        <f>X244-X243</f>
        <v>-270</v>
      </c>
      <c r="Y247">
        <f>Y241-Y240</f>
        <v>-570</v>
      </c>
      <c r="Z247" s="25"/>
      <c r="AS247" s="26"/>
      <c r="AW247" s="30"/>
    </row>
    <row r="248" spans="2:70" ht="18">
      <c r="D248" s="93"/>
      <c r="N248">
        <f>(2785-2525)/2525</f>
        <v>0.10297029702970296</v>
      </c>
      <c r="P248">
        <f>P230-N229</f>
        <v>24</v>
      </c>
      <c r="W248" s="152"/>
      <c r="Z248" s="25"/>
      <c r="AW248" s="30"/>
    </row>
    <row r="249" spans="2:70" ht="17.25" customHeight="1">
      <c r="D249" s="93"/>
      <c r="P249" t="s">
        <v>523</v>
      </c>
      <c r="Q249" t="s">
        <v>524</v>
      </c>
      <c r="W249" s="152"/>
      <c r="Z249" s="25"/>
    </row>
    <row r="250" spans="2:70" ht="18">
      <c r="D250" s="93"/>
      <c r="E250">
        <f>(28300-25088)/25088</f>
        <v>0.12802933673469388</v>
      </c>
      <c r="O250" s="126" t="s">
        <v>503</v>
      </c>
      <c r="P250">
        <v>-178</v>
      </c>
      <c r="Q250">
        <v>-180</v>
      </c>
      <c r="V250" s="25">
        <f>V244-X243</f>
        <v>-110</v>
      </c>
      <c r="W250" s="152"/>
      <c r="X250">
        <f>X242-X241</f>
        <v>-150</v>
      </c>
      <c r="Y250">
        <f>(2631-2489)/2489</f>
        <v>5.7051024507834475E-2</v>
      </c>
      <c r="Z250" s="25"/>
    </row>
    <row r="251" spans="2:70" ht="18">
      <c r="D251" s="93"/>
      <c r="F251">
        <f>(37881-36136)/37136</f>
        <v>4.6989444205084017E-2</v>
      </c>
      <c r="H251">
        <f>(27376-26532)/26532</f>
        <v>3.1810643750942259E-2</v>
      </c>
      <c r="O251" s="132" t="s">
        <v>505</v>
      </c>
      <c r="P251">
        <v>59</v>
      </c>
      <c r="Q251">
        <v>59</v>
      </c>
      <c r="V251" s="25"/>
      <c r="W251" s="152"/>
    </row>
    <row r="252" spans="2:70" ht="18">
      <c r="D252" s="93"/>
      <c r="N252">
        <f t="shared" ref="N252:N256" si="42">N199-N198</f>
        <v>-15</v>
      </c>
      <c r="O252" s="132" t="s">
        <v>507</v>
      </c>
      <c r="P252">
        <v>-17</v>
      </c>
      <c r="Q252">
        <v>-16</v>
      </c>
      <c r="V252" s="25"/>
      <c r="W252" s="152"/>
    </row>
    <row r="253" spans="2:70" ht="18">
      <c r="D253" s="107"/>
      <c r="E253">
        <f>(2499-2381)/2381</f>
        <v>4.9559008819823606E-2</v>
      </c>
      <c r="N253">
        <f t="shared" si="42"/>
        <v>-12</v>
      </c>
      <c r="O253" s="132" t="s">
        <v>509</v>
      </c>
      <c r="P253">
        <v>-163</v>
      </c>
      <c r="Q253">
        <v>-165</v>
      </c>
      <c r="W253" s="144"/>
    </row>
    <row r="254" spans="2:70" ht="18">
      <c r="D254" s="107"/>
      <c r="N254">
        <f t="shared" si="42"/>
        <v>-137</v>
      </c>
      <c r="O254" s="132" t="s">
        <v>511</v>
      </c>
      <c r="P254">
        <v>50</v>
      </c>
      <c r="Q254">
        <v>50</v>
      </c>
      <c r="W254" s="144"/>
      <c r="X254" s="109"/>
    </row>
    <row r="255" spans="2:70" ht="18">
      <c r="D255" s="113"/>
      <c r="N255">
        <f t="shared" si="42"/>
        <v>-138</v>
      </c>
      <c r="O255" s="145" t="s">
        <v>513</v>
      </c>
      <c r="P255">
        <v>-15</v>
      </c>
      <c r="Q255">
        <v>-15</v>
      </c>
      <c r="V255">
        <f>(3376-3251)/3251</f>
        <v>3.8449707782220857E-2</v>
      </c>
      <c r="W255" s="144">
        <f>(2628-2533)/2533</f>
        <v>3.750493485984998E-2</v>
      </c>
      <c r="X255" s="109"/>
      <c r="Y255">
        <f>(W253-X215)/X215</f>
        <v>-1</v>
      </c>
    </row>
    <row r="256" spans="2:70" ht="18">
      <c r="D256" s="107"/>
      <c r="G256" s="9"/>
      <c r="N256">
        <f t="shared" si="42"/>
        <v>-43</v>
      </c>
      <c r="O256" s="145" t="s">
        <v>515</v>
      </c>
      <c r="P256">
        <v>-12</v>
      </c>
      <c r="Q256">
        <v>-12</v>
      </c>
      <c r="W256">
        <f>(38576-37406)/37406</f>
        <v>3.1278404534031974E-2</v>
      </c>
      <c r="X256" s="109"/>
      <c r="Y256">
        <f>(43725-42669)/42669</f>
        <v>2.4748646558391339E-2</v>
      </c>
    </row>
    <row r="257" spans="4:25" ht="18">
      <c r="D257" s="103"/>
      <c r="G257" s="9"/>
      <c r="N257">
        <f>N245-N203</f>
        <v>-27379</v>
      </c>
      <c r="O257" s="148" t="s">
        <v>517</v>
      </c>
      <c r="P257">
        <v>-136</v>
      </c>
      <c r="Q257">
        <v>-137</v>
      </c>
      <c r="X257" s="109"/>
    </row>
    <row r="258" spans="4:25" ht="18">
      <c r="G258" s="9"/>
      <c r="O258" s="145" t="s">
        <v>519</v>
      </c>
      <c r="P258">
        <v>-137</v>
      </c>
      <c r="Q258">
        <v>-138</v>
      </c>
      <c r="X258" s="109"/>
      <c r="Y258">
        <f>(3365-3279)/3279</f>
        <v>2.6227508386703263E-2</v>
      </c>
    </row>
    <row r="259" spans="4:25" ht="18">
      <c r="G259" s="9"/>
      <c r="O259" s="131" t="s">
        <v>521</v>
      </c>
      <c r="P259">
        <v>-42</v>
      </c>
      <c r="Q259">
        <v>-43</v>
      </c>
      <c r="X259" s="109"/>
    </row>
    <row r="260" spans="4:25" ht="18">
      <c r="G260" s="9"/>
    </row>
  </sheetData>
  <autoFilter ref="A1:BN24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A31" zoomScale="70" zoomScaleNormal="70" workbookViewId="0">
      <selection activeCell="C50" sqref="C5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>
      <c r="B45">
        <f>(B2-B8)/B2</f>
        <v>0.15346494762288476</v>
      </c>
      <c r="C45">
        <f>(C2-C8)/C2</f>
        <v>0.1154959674639829</v>
      </c>
      <c r="D45">
        <f>SUM(D2:D39)/38</f>
        <v>37702089.447368421</v>
      </c>
      <c r="I45">
        <f>I43-I42</f>
        <v>-332</v>
      </c>
    </row>
    <row r="46" spans="1:11">
      <c r="H46">
        <f>(H43-H42)/H42</f>
        <v>-1.9771428571428572E-2</v>
      </c>
    </row>
    <row r="47" spans="1:11">
      <c r="A47">
        <f>(B44-B43)</f>
        <v>-250</v>
      </c>
      <c r="C47">
        <f>(C43-C42)/C42</f>
        <v>-1.2137997059527473E-2</v>
      </c>
      <c r="E47">
        <f>(D39-D45)/D45</f>
        <v>0.21324840799221964</v>
      </c>
      <c r="J47">
        <f>(D36-D35)/D35</f>
        <v>-0.50773339408667473</v>
      </c>
    </row>
    <row r="48" spans="1:11">
      <c r="B48">
        <f>(B43-B42)/B42</f>
        <v>-1.4413787773398253E-2</v>
      </c>
      <c r="F48">
        <f>(F36-F35)/F35</f>
        <v>-0.62892307692307692</v>
      </c>
    </row>
    <row r="49" spans="3:10">
      <c r="D49">
        <v>5375132</v>
      </c>
      <c r="E49">
        <f>(E17-D49)/D49</f>
        <v>4.5958809321644006E-2</v>
      </c>
      <c r="G49">
        <f t="shared" ref="G49:G57" si="2">B3-B2</f>
        <v>-554</v>
      </c>
    </row>
    <row r="50" spans="3:10">
      <c r="G50">
        <f t="shared" si="2"/>
        <v>-302</v>
      </c>
    </row>
    <row r="51" spans="3:10">
      <c r="C51">
        <f>(D49-E16)/E16</f>
        <v>0.17110375179746395</v>
      </c>
      <c r="G51">
        <f t="shared" si="2"/>
        <v>-511</v>
      </c>
    </row>
    <row r="52" spans="3:10">
      <c r="G52">
        <f t="shared" si="2"/>
        <v>-362</v>
      </c>
    </row>
    <row r="53" spans="3:10">
      <c r="G53">
        <f t="shared" si="2"/>
        <v>-1699</v>
      </c>
    </row>
    <row r="54" spans="3:10">
      <c r="G54">
        <f t="shared" si="2"/>
        <v>-381</v>
      </c>
    </row>
    <row r="55" spans="3:10">
      <c r="G55">
        <f t="shared" si="2"/>
        <v>1075</v>
      </c>
    </row>
    <row r="56" spans="3:10">
      <c r="F56">
        <f>(F33-F32)/F32</f>
        <v>0.23948268173034043</v>
      </c>
      <c r="G56">
        <f t="shared" si="2"/>
        <v>151</v>
      </c>
      <c r="J56">
        <f>(F34-F35)/F34</f>
        <v>0.13877341459779063</v>
      </c>
    </row>
    <row r="57" spans="3:10">
      <c r="G57">
        <f t="shared" si="2"/>
        <v>1043</v>
      </c>
    </row>
  </sheetData>
  <autoFilter ref="A1:K5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14"/>
  <sheetViews>
    <sheetView topLeftCell="A2186" zoomScaleNormal="100" workbookViewId="0">
      <selection activeCell="D2203" sqref="D220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3">
      <c r="A2193" s="213" t="s">
        <v>615</v>
      </c>
      <c r="B2193" s="213"/>
      <c r="C2193" s="213"/>
    </row>
    <row r="2194" spans="1:3">
      <c r="A2194" s="79" t="s">
        <v>247</v>
      </c>
      <c r="B2194" s="79" t="s">
        <v>250</v>
      </c>
      <c r="C2194" s="79" t="s">
        <v>249</v>
      </c>
    </row>
    <row r="2195" spans="1:3">
      <c r="A2195" s="69">
        <v>0.45833333333333298</v>
      </c>
      <c r="B2195">
        <v>12180000</v>
      </c>
      <c r="C2195" s="79">
        <v>7540</v>
      </c>
    </row>
    <row r="2196" spans="1:3">
      <c r="A2196" s="70" t="s">
        <v>251</v>
      </c>
      <c r="B2196">
        <v>12185000</v>
      </c>
      <c r="C2196" s="79">
        <v>7510</v>
      </c>
    </row>
    <row r="2197" spans="1:3">
      <c r="A2197" s="71" t="s">
        <v>252</v>
      </c>
      <c r="B2197">
        <v>12185000</v>
      </c>
      <c r="C2197" s="79">
        <v>7500</v>
      </c>
    </row>
    <row r="2198" spans="1:3">
      <c r="A2198" s="69" t="s">
        <v>253</v>
      </c>
      <c r="B2198">
        <v>12195000</v>
      </c>
      <c r="C2198" s="79">
        <v>7490</v>
      </c>
    </row>
    <row r="2199" spans="1:3">
      <c r="A2199" s="77">
        <v>0.625</v>
      </c>
      <c r="B2199">
        <v>12210000</v>
      </c>
      <c r="C2199" s="79">
        <v>7480</v>
      </c>
    </row>
    <row r="2200" spans="1:3">
      <c r="A2200" s="70" t="s">
        <v>254</v>
      </c>
      <c r="B2200" s="212">
        <v>12200000</v>
      </c>
      <c r="C2200" s="79">
        <v>7470</v>
      </c>
    </row>
    <row r="2201" spans="1:3">
      <c r="A2201" s="80">
        <v>0.70833333333333337</v>
      </c>
      <c r="B2201" s="79">
        <v>12180000</v>
      </c>
      <c r="C2201" s="79">
        <v>7470</v>
      </c>
    </row>
    <row r="2210" spans="4:4">
      <c r="D2210">
        <f>(39115-38271)/38271</f>
        <v>2.2053251809464085E-2</v>
      </c>
    </row>
    <row r="2214" spans="4:4">
      <c r="D2214">
        <f>(2802-2745)/2745</f>
        <v>2.0765027322404372E-2</v>
      </c>
    </row>
  </sheetData>
  <mergeCells count="188"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17" sqref="D17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7"/>
  <sheetViews>
    <sheetView tabSelected="1" zoomScale="85" zoomScaleNormal="85" workbookViewId="0">
      <selection activeCell="M16" sqref="M16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7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67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2022-02-02T14:37:04Z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