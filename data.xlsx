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455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set'!$A$1:$BN$233</definedName>
    <definedName name="_xlnm._FilterDatabase" localSheetId="1" hidden="1">weekly!$A$1:$K$55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55" i="5" l="1"/>
  <c r="G155" i="5"/>
  <c r="F155" i="5"/>
  <c r="V241" i="1"/>
  <c r="P234" i="1"/>
  <c r="D232" i="1"/>
  <c r="W232" i="1"/>
  <c r="H154" i="5" l="1"/>
  <c r="G154" i="5"/>
  <c r="F154" i="5"/>
  <c r="Y242" i="1"/>
  <c r="Y244" i="1"/>
  <c r="BR228" i="1"/>
  <c r="D2001" i="3" l="1"/>
  <c r="H153" i="5"/>
  <c r="G153" i="5"/>
  <c r="F153" i="5"/>
  <c r="O232" i="1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U232" i="1"/>
  <c r="D1946" i="3" l="1"/>
  <c r="H150" i="5" l="1"/>
  <c r="G150" i="5"/>
  <c r="F150" i="5"/>
  <c r="D1927" i="3" l="1"/>
  <c r="D1934" i="3"/>
  <c r="H149" i="5" l="1"/>
  <c r="G149" i="5"/>
  <c r="F149" i="5"/>
  <c r="Y237" i="1" l="1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31" i="1" l="1"/>
  <c r="M216" i="1"/>
  <c r="L216" i="1"/>
  <c r="D1850" i="3" l="1"/>
  <c r="M215" i="1"/>
  <c r="L215" i="1"/>
  <c r="Y241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3" i="2" l="1"/>
  <c r="E45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37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38" i="1"/>
  <c r="N239" i="1"/>
  <c r="N240" i="1"/>
  <c r="N241" i="1"/>
  <c r="N242" i="1"/>
  <c r="N243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6" i="2" l="1"/>
  <c r="J45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4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4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5" i="2"/>
  <c r="G54" i="2"/>
  <c r="G53" i="2"/>
  <c r="G52" i="2"/>
  <c r="G51" i="2"/>
  <c r="G50" i="2"/>
  <c r="G49" i="2"/>
  <c r="G48" i="2"/>
  <c r="G47" i="2"/>
  <c r="C43" i="2"/>
  <c r="B43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7" i="2" s="1"/>
  <c r="G16" i="2"/>
  <c r="E16" i="2"/>
  <c r="C49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31" i="1" l="1"/>
  <c r="S1" i="1" s="1"/>
  <c r="M231" i="1"/>
  <c r="U1" i="1" s="1"/>
</calcChain>
</file>

<file path=xl/sharedStrings.xml><?xml version="1.0" encoding="utf-8"?>
<sst xmlns="http://schemas.openxmlformats.org/spreadsheetml/2006/main" count="2064" uniqueCount="586">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</sst>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17" borderId="5" xfId="0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750661728"/>
        <c:axId val="-1750664992"/>
      </c:lineChart>
      <c:catAx>
        <c:axId val="-1750661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50664992"/>
        <c:crosses val="autoZero"/>
        <c:auto val="1"/>
        <c:lblAlgn val="ctr"/>
        <c:lblOffset val="100"/>
        <c:noMultiLvlLbl val="0"/>
      </c:catAx>
      <c:valAx>
        <c:axId val="-17506649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5066172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15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0869157614784573E-16"/>
                  <c:y val="1.61358545782575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weekly!$B$27:$B$42</c15:sqref>
                  </c15:fullRef>
                </c:ext>
              </c:extLst>
              <c:f>weekly!$B$28:$B$42</c:f>
              <c:numCache>
                <c:formatCode>General</c:formatCode>
                <c:ptCount val="15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weekly!$H$27:$H$42</c15:sqref>
                  </c15:fullRef>
                </c:ext>
              </c:extLst>
              <c:f>weekly!$H$28:$H$42</c:f>
              <c:numCache>
                <c:formatCode>General</c:formatCode>
                <c:ptCount val="15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750664448"/>
        <c:axId val="-1665005424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weekly!$A$27:$A$42</c15:sqref>
                        </c15:fullRef>
                        <c15:formulaRef>
                          <c15:sqref>weekly!$A$28:$A$42</c15:sqref>
                        </c15:formulaRef>
                      </c:ext>
                    </c:extLst>
                    <c:strCache>
                      <c:ptCount val="15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1750664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65005424"/>
        <c:crosses val="autoZero"/>
        <c:auto val="1"/>
        <c:lblAlgn val="ctr"/>
        <c:lblOffset val="100"/>
        <c:noMultiLvlLbl val="0"/>
      </c:catAx>
      <c:valAx>
        <c:axId val="-1665005424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506644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665009232"/>
        <c:axId val="-1665009776"/>
      </c:lineChart>
      <c:catAx>
        <c:axId val="-1665009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65009776"/>
        <c:crosses val="autoZero"/>
        <c:auto val="1"/>
        <c:lblAlgn val="ctr"/>
        <c:lblOffset val="100"/>
        <c:noMultiLvlLbl val="0"/>
      </c:catAx>
      <c:valAx>
        <c:axId val="-16650097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650092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665003248"/>
        <c:axId val="-1665008688"/>
      </c:lineChart>
      <c:catAx>
        <c:axId val="-1665003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65008688"/>
        <c:crosses val="autoZero"/>
        <c:auto val="1"/>
        <c:lblAlgn val="ctr"/>
        <c:lblOffset val="100"/>
        <c:noMultiLvlLbl val="0"/>
      </c:catAx>
      <c:valAx>
        <c:axId val="-16650086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6500324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665002704"/>
        <c:axId val="-1665007600"/>
      </c:lineChart>
      <c:catAx>
        <c:axId val="-166500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65007600"/>
        <c:crosses val="autoZero"/>
        <c:auto val="1"/>
        <c:lblAlgn val="ctr"/>
        <c:lblOffset val="100"/>
        <c:noMultiLvlLbl val="0"/>
      </c:catAx>
      <c:valAx>
        <c:axId val="-16650076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650027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15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weekly!$C$27:$C$42</c15:sqref>
                  </c15:fullRef>
                </c:ext>
              </c:extLst>
              <c:f>weekly!$C$28:$C$42</c:f>
              <c:numCache>
                <c:formatCode>General</c:formatCode>
                <c:ptCount val="15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weekly!$I$27:$I$42</c15:sqref>
                  </c15:fullRef>
                </c:ext>
              </c:extLst>
              <c:f>weekly!$I$28:$I$42</c:f>
              <c:numCache>
                <c:formatCode>General</c:formatCode>
                <c:ptCount val="15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665008144"/>
        <c:axId val="-166500705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weekly!$A$27:$A$42</c15:sqref>
                        </c15:fullRef>
                        <c15:formulaRef>
                          <c15:sqref>weekly!$A$28:$A$42</c15:sqref>
                        </c15:formulaRef>
                      </c:ext>
                    </c:extLst>
                    <c:strCache>
                      <c:ptCount val="15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166500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65007056"/>
        <c:crosses val="autoZero"/>
        <c:auto val="1"/>
        <c:lblAlgn val="ctr"/>
        <c:lblOffset val="100"/>
        <c:noMultiLvlLbl val="0"/>
      </c:catAx>
      <c:valAx>
        <c:axId val="-166500705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650081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665005968"/>
        <c:axId val="-1665004880"/>
      </c:barChart>
      <c:catAx>
        <c:axId val="-1665005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65004880"/>
        <c:crosses val="autoZero"/>
        <c:auto val="1"/>
        <c:lblAlgn val="ctr"/>
        <c:lblOffset val="100"/>
        <c:noMultiLvlLbl val="0"/>
      </c:catAx>
      <c:valAx>
        <c:axId val="-16650048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6500596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دوشنبه 27 دی ماه سال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73"/>
          <c:order val="73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change'!$F$155:$I$155</c:f>
              <c:numCache>
                <c:formatCode>General</c:formatCode>
                <c:ptCount val="4"/>
                <c:pt idx="0">
                  <c:v>-0.86830680173661356</c:v>
                </c:pt>
                <c:pt idx="1">
                  <c:v>-0.73170731707317072</c:v>
                </c:pt>
                <c:pt idx="2">
                  <c:v>-0.98292378175760098</c:v>
                </c:pt>
                <c:pt idx="3">
                  <c:v>-0.33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665003792"/>
        <c:axId val="-166500433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665003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65004336"/>
        <c:crosses val="autoZero"/>
        <c:auto val="1"/>
        <c:lblAlgn val="ctr"/>
        <c:lblOffset val="100"/>
        <c:noMultiLvlLbl val="0"/>
      </c:catAx>
      <c:valAx>
        <c:axId val="-16650043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6500379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597</xdr:row>
      <xdr:rowOff>102960</xdr:rowOff>
    </xdr:from>
    <xdr:to>
      <xdr:col>11</xdr:col>
      <xdr:colOff>279360</xdr:colOff>
      <xdr:row>627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177</xdr:row>
      <xdr:rowOff>27711</xdr:rowOff>
    </xdr:from>
    <xdr:to>
      <xdr:col>41</xdr:col>
      <xdr:colOff>533400</xdr:colOff>
      <xdr:row>282</xdr:row>
      <xdr:rowOff>91438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313</xdr:row>
      <xdr:rowOff>0</xdr:rowOff>
    </xdr:from>
    <xdr:to>
      <xdr:col>82</xdr:col>
      <xdr:colOff>0</xdr:colOff>
      <xdr:row>389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632</xdr:row>
      <xdr:rowOff>0</xdr:rowOff>
    </xdr:from>
    <xdr:to>
      <xdr:col>13</xdr:col>
      <xdr:colOff>354240</xdr:colOff>
      <xdr:row>662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412</xdr:row>
      <xdr:rowOff>0</xdr:rowOff>
    </xdr:from>
    <xdr:to>
      <xdr:col>83</xdr:col>
      <xdr:colOff>533400</xdr:colOff>
      <xdr:row>511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60</xdr:row>
      <xdr:rowOff>76321</xdr:rowOff>
    </xdr:from>
    <xdr:to>
      <xdr:col>44</xdr:col>
      <xdr:colOff>533400</xdr:colOff>
      <xdr:row>159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46"/>
  <sheetViews>
    <sheetView tabSelected="1" topLeftCell="B1" zoomScaleNormal="100" workbookViewId="0">
      <pane ySplit="1" topLeftCell="A214" activePane="bottomLeft" state="frozen"/>
      <selection activeCell="B1" sqref="B1"/>
      <selection pane="bottomLeft" activeCell="D225" sqref="D225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L231/G231</f>
        <v>#DIV/0!</v>
      </c>
      <c r="T1" s="3" t="s">
        <v>15</v>
      </c>
      <c r="U1" s="3">
        <f>M231/K231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36" customFormat="1" ht="18">
      <c r="B230" s="131" t="s">
        <v>584</v>
      </c>
      <c r="C230" s="104">
        <v>27</v>
      </c>
      <c r="D230" s="137">
        <v>25583</v>
      </c>
      <c r="H230" s="136">
        <v>28731</v>
      </c>
      <c r="L230" s="208"/>
      <c r="M230" s="208"/>
      <c r="P230" s="136">
        <v>25839</v>
      </c>
      <c r="Q230" s="136">
        <v>29018</v>
      </c>
      <c r="V230" s="136">
        <v>27480</v>
      </c>
      <c r="X230" s="136">
        <v>27400</v>
      </c>
      <c r="Y230" s="136">
        <v>31384</v>
      </c>
      <c r="Z230" s="138"/>
      <c r="AB230" s="137"/>
      <c r="AS230" s="137"/>
      <c r="AW230" s="137"/>
      <c r="BI230" s="177"/>
      <c r="BO230" s="151"/>
      <c r="BP230" s="151"/>
      <c r="BQ230" s="151"/>
      <c r="BR230" s="151"/>
    </row>
    <row r="231" spans="2:70" ht="18">
      <c r="D231" s="26"/>
      <c r="K231">
        <f>SUM(K2:K216)</f>
        <v>210358000</v>
      </c>
      <c r="L231" s="142">
        <f>SUM(L2:L216)</f>
        <v>38488576407409</v>
      </c>
      <c r="M231" s="142">
        <f>SUM(M2:M216)</f>
        <v>6182194847600</v>
      </c>
      <c r="V231">
        <v>27450</v>
      </c>
      <c r="Z231" s="25"/>
      <c r="AS231" s="26"/>
      <c r="AW231" s="30"/>
    </row>
    <row r="232" spans="2:70" ht="18">
      <c r="D232">
        <f>D230-F229</f>
        <v>-241</v>
      </c>
      <c r="O232">
        <f>P228-N227</f>
        <v>-190</v>
      </c>
      <c r="U232">
        <f>(X224-X210)/X210</f>
        <v>-8.9256198347107435E-2</v>
      </c>
      <c r="V232">
        <v>27440</v>
      </c>
      <c r="W232">
        <f>V230-X229</f>
        <v>-160</v>
      </c>
      <c r="Z232" s="25"/>
      <c r="AS232" s="26"/>
      <c r="AW232" s="30"/>
    </row>
    <row r="233" spans="2:70" ht="18">
      <c r="V233">
        <v>27430</v>
      </c>
      <c r="W233" s="152"/>
      <c r="Z233" s="25"/>
      <c r="AS233" s="26"/>
      <c r="AW233" s="30"/>
    </row>
    <row r="234" spans="2:70" ht="18">
      <c r="D234" s="93"/>
      <c r="P234">
        <f>P230-N229</f>
        <v>24</v>
      </c>
      <c r="V234">
        <v>27400</v>
      </c>
      <c r="W234" s="152"/>
      <c r="Z234" s="25"/>
      <c r="AW234" s="30"/>
    </row>
    <row r="235" spans="2:70" ht="17.25" customHeight="1">
      <c r="D235" s="93"/>
      <c r="P235" t="s">
        <v>523</v>
      </c>
      <c r="Q235" t="s">
        <v>524</v>
      </c>
      <c r="V235">
        <v>27460</v>
      </c>
      <c r="W235" s="152"/>
      <c r="Z235" s="25"/>
    </row>
    <row r="236" spans="2:70" ht="18">
      <c r="D236" s="93"/>
      <c r="O236" s="126" t="s">
        <v>503</v>
      </c>
      <c r="P236">
        <v>-178</v>
      </c>
      <c r="Q236">
        <v>-180</v>
      </c>
      <c r="V236" s="25"/>
      <c r="W236" s="152"/>
      <c r="Z236" s="25"/>
    </row>
    <row r="237" spans="2:70" ht="18">
      <c r="D237" s="93"/>
      <c r="H237">
        <f>(27376-26532)/26532</f>
        <v>3.1810643750942259E-2</v>
      </c>
      <c r="O237" s="132" t="s">
        <v>505</v>
      </c>
      <c r="P237">
        <v>59</v>
      </c>
      <c r="Q237">
        <v>59</v>
      </c>
      <c r="V237" s="25"/>
      <c r="W237" s="152"/>
      <c r="Y237">
        <f>(30920-28470)/30920</f>
        <v>7.923673997412678E-2</v>
      </c>
    </row>
    <row r="238" spans="2:70" ht="18">
      <c r="D238" s="93"/>
      <c r="N238">
        <f t="shared" ref="N238:N242" si="42">N199-N198</f>
        <v>-15</v>
      </c>
      <c r="O238" s="132" t="s">
        <v>507</v>
      </c>
      <c r="P238">
        <v>-17</v>
      </c>
      <c r="Q238">
        <v>-16</v>
      </c>
      <c r="V238" s="25"/>
      <c r="W238" s="152"/>
    </row>
    <row r="239" spans="2:70" ht="18">
      <c r="D239" s="107"/>
      <c r="N239">
        <f t="shared" si="42"/>
        <v>-12</v>
      </c>
      <c r="O239" s="132" t="s">
        <v>509</v>
      </c>
      <c r="P239">
        <v>-163</v>
      </c>
      <c r="Q239">
        <v>-165</v>
      </c>
      <c r="W239" s="144"/>
    </row>
    <row r="240" spans="2:70" ht="18">
      <c r="D240" s="107"/>
      <c r="N240">
        <f t="shared" si="42"/>
        <v>-137</v>
      </c>
      <c r="O240" s="132" t="s">
        <v>511</v>
      </c>
      <c r="P240">
        <v>50</v>
      </c>
      <c r="Q240">
        <v>50</v>
      </c>
      <c r="W240" s="144"/>
      <c r="X240" s="109"/>
    </row>
    <row r="241" spans="4:25" ht="18">
      <c r="D241" s="113"/>
      <c r="N241">
        <f t="shared" si="42"/>
        <v>-138</v>
      </c>
      <c r="O241" s="145" t="s">
        <v>513</v>
      </c>
      <c r="P241">
        <v>-15</v>
      </c>
      <c r="Q241">
        <v>-15</v>
      </c>
      <c r="V241">
        <f>(3376-3251)/3251</f>
        <v>3.8449707782220857E-2</v>
      </c>
      <c r="W241" s="144"/>
      <c r="X241" s="109"/>
      <c r="Y241">
        <f>(W239-X215)/X215</f>
        <v>-1</v>
      </c>
    </row>
    <row r="242" spans="4:25" ht="18">
      <c r="D242" s="107"/>
      <c r="G242" s="9"/>
      <c r="N242">
        <f t="shared" si="42"/>
        <v>-43</v>
      </c>
      <c r="O242" s="145" t="s">
        <v>515</v>
      </c>
      <c r="P242">
        <v>-12</v>
      </c>
      <c r="Q242">
        <v>-12</v>
      </c>
      <c r="X242" s="109"/>
      <c r="Y242">
        <f>(43725-42669)/42669</f>
        <v>2.4748646558391339E-2</v>
      </c>
    </row>
    <row r="243" spans="4:25" ht="18">
      <c r="D243" s="103"/>
      <c r="G243" s="9"/>
      <c r="N243">
        <f>N231-N203</f>
        <v>-27379</v>
      </c>
      <c r="O243" s="148" t="s">
        <v>517</v>
      </c>
      <c r="P243">
        <v>-136</v>
      </c>
      <c r="Q243">
        <v>-137</v>
      </c>
      <c r="X243" s="109"/>
    </row>
    <row r="244" spans="4:25" ht="18">
      <c r="G244" s="9"/>
      <c r="O244" s="145" t="s">
        <v>519</v>
      </c>
      <c r="P244">
        <v>-137</v>
      </c>
      <c r="Q244">
        <v>-138</v>
      </c>
      <c r="X244" s="109"/>
      <c r="Y244">
        <f>(3365-3279)/3279</f>
        <v>2.6227508386703263E-2</v>
      </c>
    </row>
    <row r="245" spans="4:25" ht="18">
      <c r="G245" s="9"/>
      <c r="O245" s="131" t="s">
        <v>521</v>
      </c>
      <c r="P245">
        <v>-42</v>
      </c>
      <c r="Q245">
        <v>-43</v>
      </c>
      <c r="X245" s="109"/>
    </row>
    <row r="246" spans="4:25" ht="18">
      <c r="G246" s="9"/>
    </row>
  </sheetData>
  <autoFilter ref="A1:BN233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"/>
  <sheetViews>
    <sheetView topLeftCell="A124" zoomScale="25" zoomScaleNormal="25" workbookViewId="0">
      <selection activeCell="BF153" sqref="BF153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>
      <c r="B43">
        <f>(B2-B8)/B2</f>
        <v>0.15346494762288476</v>
      </c>
      <c r="C43">
        <f>(C2-C8)/C2</f>
        <v>0.1154959674639829</v>
      </c>
      <c r="D43">
        <f>SUM(D2:D39)/38</f>
        <v>37702089.447368421</v>
      </c>
    </row>
    <row r="45" spans="1:11">
      <c r="E45">
        <f>(D39-D43)/D43</f>
        <v>0.21324840799221964</v>
      </c>
      <c r="J45">
        <f>(D36-D35)/D35</f>
        <v>-0.50773339408667473</v>
      </c>
    </row>
    <row r="46" spans="1:11">
      <c r="F46">
        <f>(F36-F35)/F35</f>
        <v>-0.62892307692307692</v>
      </c>
    </row>
    <row r="47" spans="1:11">
      <c r="D47">
        <v>5375132</v>
      </c>
      <c r="E47">
        <f>(E17-D47)/D47</f>
        <v>4.5958809321644006E-2</v>
      </c>
      <c r="G47">
        <f t="shared" ref="G47:G55" si="2">B3-B2</f>
        <v>-554</v>
      </c>
    </row>
    <row r="48" spans="1:11">
      <c r="G48">
        <f t="shared" si="2"/>
        <v>-302</v>
      </c>
    </row>
    <row r="49" spans="3:10">
      <c r="C49">
        <f>(D47-E16)/E16</f>
        <v>0.17110375179746395</v>
      </c>
      <c r="G49">
        <f t="shared" si="2"/>
        <v>-511</v>
      </c>
    </row>
    <row r="50" spans="3:10">
      <c r="G50">
        <f t="shared" si="2"/>
        <v>-362</v>
      </c>
    </row>
    <row r="51" spans="3:10">
      <c r="G51">
        <f t="shared" si="2"/>
        <v>-1699</v>
      </c>
    </row>
    <row r="52" spans="3:10">
      <c r="G52">
        <f t="shared" si="2"/>
        <v>-381</v>
      </c>
    </row>
    <row r="53" spans="3:10">
      <c r="G53">
        <f t="shared" si="2"/>
        <v>1075</v>
      </c>
    </row>
    <row r="54" spans="3:10">
      <c r="F54">
        <f>(F33-F32)/F32</f>
        <v>0.23948268173034043</v>
      </c>
      <c r="G54">
        <f t="shared" si="2"/>
        <v>151</v>
      </c>
      <c r="J54">
        <f>(F34-F35)/F34</f>
        <v>0.13877341459779063</v>
      </c>
    </row>
    <row r="55" spans="3:10">
      <c r="G55">
        <f t="shared" si="2"/>
        <v>1043</v>
      </c>
    </row>
  </sheetData>
  <autoFilter ref="A1:K55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25"/>
  <sheetViews>
    <sheetView topLeftCell="A2009" zoomScaleNormal="100" workbookViewId="0">
      <selection activeCell="B2025" sqref="B2025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2" t="s">
        <v>246</v>
      </c>
      <c r="B1" s="212"/>
      <c r="C1" s="212"/>
      <c r="D1" s="212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2" t="s">
        <v>256</v>
      </c>
      <c r="B11" s="212"/>
      <c r="C11" s="212"/>
      <c r="D11" s="212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2" t="s">
        <v>258</v>
      </c>
      <c r="B21" s="212"/>
      <c r="C21" s="212"/>
      <c r="D21" s="212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2" t="s">
        <v>259</v>
      </c>
      <c r="B31" s="212"/>
      <c r="C31" s="212"/>
      <c r="D31" s="212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2" t="s">
        <v>260</v>
      </c>
      <c r="B41" s="212"/>
      <c r="C41" s="212"/>
      <c r="D41" s="212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2" t="s">
        <v>262</v>
      </c>
      <c r="B51" s="212"/>
      <c r="C51" s="212"/>
      <c r="D51" s="212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2" t="s">
        <v>263</v>
      </c>
      <c r="B61" s="212"/>
      <c r="C61" s="212"/>
      <c r="D61" s="212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2" t="s">
        <v>264</v>
      </c>
      <c r="B71" s="212"/>
      <c r="C71" s="212"/>
      <c r="D71" s="212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2" t="s">
        <v>265</v>
      </c>
      <c r="B81" s="212"/>
      <c r="C81" s="212"/>
      <c r="D81" s="212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2" t="s">
        <v>269</v>
      </c>
      <c r="B93" s="212"/>
      <c r="C93" s="212"/>
      <c r="D93" s="212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2" t="s">
        <v>270</v>
      </c>
      <c r="B103" s="212"/>
      <c r="C103" s="212"/>
      <c r="D103" s="212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2" t="s">
        <v>272</v>
      </c>
      <c r="B113" s="212"/>
      <c r="C113" s="212"/>
      <c r="D113" s="212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2" t="s">
        <v>273</v>
      </c>
      <c r="B123" s="212"/>
      <c r="C123" s="212"/>
      <c r="D123" s="212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2" t="s">
        <v>274</v>
      </c>
      <c r="B133" s="212"/>
      <c r="C133" s="212"/>
      <c r="D133" s="212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2" t="s">
        <v>275</v>
      </c>
      <c r="B143" s="212"/>
      <c r="C143" s="212"/>
      <c r="D143" s="212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2" t="s">
        <v>277</v>
      </c>
      <c r="B153" s="212"/>
      <c r="C153" s="212"/>
      <c r="D153" s="212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2" t="s">
        <v>278</v>
      </c>
      <c r="B163" s="212"/>
      <c r="C163" s="212"/>
      <c r="D163" s="212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2" t="s">
        <v>279</v>
      </c>
      <c r="B173" s="212"/>
      <c r="C173" s="212"/>
      <c r="D173" s="212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2" t="s">
        <v>280</v>
      </c>
      <c r="B183" s="212"/>
      <c r="C183" s="212"/>
      <c r="D183" s="212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2" t="s">
        <v>281</v>
      </c>
      <c r="B193" s="212"/>
      <c r="C193" s="212"/>
      <c r="D193" s="212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2" t="s">
        <v>282</v>
      </c>
      <c r="B203" s="212"/>
      <c r="C203" s="212"/>
      <c r="D203" s="212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2" t="s">
        <v>283</v>
      </c>
      <c r="B213" s="212"/>
      <c r="C213" s="212"/>
      <c r="D213" s="212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2" t="s">
        <v>284</v>
      </c>
      <c r="B223" s="212"/>
      <c r="C223" s="212"/>
      <c r="D223" s="212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2" t="s">
        <v>285</v>
      </c>
      <c r="B233" s="212"/>
      <c r="C233" s="212"/>
      <c r="D233" s="212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2" t="s">
        <v>286</v>
      </c>
      <c r="B243" s="212"/>
      <c r="C243" s="212"/>
      <c r="D243" s="212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2" t="s">
        <v>287</v>
      </c>
      <c r="B253" s="212"/>
      <c r="C253" s="212"/>
      <c r="D253" s="212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2" t="s">
        <v>288</v>
      </c>
      <c r="B263" s="212"/>
      <c r="C263" s="212"/>
      <c r="D263" s="212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2" t="s">
        <v>289</v>
      </c>
      <c r="B273" s="212"/>
      <c r="C273" s="212"/>
      <c r="D273" s="212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2" t="s">
        <v>290</v>
      </c>
      <c r="B283" s="212"/>
      <c r="C283" s="212"/>
      <c r="D283" s="212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2" t="s">
        <v>291</v>
      </c>
      <c r="B293" s="212"/>
      <c r="C293" s="212"/>
      <c r="D293" s="212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2" t="s">
        <v>292</v>
      </c>
      <c r="B303" s="212"/>
      <c r="C303" s="212"/>
      <c r="D303" s="212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2" t="s">
        <v>296</v>
      </c>
      <c r="B313" s="212"/>
      <c r="C313" s="212"/>
      <c r="D313" s="212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2" t="s">
        <v>300</v>
      </c>
      <c r="B324" s="212"/>
      <c r="C324" s="212"/>
      <c r="D324" s="212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2" t="s">
        <v>303</v>
      </c>
      <c r="B335" s="212"/>
      <c r="C335" s="212"/>
      <c r="D335" s="212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2" t="s">
        <v>304</v>
      </c>
      <c r="B346" s="212"/>
      <c r="C346" s="212"/>
      <c r="D346" s="212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2" t="s">
        <v>305</v>
      </c>
      <c r="B357" s="212"/>
      <c r="C357" s="212"/>
      <c r="D357" s="212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2" t="s">
        <v>306</v>
      </c>
      <c r="B368" s="212"/>
      <c r="C368" s="212"/>
      <c r="D368" s="212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2" t="s">
        <v>307</v>
      </c>
      <c r="B379" s="212"/>
      <c r="C379" s="212"/>
      <c r="D379" s="212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2" t="s">
        <v>308</v>
      </c>
      <c r="B390" s="212"/>
      <c r="C390" s="212"/>
      <c r="D390" s="212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2" t="s">
        <v>309</v>
      </c>
      <c r="B401" s="212"/>
      <c r="C401" s="212"/>
      <c r="D401" s="212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2" t="s">
        <v>310</v>
      </c>
      <c r="B412" s="212"/>
      <c r="C412" s="212"/>
      <c r="D412" s="212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2" t="s">
        <v>311</v>
      </c>
      <c r="B423" s="212"/>
      <c r="C423" s="212"/>
      <c r="D423" s="212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2" t="s">
        <v>315</v>
      </c>
      <c r="B434" s="212"/>
      <c r="C434" s="212"/>
      <c r="D434" s="212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2" t="s">
        <v>316</v>
      </c>
      <c r="B445" s="212"/>
      <c r="C445" s="212"/>
      <c r="D445" s="212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2" t="s">
        <v>317</v>
      </c>
      <c r="B456" s="212"/>
      <c r="C456" s="212"/>
      <c r="D456" s="212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2" t="s">
        <v>318</v>
      </c>
      <c r="B467" s="212"/>
      <c r="C467" s="212"/>
      <c r="D467" s="212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2" t="s">
        <v>319</v>
      </c>
      <c r="B478" s="212"/>
      <c r="C478" s="212"/>
      <c r="D478" s="212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2" t="s">
        <v>320</v>
      </c>
      <c r="B489" s="212"/>
      <c r="C489" s="212"/>
      <c r="D489" s="212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2" t="s">
        <v>323</v>
      </c>
      <c r="B500" s="212"/>
      <c r="C500" s="212"/>
      <c r="D500" s="212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2" t="s">
        <v>324</v>
      </c>
      <c r="B511" s="212"/>
      <c r="C511" s="212"/>
      <c r="D511" s="212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2" t="s">
        <v>325</v>
      </c>
      <c r="B522" s="212"/>
      <c r="C522" s="212"/>
      <c r="D522" s="212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2" t="s">
        <v>326</v>
      </c>
      <c r="B533" s="212"/>
      <c r="C533" s="212"/>
      <c r="D533" s="212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2" t="s">
        <v>327</v>
      </c>
      <c r="B544" s="212"/>
      <c r="C544" s="212"/>
      <c r="D544" s="212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2" t="s">
        <v>328</v>
      </c>
      <c r="B555" s="212"/>
      <c r="C555" s="212"/>
      <c r="D555" s="212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2" t="s">
        <v>328</v>
      </c>
      <c r="B567" s="212"/>
      <c r="C567" s="212"/>
      <c r="D567" s="212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2" t="s">
        <v>333</v>
      </c>
      <c r="B579" s="212"/>
      <c r="C579" s="212"/>
      <c r="D579" s="212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2" t="s">
        <v>334</v>
      </c>
      <c r="B590" s="212"/>
      <c r="C590" s="212"/>
      <c r="D590" s="212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2" t="s">
        <v>335</v>
      </c>
      <c r="B601" s="212"/>
      <c r="C601" s="212"/>
      <c r="D601" s="212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2" t="s">
        <v>336</v>
      </c>
      <c r="B612" s="212"/>
      <c r="C612" s="212"/>
      <c r="D612" s="212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2" t="s">
        <v>337</v>
      </c>
      <c r="B623" s="212"/>
      <c r="C623" s="212"/>
      <c r="D623" s="212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2" t="s">
        <v>338</v>
      </c>
      <c r="B635" s="212"/>
      <c r="C635" s="212"/>
      <c r="D635" s="212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2" t="s">
        <v>340</v>
      </c>
      <c r="B647" s="212"/>
      <c r="C647" s="212"/>
      <c r="D647" s="212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2" t="s">
        <v>341</v>
      </c>
      <c r="B658" s="212"/>
      <c r="C658" s="212"/>
      <c r="D658" s="212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2" t="s">
        <v>342</v>
      </c>
      <c r="B670" s="212"/>
      <c r="C670" s="212"/>
      <c r="D670" s="212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2" t="s">
        <v>343</v>
      </c>
      <c r="B681" s="212"/>
      <c r="C681" s="212"/>
      <c r="D681" s="212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2" t="s">
        <v>344</v>
      </c>
      <c r="B692" s="212"/>
      <c r="C692" s="212"/>
      <c r="D692" s="212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2" t="s">
        <v>345</v>
      </c>
      <c r="B703" s="212"/>
      <c r="C703" s="212"/>
      <c r="D703" s="212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2" t="s">
        <v>348</v>
      </c>
      <c r="B715" s="212"/>
      <c r="C715" s="212"/>
      <c r="D715" s="212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2" t="s">
        <v>349</v>
      </c>
      <c r="B726" s="212"/>
      <c r="C726" s="212"/>
      <c r="D726" s="212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2" t="s">
        <v>350</v>
      </c>
      <c r="B738" s="212"/>
      <c r="C738" s="212"/>
      <c r="D738" s="212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2" t="s">
        <v>351</v>
      </c>
      <c r="B749" s="212"/>
      <c r="C749" s="212"/>
      <c r="D749" s="212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2" t="s">
        <v>352</v>
      </c>
      <c r="B760" s="212"/>
      <c r="C760" s="212"/>
      <c r="D760" s="212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2" t="s">
        <v>353</v>
      </c>
      <c r="B772" s="212"/>
      <c r="C772" s="212"/>
      <c r="D772" s="212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2" t="s">
        <v>355</v>
      </c>
      <c r="B784" s="212"/>
      <c r="C784" s="212"/>
      <c r="D784" s="212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2" t="s">
        <v>356</v>
      </c>
      <c r="B796" s="212"/>
      <c r="C796" s="212"/>
      <c r="D796" s="212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2" t="s">
        <v>357</v>
      </c>
      <c r="B809" s="212"/>
      <c r="C809" s="212"/>
      <c r="D809" s="212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2" t="s">
        <v>358</v>
      </c>
      <c r="B820" s="212"/>
      <c r="C820" s="212"/>
      <c r="D820" s="212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2" t="s">
        <v>359</v>
      </c>
      <c r="B831" s="212"/>
      <c r="C831" s="212"/>
      <c r="D831" s="212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2" t="s">
        <v>360</v>
      </c>
      <c r="B842" s="212"/>
      <c r="C842" s="212"/>
      <c r="D842" s="212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2" t="s">
        <v>361</v>
      </c>
      <c r="B854" s="212"/>
      <c r="C854" s="212"/>
      <c r="D854" s="212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2" t="s">
        <v>363</v>
      </c>
      <c r="B865" s="212"/>
      <c r="C865" s="212"/>
      <c r="D865" s="212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2" t="s">
        <v>364</v>
      </c>
      <c r="B876" s="212"/>
      <c r="C876" s="212"/>
      <c r="D876" s="212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2" t="s">
        <v>367</v>
      </c>
      <c r="B888" s="212"/>
      <c r="C888" s="212"/>
      <c r="D888" s="212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2" t="s">
        <v>368</v>
      </c>
      <c r="B901" s="212"/>
      <c r="C901" s="212"/>
      <c r="D901" s="212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2" t="s">
        <v>369</v>
      </c>
      <c r="B913" s="212"/>
      <c r="C913" s="212"/>
      <c r="D913" s="212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2" t="s">
        <v>370</v>
      </c>
      <c r="B925" s="212"/>
      <c r="C925" s="212"/>
      <c r="D925" s="212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2" t="s">
        <v>371</v>
      </c>
      <c r="B937" s="212"/>
      <c r="C937" s="212"/>
      <c r="D937" s="212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2" t="s">
        <v>372</v>
      </c>
      <c r="B949" s="212"/>
      <c r="C949" s="212"/>
      <c r="D949" s="212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2" t="s">
        <v>400</v>
      </c>
      <c r="B961" s="212"/>
      <c r="C961" s="212"/>
      <c r="D961" s="212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2" t="s">
        <v>402</v>
      </c>
      <c r="B974" s="212"/>
      <c r="C974" s="212"/>
      <c r="D974" s="212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2" t="s">
        <v>404</v>
      </c>
      <c r="B987" s="212"/>
      <c r="C987" s="212"/>
      <c r="D987" s="212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2" t="s">
        <v>405</v>
      </c>
      <c r="B1000" s="212"/>
      <c r="C1000" s="212"/>
      <c r="D1000" s="212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2" t="s">
        <v>408</v>
      </c>
      <c r="B1012" s="212"/>
      <c r="C1012" s="212"/>
      <c r="D1012" s="212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2" t="s">
        <v>410</v>
      </c>
      <c r="B1025" s="212"/>
      <c r="C1025" s="212"/>
      <c r="D1025" s="212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2" t="s">
        <v>413</v>
      </c>
      <c r="B1037" s="212"/>
      <c r="C1037" s="212"/>
      <c r="D1037" s="212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2" t="s">
        <v>415</v>
      </c>
      <c r="B1049" s="212"/>
      <c r="C1049" s="212"/>
      <c r="D1049" s="212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2" t="s">
        <v>417</v>
      </c>
      <c r="B1061" s="212"/>
      <c r="C1061" s="212"/>
      <c r="D1061" s="212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2" t="s">
        <v>419</v>
      </c>
      <c r="B1073" s="212"/>
      <c r="C1073" s="212"/>
      <c r="D1073" s="212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2" t="s">
        <v>421</v>
      </c>
      <c r="B1085" s="212"/>
      <c r="C1085" s="212"/>
      <c r="D1085" s="212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2" t="s">
        <v>423</v>
      </c>
      <c r="B1098" s="212"/>
      <c r="C1098" s="212"/>
      <c r="D1098" s="212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2" t="s">
        <v>426</v>
      </c>
      <c r="B1110" s="212"/>
      <c r="C1110" s="212"/>
      <c r="D1110" s="212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2" t="s">
        <v>428</v>
      </c>
      <c r="B1123" s="212"/>
      <c r="C1123" s="212"/>
      <c r="D1123" s="212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2" t="s">
        <v>430</v>
      </c>
      <c r="B1136" s="212"/>
      <c r="C1136" s="212"/>
      <c r="D1136" s="212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2" t="s">
        <v>432</v>
      </c>
      <c r="B1149" s="212"/>
      <c r="C1149" s="212"/>
      <c r="D1149" s="212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2" t="s">
        <v>434</v>
      </c>
      <c r="B1162" s="212"/>
      <c r="C1162" s="212"/>
      <c r="D1162" s="212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2" t="s">
        <v>437</v>
      </c>
      <c r="B1173" s="212"/>
      <c r="C1173" s="212"/>
      <c r="D1173" s="212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2" t="s">
        <v>439</v>
      </c>
      <c r="B1185" s="212"/>
      <c r="C1185" s="212"/>
      <c r="D1185" s="212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2" t="s">
        <v>441</v>
      </c>
      <c r="B1197" s="212"/>
      <c r="C1197" s="212"/>
      <c r="D1197" s="212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2" t="s">
        <v>443</v>
      </c>
      <c r="B1209" s="212"/>
      <c r="C1209" s="212"/>
      <c r="D1209" s="212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2" t="s">
        <v>445</v>
      </c>
      <c r="B1222" s="212"/>
      <c r="C1222" s="212"/>
      <c r="D1222" s="212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2" t="s">
        <v>447</v>
      </c>
      <c r="B1234" s="212"/>
      <c r="C1234" s="212"/>
      <c r="D1234" s="212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2" t="s">
        <v>449</v>
      </c>
      <c r="B1246" s="212"/>
      <c r="C1246" s="212"/>
      <c r="D1246" s="212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2" t="s">
        <v>452</v>
      </c>
      <c r="B1258" s="212"/>
      <c r="C1258" s="212"/>
      <c r="D1258" s="212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2" t="s">
        <v>454</v>
      </c>
      <c r="B1270" s="212"/>
      <c r="C1270" s="212"/>
      <c r="D1270" s="212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2" t="s">
        <v>456</v>
      </c>
      <c r="B1282" s="212"/>
      <c r="C1282" s="212"/>
      <c r="D1282" s="212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2" t="s">
        <v>458</v>
      </c>
      <c r="B1294" s="212"/>
      <c r="C1294" s="212"/>
      <c r="D1294" s="212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2" t="s">
        <v>460</v>
      </c>
      <c r="B1306" s="212"/>
      <c r="C1306" s="212"/>
      <c r="D1306" s="212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2" t="s">
        <v>462</v>
      </c>
      <c r="B1318" s="212"/>
      <c r="C1318" s="212"/>
      <c r="D1318" s="212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2" t="s">
        <v>464</v>
      </c>
      <c r="B1330" s="212"/>
      <c r="C1330" s="212"/>
      <c r="D1330" s="212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2" t="s">
        <v>467</v>
      </c>
      <c r="B1343" s="212"/>
      <c r="C1343" s="212"/>
      <c r="D1343" s="212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2" t="s">
        <v>469</v>
      </c>
      <c r="B1355" s="212"/>
      <c r="C1355" s="212"/>
      <c r="D1355" s="212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2" t="s">
        <v>471</v>
      </c>
      <c r="B1368" s="212"/>
      <c r="C1368" s="212"/>
      <c r="D1368" s="212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2" t="s">
        <v>473</v>
      </c>
      <c r="B1380" s="212"/>
      <c r="C1380" s="212"/>
      <c r="D1380" s="212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2" t="s">
        <v>476</v>
      </c>
      <c r="B1392" s="212"/>
      <c r="C1392" s="212"/>
      <c r="D1392" s="212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2" t="s">
        <v>478</v>
      </c>
      <c r="B1404" s="212"/>
      <c r="C1404" s="212"/>
      <c r="D1404" s="212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2" t="s">
        <v>479</v>
      </c>
      <c r="B1416" s="212"/>
      <c r="C1416" s="212"/>
      <c r="D1416" s="212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2" t="s">
        <v>480</v>
      </c>
      <c r="B1428" s="212"/>
      <c r="C1428" s="212"/>
      <c r="D1428" s="212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2" t="s">
        <v>481</v>
      </c>
      <c r="B1441" s="212"/>
      <c r="C1441" s="212"/>
      <c r="D1441" s="212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2" t="s">
        <v>482</v>
      </c>
      <c r="B1453" s="212"/>
      <c r="C1453" s="212"/>
      <c r="D1453" s="212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2" t="s">
        <v>489</v>
      </c>
      <c r="B1465" s="212"/>
      <c r="C1465" s="212"/>
      <c r="D1465" s="212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2" t="s">
        <v>491</v>
      </c>
      <c r="B1477" s="212"/>
      <c r="C1477" s="212"/>
      <c r="D1477" s="212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2" t="s">
        <v>493</v>
      </c>
      <c r="B1490" s="212"/>
      <c r="C1490" s="212"/>
      <c r="D1490" s="212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2" t="s">
        <v>495</v>
      </c>
      <c r="B1502" s="212"/>
      <c r="C1502" s="212"/>
      <c r="D1502" s="212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2" t="s">
        <v>497</v>
      </c>
      <c r="B1514" s="212"/>
      <c r="C1514" s="212"/>
      <c r="D1514" s="212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2" t="s">
        <v>499</v>
      </c>
      <c r="B1526" s="212"/>
      <c r="C1526" s="212"/>
      <c r="D1526" s="212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2" t="s">
        <v>502</v>
      </c>
      <c r="B1539" s="212"/>
      <c r="C1539" s="212"/>
      <c r="D1539" s="212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2" t="s">
        <v>504</v>
      </c>
      <c r="B1551" s="212"/>
      <c r="C1551" s="212"/>
      <c r="D1551" s="212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2" t="s">
        <v>506</v>
      </c>
      <c r="B1563" s="212"/>
      <c r="C1563" s="212"/>
      <c r="D1563" s="212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2" t="s">
        <v>508</v>
      </c>
      <c r="B1576" s="212"/>
      <c r="C1576" s="212"/>
      <c r="D1576" s="212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2" t="s">
        <v>510</v>
      </c>
      <c r="B1589" s="212"/>
      <c r="C1589" s="212"/>
      <c r="D1589" s="212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</sheetData>
  <mergeCells count="174">
    <mergeCell ref="A2017:C2017"/>
    <mergeCell ref="A2005:C2005"/>
    <mergeCell ref="A1928:C1928"/>
    <mergeCell ref="A1754:C1754"/>
    <mergeCell ref="A1742:C1742"/>
    <mergeCell ref="A1729:C1729"/>
    <mergeCell ref="A1716:C1716"/>
    <mergeCell ref="A1703:C1703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816:C1816"/>
    <mergeCell ref="A1992:C1992"/>
    <mergeCell ref="A1979:C1979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  <mergeCell ref="A1110:D1110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4" t="s">
        <v>373</v>
      </c>
      <c r="B1" s="214"/>
      <c r="C1" s="214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55"/>
  <sheetViews>
    <sheetView topLeftCell="B7" zoomScale="85" zoomScaleNormal="85" workbookViewId="0">
      <selection activeCell="J28" sqref="J28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55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55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5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2022-01-17T12:51:56Z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