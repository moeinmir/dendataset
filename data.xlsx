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 firstSheet="1" activeTab="4"/>
  </bookViews>
  <sheets>
    <sheet name="data set" sheetId="1" r:id="rId1"/>
    <sheet name="weekly" sheetId="2" r:id="rId2"/>
    <sheet name="tables" sheetId="3" r:id="rId3"/>
    <sheet name="seasonal" sheetId="5" r:id="rId4"/>
    <sheet name="price change" sheetId="4" r:id="rId5"/>
  </sheets>
  <definedNames>
    <definedName name="_xlnm._FilterDatabase" localSheetId="0" hidden="1">'data set'!$A$1:$BL$144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8" i="4" l="1"/>
  <c r="G143" i="1" l="1"/>
  <c r="G140" i="1"/>
  <c r="M139" i="1" l="1"/>
  <c r="L139" i="1"/>
  <c r="H77" i="4" l="1"/>
  <c r="G77" i="4"/>
  <c r="F77" i="4"/>
  <c r="M138" i="1" l="1"/>
  <c r="L138" i="1"/>
  <c r="H76" i="4" l="1"/>
  <c r="G76" i="4"/>
  <c r="F76" i="4"/>
  <c r="M137" i="1" l="1"/>
  <c r="L137" i="1"/>
  <c r="E852" i="3"/>
  <c r="B13" i="5" l="1"/>
  <c r="B22" i="5" s="1"/>
  <c r="B14" i="5"/>
  <c r="B15" i="5"/>
  <c r="B16" i="5"/>
  <c r="B17" i="5"/>
  <c r="B18" i="5"/>
  <c r="B19" i="5"/>
  <c r="B20" i="5"/>
  <c r="B21" i="5"/>
  <c r="B12" i="5"/>
  <c r="E4" i="5" l="1"/>
  <c r="E5" i="5"/>
  <c r="E6" i="5"/>
  <c r="E7" i="5"/>
  <c r="E8" i="5"/>
  <c r="E9" i="5"/>
  <c r="E10" i="5"/>
  <c r="E3" i="5"/>
  <c r="G26" i="2" l="1"/>
  <c r="E26" i="2"/>
  <c r="M136" i="1"/>
  <c r="L136" i="1"/>
  <c r="H75" i="4"/>
  <c r="G75" i="4"/>
  <c r="F75" i="4"/>
  <c r="M135" i="1" l="1"/>
  <c r="L135" i="1"/>
  <c r="H74" i="4" l="1"/>
  <c r="G74" i="4"/>
  <c r="F74" i="4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9" i="2"/>
  <c r="G38" i="2"/>
  <c r="G37" i="2"/>
  <c r="G36" i="2"/>
  <c r="G35" i="2"/>
  <c r="G34" i="2"/>
  <c r="G33" i="2"/>
  <c r="G32" i="2"/>
  <c r="G31" i="2"/>
  <c r="D27" i="2"/>
  <c r="C27" i="2"/>
  <c r="B27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1" i="2" s="1"/>
  <c r="G16" i="2"/>
  <c r="E16" i="2"/>
  <c r="C3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44" i="1"/>
  <c r="AW147" i="1" s="1"/>
  <c r="AU144" i="1"/>
  <c r="BB143" i="1"/>
  <c r="AY142" i="1"/>
  <c r="BJ140" i="1"/>
  <c r="BI140" i="1"/>
  <c r="K140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40" i="1" s="1"/>
  <c r="M140" i="1" l="1"/>
  <c r="U1" i="1" s="1"/>
  <c r="S1" i="1"/>
</calcChain>
</file>

<file path=xl/sharedStrings.xml><?xml version="1.0" encoding="utf-8"?>
<sst xmlns="http://schemas.openxmlformats.org/spreadsheetml/2006/main" count="1149" uniqueCount="385">
  <si>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</si>
  <si>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</si>
  <si>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</si>
  <si>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</si>
  <si>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</si>
  <si>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</si>
  <si>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</si>
  <si>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</si>
  <si>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</si>
  <si>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</si>
  <si>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</si>
  <si>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</si>
  <si>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</si>
  <si>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</si>
  <si>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</si>
  <si>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</si>
  <si>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</si>
  <si>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</si>
  <si>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</si>
  <si>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</si>
  <si>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</si>
  <si>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</si>
  <si>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</si>
  <si>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</si>
  <si>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</si>
  <si>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</si>
  <si>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</si>
  <si>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</si>
  <si>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</si>
  <si>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</si>
  <si>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</si>
  <si>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</si>
  <si>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</si>
  <si>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</si>
  <si>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</si>
  <si>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</si>
  <si>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</si>
  <si>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</si>
  <si>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</si>
  <si>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</si>
  <si>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</si>
  <si>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</si>
  <si>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</si>
  <si>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</si>
  <si>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</si>
  <si>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</si>
  <si>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</si>
  <si>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</si>
  <si>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</si>
  <si>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</si>
  <si>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</si>
  <si>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</si>
  <si>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</si>
  <si>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</si>
  <si>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</si>
  <si>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</si>
  <si>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</si>
  <si>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</si>
  <si>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</si>
  <si>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</si>
  <si>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</si>
  <si>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</si>
  <si>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</si>
  <si>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</si>
  <si>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</si>
  <si>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</si>
  <si>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</si>
  <si>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</si>
  <si>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</si>
  <si>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</si>
  <si>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</si>
  <si>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</si>
  <si>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</si>
  <si>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</si>
  <si>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</si>
  <si>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</si>
  <si>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</si>
  <si>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</si>
  <si>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</si>
  <si>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</si>
  <si>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</si>
  <si>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</si>
  <si>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</si>
  <si>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</si>
  <si>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</si>
  <si>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</si>
  <si>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</si>
  <si>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</si>
  <si>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</si>
  <si>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</si>
  <si>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</si>
  <si>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</si>
  <si>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</si>
  <si>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</si>
  <si>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</si>
  <si>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</si>
  <si>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</si>
  <si>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</si>
  <si>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</si>
  <si>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</si>
  <si>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</si>
  <si>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</si>
  <si>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</si>
  <si>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</si>
  <si>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</si>
  <si>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</si>
  <si>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</si>
  <si>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</si>
  <si>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</si>
  <si>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</si>
  <si>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</si>
  <si>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</si>
  <si>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</si>
  <si>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</si>
  <si>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</si>
  <si>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</si>
  <si>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</si>
  <si>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</si>
  <si>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</si>
  <si>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</si>
  <si>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</si>
  <si>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</si>
  <si>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</si>
  <si>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</si>
  <si>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</si>
  <si>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</si>
  <si>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</si>
  <si>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</si>
  <si>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</si>
  <si>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</si>
  <si>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</si>
  <si>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</si>
  <si>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</si>
  <si>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</si>
  <si>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</si>
  <si>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</si>
  <si>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</si>
  <si>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</si>
  <si>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</si>
  <si>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</si>
  <si>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</si>
  <si>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</si>
  <si>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</si>
  <si>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</si>
  <si>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</si>
  <si>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</si>
  <si>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</si>
  <si>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</si>
  <si>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</si>
  <si>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</si>
  <si>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</si>
  <si>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</si>
  <si>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</si>
  <si>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</si>
  <si>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</si>
  <si>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</si>
  <si>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</si>
  <si>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</si>
  <si>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</si>
  <si>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</si>
  <si>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</si>
  <si>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</si>
  <si>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</si>
  <si>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</si>
  <si>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</si>
  <si>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</si>
  <si>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</si>
  <si>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</si>
  <si>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</si>
  <si>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</si>
  <si>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</si>
  <si>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</si>
  <si>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</si>
  <si>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</si>
  <si>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</si>
  <si>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</si>
  <si>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</si>
  <si>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</si>
  <si>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</si>
  <si>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</si>
  <si>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</si>
  <si>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</si>
  <si>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</si>
  <si>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</si>
  <si>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</si>
  <si>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</si>
  <si>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</si>
  <si>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</si>
  <si>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</si>
  <si>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</si>
  <si>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</si>
  <si>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</si>
  <si>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</si>
  <si>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</si>
  <si>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</si>
  <si>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</si>
  <si>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</si>
  <si>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</si>
  <si>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</si>
  <si>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</si>
  <si>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</si>
  <si>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</si>
  <si>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</si>
  <si>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</si>
  <si>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</si>
  <si>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</si>
  <si>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</si>
  <si>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</si>
  <si>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</si>
  <si>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</si>
  <si>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</si>
  <si>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</si>
  <si>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</si>
  <si>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</si>
  <si>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</si>
  <si>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</si>
  <si>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</si>
  <si>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</si>
  <si>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</si>
  <si>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</si>
  <si>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</si>
  <si>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</si>
  <si>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</si>
  <si>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</si>
  <si>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</si>
  <si>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</si>
  <si>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</si>
  <si>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</si>
  <si>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</si>
  <si>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</si>
  <si>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</si>
  <si>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</si>
  <si>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</si>
  <si>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</si>
  <si>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</si>
  <si>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</si>
  <si>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</si>
  <si>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</si>
  <si>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</si>
  <si>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</si>
  <si>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</si>
  <si>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</si>
  <si>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</si>
  <si>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</si>
  <si>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</si>
  <si>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</si>
  <si>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</si>
  <si>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</si>
  <si>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</si>
  <si>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</si>
  <si>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</si>
  <si>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</si>
  <si>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</si>
  <si>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</si>
  <si>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</si>
  <si>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</si>
  <si>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</si>
  <si>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</si>
  <si>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</si>
  <si>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</si>
  <si>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</si>
  <si>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</si>
  <si>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</si>
  <si>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</si>
  <si>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</si>
  <si>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</si>
  <si>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</si>
  <si>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</si>
  <si>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</si>
  <si>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</si>
  <si>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</si>
  <si>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</si>
  <si>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</si>
  <si>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</si>
  <si>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</si>
  <si>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</si>
  <si>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</si>
  <si>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</si>
  <si>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</si>
  <si>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</si>
  <si>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</si>
  <si>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</si>
  <si>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</si>
  <si>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</si>
  <si>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</si>
  <si>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</si>
  <si>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</si>
  <si>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</si>
  <si>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</si>
  <si>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</si>
  <si>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</si>
  <si>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</si>
  <si>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</si>
  <si>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</si>
  <si>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</si>
  <si>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</si>
  <si>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</si>
  <si>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</si>
  <si>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</si>
  <si>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</si>
  <si>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</si>
  <si>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</si>
  <si>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</si>
  <si>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</si>
  <si>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</si>
  <si>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</si>
  <si>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</si>
  <si>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</si>
  <si>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</si>
  <si>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</si>
  <si>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</si>
  <si>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</si>
  <si>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</si>
  <si>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</si>
  <si>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</si>
  <si>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</si>
  <si>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</si>
  <si>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</si>
  <si>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</si>
  <si>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</si>
  <si>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</si>
  <si>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</si>
  <si>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</si>
  <si>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</si>
  <si>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</si>
  <si>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</si>
  <si>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</si>
  <si>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</si>
  <si>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</si>
  <si>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</si>
  <si>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</si>
  <si>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</si>
  <si>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</si>
  <si>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</si>
  <si>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</si>
  <si>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</si>
  <si>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</si>
  <si>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</si>
  <si>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</si>
  <si>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</si>
  <si>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</si>
  <si>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</si>
  <si>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</si>
  <si>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</si>
  <si>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</si>
  <si>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</si>
  <si>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</si>
  <si>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</si>
  <si>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</si>
  <si>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</si>
  <si>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</si>
  <si>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</si>
  <si>
    <t>31شهریور1400</t>
  </si>
  <si>
    <t>روند روزانه بهای سکه و ارز  چهارشنبه 31 شهریور 1400)</t>
  </si>
  <si>
    <t>01مهر1400</t>
  </si>
  <si>
    <t>روند روزانه بهای سکه و ارز  پنجشنبه 01 مهر 1400)</t>
  </si>
  <si>
    <t>هفته بیست و ششم شال 1400</t>
  </si>
  <si>
    <t>انتهای بهار</t>
  </si>
  <si>
    <t>انتهای تابستان</t>
  </si>
  <si>
    <t>قیمت سکه امامی (تومان)</t>
  </si>
  <si>
    <t>قیمت طلای 18 عیار (تومان)</t>
  </si>
  <si>
    <t>قیمت دلار آزاد (تومان)</t>
  </si>
  <si>
    <t>قیمت یورو آزاد (تومان)</t>
  </si>
  <si>
    <t>قیمت دلار سنا (تومان)</t>
  </si>
  <si>
    <t>قیمت یورو سنا (تومان)</t>
  </si>
  <si>
    <t>قیمت دلار متشکل (تومان)</t>
  </si>
  <si>
    <t>قیمت یورو متشکل (تومان)</t>
  </si>
  <si>
    <t>مقایسه قیمت سکه، طلا و دلار در انتهای بهار و تابستان</t>
  </si>
  <si>
    <t xml:space="preserve">قیمت سکه امامی </t>
  </si>
  <si>
    <t xml:space="preserve">قیمت طلای 18 عیار </t>
  </si>
  <si>
    <t xml:space="preserve">قیمت دلار آزاد </t>
  </si>
  <si>
    <t xml:space="preserve">قیمت یورو آزاد </t>
  </si>
  <si>
    <t xml:space="preserve">قیمت دلار سنا </t>
  </si>
  <si>
    <t xml:space="preserve">قیمت یورو سنا </t>
  </si>
  <si>
    <t xml:space="preserve">قیمت دلار متشکل </t>
  </si>
  <si>
    <t xml:space="preserve">قیمت یورو متشکل </t>
  </si>
  <si>
    <t>روند روزانه بهای سکه و ارز  پنجشنبه 03 مهر 1400)</t>
  </si>
  <si>
    <t>قیمت اتحادیه‌ای سکه (تومان)</t>
  </si>
  <si>
    <t>03مهر1400</t>
  </si>
  <si>
    <t>04مهر1400</t>
  </si>
  <si>
    <t>روند روزانه بهای سکه و ارز  یکشنبه 04 مهر 1400)</t>
  </si>
  <si>
    <t>06مهر1400</t>
  </si>
  <si>
    <t>11 27</t>
  </si>
  <si>
    <t>11 52</t>
  </si>
  <si>
    <t>روند روزانه بهای سکه و ارز  یکشنبه 06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</si>
</sst>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2" borderId="2" xfId="0" applyFont="1" applyFill="1" applyBorder="1" applyAlignment="1">
      <alignment horizontal="right"/>
    </xf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Fill="1" applyBorder="1"/>
    <xf numFmtId="20" fontId="0" fillId="0" borderId="2" xfId="0" applyNumberFormat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68272100723413E-2"/>
          <c:y val="1.7384574766292796E-2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84323488"/>
        <c:axId val="-384320768"/>
      </c:lineChart>
      <c:catAx>
        <c:axId val="-38432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84320768"/>
        <c:crosses val="autoZero"/>
        <c:auto val="1"/>
        <c:lblAlgn val="ctr"/>
        <c:lblOffset val="100"/>
        <c:noMultiLvlLbl val="0"/>
      </c:catAx>
      <c:valAx>
        <c:axId val="-3843207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8432348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23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weekly!$B$4:$B$26</c:f>
              <c:numCache>
                <c:formatCode>General</c:formatCode>
                <c:ptCount val="23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dLbl>
              <c:idx val="1"/>
              <c:layout>
                <c:manualLayout>
                  <c:x val="5.0982572671341893E-4"/>
                  <c:y val="-1.14107873720320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7"/>
              <c:layout>
                <c:manualLayout>
                  <c:x val="-1.0196514534268379E-3"/>
                  <c:y val="-1.52143831627093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7.4773576127236001E-17"/>
                  <c:y val="-5.70539368601608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E639-41DE-AF10-B9EA1EF96DD5}"/>
                </c:ext>
                <c:ext xmlns:c15="http://schemas.microsoft.com/office/drawing/2012/chart" uri="{CE6537A1-D6FC-4f65-9D91-7224C49458BB}"/>
              </c:extLst>
            </c:dLbl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weekly!$H$4:$H$26</c:f>
              <c:numCache>
                <c:formatCode>General</c:formatCode>
                <c:ptCount val="23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3"/>
              <c:layout>
                <c:manualLayout>
                  <c:x val="0"/>
                  <c:y val="-1.99688779010560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6.1294500509885943E-3"/>
                  <c:y val="-4.27904526451207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8B84-4A78-BC09-62ED790AB6E6}"/>
                </c:ext>
                <c:ext xmlns:c15="http://schemas.microsoft.com/office/drawing/2012/chart" uri="{CE6537A1-D6FC-4f65-9D91-7224C49458BB}">
                  <c15:layout>
                    <c:manualLayout>
                      <c:w val="2.8245629860179689E-2"/>
                      <c:h val="2.1472945464897118E-2"/>
                    </c:manualLayout>
                  </c15:layout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weekly!$J$4:$J$26</c:f>
              <c:numCache>
                <c:formatCode>General</c:formatCode>
                <c:ptCount val="23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84322944"/>
        <c:axId val="-384315328"/>
      </c:lineChart>
      <c:catAx>
        <c:axId val="-38432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384315328"/>
        <c:crosses val="autoZero"/>
        <c:auto val="1"/>
        <c:lblAlgn val="ctr"/>
        <c:lblOffset val="100"/>
        <c:noMultiLvlLbl val="0"/>
      </c:catAx>
      <c:valAx>
        <c:axId val="-384315328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8432294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2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ششم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3109183720046E-2"/>
          <c:y val="9.2471302028379693E-2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weekly!$D$2:$D$26</c:f>
              <c:numCache>
                <c:formatCode>General</c:formatCode>
                <c:ptCount val="25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84315872"/>
        <c:axId val="-384325664"/>
      </c:lineChart>
      <c:catAx>
        <c:axId val="-38431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84325664"/>
        <c:crosses val="autoZero"/>
        <c:auto val="1"/>
        <c:lblAlgn val="ctr"/>
        <c:lblOffset val="100"/>
        <c:noMultiLvlLbl val="0"/>
      </c:catAx>
      <c:valAx>
        <c:axId val="-3843256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84315872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84327840"/>
        <c:axId val="-384314784"/>
      </c:lineChart>
      <c:catAx>
        <c:axId val="-38432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84314784"/>
        <c:crosses val="autoZero"/>
        <c:auto val="1"/>
        <c:lblAlgn val="ctr"/>
        <c:lblOffset val="100"/>
        <c:noMultiLvlLbl val="0"/>
      </c:catAx>
      <c:valAx>
        <c:axId val="-3843147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8432784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ششم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518362768318E-2"/>
          <c:y val="0.1120784450136504"/>
          <c:w val="0.94629234834978049"/>
          <c:h val="0.59195543328168321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01E-4112-8990-9EBADE87EF32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weekly!$F$2:$F$26</c:f>
              <c:numCache>
                <c:formatCode>General</c:formatCode>
                <c:ptCount val="25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84325120"/>
        <c:axId val="-384327296"/>
      </c:lineChart>
      <c:catAx>
        <c:axId val="-38432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84327296"/>
        <c:crosses val="autoZero"/>
        <c:auto val="1"/>
        <c:lblAlgn val="ctr"/>
        <c:lblOffset val="100"/>
        <c:noMultiLvlLbl val="0"/>
      </c:catAx>
      <c:valAx>
        <c:axId val="-38432729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84325120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 (پایان تابستان نسبت به پایان بهار)</a:t>
            </a:r>
            <a:endParaRPr lang="fa-I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seasonal!$D$3:$D$14</c15:sqref>
                  </c15:fullRef>
                </c:ext>
              </c:extLst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seasonal!$E$3:$E$14</c15:sqref>
                  </c15:fullRef>
                </c:ext>
              </c:extLst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384320224"/>
        <c:axId val="-384319136"/>
      </c:barChart>
      <c:catAx>
        <c:axId val="-38432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84319136"/>
        <c:crosses val="autoZero"/>
        <c:auto val="1"/>
        <c:lblAlgn val="ctr"/>
        <c:lblOffset val="100"/>
        <c:noMultiLvlLbl val="0"/>
      </c:catAx>
      <c:valAx>
        <c:axId val="-38431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a-IR"/>
                  <a:t>درصد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84320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بازارها(سه‌شنبه 6 مهر سال 1400)</a:t>
            </a:r>
          </a:p>
        </c:rich>
      </c:tx>
      <c:layout>
        <c:manualLayout>
          <c:xMode val="edge"/>
          <c:yMode val="edge"/>
          <c:x val="0.21238025840522137"/>
          <c:y val="3.5655295901774124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8"/>
          <c:order val="8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'price change'!$F$1:$I$1</c15:sqref>
                  </c15:fullRef>
                </c:ext>
              </c:extLst>
              <c:f>('price change'!$F$1,'price change'!$I$1)</c:f>
              <c:strCache>
                <c:ptCount val="2"/>
                <c:pt idx="0">
                  <c:v>دلار</c:v>
                </c:pt>
                <c:pt idx="1">
                  <c:v>شاخص کل بورس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'price change'!$F$78:$I$78</c15:sqref>
                  </c15:fullRef>
                </c:ext>
              </c:extLst>
              <c:f>('price change'!$F$78,'price change'!$I$78)</c:f>
              <c:numCache>
                <c:formatCode>General</c:formatCode>
                <c:ptCount val="2"/>
                <c:pt idx="0">
                  <c:v>0.9041591320072333</c:v>
                </c:pt>
                <c:pt idx="1">
                  <c:v>0.05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384318048"/>
        <c:axId val="-38432457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'price change'!$F$1:$I$1</c15:sqref>
                        </c15:fullRef>
                        <c15:formulaRef>
                          <c15:sqref>('price change'!$F$1,'price change'!$I$1)</c15:sqref>
                        </c15:formulaRef>
                      </c:ext>
                    </c:extLst>
                    <c:strCache>
                      <c:ptCount val="2"/>
                      <c:pt idx="0">
                        <c:v>دلار</c:v>
                      </c:pt>
                      <c:pt idx="1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'price change'!$F$70:$I$70</c15:sqref>
                        </c15:fullRef>
                        <c15:formulaRef>
                          <c15:sqref>('price change'!$F$70,'price change'!$I$70)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-0.18268176835951772</c:v>
                      </c:pt>
                      <c:pt idx="1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'price change'!$F$1:$I$1</c15:sqref>
                        </c15:fullRef>
                        <c15:formulaRef>
                          <c15:sqref>('price change'!$F$1,'price change'!$I$1)</c15:sqref>
                        </c15:formulaRef>
                      </c:ext>
                    </c:extLst>
                    <c:strCache>
                      <c:ptCount val="2"/>
                      <c:pt idx="0">
                        <c:v>دلار</c:v>
                      </c:pt>
                      <c:pt idx="1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'price change'!$F$71:$I$71</c15:sqref>
                        </c15:fullRef>
                        <c15:formulaRef>
                          <c15:sqref>('price change'!$F$71,'price change'!$I$71)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1.0248901903367496</c:v>
                      </c:pt>
                      <c:pt idx="1">
                        <c:v>-2.5499999999999998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38E0-4A7C-9C2D-ABB9DFD8E24B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'price change'!$F$1:$I$1</c15:sqref>
                        </c15:fullRef>
                        <c15:formulaRef>
                          <c15:sqref>('price change'!$F$1,'price change'!$I$1)</c15:sqref>
                        </c15:formulaRef>
                      </c:ext>
                    </c:extLst>
                    <c:strCache>
                      <c:ptCount val="2"/>
                      <c:pt idx="0">
                        <c:v>دلار</c:v>
                      </c:pt>
                      <c:pt idx="1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'price change'!$F$72:$I$72</c15:sqref>
                        </c15:fullRef>
                        <c15:formulaRef>
                          <c15:sqref>('price change'!$F$72,'price change'!$I$72)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-0.94202898550724634</c:v>
                      </c:pt>
                      <c:pt idx="1">
                        <c:v>-2.0499999999999998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8E0-4A7C-9C2D-ABB9DFD8E24B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'price change'!$F$1:$I$1</c15:sqref>
                        </c15:fullRef>
                        <c15:formulaRef>
                          <c15:sqref>('price change'!$F$1,'price change'!$I$1)</c15:sqref>
                        </c15:formulaRef>
                      </c:ext>
                    </c:extLst>
                    <c:strCache>
                      <c:ptCount val="2"/>
                      <c:pt idx="0">
                        <c:v>دلار</c:v>
                      </c:pt>
                      <c:pt idx="1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'price change'!$F$73:$I$73</c15:sqref>
                        </c15:fullRef>
                        <c15:formulaRef>
                          <c15:sqref>('price change'!$F$73,'price change'!$I$73)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0.14630577907827358</c:v>
                      </c:pt>
                      <c:pt idx="1">
                        <c:v>0.51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8E0-4A7C-9C2D-ABB9DFD8E24B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'price change'!$F$1:$I$1</c15:sqref>
                        </c15:fullRef>
                        <c15:formulaRef>
                          <c15:sqref>('price change'!$F$1,'price change'!$I$1)</c15:sqref>
                        </c15:formulaRef>
                      </c:ext>
                    </c:extLst>
                    <c:strCache>
                      <c:ptCount val="2"/>
                      <c:pt idx="0">
                        <c:v>دلار</c:v>
                      </c:pt>
                      <c:pt idx="1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'price change'!$F$74:$I$74</c15:sqref>
                        </c15:fullRef>
                        <c15:formulaRef>
                          <c15:sqref>('price change'!$F$74,'price change'!$I$74)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-0.1095690284879474</c:v>
                      </c:pt>
                      <c:pt idx="1">
                        <c:v>-2.56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8E0-4A7C-9C2D-ABB9DFD8E24B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'price change'!$F$1:$I$1</c15:sqref>
                        </c15:fullRef>
                        <c15:formulaRef>
                          <c15:sqref>('price change'!$F$1,'price change'!$I$1)</c15:sqref>
                        </c15:formulaRef>
                      </c:ext>
                    </c:extLst>
                    <c:strCache>
                      <c:ptCount val="2"/>
                      <c:pt idx="0">
                        <c:v>دلار</c:v>
                      </c:pt>
                      <c:pt idx="1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'price change'!$F$75:$I$75</c15:sqref>
                        </c15:fullRef>
                        <c15:formulaRef>
                          <c15:sqref>('price change'!$F$75,'price change'!$I$75)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0.62157221206581348</c:v>
                      </c:pt>
                      <c:pt idx="1">
                        <c:v>-0.34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8E0-4A7C-9C2D-ABB9DFD8E24B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'price change'!$F$1:$I$1</c15:sqref>
                        </c15:fullRef>
                        <c15:formulaRef>
                          <c15:sqref>('price change'!$F$1,'price change'!$I$1)</c15:sqref>
                        </c15:formulaRef>
                      </c:ext>
                    </c:extLst>
                    <c:strCache>
                      <c:ptCount val="2"/>
                      <c:pt idx="0">
                        <c:v>دلار</c:v>
                      </c:pt>
                      <c:pt idx="1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'price change'!$F$76:$I$76</c15:sqref>
                        </c15:fullRef>
                        <c15:formulaRef>
                          <c15:sqref>('price change'!$F$76,'price change'!$I$76)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7.2674418604651167E-2</c:v>
                      </c:pt>
                      <c:pt idx="1">
                        <c:v>2.57</c:v>
                      </c:pt>
                    </c:numCache>
                  </c:numRef>
                </c:val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'price change'!$F$1:$I$1</c15:sqref>
                        </c15:fullRef>
                        <c15:formulaRef>
                          <c15:sqref>('price change'!$F$1,'price change'!$I$1)</c15:sqref>
                        </c15:formulaRef>
                      </c:ext>
                    </c:extLst>
                    <c:strCache>
                      <c:ptCount val="2"/>
                      <c:pt idx="0">
                        <c:v>دلار</c:v>
                      </c:pt>
                      <c:pt idx="1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'price change'!$F$77:$I$77</c15:sqref>
                        </c15:fullRef>
                        <c15:formulaRef>
                          <c15:sqref>('price change'!$F$77,'price change'!$I$77)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0.39941902687000724</c:v>
                      </c:pt>
                      <c:pt idx="1">
                        <c:v>0.18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38431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84324576"/>
        <c:crosses val="autoZero"/>
        <c:auto val="1"/>
        <c:lblAlgn val="ctr"/>
        <c:lblOffset val="100"/>
        <c:noMultiLvlLbl val="0"/>
      </c:catAx>
      <c:valAx>
        <c:axId val="-3843245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843180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1485900</xdr:colOff>
      <xdr:row>450</xdr:row>
      <xdr:rowOff>26640</xdr:rowOff>
    </xdr:from>
    <xdr:to>
      <xdr:col>14</xdr:col>
      <xdr:colOff>599430</xdr:colOff>
      <xdr:row>480</xdr:row>
      <xdr:rowOff>26279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83126</xdr:colOff>
      <xdr:row>28</xdr:row>
      <xdr:rowOff>180108</xdr:rowOff>
    </xdr:from>
    <xdr:to>
      <xdr:col>48</xdr:col>
      <xdr:colOff>60960</xdr:colOff>
      <xdr:row>128</xdr:row>
      <xdr:rowOff>55418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990600</xdr:colOff>
      <xdr:row>239</xdr:row>
      <xdr:rowOff>76200</xdr:rowOff>
    </xdr:from>
    <xdr:to>
      <xdr:col>47</xdr:col>
      <xdr:colOff>228599</xdr:colOff>
      <xdr:row>336</xdr:row>
      <xdr:rowOff>76200</xdr:rowOff>
    </xdr:to>
    <xdr:graphicFrame macro="">
      <xdr:nvGraphicFramePr>
        <xdr:cNvPr id="5" name="Chart 6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1369462</xdr:colOff>
      <xdr:row>487</xdr:row>
      <xdr:rowOff>0</xdr:rowOff>
    </xdr:from>
    <xdr:to>
      <xdr:col>15</xdr:col>
      <xdr:colOff>361950</xdr:colOff>
      <xdr:row>516</xdr:row>
      <xdr:rowOff>130173</xdr:rowOff>
    </xdr:to>
    <xdr:graphicFrame macro="">
      <xdr:nvGraphicFramePr>
        <xdr:cNvPr id="6" name="Chart 7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857250</xdr:colOff>
      <xdr:row>353</xdr:row>
      <xdr:rowOff>0</xdr:rowOff>
    </xdr:from>
    <xdr:to>
      <xdr:col>47</xdr:col>
      <xdr:colOff>228599</xdr:colOff>
      <xdr:row>439</xdr:row>
      <xdr:rowOff>76200</xdr:rowOff>
    </xdr:to>
    <xdr:graphicFrame macro="">
      <xdr:nvGraphicFramePr>
        <xdr:cNvPr id="7" name="Chart 8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189380</xdr:colOff>
      <xdr:row>4</xdr:row>
      <xdr:rowOff>183777</xdr:rowOff>
    </xdr:from>
    <xdr:to>
      <xdr:col>17</xdr:col>
      <xdr:colOff>497541</xdr:colOff>
      <xdr:row>17</xdr:row>
      <xdr:rowOff>35579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180825</xdr:colOff>
      <xdr:row>0</xdr:row>
      <xdr:rowOff>114389</xdr:rowOff>
    </xdr:from>
    <xdr:to>
      <xdr:col>7</xdr:col>
      <xdr:colOff>494850</xdr:colOff>
      <xdr:row>25</xdr:row>
      <xdr:rowOff>104775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49"/>
  <sheetViews>
    <sheetView topLeftCell="E130" zoomScaleNormal="100" workbookViewId="0">
      <selection activeCell="G140" sqref="G140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L140/G140</f>
        <v>3368221.4536214066</v>
      </c>
      <c r="T1" s="4" t="s">
        <v>15</v>
      </c>
      <c r="U1" s="4">
        <f>M140/K140</f>
        <v>30802.503849014771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K140/K62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39" si="19">F98*G98</f>
        <v>92308365600</v>
      </c>
      <c r="M98" s="13">
        <f t="shared" ref="M98:M139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customHeight="1">
      <c r="A130" s="77"/>
      <c r="B130" s="78" t="s">
        <v>340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customHeight="1">
      <c r="A131" s="89"/>
      <c r="B131" s="90" t="s">
        <v>345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customHeight="1">
      <c r="A132" s="89"/>
      <c r="B132" s="90" t="s">
        <v>347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92" customFormat="1" ht="21" customHeight="1">
      <c r="A133" s="89"/>
      <c r="B133" s="95" t="s">
        <v>348</v>
      </c>
      <c r="C133" s="90">
        <v>29</v>
      </c>
      <c r="D133" s="91">
        <v>26376</v>
      </c>
      <c r="E133" s="90">
        <v>26232</v>
      </c>
      <c r="F133" s="90">
        <v>26276</v>
      </c>
      <c r="G133" s="90">
        <v>8995300</v>
      </c>
      <c r="H133" s="90">
        <v>31069</v>
      </c>
      <c r="I133" s="90">
        <v>31447</v>
      </c>
      <c r="J133" s="90">
        <v>31304</v>
      </c>
      <c r="K133" s="90">
        <v>356800</v>
      </c>
      <c r="L133" s="90">
        <f t="shared" si="19"/>
        <v>236360502800</v>
      </c>
      <c r="M133" s="90">
        <f t="shared" si="20"/>
        <v>11169267200</v>
      </c>
      <c r="N133" s="92">
        <v>26494</v>
      </c>
      <c r="O133" s="92">
        <v>31761</v>
      </c>
      <c r="P133" s="92">
        <v>26639</v>
      </c>
      <c r="Q133" s="92">
        <v>31380</v>
      </c>
      <c r="R133" s="90"/>
      <c r="S133" s="90"/>
      <c r="T133" s="90"/>
      <c r="U133" s="90"/>
      <c r="V133" s="92">
        <v>27400</v>
      </c>
      <c r="X133" s="92">
        <v>27380</v>
      </c>
      <c r="Y133" s="92">
        <v>32093</v>
      </c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1"/>
      <c r="AT133" s="91"/>
      <c r="AU133" s="91"/>
      <c r="AV133" s="91"/>
      <c r="AW133" s="91"/>
      <c r="AX133" s="91"/>
      <c r="AY133" s="90"/>
      <c r="AZ133" s="90"/>
      <c r="BA133" s="90"/>
      <c r="BB133" s="90"/>
      <c r="BC133" s="90"/>
      <c r="BE133" s="93"/>
      <c r="BF133" s="93"/>
      <c r="BG133" s="93"/>
      <c r="BH133" s="93"/>
    </row>
    <row r="134" spans="1:62" s="92" customFormat="1" ht="21" customHeight="1">
      <c r="A134" s="89"/>
      <c r="B134" s="95" t="s">
        <v>350</v>
      </c>
      <c r="C134" s="90">
        <v>30</v>
      </c>
      <c r="D134" s="91">
        <v>26270</v>
      </c>
      <c r="E134" s="90">
        <v>26232</v>
      </c>
      <c r="F134" s="90">
        <v>26287</v>
      </c>
      <c r="G134" s="90">
        <v>10062100</v>
      </c>
      <c r="H134" s="90">
        <v>31447</v>
      </c>
      <c r="I134" s="90">
        <v>31280</v>
      </c>
      <c r="J134" s="90">
        <v>31273</v>
      </c>
      <c r="K134" s="90">
        <v>878800</v>
      </c>
      <c r="L134" s="90">
        <f t="shared" si="19"/>
        <v>264502422700</v>
      </c>
      <c r="M134" s="90">
        <f t="shared" si="20"/>
        <v>27482712400</v>
      </c>
      <c r="N134" s="92">
        <v>26494</v>
      </c>
      <c r="O134" s="92">
        <v>31593</v>
      </c>
      <c r="P134" s="92">
        <v>26532</v>
      </c>
      <c r="Q134" s="92">
        <v>31761</v>
      </c>
      <c r="R134" s="90"/>
      <c r="S134" s="90"/>
      <c r="T134" s="90"/>
      <c r="U134" s="90"/>
      <c r="V134" s="92">
        <v>27400</v>
      </c>
      <c r="X134" s="92">
        <v>27350</v>
      </c>
      <c r="Y134" s="92">
        <v>32181</v>
      </c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1"/>
      <c r="AT134" s="91"/>
      <c r="AU134" s="91"/>
      <c r="AV134" s="91"/>
      <c r="AW134" s="91"/>
      <c r="AX134" s="91"/>
      <c r="AY134" s="90"/>
      <c r="AZ134" s="90"/>
      <c r="BA134" s="90"/>
      <c r="BB134" s="90"/>
      <c r="BC134" s="90"/>
      <c r="BE134" s="93"/>
      <c r="BF134" s="93"/>
      <c r="BG134" s="93"/>
      <c r="BH134" s="93"/>
    </row>
    <row r="135" spans="1:62" s="92" customFormat="1" ht="21" customHeight="1">
      <c r="A135" s="89"/>
      <c r="B135" s="95" t="s">
        <v>352</v>
      </c>
      <c r="C135" s="90">
        <v>31</v>
      </c>
      <c r="D135" s="91">
        <v>26232</v>
      </c>
      <c r="E135" s="90">
        <v>26260</v>
      </c>
      <c r="F135" s="90">
        <v>26260</v>
      </c>
      <c r="G135" s="90">
        <v>8462400</v>
      </c>
      <c r="H135" s="90">
        <v>31280</v>
      </c>
      <c r="I135" s="90">
        <v>31084</v>
      </c>
      <c r="J135" s="90">
        <v>31147</v>
      </c>
      <c r="K135" s="90">
        <v>412100</v>
      </c>
      <c r="L135" s="90">
        <f t="shared" si="19"/>
        <v>222222624000</v>
      </c>
      <c r="M135" s="90">
        <f t="shared" si="20"/>
        <v>12835678700</v>
      </c>
      <c r="N135" s="92">
        <v>26523</v>
      </c>
      <c r="O135" s="92">
        <v>31394</v>
      </c>
      <c r="P135" s="92">
        <v>26494</v>
      </c>
      <c r="Q135" s="92">
        <v>31593</v>
      </c>
      <c r="R135" s="90"/>
      <c r="S135" s="90"/>
      <c r="T135" s="90"/>
      <c r="U135" s="90"/>
      <c r="V135" s="92">
        <v>27500</v>
      </c>
      <c r="X135" s="92">
        <v>27520</v>
      </c>
      <c r="Y135" s="92">
        <v>32347</v>
      </c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1"/>
      <c r="AT135" s="91"/>
      <c r="AU135" s="91"/>
      <c r="AV135" s="91"/>
      <c r="AW135" s="91"/>
      <c r="AX135" s="91"/>
      <c r="AY135" s="90"/>
      <c r="AZ135" s="90"/>
      <c r="BA135" s="90"/>
      <c r="BB135" s="90"/>
      <c r="BC135" s="90"/>
      <c r="BE135" s="93"/>
      <c r="BF135" s="93"/>
      <c r="BG135" s="93"/>
      <c r="BH135" s="93"/>
    </row>
    <row r="136" spans="1:62" s="100" customFormat="1" ht="21" customHeight="1">
      <c r="A136" s="96"/>
      <c r="B136" s="97" t="s">
        <v>354</v>
      </c>
      <c r="C136" s="98">
        <v>1</v>
      </c>
      <c r="D136" s="99">
        <v>26285</v>
      </c>
      <c r="E136" s="98">
        <v>26472</v>
      </c>
      <c r="F136" s="98">
        <v>26346</v>
      </c>
      <c r="G136" s="98">
        <v>7327700</v>
      </c>
      <c r="H136" s="98">
        <v>31065</v>
      </c>
      <c r="I136" s="98">
        <v>31168</v>
      </c>
      <c r="J136" s="98">
        <v>31073</v>
      </c>
      <c r="K136" s="98">
        <v>409200</v>
      </c>
      <c r="L136" s="98">
        <f t="shared" si="19"/>
        <v>193055584200</v>
      </c>
      <c r="M136" s="98">
        <f t="shared" si="20"/>
        <v>12715071600</v>
      </c>
      <c r="N136" s="100">
        <v>26736</v>
      </c>
      <c r="O136" s="100">
        <v>31480</v>
      </c>
      <c r="P136" s="100">
        <v>26548</v>
      </c>
      <c r="Q136" s="100">
        <v>31375</v>
      </c>
      <c r="R136" s="98"/>
      <c r="S136" s="98"/>
      <c r="T136" s="98"/>
      <c r="U136" s="98"/>
      <c r="V136" s="100">
        <v>27500</v>
      </c>
      <c r="X136" s="100">
        <v>27470</v>
      </c>
      <c r="Y136" s="100">
        <v>32242</v>
      </c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9"/>
      <c r="AT136" s="99"/>
      <c r="AU136" s="99"/>
      <c r="AV136" s="99"/>
      <c r="AW136" s="99"/>
      <c r="AX136" s="99"/>
      <c r="AY136" s="98"/>
      <c r="AZ136" s="98"/>
      <c r="BA136" s="98"/>
      <c r="BB136" s="98"/>
      <c r="BC136" s="98"/>
      <c r="BE136" s="101"/>
      <c r="BF136" s="101"/>
      <c r="BG136" s="101"/>
      <c r="BH136" s="101"/>
    </row>
    <row r="137" spans="1:62" s="108" customFormat="1" ht="21" customHeight="1">
      <c r="A137" s="104"/>
      <c r="B137" s="105" t="s">
        <v>378</v>
      </c>
      <c r="C137" s="106">
        <v>3</v>
      </c>
      <c r="D137" s="107">
        <v>26530</v>
      </c>
      <c r="E137" s="106">
        <v>26568</v>
      </c>
      <c r="F137" s="106">
        <v>26572</v>
      </c>
      <c r="G137" s="106">
        <v>9541500</v>
      </c>
      <c r="H137" s="106">
        <v>31168</v>
      </c>
      <c r="I137" s="106">
        <v>31185</v>
      </c>
      <c r="J137" s="106">
        <v>31146</v>
      </c>
      <c r="K137" s="106">
        <v>1141700</v>
      </c>
      <c r="L137" s="106">
        <f t="shared" si="19"/>
        <v>253536738000</v>
      </c>
      <c r="M137" s="106">
        <f t="shared" si="20"/>
        <v>35559388200</v>
      </c>
      <c r="N137" s="108">
        <v>26834</v>
      </c>
      <c r="O137" s="108">
        <v>31497</v>
      </c>
      <c r="P137" s="108">
        <v>26796</v>
      </c>
      <c r="Q137" s="108">
        <v>31480</v>
      </c>
      <c r="R137" s="106"/>
      <c r="S137" s="106"/>
      <c r="T137" s="106"/>
      <c r="U137" s="106"/>
      <c r="V137" s="108">
        <v>27680</v>
      </c>
      <c r="X137" s="108">
        <v>27540</v>
      </c>
      <c r="Y137" s="108">
        <v>32349</v>
      </c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7"/>
      <c r="AT137" s="107"/>
      <c r="AU137" s="107"/>
      <c r="AV137" s="107"/>
      <c r="AW137" s="107"/>
      <c r="AX137" s="107"/>
      <c r="AY137" s="106"/>
      <c r="AZ137" s="106"/>
      <c r="BA137" s="106"/>
      <c r="BB137" s="106"/>
      <c r="BC137" s="106"/>
      <c r="BE137" s="109"/>
      <c r="BF137" s="109"/>
      <c r="BG137" s="109"/>
      <c r="BH137" s="109"/>
    </row>
    <row r="138" spans="1:62" s="108" customFormat="1" ht="21" customHeight="1">
      <c r="A138" s="104"/>
      <c r="B138" s="105" t="s">
        <v>379</v>
      </c>
      <c r="C138" s="106">
        <v>4</v>
      </c>
      <c r="D138" s="107">
        <v>26563</v>
      </c>
      <c r="E138" s="106">
        <v>26763</v>
      </c>
      <c r="F138" s="106">
        <v>26641</v>
      </c>
      <c r="G138" s="106">
        <v>9198200</v>
      </c>
      <c r="H138" s="106">
        <v>31185</v>
      </c>
      <c r="I138" s="106">
        <v>31265</v>
      </c>
      <c r="J138" s="106">
        <v>31207</v>
      </c>
      <c r="K138" s="106">
        <v>800500</v>
      </c>
      <c r="L138" s="106">
        <f t="shared" si="19"/>
        <v>245049246200</v>
      </c>
      <c r="M138" s="106">
        <f t="shared" si="20"/>
        <v>24981203500</v>
      </c>
      <c r="N138" s="108">
        <v>27030</v>
      </c>
      <c r="O138" s="108">
        <v>31578</v>
      </c>
      <c r="P138" s="108">
        <v>26829</v>
      </c>
      <c r="Q138" s="108">
        <v>31497</v>
      </c>
      <c r="R138" s="106"/>
      <c r="S138" s="106"/>
      <c r="T138" s="106"/>
      <c r="U138" s="106"/>
      <c r="V138" s="108">
        <v>27600</v>
      </c>
      <c r="X138" s="108">
        <v>27650</v>
      </c>
      <c r="Y138" s="108">
        <v>32256</v>
      </c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7"/>
      <c r="AT138" s="107"/>
      <c r="AU138" s="107"/>
      <c r="AV138" s="107"/>
      <c r="AW138" s="107"/>
      <c r="AX138" s="107"/>
      <c r="AY138" s="106"/>
      <c r="AZ138" s="106"/>
      <c r="BA138" s="106"/>
      <c r="BB138" s="106"/>
      <c r="BC138" s="106"/>
      <c r="BE138" s="109"/>
      <c r="BF138" s="109"/>
      <c r="BG138" s="109"/>
      <c r="BH138" s="109"/>
    </row>
    <row r="139" spans="1:62" s="86" customFormat="1" ht="21" customHeight="1">
      <c r="A139" s="83"/>
      <c r="B139" s="94" t="s">
        <v>381</v>
      </c>
      <c r="C139" s="84">
        <v>6</v>
      </c>
      <c r="D139" s="85">
        <v>26902</v>
      </c>
      <c r="E139" s="84">
        <v>27230</v>
      </c>
      <c r="F139" s="84">
        <v>27169</v>
      </c>
      <c r="G139" s="84">
        <v>7757800</v>
      </c>
      <c r="H139" s="84">
        <v>31265</v>
      </c>
      <c r="I139" s="84">
        <v>31900</v>
      </c>
      <c r="J139" s="84">
        <v>31623</v>
      </c>
      <c r="K139" s="84">
        <v>961200</v>
      </c>
      <c r="L139" s="106">
        <f t="shared" si="19"/>
        <v>210771668200</v>
      </c>
      <c r="M139" s="106">
        <f t="shared" si="20"/>
        <v>30396027600</v>
      </c>
      <c r="N139" s="86">
        <v>27502</v>
      </c>
      <c r="O139" s="86">
        <v>32219</v>
      </c>
      <c r="P139" s="86">
        <v>27171</v>
      </c>
      <c r="Q139" s="86">
        <v>31578</v>
      </c>
      <c r="R139" s="84"/>
      <c r="S139" s="84"/>
      <c r="T139" s="84"/>
      <c r="U139" s="84"/>
      <c r="V139" s="86">
        <v>27850</v>
      </c>
      <c r="X139" s="86">
        <v>27900</v>
      </c>
      <c r="Y139" s="86">
        <v>32455</v>
      </c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  <c r="AL139" s="84"/>
      <c r="AM139" s="84"/>
      <c r="AN139" s="84"/>
      <c r="AO139" s="84"/>
      <c r="AP139" s="84"/>
      <c r="AQ139" s="84"/>
      <c r="AR139" s="84"/>
      <c r="AS139" s="85"/>
      <c r="AT139" s="85"/>
      <c r="AU139" s="85"/>
      <c r="AV139" s="85"/>
      <c r="AW139" s="85"/>
      <c r="AX139" s="85"/>
      <c r="AY139" s="84"/>
      <c r="AZ139" s="84"/>
      <c r="BA139" s="84"/>
      <c r="BB139" s="84"/>
      <c r="BC139" s="84"/>
      <c r="BE139" s="87"/>
      <c r="BF139" s="87"/>
      <c r="BG139" s="87"/>
      <c r="BH139" s="87"/>
    </row>
    <row r="140" spans="1:62" ht="18">
      <c r="A140" s="8"/>
      <c r="B140" s="9"/>
      <c r="C140" s="9"/>
      <c r="D140" s="27"/>
      <c r="E140" s="9"/>
      <c r="F140" s="9"/>
      <c r="G140" s="9">
        <f>SUM(G2:G139)/138</f>
        <v>6125809.4130434785</v>
      </c>
      <c r="H140" s="9"/>
      <c r="I140" s="9"/>
      <c r="J140" s="9"/>
      <c r="K140" s="9">
        <f>SUM(K2:K126)</f>
        <v>125564600</v>
      </c>
      <c r="L140" s="9">
        <f>SUM(L2:L139)</f>
        <v>20633082685809</v>
      </c>
      <c r="M140" s="10">
        <f>SUM(M2:M139)</f>
        <v>3867704074800</v>
      </c>
      <c r="N140" s="10"/>
      <c r="O140" s="10"/>
      <c r="P140" s="10"/>
      <c r="Q140" s="10"/>
      <c r="R140" s="10"/>
      <c r="S140" s="10"/>
      <c r="T140" s="10"/>
      <c r="U140" s="10"/>
      <c r="V140" s="60">
        <v>27840</v>
      </c>
      <c r="W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Y140" s="10"/>
      <c r="AZ140" s="10"/>
      <c r="BA140" s="10"/>
      <c r="BB140" s="10"/>
      <c r="BC140" s="10"/>
      <c r="BD140" s="10"/>
      <c r="BE140" s="11"/>
      <c r="BF140" s="11"/>
      <c r="BG140" s="11"/>
      <c r="BH140" s="11"/>
      <c r="BI140" t="e">
        <f>#REF!-N140</f>
        <v>#REF!</v>
      </c>
      <c r="BJ140" t="e">
        <f>(Y140-O140)/O140</f>
        <v>#DIV/0!</v>
      </c>
    </row>
    <row r="141" spans="1:62" ht="18">
      <c r="D141" s="27"/>
      <c r="V141" s="66">
        <v>27850</v>
      </c>
      <c r="Z141" s="26"/>
      <c r="AB141" s="26"/>
      <c r="AS141" s="26"/>
      <c r="AW141" s="31"/>
    </row>
    <row r="142" spans="1:62" ht="18">
      <c r="D142" s="27"/>
      <c r="Z142" s="26"/>
      <c r="AS142" s="27"/>
      <c r="AW142" s="31"/>
      <c r="AY142">
        <f>AY51-AY50</f>
        <v>35000</v>
      </c>
    </row>
    <row r="143" spans="1:62" ht="18">
      <c r="G143">
        <f>(G139-G140)/G140</f>
        <v>0.26641223663954988</v>
      </c>
      <c r="Z143" s="26"/>
      <c r="AS143" s="27">
        <v>10290000</v>
      </c>
      <c r="AW143" s="31"/>
      <c r="BB143">
        <f>AY60-AY59</f>
        <v>70000</v>
      </c>
    </row>
    <row r="144" spans="1:62" ht="18">
      <c r="V144" s="26"/>
      <c r="Z144" s="26"/>
      <c r="AS144" s="27"/>
      <c r="AU144">
        <f>AS143-AS49</f>
        <v>195000</v>
      </c>
      <c r="AW144" s="31">
        <f>AC52-AY51</f>
        <v>305000</v>
      </c>
    </row>
    <row r="145" spans="22:49" ht="18">
      <c r="V145" s="26"/>
      <c r="Z145" s="26"/>
      <c r="AW145" s="31"/>
    </row>
    <row r="146" spans="22:49" ht="17.25" customHeight="1">
      <c r="V146" s="26"/>
      <c r="Z146" s="26"/>
    </row>
    <row r="147" spans="22:49" ht="18">
      <c r="V147" s="26"/>
      <c r="Z147" s="26"/>
      <c r="AW147">
        <f>AW144/AY51</f>
        <v>2.9539951573849879E-2</v>
      </c>
    </row>
    <row r="148" spans="22:49" ht="18">
      <c r="V148" s="26"/>
    </row>
    <row r="149" spans="22:49" ht="18">
      <c r="V149" s="26"/>
    </row>
  </sheetData>
  <autoFilter ref="A1:BL144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289" zoomScale="25" zoomScaleNormal="25" workbookViewId="0">
      <selection activeCell="BA310" sqref="BA31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224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343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 s="82" customFormat="1" ht="13.9" customHeight="1">
      <c r="A26" s="82" t="s">
        <v>356</v>
      </c>
      <c r="B26" s="82">
        <v>26352</v>
      </c>
      <c r="C26" s="82">
        <v>31168</v>
      </c>
      <c r="D26" s="82">
        <v>51940000</v>
      </c>
      <c r="E26" s="82">
        <f>D26/6</f>
        <v>8656666.666666666</v>
      </c>
      <c r="F26" s="82">
        <v>3588200</v>
      </c>
      <c r="G26" s="82">
        <f>F26/6</f>
        <v>598033.33333333337</v>
      </c>
      <c r="H26" s="82">
        <v>26613</v>
      </c>
      <c r="I26" s="82">
        <v>31493</v>
      </c>
      <c r="J26" s="82">
        <v>27443</v>
      </c>
      <c r="K26" s="82">
        <v>32192</v>
      </c>
    </row>
    <row r="27" spans="1:11">
      <c r="B27">
        <f>(B2-B8)/B2</f>
        <v>0.15346494762288476</v>
      </c>
      <c r="C27">
        <f>(C2-C8)/C2</f>
        <v>0.1154959674639829</v>
      </c>
      <c r="D27">
        <f>SUM(D2:D16)/15</f>
        <v>29639479.933333334</v>
      </c>
    </row>
    <row r="31" spans="1:11">
      <c r="D31">
        <v>5375132</v>
      </c>
      <c r="E31">
        <f>(E17-D31)/D31</f>
        <v>4.5958809321644006E-2</v>
      </c>
      <c r="G31">
        <f t="shared" ref="G31:G39" si="0">B3-B2</f>
        <v>-554</v>
      </c>
    </row>
    <row r="32" spans="1:11">
      <c r="G32">
        <f t="shared" si="0"/>
        <v>-302</v>
      </c>
    </row>
    <row r="33" spans="3:7">
      <c r="C33">
        <f>(D31-E16)/E16</f>
        <v>0.17110375179746395</v>
      </c>
      <c r="G33">
        <f t="shared" si="0"/>
        <v>-511</v>
      </c>
    </row>
    <row r="34" spans="3:7">
      <c r="G34">
        <f t="shared" si="0"/>
        <v>-362</v>
      </c>
    </row>
    <row r="35" spans="3:7">
      <c r="G35">
        <f t="shared" si="0"/>
        <v>-1699</v>
      </c>
    </row>
    <row r="36" spans="3:7">
      <c r="G36">
        <f t="shared" si="0"/>
        <v>-381</v>
      </c>
    </row>
    <row r="37" spans="3:7">
      <c r="G37">
        <f t="shared" si="0"/>
        <v>1075</v>
      </c>
    </row>
    <row r="38" spans="3:7">
      <c r="G38">
        <f t="shared" si="0"/>
        <v>151</v>
      </c>
    </row>
    <row r="39" spans="3:7">
      <c r="G39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84"/>
  <sheetViews>
    <sheetView topLeftCell="A870" zoomScaleNormal="100" workbookViewId="0">
      <selection activeCell="D881" sqref="D881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14" t="s">
        <v>227</v>
      </c>
      <c r="B1" s="114"/>
      <c r="C1" s="114"/>
      <c r="D1" s="114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114" t="s">
        <v>237</v>
      </c>
      <c r="B11" s="114"/>
      <c r="C11" s="114"/>
      <c r="D11" s="114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232</v>
      </c>
      <c r="B14" s="11">
        <v>23940</v>
      </c>
      <c r="C14" s="11">
        <v>6570</v>
      </c>
      <c r="D14" s="11">
        <v>10600000</v>
      </c>
    </row>
    <row r="15" spans="1:4">
      <c r="A15" s="70" t="s">
        <v>233</v>
      </c>
      <c r="B15" s="11">
        <v>23950</v>
      </c>
      <c r="C15" s="11">
        <v>6580</v>
      </c>
      <c r="D15" s="11">
        <v>10610000</v>
      </c>
    </row>
    <row r="16" spans="1:4">
      <c r="A16" s="68" t="s">
        <v>234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235</v>
      </c>
      <c r="B18" s="11">
        <v>23920</v>
      </c>
      <c r="C18" s="11">
        <v>6560</v>
      </c>
      <c r="D18" s="11">
        <v>10610000</v>
      </c>
    </row>
    <row r="19" spans="1:6">
      <c r="A19" s="69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114" t="s">
        <v>239</v>
      </c>
      <c r="B21" s="114"/>
      <c r="C21" s="114"/>
      <c r="D21" s="114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232</v>
      </c>
      <c r="B24" s="11">
        <v>23960</v>
      </c>
      <c r="C24" s="11">
        <v>6590</v>
      </c>
      <c r="D24" s="11">
        <v>10640000</v>
      </c>
    </row>
    <row r="25" spans="1:6">
      <c r="A25" s="70" t="s">
        <v>233</v>
      </c>
      <c r="B25" s="11">
        <v>24030</v>
      </c>
      <c r="C25" s="11">
        <v>6570</v>
      </c>
      <c r="D25" s="11">
        <v>10670000</v>
      </c>
    </row>
    <row r="26" spans="1:6">
      <c r="A26" s="68" t="s">
        <v>234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235</v>
      </c>
      <c r="B28" s="11">
        <v>24040</v>
      </c>
      <c r="C28" s="11">
        <v>6590</v>
      </c>
      <c r="D28" s="11">
        <v>10680000</v>
      </c>
    </row>
    <row r="29" spans="1:6">
      <c r="A29" s="69" t="s">
        <v>236</v>
      </c>
      <c r="B29" s="11">
        <v>24040</v>
      </c>
      <c r="C29" s="11">
        <v>6590</v>
      </c>
      <c r="D29" s="11">
        <v>10670000</v>
      </c>
    </row>
    <row r="31" spans="1:6">
      <c r="A31" s="114" t="s">
        <v>240</v>
      </c>
      <c r="B31" s="114"/>
      <c r="C31" s="114"/>
      <c r="D31" s="114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232</v>
      </c>
      <c r="B34" s="11">
        <v>24150</v>
      </c>
      <c r="C34" s="11">
        <v>6600</v>
      </c>
      <c r="D34" s="11">
        <v>10670000</v>
      </c>
    </row>
    <row r="35" spans="1:4">
      <c r="A35" s="70" t="s">
        <v>233</v>
      </c>
      <c r="B35" s="11">
        <v>24110</v>
      </c>
      <c r="C35" s="11">
        <v>6620</v>
      </c>
      <c r="D35" s="11">
        <v>10680000</v>
      </c>
    </row>
    <row r="36" spans="1:4">
      <c r="A36" s="68" t="s">
        <v>234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235</v>
      </c>
      <c r="B38" s="11">
        <v>24110</v>
      </c>
      <c r="C38" s="11">
        <v>6620</v>
      </c>
      <c r="D38" s="11">
        <v>10770000</v>
      </c>
    </row>
    <row r="39" spans="1:4">
      <c r="A39" s="69" t="s">
        <v>236</v>
      </c>
      <c r="B39" s="11">
        <v>24110</v>
      </c>
      <c r="C39" s="11">
        <v>6620</v>
      </c>
      <c r="D39" s="11">
        <v>10750000</v>
      </c>
    </row>
    <row r="41" spans="1:4">
      <c r="A41" s="114" t="s">
        <v>241</v>
      </c>
      <c r="B41" s="114"/>
      <c r="C41" s="114"/>
      <c r="D41" s="114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232</v>
      </c>
      <c r="B44" s="11">
        <v>24290</v>
      </c>
      <c r="C44" s="11">
        <v>6650</v>
      </c>
      <c r="D44" s="11">
        <v>10720000</v>
      </c>
    </row>
    <row r="45" spans="1:4">
      <c r="A45" s="70" t="s">
        <v>233</v>
      </c>
      <c r="B45" s="11">
        <v>24340</v>
      </c>
      <c r="C45" s="11">
        <v>6685</v>
      </c>
      <c r="D45" s="11">
        <v>10790000</v>
      </c>
    </row>
    <row r="46" spans="1:4">
      <c r="A46" s="68" t="s">
        <v>234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242</v>
      </c>
      <c r="C47" s="11" t="s">
        <v>242</v>
      </c>
      <c r="D47" s="11" t="s">
        <v>242</v>
      </c>
    </row>
    <row r="48" spans="1:4">
      <c r="A48" s="69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69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114" t="s">
        <v>243</v>
      </c>
      <c r="B51" s="114"/>
      <c r="C51" s="114"/>
      <c r="D51" s="114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232</v>
      </c>
      <c r="B54" s="11">
        <v>24280</v>
      </c>
      <c r="C54" s="11">
        <v>6660</v>
      </c>
      <c r="D54" s="11">
        <v>10600000</v>
      </c>
    </row>
    <row r="55" spans="1:11">
      <c r="A55" s="70" t="s">
        <v>233</v>
      </c>
      <c r="B55" s="11">
        <v>24000</v>
      </c>
      <c r="C55" s="11">
        <v>6610</v>
      </c>
      <c r="D55" s="11">
        <v>10500000</v>
      </c>
    </row>
    <row r="56" spans="1:11">
      <c r="A56" s="68" t="s">
        <v>234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235</v>
      </c>
      <c r="B58" s="11">
        <v>24000</v>
      </c>
      <c r="C58" s="11">
        <v>6550</v>
      </c>
      <c r="D58" s="11">
        <v>10300000</v>
      </c>
    </row>
    <row r="59" spans="1:11">
      <c r="A59" s="69" t="s">
        <v>236</v>
      </c>
      <c r="B59" s="11">
        <v>24000</v>
      </c>
      <c r="C59" s="11">
        <v>6570</v>
      </c>
      <c r="D59" s="11">
        <v>10210000</v>
      </c>
    </row>
    <row r="61" spans="1:11">
      <c r="A61" s="114" t="s">
        <v>244</v>
      </c>
      <c r="B61" s="114"/>
      <c r="C61" s="114"/>
      <c r="D61" s="114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232</v>
      </c>
      <c r="B64" s="11">
        <v>23630</v>
      </c>
      <c r="C64" s="11">
        <v>6550</v>
      </c>
      <c r="D64" s="11">
        <v>10230000</v>
      </c>
    </row>
    <row r="65" spans="1:4">
      <c r="A65" s="70" t="s">
        <v>233</v>
      </c>
      <c r="B65" s="11">
        <v>23740</v>
      </c>
      <c r="C65" s="11">
        <v>6495</v>
      </c>
      <c r="D65" s="11">
        <v>10240000</v>
      </c>
    </row>
    <row r="66" spans="1:4">
      <c r="A66" s="68" t="s">
        <v>234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235</v>
      </c>
      <c r="B68" s="11">
        <v>23740</v>
      </c>
      <c r="C68" s="11">
        <v>6520</v>
      </c>
      <c r="D68" s="11">
        <v>10265000</v>
      </c>
    </row>
    <row r="69" spans="1:4">
      <c r="A69" s="69" t="s">
        <v>236</v>
      </c>
      <c r="B69" s="11">
        <v>23740</v>
      </c>
      <c r="C69" s="11">
        <v>6520</v>
      </c>
      <c r="D69" s="11">
        <v>10180000</v>
      </c>
    </row>
    <row r="71" spans="1:4">
      <c r="A71" s="114" t="s">
        <v>245</v>
      </c>
      <c r="B71" s="114"/>
      <c r="C71" s="114"/>
      <c r="D71" s="114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232</v>
      </c>
      <c r="B74" s="11">
        <v>23880</v>
      </c>
      <c r="C74" s="11">
        <v>6580</v>
      </c>
      <c r="D74" s="11">
        <v>10280000</v>
      </c>
    </row>
    <row r="75" spans="1:4">
      <c r="A75" s="70" t="s">
        <v>233</v>
      </c>
      <c r="B75" s="11">
        <v>24000</v>
      </c>
      <c r="C75" s="11">
        <v>6580</v>
      </c>
      <c r="D75" s="11">
        <v>10330000</v>
      </c>
    </row>
    <row r="76" spans="1:4">
      <c r="A76" s="68" t="s">
        <v>234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235</v>
      </c>
      <c r="B78" s="11">
        <v>23930</v>
      </c>
      <c r="C78" s="11">
        <v>6560</v>
      </c>
      <c r="D78" s="11">
        <v>10360000</v>
      </c>
    </row>
    <row r="79" spans="1:4">
      <c r="A79" s="69" t="s">
        <v>236</v>
      </c>
      <c r="B79" s="11">
        <v>23930</v>
      </c>
      <c r="C79" s="11">
        <v>6560</v>
      </c>
      <c r="D79" s="11">
        <v>10330000</v>
      </c>
    </row>
    <row r="81" spans="1:5">
      <c r="A81" s="114" t="s">
        <v>246</v>
      </c>
      <c r="B81" s="114"/>
      <c r="C81" s="114"/>
      <c r="D81" s="114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232</v>
      </c>
      <c r="B84" s="11">
        <v>24210</v>
      </c>
      <c r="C84" s="11">
        <v>6620</v>
      </c>
      <c r="D84" s="11">
        <v>10390000</v>
      </c>
    </row>
    <row r="85" spans="1:5">
      <c r="A85" s="70" t="s">
        <v>233</v>
      </c>
      <c r="B85" s="11">
        <v>24160</v>
      </c>
      <c r="C85" s="11">
        <v>6615</v>
      </c>
      <c r="D85" s="11">
        <v>10400000</v>
      </c>
    </row>
    <row r="86" spans="1:5">
      <c r="A86" s="68" t="s">
        <v>234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235</v>
      </c>
      <c r="B88" s="11">
        <v>24220</v>
      </c>
      <c r="C88" s="11">
        <v>6640</v>
      </c>
      <c r="D88" s="11">
        <v>10420000</v>
      </c>
    </row>
    <row r="89" spans="1:5">
      <c r="A89" s="69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114" t="s">
        <v>250</v>
      </c>
      <c r="B93" s="114"/>
      <c r="C93" s="114"/>
      <c r="D93" s="114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232</v>
      </c>
      <c r="B96" s="11">
        <v>24370</v>
      </c>
      <c r="C96" s="11">
        <v>6685</v>
      </c>
      <c r="D96" s="11">
        <v>10530000</v>
      </c>
    </row>
    <row r="97" spans="1:6">
      <c r="A97" s="70" t="s">
        <v>233</v>
      </c>
      <c r="B97" s="11">
        <v>24500</v>
      </c>
      <c r="C97" s="11">
        <v>6740</v>
      </c>
      <c r="D97" s="11">
        <v>10520000</v>
      </c>
    </row>
    <row r="98" spans="1:6">
      <c r="A98" s="68" t="s">
        <v>234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235</v>
      </c>
      <c r="B100" s="11">
        <v>24450</v>
      </c>
      <c r="C100" s="11">
        <v>6710</v>
      </c>
      <c r="D100" s="11">
        <v>10560000</v>
      </c>
    </row>
    <row r="101" spans="1:6">
      <c r="A101" s="69" t="s">
        <v>236</v>
      </c>
      <c r="B101" s="11">
        <v>24450</v>
      </c>
      <c r="C101" s="11">
        <v>6710</v>
      </c>
      <c r="D101" s="11">
        <v>10540000</v>
      </c>
    </row>
    <row r="103" spans="1:6">
      <c r="A103" s="114" t="s">
        <v>251</v>
      </c>
      <c r="B103" s="114"/>
      <c r="C103" s="114"/>
      <c r="D103" s="114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69" t="s">
        <v>232</v>
      </c>
      <c r="B106" s="11">
        <v>24400</v>
      </c>
      <c r="C106" s="11">
        <v>6685</v>
      </c>
      <c r="D106" s="11">
        <v>10500000</v>
      </c>
    </row>
    <row r="107" spans="1:6">
      <c r="A107" s="70" t="s">
        <v>233</v>
      </c>
      <c r="B107" s="11">
        <v>24340</v>
      </c>
      <c r="C107" s="11">
        <v>6680</v>
      </c>
      <c r="D107" s="11">
        <v>10470000</v>
      </c>
    </row>
    <row r="108" spans="1:6">
      <c r="A108" s="68" t="s">
        <v>234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235</v>
      </c>
      <c r="B110" s="11">
        <v>24400</v>
      </c>
      <c r="C110" s="11">
        <v>6700</v>
      </c>
      <c r="D110" s="11">
        <v>10500000</v>
      </c>
    </row>
    <row r="111" spans="1:6">
      <c r="A111" s="69" t="s">
        <v>236</v>
      </c>
      <c r="B111" s="11">
        <v>24400</v>
      </c>
      <c r="C111" s="11">
        <v>6700</v>
      </c>
      <c r="D111" s="11">
        <v>10540000</v>
      </c>
    </row>
    <row r="113" spans="1:5">
      <c r="A113" s="114" t="s">
        <v>253</v>
      </c>
      <c r="B113" s="114"/>
      <c r="C113" s="114"/>
      <c r="D113" s="114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232</v>
      </c>
      <c r="B116" s="11">
        <v>24640</v>
      </c>
      <c r="C116" s="11">
        <v>6760</v>
      </c>
      <c r="D116" s="11">
        <v>10660000</v>
      </c>
    </row>
    <row r="117" spans="1:5">
      <c r="A117" s="70" t="s">
        <v>233</v>
      </c>
      <c r="B117" s="11">
        <v>24720</v>
      </c>
      <c r="C117" s="11">
        <v>6785</v>
      </c>
      <c r="D117" s="11">
        <v>10720000</v>
      </c>
    </row>
    <row r="118" spans="1:5">
      <c r="A118" s="68" t="s">
        <v>234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235</v>
      </c>
      <c r="B120" s="11">
        <v>24740</v>
      </c>
      <c r="C120" s="11">
        <v>6800</v>
      </c>
      <c r="D120" s="11">
        <v>10700000</v>
      </c>
    </row>
    <row r="121" spans="1:5">
      <c r="A121" s="69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114" t="s">
        <v>254</v>
      </c>
      <c r="B123" s="114"/>
      <c r="C123" s="114"/>
      <c r="D123" s="114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232</v>
      </c>
      <c r="B126" s="11">
        <v>25000</v>
      </c>
      <c r="C126" s="11">
        <v>6850</v>
      </c>
      <c r="D126" s="11">
        <v>10800000</v>
      </c>
    </row>
    <row r="127" spans="1:5">
      <c r="A127" s="70" t="s">
        <v>233</v>
      </c>
      <c r="B127" s="11">
        <v>25060</v>
      </c>
      <c r="C127" s="11">
        <v>6880</v>
      </c>
      <c r="D127" s="11">
        <v>10830000</v>
      </c>
    </row>
    <row r="128" spans="1:5">
      <c r="A128" s="68" t="s">
        <v>234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235</v>
      </c>
      <c r="B130" s="11">
        <v>25130</v>
      </c>
      <c r="C130" s="11">
        <v>6885</v>
      </c>
      <c r="D130" s="11">
        <v>10780000</v>
      </c>
    </row>
    <row r="131" spans="1:4">
      <c r="A131" s="69" t="s">
        <v>236</v>
      </c>
      <c r="B131" s="11">
        <v>25130</v>
      </c>
      <c r="C131" s="11">
        <v>6885</v>
      </c>
      <c r="D131" s="11">
        <v>10830000</v>
      </c>
    </row>
    <row r="133" spans="1:4">
      <c r="A133" s="114" t="s">
        <v>255</v>
      </c>
      <c r="B133" s="114"/>
      <c r="C133" s="114"/>
      <c r="D133" s="114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232</v>
      </c>
      <c r="B136" s="11">
        <v>25120</v>
      </c>
      <c r="C136" s="11">
        <v>6900</v>
      </c>
      <c r="D136" s="11">
        <v>10780000</v>
      </c>
    </row>
    <row r="137" spans="1:4">
      <c r="A137" s="70" t="s">
        <v>233</v>
      </c>
      <c r="B137" s="11">
        <v>25230</v>
      </c>
      <c r="C137" s="11">
        <v>6890</v>
      </c>
      <c r="D137" s="11">
        <v>10810000</v>
      </c>
    </row>
    <row r="138" spans="1:4">
      <c r="A138" s="68" t="s">
        <v>234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235</v>
      </c>
      <c r="B140" s="11">
        <v>25270</v>
      </c>
      <c r="C140" s="11">
        <v>6900</v>
      </c>
      <c r="D140" s="11">
        <v>10840000</v>
      </c>
    </row>
    <row r="141" spans="1:4">
      <c r="A141" s="69" t="s">
        <v>236</v>
      </c>
      <c r="B141" s="11">
        <v>25270</v>
      </c>
      <c r="C141" s="11">
        <v>6900</v>
      </c>
      <c r="D141" s="11">
        <v>10830000</v>
      </c>
    </row>
    <row r="143" spans="1:4">
      <c r="A143" s="114" t="s">
        <v>256</v>
      </c>
      <c r="B143" s="114"/>
      <c r="C143" s="114"/>
      <c r="D143" s="114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232</v>
      </c>
      <c r="B146" s="11">
        <v>25250</v>
      </c>
      <c r="C146" s="11">
        <v>6890</v>
      </c>
      <c r="D146" s="11">
        <v>10810000</v>
      </c>
    </row>
    <row r="147" spans="1:7">
      <c r="A147" s="70" t="s">
        <v>233</v>
      </c>
      <c r="B147" s="11">
        <v>25210</v>
      </c>
      <c r="C147" s="11">
        <v>6890</v>
      </c>
      <c r="D147" s="11">
        <v>10800000</v>
      </c>
    </row>
    <row r="148" spans="1:7">
      <c r="A148" s="68" t="s">
        <v>234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69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69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114" t="s">
        <v>258</v>
      </c>
      <c r="B153" s="114"/>
      <c r="C153" s="114"/>
      <c r="D153" s="114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234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235</v>
      </c>
      <c r="B160" s="11">
        <v>25190</v>
      </c>
      <c r="C160" s="11">
        <v>6870</v>
      </c>
      <c r="D160" s="11">
        <v>10750000</v>
      </c>
    </row>
    <row r="161" spans="1:4">
      <c r="A161" s="69" t="s">
        <v>236</v>
      </c>
      <c r="B161" s="11">
        <v>25190</v>
      </c>
      <c r="C161" s="11">
        <v>6870</v>
      </c>
      <c r="D161" s="11">
        <v>10750000</v>
      </c>
    </row>
    <row r="163" spans="1:4">
      <c r="A163" s="114" t="s">
        <v>259</v>
      </c>
      <c r="B163" s="114"/>
      <c r="C163" s="114"/>
      <c r="D163" s="114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232</v>
      </c>
      <c r="B166" s="11">
        <v>25310</v>
      </c>
      <c r="C166" s="11">
        <v>6920</v>
      </c>
      <c r="D166" s="11">
        <v>10790000</v>
      </c>
    </row>
    <row r="167" spans="1:4">
      <c r="A167" s="70" t="s">
        <v>233</v>
      </c>
      <c r="B167" s="11">
        <v>25260</v>
      </c>
      <c r="C167" s="11">
        <v>6900</v>
      </c>
      <c r="D167" s="11">
        <v>10780000</v>
      </c>
    </row>
    <row r="168" spans="1:4">
      <c r="A168" s="68" t="s">
        <v>234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235</v>
      </c>
      <c r="B170" s="11">
        <v>25180</v>
      </c>
      <c r="C170" s="11">
        <v>6895</v>
      </c>
      <c r="D170" s="11">
        <v>10760000</v>
      </c>
    </row>
    <row r="171" spans="1:4">
      <c r="A171" s="69" t="s">
        <v>236</v>
      </c>
      <c r="B171" s="11">
        <v>25180</v>
      </c>
      <c r="C171" s="11">
        <v>6895</v>
      </c>
      <c r="D171" s="11">
        <v>10750000</v>
      </c>
    </row>
    <row r="173" spans="1:4">
      <c r="A173" s="114" t="s">
        <v>260</v>
      </c>
      <c r="B173" s="114"/>
      <c r="C173" s="114"/>
      <c r="D173" s="114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232</v>
      </c>
      <c r="B176" s="11">
        <v>25100</v>
      </c>
      <c r="C176" s="11">
        <v>6875</v>
      </c>
      <c r="D176" s="11">
        <v>10660000</v>
      </c>
    </row>
    <row r="177" spans="1:7">
      <c r="A177" s="70" t="s">
        <v>233</v>
      </c>
      <c r="B177" s="11">
        <v>25000</v>
      </c>
      <c r="C177" s="11">
        <v>6860</v>
      </c>
      <c r="D177" s="11">
        <v>10590000</v>
      </c>
    </row>
    <row r="178" spans="1:7">
      <c r="A178" s="68" t="s">
        <v>234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14" t="s">
        <v>261</v>
      </c>
      <c r="B183" s="114"/>
      <c r="C183" s="114"/>
      <c r="D183" s="114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232</v>
      </c>
      <c r="B186" s="11">
        <v>25110</v>
      </c>
      <c r="C186" s="11">
        <v>6860</v>
      </c>
      <c r="D186" s="11">
        <v>10720000</v>
      </c>
    </row>
    <row r="187" spans="1:7">
      <c r="A187" s="70" t="s">
        <v>233</v>
      </c>
      <c r="B187" s="11">
        <v>25070</v>
      </c>
      <c r="C187" s="11">
        <v>6860</v>
      </c>
      <c r="D187" s="11">
        <v>10700000</v>
      </c>
    </row>
    <row r="188" spans="1:7">
      <c r="A188" s="68" t="s">
        <v>234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236</v>
      </c>
      <c r="B191" s="11">
        <v>25110</v>
      </c>
      <c r="C191" s="11">
        <v>6880</v>
      </c>
      <c r="D191" s="11">
        <v>10720000</v>
      </c>
    </row>
    <row r="193" spans="1:4">
      <c r="A193" s="114" t="s">
        <v>262</v>
      </c>
      <c r="B193" s="114"/>
      <c r="C193" s="114"/>
      <c r="D193" s="114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232</v>
      </c>
      <c r="B196" s="11">
        <v>24980</v>
      </c>
      <c r="C196" s="11">
        <v>6840</v>
      </c>
      <c r="D196" s="11">
        <v>10640000</v>
      </c>
    </row>
    <row r="197" spans="1:4">
      <c r="A197" s="70" t="s">
        <v>233</v>
      </c>
      <c r="B197" s="11">
        <v>24940</v>
      </c>
      <c r="C197" s="11">
        <v>6840</v>
      </c>
      <c r="D197" s="11">
        <v>10650000</v>
      </c>
    </row>
    <row r="198" spans="1:4">
      <c r="A198" s="68" t="s">
        <v>234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235</v>
      </c>
      <c r="B200" s="11">
        <v>24900</v>
      </c>
      <c r="C200" s="11">
        <v>6840</v>
      </c>
      <c r="D200" s="11">
        <v>10650000</v>
      </c>
    </row>
    <row r="201" spans="1:4">
      <c r="A201" s="69" t="s">
        <v>236</v>
      </c>
      <c r="B201" s="11">
        <v>24900</v>
      </c>
      <c r="C201" s="11">
        <v>6840</v>
      </c>
      <c r="D201" s="11">
        <v>10660000</v>
      </c>
    </row>
    <row r="203" spans="1:4">
      <c r="A203" s="114" t="s">
        <v>263</v>
      </c>
      <c r="B203" s="114"/>
      <c r="C203" s="114"/>
      <c r="D203" s="114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232</v>
      </c>
      <c r="B206" s="11">
        <v>25000</v>
      </c>
      <c r="C206" s="11">
        <v>6830</v>
      </c>
      <c r="D206" s="11">
        <v>10690000</v>
      </c>
    </row>
    <row r="207" spans="1:4">
      <c r="A207" s="70" t="s">
        <v>233</v>
      </c>
      <c r="B207" s="11">
        <v>24970</v>
      </c>
      <c r="C207" s="11">
        <v>6830</v>
      </c>
      <c r="D207" s="11">
        <v>10710000</v>
      </c>
    </row>
    <row r="208" spans="1:4">
      <c r="A208" s="68" t="s">
        <v>234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69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69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114" t="s">
        <v>264</v>
      </c>
      <c r="B213" s="114"/>
      <c r="C213" s="114"/>
      <c r="D213" s="114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232</v>
      </c>
      <c r="B216" s="11">
        <v>24900</v>
      </c>
      <c r="C216" s="11">
        <v>6840</v>
      </c>
      <c r="D216" s="11">
        <v>10690000</v>
      </c>
    </row>
    <row r="217" spans="1:4">
      <c r="A217" s="70" t="s">
        <v>233</v>
      </c>
      <c r="B217" s="11">
        <v>24930</v>
      </c>
      <c r="C217" s="11">
        <v>6820</v>
      </c>
      <c r="D217" s="11">
        <v>10670000</v>
      </c>
    </row>
    <row r="218" spans="1:4">
      <c r="A218" s="68" t="s">
        <v>234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235</v>
      </c>
      <c r="B220" s="11">
        <v>24880</v>
      </c>
      <c r="C220" s="11">
        <v>6820</v>
      </c>
      <c r="D220" s="11">
        <v>10670000</v>
      </c>
    </row>
    <row r="221" spans="1:4">
      <c r="A221" s="69" t="s">
        <v>236</v>
      </c>
      <c r="B221" s="11">
        <v>24880</v>
      </c>
      <c r="C221" s="11">
        <v>6820</v>
      </c>
      <c r="D221" s="11">
        <v>10670000</v>
      </c>
    </row>
    <row r="223" spans="1:4">
      <c r="A223" s="114" t="s">
        <v>265</v>
      </c>
      <c r="B223" s="114"/>
      <c r="C223" s="114"/>
      <c r="D223" s="114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232</v>
      </c>
      <c r="B226" s="11">
        <v>24890</v>
      </c>
      <c r="C226" s="11">
        <v>6820</v>
      </c>
      <c r="D226" s="11">
        <v>10650000</v>
      </c>
    </row>
    <row r="227" spans="1:5">
      <c r="A227" s="70" t="s">
        <v>233</v>
      </c>
      <c r="B227" s="11">
        <v>24880</v>
      </c>
      <c r="C227" s="11">
        <v>6820</v>
      </c>
      <c r="D227" s="11">
        <v>10640000</v>
      </c>
    </row>
    <row r="228" spans="1:5">
      <c r="A228" s="68" t="s">
        <v>234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235</v>
      </c>
      <c r="B230" s="11">
        <v>24880</v>
      </c>
      <c r="C230" s="11">
        <v>6825</v>
      </c>
      <c r="D230" s="11">
        <v>10700000</v>
      </c>
    </row>
    <row r="231" spans="1:5">
      <c r="A231" s="69" t="s">
        <v>236</v>
      </c>
      <c r="B231" s="11">
        <v>24880</v>
      </c>
      <c r="C231" s="11">
        <v>6825</v>
      </c>
      <c r="D231" s="11">
        <v>10700000</v>
      </c>
    </row>
    <row r="233" spans="1:5">
      <c r="A233" s="114" t="s">
        <v>266</v>
      </c>
      <c r="B233" s="114"/>
      <c r="C233" s="114"/>
      <c r="D233" s="114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232</v>
      </c>
      <c r="B236" s="11">
        <v>24880</v>
      </c>
      <c r="C236" s="11">
        <v>6850</v>
      </c>
      <c r="D236" s="11">
        <v>10680000</v>
      </c>
    </row>
    <row r="237" spans="1:5">
      <c r="A237" s="70" t="s">
        <v>233</v>
      </c>
      <c r="B237" s="11">
        <v>24910</v>
      </c>
      <c r="C237" s="11">
        <v>6825</v>
      </c>
      <c r="D237" s="11">
        <v>10670000</v>
      </c>
    </row>
    <row r="238" spans="1:5">
      <c r="A238" s="68" t="s">
        <v>234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235</v>
      </c>
      <c r="B240" s="11">
        <v>24920</v>
      </c>
      <c r="C240" s="11">
        <v>6820</v>
      </c>
      <c r="D240" s="11">
        <v>10680000</v>
      </c>
    </row>
    <row r="241" spans="1:4">
      <c r="A241" s="69" t="s">
        <v>236</v>
      </c>
      <c r="B241" s="11">
        <v>24920</v>
      </c>
      <c r="C241" s="11">
        <v>6820</v>
      </c>
      <c r="D241" s="11">
        <v>10680000</v>
      </c>
    </row>
    <row r="243" spans="1:4">
      <c r="A243" s="114" t="s">
        <v>267</v>
      </c>
      <c r="B243" s="114"/>
      <c r="C243" s="114"/>
      <c r="D243" s="114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232</v>
      </c>
      <c r="B246" s="11">
        <v>24830</v>
      </c>
      <c r="C246" s="11">
        <v>6790</v>
      </c>
      <c r="D246" s="11">
        <v>10620000</v>
      </c>
    </row>
    <row r="247" spans="1:4">
      <c r="A247" s="70" t="s">
        <v>233</v>
      </c>
      <c r="B247" s="11">
        <v>24740</v>
      </c>
      <c r="C247" s="11">
        <v>6770</v>
      </c>
      <c r="D247" s="11">
        <v>10590000</v>
      </c>
    </row>
    <row r="248" spans="1:4">
      <c r="A248" s="68" t="s">
        <v>234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235</v>
      </c>
      <c r="B250" s="11">
        <v>24750</v>
      </c>
      <c r="C250" s="11">
        <v>6765</v>
      </c>
      <c r="D250" s="11">
        <v>10590000</v>
      </c>
    </row>
    <row r="251" spans="1:4">
      <c r="A251" s="69" t="s">
        <v>236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114" t="s">
        <v>268</v>
      </c>
      <c r="B253" s="114"/>
      <c r="C253" s="114"/>
      <c r="D253" s="114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232</v>
      </c>
      <c r="B256" s="11">
        <v>24440</v>
      </c>
      <c r="C256" s="11">
        <v>6700</v>
      </c>
      <c r="D256" s="11">
        <v>10480000</v>
      </c>
    </row>
    <row r="257" spans="1:4">
      <c r="A257" s="70" t="s">
        <v>233</v>
      </c>
      <c r="B257" s="11">
        <v>24470</v>
      </c>
      <c r="C257" s="11">
        <v>6735</v>
      </c>
      <c r="D257" s="11">
        <v>10500000</v>
      </c>
    </row>
    <row r="258" spans="1:4">
      <c r="A258" s="68" t="s">
        <v>234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235</v>
      </c>
      <c r="B260" s="11">
        <v>24520</v>
      </c>
      <c r="C260" s="11">
        <v>6725</v>
      </c>
      <c r="D260" s="11">
        <v>10480000</v>
      </c>
    </row>
    <row r="261" spans="1:4">
      <c r="A261" s="69" t="s">
        <v>236</v>
      </c>
      <c r="B261" s="11">
        <v>24520</v>
      </c>
      <c r="C261" s="11">
        <v>6725</v>
      </c>
      <c r="D261" s="11">
        <v>10500000</v>
      </c>
    </row>
    <row r="263" spans="1:4">
      <c r="A263" s="114" t="s">
        <v>269</v>
      </c>
      <c r="B263" s="114"/>
      <c r="C263" s="114"/>
      <c r="D263" s="114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232</v>
      </c>
      <c r="B266" s="11">
        <v>24740</v>
      </c>
      <c r="C266" s="11">
        <v>6780</v>
      </c>
      <c r="D266" s="11">
        <v>10610000</v>
      </c>
    </row>
    <row r="267" spans="1:4">
      <c r="A267" s="70" t="s">
        <v>233</v>
      </c>
      <c r="B267" s="11">
        <v>24720</v>
      </c>
      <c r="C267" s="11">
        <v>6770</v>
      </c>
      <c r="D267" s="11">
        <v>10610000</v>
      </c>
    </row>
    <row r="268" spans="1:4">
      <c r="A268" s="68" t="s">
        <v>234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69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69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114" t="s">
        <v>270</v>
      </c>
      <c r="B273" s="114"/>
      <c r="C273" s="114"/>
      <c r="D273" s="114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232</v>
      </c>
      <c r="B276" s="11">
        <v>24700</v>
      </c>
      <c r="C276" s="11">
        <v>6760</v>
      </c>
      <c r="D276" s="11">
        <v>10580000</v>
      </c>
    </row>
    <row r="277" spans="1:4">
      <c r="A277" s="70" t="s">
        <v>233</v>
      </c>
      <c r="B277" s="11">
        <v>24720</v>
      </c>
      <c r="C277" s="11">
        <v>6755</v>
      </c>
      <c r="D277" s="11">
        <v>10540000</v>
      </c>
    </row>
    <row r="278" spans="1:4">
      <c r="A278" s="68" t="s">
        <v>234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235</v>
      </c>
      <c r="B280" s="11">
        <v>24670</v>
      </c>
      <c r="C280" s="11">
        <v>6765</v>
      </c>
      <c r="D280" s="11">
        <v>10530000</v>
      </c>
    </row>
    <row r="281" spans="1:4">
      <c r="A281" s="69" t="s">
        <v>236</v>
      </c>
      <c r="B281" s="11">
        <v>24670</v>
      </c>
      <c r="C281" s="11">
        <v>6765</v>
      </c>
      <c r="D281" s="11">
        <v>10540000</v>
      </c>
    </row>
    <row r="283" spans="1:4">
      <c r="A283" s="114" t="s">
        <v>271</v>
      </c>
      <c r="B283" s="114"/>
      <c r="C283" s="114"/>
      <c r="D283" s="114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232</v>
      </c>
      <c r="B286" s="11">
        <v>24700</v>
      </c>
      <c r="C286" s="11">
        <v>6740</v>
      </c>
      <c r="D286" s="11">
        <v>10510000</v>
      </c>
    </row>
    <row r="287" spans="1:4">
      <c r="A287" s="70" t="s">
        <v>233</v>
      </c>
      <c r="B287" s="11">
        <v>24650</v>
      </c>
      <c r="C287" s="11">
        <v>6730</v>
      </c>
      <c r="D287" s="11">
        <v>10500000</v>
      </c>
    </row>
    <row r="288" spans="1:4">
      <c r="A288" s="68" t="s">
        <v>234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235</v>
      </c>
      <c r="B290" s="11">
        <v>24650</v>
      </c>
      <c r="C290" s="11">
        <v>6730</v>
      </c>
      <c r="D290" s="11">
        <v>10530000</v>
      </c>
    </row>
    <row r="291" spans="1:6">
      <c r="A291" s="69" t="s">
        <v>236</v>
      </c>
      <c r="B291" s="11">
        <v>24650</v>
      </c>
      <c r="C291" s="11">
        <v>6730</v>
      </c>
      <c r="D291" s="11">
        <v>10520000</v>
      </c>
    </row>
    <row r="293" spans="1:6">
      <c r="A293" s="114" t="s">
        <v>272</v>
      </c>
      <c r="B293" s="114"/>
      <c r="C293" s="114"/>
      <c r="D293" s="114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232</v>
      </c>
      <c r="B296" s="11">
        <v>24470</v>
      </c>
      <c r="C296" s="11">
        <v>6700</v>
      </c>
      <c r="D296" s="11">
        <v>10490000</v>
      </c>
    </row>
    <row r="297" spans="1:6">
      <c r="A297" s="70" t="s">
        <v>233</v>
      </c>
      <c r="B297" s="11">
        <v>24400</v>
      </c>
      <c r="C297" s="11">
        <v>6700</v>
      </c>
      <c r="D297" s="11">
        <v>10510000</v>
      </c>
    </row>
    <row r="298" spans="1:6">
      <c r="A298" s="68" t="s">
        <v>234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235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236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114" t="s">
        <v>273</v>
      </c>
      <c r="B303" s="114"/>
      <c r="C303" s="114"/>
      <c r="D303" s="114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68">
        <v>0.45833333333333298</v>
      </c>
      <c r="B305" s="11" t="s">
        <v>274</v>
      </c>
      <c r="C305" s="11"/>
      <c r="D305" s="11">
        <v>10560000</v>
      </c>
    </row>
    <row r="306" spans="1:6">
      <c r="A306" s="69" t="s">
        <v>232</v>
      </c>
      <c r="B306" s="11" t="s">
        <v>275</v>
      </c>
      <c r="C306" s="11"/>
      <c r="D306" s="11">
        <v>10550000</v>
      </c>
    </row>
    <row r="307" spans="1:6">
      <c r="A307" s="70" t="s">
        <v>233</v>
      </c>
      <c r="B307" s="11" t="s">
        <v>276</v>
      </c>
      <c r="C307" s="11"/>
      <c r="D307" s="11">
        <v>10560000</v>
      </c>
    </row>
    <row r="308" spans="1:6">
      <c r="A308" s="68" t="s">
        <v>234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235</v>
      </c>
      <c r="B310" s="11"/>
      <c r="C310" s="11"/>
      <c r="D310" s="11"/>
    </row>
    <row r="311" spans="1:6">
      <c r="A311" s="69" t="s">
        <v>236</v>
      </c>
      <c r="B311" s="11"/>
      <c r="C311" s="11"/>
      <c r="D311" s="11"/>
    </row>
    <row r="313" spans="1:6">
      <c r="A313" s="114" t="s">
        <v>277</v>
      </c>
      <c r="B313" s="114"/>
      <c r="C313" s="114"/>
      <c r="D313" s="114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69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0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68" t="s">
        <v>234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235</v>
      </c>
      <c r="B320" s="11"/>
      <c r="C320" s="11"/>
      <c r="D320" s="11"/>
    </row>
    <row r="321" spans="1:6">
      <c r="A321" s="69" t="s">
        <v>236</v>
      </c>
      <c r="B321" s="11"/>
      <c r="C321" s="11"/>
      <c r="D321" s="11"/>
    </row>
    <row r="324" spans="1:6">
      <c r="A324" s="114" t="s">
        <v>281</v>
      </c>
      <c r="B324" s="114"/>
      <c r="C324" s="114"/>
      <c r="D324" s="114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69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0" t="s">
        <v>233</v>
      </c>
      <c r="B328" s="11"/>
      <c r="C328" s="11"/>
      <c r="D328" s="11"/>
    </row>
    <row r="329" spans="1:6">
      <c r="A329" s="68" t="s">
        <v>234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235</v>
      </c>
      <c r="B331" s="11"/>
      <c r="C331" s="11"/>
      <c r="D331" s="11"/>
    </row>
    <row r="332" spans="1:6">
      <c r="A332" s="69" t="s">
        <v>236</v>
      </c>
      <c r="B332" s="11"/>
      <c r="C332" s="11"/>
      <c r="D332" s="11"/>
    </row>
    <row r="335" spans="1:6">
      <c r="A335" s="114" t="s">
        <v>284</v>
      </c>
      <c r="B335" s="114"/>
      <c r="C335" s="114"/>
      <c r="D335" s="114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232</v>
      </c>
      <c r="B338" s="11">
        <v>24780</v>
      </c>
      <c r="C338" s="11">
        <v>6820</v>
      </c>
      <c r="D338" s="11">
        <v>10730000</v>
      </c>
    </row>
    <row r="339" spans="1:4">
      <c r="A339" s="70" t="s">
        <v>233</v>
      </c>
      <c r="B339" s="11">
        <v>24890</v>
      </c>
      <c r="C339" s="11">
        <v>6815</v>
      </c>
      <c r="D339" s="11">
        <v>10790000</v>
      </c>
    </row>
    <row r="340" spans="1:4">
      <c r="A340" s="68" t="s">
        <v>234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235</v>
      </c>
      <c r="B342" s="11">
        <v>24980</v>
      </c>
      <c r="C342" s="11">
        <v>6840</v>
      </c>
      <c r="D342" s="11">
        <v>10890000</v>
      </c>
    </row>
    <row r="343" spans="1:4">
      <c r="A343" s="69" t="s">
        <v>236</v>
      </c>
      <c r="B343" s="11">
        <v>24980</v>
      </c>
      <c r="C343" s="11">
        <v>6840</v>
      </c>
      <c r="D343" s="11">
        <v>10930000</v>
      </c>
    </row>
    <row r="346" spans="1:4">
      <c r="A346" s="114" t="s">
        <v>285</v>
      </c>
      <c r="B346" s="114"/>
      <c r="C346" s="114"/>
      <c r="D346" s="114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232</v>
      </c>
      <c r="B349" s="11">
        <v>25140</v>
      </c>
      <c r="C349" s="11">
        <v>6870</v>
      </c>
      <c r="D349" s="11">
        <v>11030000</v>
      </c>
    </row>
    <row r="350" spans="1:4">
      <c r="A350" s="70" t="s">
        <v>233</v>
      </c>
      <c r="B350" s="11">
        <v>25120</v>
      </c>
      <c r="C350" s="11">
        <v>6890</v>
      </c>
      <c r="D350" s="11">
        <v>10950000</v>
      </c>
    </row>
    <row r="351" spans="1:4">
      <c r="A351" s="68" t="s">
        <v>234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235</v>
      </c>
      <c r="B353" s="11">
        <v>25120</v>
      </c>
      <c r="C353" s="11">
        <v>6890</v>
      </c>
      <c r="D353" s="11">
        <v>10970000</v>
      </c>
    </row>
    <row r="354" spans="1:4">
      <c r="A354" s="69" t="s">
        <v>236</v>
      </c>
      <c r="B354" s="11">
        <v>25120</v>
      </c>
      <c r="C354" s="11">
        <v>6890</v>
      </c>
      <c r="D354" s="11">
        <v>11000000</v>
      </c>
    </row>
    <row r="357" spans="1:4">
      <c r="A357" s="114" t="s">
        <v>286</v>
      </c>
      <c r="B357" s="114"/>
      <c r="C357" s="114"/>
      <c r="D357" s="114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232</v>
      </c>
      <c r="B360" s="11">
        <v>25250</v>
      </c>
      <c r="C360" s="11">
        <v>6930</v>
      </c>
      <c r="D360" s="11">
        <v>11100000</v>
      </c>
    </row>
    <row r="361" spans="1:4">
      <c r="A361" s="70" t="s">
        <v>233</v>
      </c>
      <c r="B361" s="11">
        <v>25300</v>
      </c>
      <c r="C361" s="11">
        <v>6945</v>
      </c>
      <c r="D361" s="11">
        <v>11110000</v>
      </c>
    </row>
    <row r="362" spans="1:4">
      <c r="A362" s="68" t="s">
        <v>234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235</v>
      </c>
      <c r="B364" s="11">
        <v>25290</v>
      </c>
      <c r="C364" s="11">
        <v>6930</v>
      </c>
      <c r="D364" s="11">
        <v>11200000</v>
      </c>
    </row>
    <row r="365" spans="1:4">
      <c r="A365" s="69" t="s">
        <v>236</v>
      </c>
      <c r="B365" s="11">
        <v>25290</v>
      </c>
      <c r="C365" s="11">
        <v>6930</v>
      </c>
      <c r="D365" s="11">
        <v>11190000</v>
      </c>
    </row>
    <row r="368" spans="1:4">
      <c r="A368" s="114" t="s">
        <v>287</v>
      </c>
      <c r="B368" s="114"/>
      <c r="C368" s="114"/>
      <c r="D368" s="114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232</v>
      </c>
      <c r="B371" s="11">
        <v>25680</v>
      </c>
      <c r="C371" s="11">
        <v>7040</v>
      </c>
      <c r="D371" s="11">
        <v>11370000</v>
      </c>
    </row>
    <row r="372" spans="1:7">
      <c r="A372" s="70" t="s">
        <v>233</v>
      </c>
      <c r="B372" s="11">
        <v>25710</v>
      </c>
      <c r="C372" s="11">
        <v>7100</v>
      </c>
      <c r="D372" s="11">
        <v>11510000</v>
      </c>
    </row>
    <row r="373" spans="1:7">
      <c r="A373" s="68" t="s">
        <v>234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236</v>
      </c>
      <c r="B376" s="11">
        <v>25980</v>
      </c>
      <c r="C376" s="11">
        <v>7060</v>
      </c>
      <c r="D376" s="11">
        <v>11430000</v>
      </c>
    </row>
    <row r="379" spans="1:7">
      <c r="A379" s="114" t="s">
        <v>288</v>
      </c>
      <c r="B379" s="114"/>
      <c r="C379" s="114"/>
      <c r="D379" s="114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232</v>
      </c>
      <c r="B382" s="11">
        <v>25750</v>
      </c>
      <c r="C382" s="11">
        <v>7060</v>
      </c>
      <c r="D382" s="11">
        <v>11380000</v>
      </c>
    </row>
    <row r="383" spans="1:7">
      <c r="A383" s="70" t="s">
        <v>233</v>
      </c>
      <c r="B383" s="11">
        <v>25700</v>
      </c>
      <c r="C383" s="11">
        <v>7015</v>
      </c>
      <c r="D383" s="11">
        <v>11300000</v>
      </c>
    </row>
    <row r="384" spans="1:7">
      <c r="A384" s="68" t="s">
        <v>234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235</v>
      </c>
      <c r="B386" s="11">
        <v>25620</v>
      </c>
      <c r="C386" s="11">
        <v>6965</v>
      </c>
      <c r="D386" s="11">
        <v>11230000</v>
      </c>
    </row>
    <row r="387" spans="1:4">
      <c r="A387" s="69" t="s">
        <v>236</v>
      </c>
      <c r="B387" s="11">
        <v>25620</v>
      </c>
      <c r="C387" s="11">
        <v>6965</v>
      </c>
      <c r="D387" s="11">
        <v>11240000</v>
      </c>
    </row>
    <row r="390" spans="1:4">
      <c r="A390" s="114" t="s">
        <v>289</v>
      </c>
      <c r="B390" s="114"/>
      <c r="C390" s="114"/>
      <c r="D390" s="114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232</v>
      </c>
      <c r="B393" s="11">
        <v>25550</v>
      </c>
      <c r="C393" s="11">
        <v>6985</v>
      </c>
      <c r="D393" s="11">
        <v>11250000</v>
      </c>
    </row>
    <row r="394" spans="1:4">
      <c r="A394" s="70" t="s">
        <v>233</v>
      </c>
      <c r="B394" s="11">
        <v>25500</v>
      </c>
      <c r="C394" s="11">
        <v>6970</v>
      </c>
      <c r="D394" s="11">
        <v>11260000</v>
      </c>
    </row>
    <row r="395" spans="1:4">
      <c r="A395" s="68" t="s">
        <v>234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235</v>
      </c>
      <c r="B397" s="11">
        <v>25480</v>
      </c>
      <c r="C397" s="11">
        <v>6965</v>
      </c>
      <c r="D397" s="11">
        <v>11200000</v>
      </c>
    </row>
    <row r="398" spans="1:4">
      <c r="A398" s="69" t="s">
        <v>236</v>
      </c>
      <c r="B398" s="11">
        <v>25480</v>
      </c>
      <c r="C398" s="11">
        <v>6965</v>
      </c>
      <c r="D398" s="11">
        <v>11180000</v>
      </c>
    </row>
    <row r="401" spans="1:4">
      <c r="A401" s="114" t="s">
        <v>290</v>
      </c>
      <c r="B401" s="114"/>
      <c r="C401" s="114"/>
      <c r="D401" s="114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232</v>
      </c>
      <c r="B404" s="11">
        <v>25580</v>
      </c>
      <c r="C404" s="11">
        <v>7000</v>
      </c>
      <c r="D404" s="11">
        <v>11370000</v>
      </c>
    </row>
    <row r="405" spans="1:4">
      <c r="A405" s="70" t="s">
        <v>233</v>
      </c>
      <c r="B405" s="11">
        <v>25700</v>
      </c>
      <c r="C405" s="11">
        <v>7010</v>
      </c>
      <c r="D405" s="11">
        <v>11310000</v>
      </c>
    </row>
    <row r="406" spans="1:4">
      <c r="A406" s="68" t="s">
        <v>234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235</v>
      </c>
      <c r="B408" s="11">
        <v>25630</v>
      </c>
      <c r="C408" s="11">
        <v>7000</v>
      </c>
      <c r="D408" s="11">
        <v>11360000</v>
      </c>
    </row>
    <row r="409" spans="1:4">
      <c r="A409" s="69" t="s">
        <v>236</v>
      </c>
      <c r="B409" s="11">
        <v>25630</v>
      </c>
      <c r="C409" s="11">
        <v>7000</v>
      </c>
      <c r="D409" s="11">
        <v>11380000</v>
      </c>
    </row>
    <row r="412" spans="1:4">
      <c r="A412" s="114" t="s">
        <v>291</v>
      </c>
      <c r="B412" s="114"/>
      <c r="C412" s="114"/>
      <c r="D412" s="114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232</v>
      </c>
      <c r="B415" s="11">
        <v>25500</v>
      </c>
      <c r="C415" s="11">
        <v>6980</v>
      </c>
      <c r="D415" s="11">
        <v>11230000</v>
      </c>
    </row>
    <row r="416" spans="1:4">
      <c r="A416" s="70" t="s">
        <v>233</v>
      </c>
      <c r="B416" s="11">
        <v>25460</v>
      </c>
      <c r="C416" s="11">
        <v>6975</v>
      </c>
      <c r="D416" s="11">
        <v>11220000</v>
      </c>
    </row>
    <row r="417" spans="1:6">
      <c r="A417" s="68" t="s">
        <v>234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235</v>
      </c>
      <c r="B419" s="11">
        <v>25510</v>
      </c>
      <c r="C419" s="11">
        <v>6980</v>
      </c>
      <c r="D419" s="11">
        <v>11260000</v>
      </c>
    </row>
    <row r="420" spans="1:6">
      <c r="A420" s="69" t="s">
        <v>236</v>
      </c>
      <c r="B420" s="11">
        <v>25510</v>
      </c>
      <c r="C420" s="11">
        <v>6980</v>
      </c>
      <c r="D420" s="11">
        <v>11300000</v>
      </c>
    </row>
    <row r="423" spans="1:6">
      <c r="A423" s="114" t="s">
        <v>292</v>
      </c>
      <c r="B423" s="114"/>
      <c r="C423" s="114"/>
      <c r="D423" s="114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69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0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68" t="s">
        <v>234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235</v>
      </c>
      <c r="B430" s="11"/>
      <c r="C430" s="11"/>
      <c r="D430" s="11"/>
    </row>
    <row r="431" spans="1:6">
      <c r="A431" s="69" t="s">
        <v>236</v>
      </c>
      <c r="B431" s="11"/>
      <c r="C431" s="11"/>
      <c r="D431" s="11"/>
    </row>
    <row r="434" spans="1:4">
      <c r="A434" s="114" t="s">
        <v>296</v>
      </c>
      <c r="B434" s="114"/>
      <c r="C434" s="114"/>
      <c r="D434" s="114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232</v>
      </c>
      <c r="B437" s="11">
        <v>25380</v>
      </c>
      <c r="C437" s="11">
        <v>6950</v>
      </c>
      <c r="D437" s="11">
        <v>11050000</v>
      </c>
    </row>
    <row r="438" spans="1:4">
      <c r="A438" s="70" t="s">
        <v>233</v>
      </c>
      <c r="B438" s="11">
        <v>25500</v>
      </c>
      <c r="C438" s="11">
        <v>6970</v>
      </c>
      <c r="D438" s="11">
        <v>11070000</v>
      </c>
    </row>
    <row r="439" spans="1:4">
      <c r="A439" s="68" t="s">
        <v>234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235</v>
      </c>
      <c r="B441" s="11">
        <v>25550</v>
      </c>
      <c r="C441" s="11">
        <v>6995</v>
      </c>
      <c r="D441" s="11">
        <v>11170000</v>
      </c>
    </row>
    <row r="442" spans="1:4">
      <c r="A442" s="69" t="s">
        <v>236</v>
      </c>
      <c r="B442" s="11">
        <v>25550</v>
      </c>
      <c r="C442" s="11">
        <v>6995</v>
      </c>
      <c r="D442" s="11">
        <v>11180000</v>
      </c>
    </row>
    <row r="445" spans="1:4">
      <c r="A445" s="114" t="s">
        <v>297</v>
      </c>
      <c r="B445" s="114"/>
      <c r="C445" s="114"/>
      <c r="D445" s="114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232</v>
      </c>
      <c r="B448" s="11">
        <v>25720</v>
      </c>
      <c r="C448" s="11">
        <v>7010</v>
      </c>
      <c r="D448" s="11">
        <v>11200000</v>
      </c>
    </row>
    <row r="449" spans="1:4">
      <c r="A449" s="70" t="s">
        <v>233</v>
      </c>
      <c r="B449" s="11">
        <v>25650</v>
      </c>
      <c r="C449" s="11">
        <v>7020</v>
      </c>
      <c r="D449" s="11">
        <v>11210000</v>
      </c>
    </row>
    <row r="450" spans="1:4">
      <c r="A450" s="68" t="s">
        <v>234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235</v>
      </c>
      <c r="B452" s="11">
        <v>25720</v>
      </c>
      <c r="C452" s="11">
        <v>7020</v>
      </c>
      <c r="D452" s="11">
        <v>11220000</v>
      </c>
    </row>
    <row r="453" spans="1:4">
      <c r="A453" s="69" t="s">
        <v>236</v>
      </c>
      <c r="B453" s="11">
        <v>25720</v>
      </c>
      <c r="C453" s="11">
        <v>7015</v>
      </c>
      <c r="D453" s="11">
        <v>11260000</v>
      </c>
    </row>
    <row r="456" spans="1:4">
      <c r="A456" s="114" t="s">
        <v>298</v>
      </c>
      <c r="B456" s="114"/>
      <c r="C456" s="114"/>
      <c r="D456" s="114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232</v>
      </c>
      <c r="B459" s="11">
        <v>25720</v>
      </c>
      <c r="C459" s="11">
        <v>7025</v>
      </c>
      <c r="D459" s="11">
        <v>11160000</v>
      </c>
    </row>
    <row r="460" spans="1:4">
      <c r="A460" s="70" t="s">
        <v>233</v>
      </c>
      <c r="B460" s="11">
        <v>25750</v>
      </c>
      <c r="C460" s="11">
        <v>7040</v>
      </c>
      <c r="D460" s="11">
        <v>11190000</v>
      </c>
    </row>
    <row r="461" spans="1:4">
      <c r="A461" s="68" t="s">
        <v>234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235</v>
      </c>
      <c r="B463" s="11">
        <v>25780</v>
      </c>
      <c r="C463" s="11">
        <v>7070</v>
      </c>
      <c r="D463" s="11">
        <v>11230000</v>
      </c>
    </row>
    <row r="464" spans="1:4">
      <c r="A464" s="69" t="s">
        <v>236</v>
      </c>
      <c r="B464" s="11">
        <v>25780</v>
      </c>
      <c r="C464" s="11">
        <v>7070</v>
      </c>
      <c r="D464" s="11">
        <v>11290000</v>
      </c>
    </row>
    <row r="467" spans="1:4">
      <c r="A467" s="114" t="s">
        <v>299</v>
      </c>
      <c r="B467" s="114"/>
      <c r="C467" s="114"/>
      <c r="D467" s="114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232</v>
      </c>
      <c r="B470" s="11">
        <v>26000</v>
      </c>
      <c r="C470" s="11">
        <v>7120</v>
      </c>
      <c r="D470" s="11">
        <v>11280000</v>
      </c>
    </row>
    <row r="471" spans="1:4">
      <c r="A471" s="70" t="s">
        <v>233</v>
      </c>
      <c r="B471" s="11">
        <v>26100</v>
      </c>
      <c r="C471" s="11">
        <v>7180</v>
      </c>
      <c r="D471" s="11">
        <v>11290000</v>
      </c>
    </row>
    <row r="472" spans="1:4">
      <c r="A472" s="68" t="s">
        <v>234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235</v>
      </c>
      <c r="B474" s="11">
        <v>26070</v>
      </c>
      <c r="C474" s="11">
        <v>7165</v>
      </c>
      <c r="D474" s="11">
        <v>11290000</v>
      </c>
    </row>
    <row r="475" spans="1:4">
      <c r="A475" s="69" t="s">
        <v>236</v>
      </c>
      <c r="B475" s="11">
        <v>26070</v>
      </c>
      <c r="C475" s="11">
        <v>7165</v>
      </c>
      <c r="D475" s="11">
        <v>11400000</v>
      </c>
    </row>
    <row r="478" spans="1:4">
      <c r="A478" s="114" t="s">
        <v>300</v>
      </c>
      <c r="B478" s="114"/>
      <c r="C478" s="114"/>
      <c r="D478" s="114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232</v>
      </c>
      <c r="B481" s="11">
        <v>26420</v>
      </c>
      <c r="C481" s="11">
        <v>7275</v>
      </c>
      <c r="D481" s="11">
        <v>11510000</v>
      </c>
    </row>
    <row r="482" spans="1:6">
      <c r="A482" s="70" t="s">
        <v>233</v>
      </c>
      <c r="B482" s="11">
        <v>26520</v>
      </c>
      <c r="C482" s="11">
        <v>7265</v>
      </c>
      <c r="D482" s="11">
        <v>11530000</v>
      </c>
    </row>
    <row r="483" spans="1:6">
      <c r="A483" s="68" t="s">
        <v>234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235</v>
      </c>
      <c r="B485" s="11">
        <v>26520</v>
      </c>
      <c r="C485" s="11">
        <v>7320</v>
      </c>
      <c r="D485" s="11">
        <v>11590000</v>
      </c>
    </row>
    <row r="486" spans="1:6">
      <c r="A486" s="69" t="s">
        <v>236</v>
      </c>
      <c r="B486" s="11">
        <v>26520</v>
      </c>
      <c r="C486" s="11">
        <v>7320</v>
      </c>
      <c r="D486" s="11">
        <v>11630000</v>
      </c>
    </row>
    <row r="489" spans="1:6">
      <c r="A489" s="114" t="s">
        <v>301</v>
      </c>
      <c r="B489" s="114"/>
      <c r="C489" s="114"/>
      <c r="D489" s="114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69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0" t="s">
        <v>233</v>
      </c>
      <c r="B493" s="11"/>
      <c r="C493" s="11"/>
      <c r="D493" s="11"/>
    </row>
    <row r="494" spans="1:6">
      <c r="A494" s="68" t="s">
        <v>234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235</v>
      </c>
      <c r="B496" s="11"/>
      <c r="C496" s="11"/>
      <c r="D496" s="11"/>
    </row>
    <row r="497" spans="1:4">
      <c r="A497" s="69" t="s">
        <v>236</v>
      </c>
      <c r="B497" s="11"/>
      <c r="C497" s="11"/>
      <c r="D497" s="11"/>
    </row>
    <row r="500" spans="1:4">
      <c r="A500" s="114" t="s">
        <v>304</v>
      </c>
      <c r="B500" s="114"/>
      <c r="C500" s="114"/>
      <c r="D500" s="114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232</v>
      </c>
      <c r="B503" s="11">
        <v>26530</v>
      </c>
      <c r="C503" s="11">
        <v>7310</v>
      </c>
      <c r="D503" s="11">
        <v>11790000</v>
      </c>
    </row>
    <row r="504" spans="1:4">
      <c r="A504" s="70" t="s">
        <v>233</v>
      </c>
      <c r="B504" s="11">
        <v>26550</v>
      </c>
      <c r="C504" s="11">
        <v>7300</v>
      </c>
      <c r="D504" s="11">
        <v>11770000</v>
      </c>
    </row>
    <row r="505" spans="1:4">
      <c r="A505" s="68" t="s">
        <v>234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235</v>
      </c>
      <c r="B507" s="11">
        <v>26580</v>
      </c>
      <c r="C507" s="11">
        <v>7285</v>
      </c>
      <c r="D507" s="11">
        <v>11700000</v>
      </c>
    </row>
    <row r="508" spans="1:4">
      <c r="A508" s="69" t="s">
        <v>236</v>
      </c>
      <c r="B508" s="11">
        <v>26580</v>
      </c>
      <c r="C508" s="11">
        <v>7285</v>
      </c>
      <c r="D508" s="11">
        <v>11690000</v>
      </c>
    </row>
    <row r="511" spans="1:4">
      <c r="A511" s="114" t="s">
        <v>305</v>
      </c>
      <c r="B511" s="114"/>
      <c r="C511" s="114"/>
      <c r="D511" s="114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232</v>
      </c>
      <c r="B514" s="11">
        <v>26650</v>
      </c>
      <c r="C514" s="11">
        <v>7320</v>
      </c>
      <c r="D514" s="11">
        <v>11830000</v>
      </c>
    </row>
    <row r="515" spans="1:4">
      <c r="A515" s="70" t="s">
        <v>233</v>
      </c>
      <c r="B515" s="11">
        <v>26620</v>
      </c>
      <c r="C515" s="11">
        <v>7320</v>
      </c>
      <c r="D515" s="11">
        <v>11820000</v>
      </c>
    </row>
    <row r="516" spans="1:4">
      <c r="A516" s="68" t="s">
        <v>234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235</v>
      </c>
      <c r="B518" s="11">
        <v>26660</v>
      </c>
      <c r="C518" s="11">
        <v>7320</v>
      </c>
      <c r="D518" s="11">
        <v>11950000</v>
      </c>
    </row>
    <row r="519" spans="1:4">
      <c r="A519" s="69" t="s">
        <v>236</v>
      </c>
      <c r="B519" s="11">
        <v>26660</v>
      </c>
      <c r="C519" s="11">
        <v>7320</v>
      </c>
      <c r="D519" s="11">
        <v>11920000</v>
      </c>
    </row>
    <row r="522" spans="1:4">
      <c r="A522" s="114" t="s">
        <v>306</v>
      </c>
      <c r="B522" s="114"/>
      <c r="C522" s="114"/>
      <c r="D522" s="114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232</v>
      </c>
      <c r="B525" s="11">
        <v>27500</v>
      </c>
      <c r="C525" s="11">
        <v>7560</v>
      </c>
      <c r="D525" s="11">
        <v>12100000</v>
      </c>
    </row>
    <row r="526" spans="1:4">
      <c r="A526" s="70" t="s">
        <v>233</v>
      </c>
      <c r="B526" s="11">
        <v>27400</v>
      </c>
      <c r="C526" s="11">
        <v>7505</v>
      </c>
      <c r="D526" s="11">
        <v>12120000</v>
      </c>
    </row>
    <row r="527" spans="1:4">
      <c r="A527" s="68" t="s">
        <v>234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235</v>
      </c>
      <c r="B529" s="11">
        <v>27390</v>
      </c>
      <c r="C529" s="11">
        <v>7500</v>
      </c>
      <c r="D529" s="11">
        <v>12020000</v>
      </c>
    </row>
    <row r="530" spans="1:4">
      <c r="A530" s="69" t="s">
        <v>236</v>
      </c>
      <c r="B530" s="11">
        <v>27390</v>
      </c>
      <c r="C530" s="11">
        <v>7500</v>
      </c>
      <c r="D530" s="11">
        <v>11970000</v>
      </c>
    </row>
    <row r="533" spans="1:4">
      <c r="A533" s="114" t="s">
        <v>307</v>
      </c>
      <c r="B533" s="114"/>
      <c r="C533" s="114"/>
      <c r="D533" s="114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232</v>
      </c>
      <c r="B536" s="11">
        <v>27360</v>
      </c>
      <c r="C536" s="11">
        <v>7500</v>
      </c>
      <c r="D536" s="11">
        <v>11960000</v>
      </c>
    </row>
    <row r="537" spans="1:4">
      <c r="A537" s="70" t="s">
        <v>233</v>
      </c>
      <c r="B537" s="11">
        <v>27410</v>
      </c>
      <c r="C537" s="11">
        <v>7490</v>
      </c>
      <c r="D537" s="11">
        <v>12030000</v>
      </c>
    </row>
    <row r="538" spans="1:4">
      <c r="A538" s="68" t="s">
        <v>234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235</v>
      </c>
      <c r="B540" s="11">
        <v>27460</v>
      </c>
      <c r="C540" s="11">
        <v>7520</v>
      </c>
      <c r="D540" s="11">
        <v>12180000</v>
      </c>
    </row>
    <row r="541" spans="1:4">
      <c r="A541" s="69" t="s">
        <v>236</v>
      </c>
      <c r="B541" s="11">
        <v>27460</v>
      </c>
      <c r="C541" s="11">
        <v>7520</v>
      </c>
      <c r="D541" s="11">
        <v>12160000</v>
      </c>
    </row>
    <row r="544" spans="1:4">
      <c r="A544" s="114" t="s">
        <v>308</v>
      </c>
      <c r="B544" s="114"/>
      <c r="C544" s="114"/>
      <c r="D544" s="114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232</v>
      </c>
      <c r="B547" s="11">
        <v>27750</v>
      </c>
      <c r="C547" s="11">
        <v>7580</v>
      </c>
      <c r="D547" s="11">
        <v>12240000</v>
      </c>
    </row>
    <row r="548" spans="1:6">
      <c r="A548" s="70" t="s">
        <v>233</v>
      </c>
      <c r="B548" s="11">
        <v>27730</v>
      </c>
      <c r="C548" s="11">
        <v>7590</v>
      </c>
      <c r="D548" s="11">
        <v>12250000</v>
      </c>
    </row>
    <row r="549" spans="1:6">
      <c r="A549" s="68" t="s">
        <v>234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235</v>
      </c>
      <c r="B551" s="11">
        <v>27730</v>
      </c>
      <c r="C551" s="11">
        <v>7570</v>
      </c>
      <c r="D551" s="11">
        <v>12160000</v>
      </c>
    </row>
    <row r="552" spans="1:6">
      <c r="A552" s="69" t="s">
        <v>236</v>
      </c>
      <c r="B552" s="11">
        <v>27730</v>
      </c>
      <c r="C552" s="11">
        <v>7570</v>
      </c>
      <c r="D552" s="11">
        <v>12100000</v>
      </c>
    </row>
    <row r="555" spans="1:6">
      <c r="A555" s="114" t="s">
        <v>309</v>
      </c>
      <c r="B555" s="114"/>
      <c r="C555" s="114"/>
      <c r="D555" s="114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69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114" t="s">
        <v>309</v>
      </c>
      <c r="B567" s="114"/>
      <c r="C567" s="114"/>
      <c r="D567" s="114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232</v>
      </c>
      <c r="B570" s="11">
        <v>27920</v>
      </c>
      <c r="C570" s="11"/>
      <c r="D570" s="11"/>
      <c r="E570" s="73">
        <v>12020000</v>
      </c>
      <c r="F570" t="s">
        <v>312</v>
      </c>
    </row>
    <row r="571" spans="1:6">
      <c r="A571" s="70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68" t="s">
        <v>234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235</v>
      </c>
      <c r="B574" s="11"/>
      <c r="C574" s="11"/>
      <c r="D574" s="11"/>
    </row>
    <row r="575" spans="1:6">
      <c r="A575" s="69" t="s">
        <v>236</v>
      </c>
      <c r="B575" s="11"/>
      <c r="C575" s="11"/>
      <c r="D575" s="11"/>
    </row>
    <row r="579" spans="1:5">
      <c r="A579" s="114" t="s">
        <v>314</v>
      </c>
      <c r="B579" s="114"/>
      <c r="C579" s="114"/>
      <c r="D579" s="114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232</v>
      </c>
      <c r="B582" s="11">
        <v>28320</v>
      </c>
      <c r="C582" s="11">
        <v>7720</v>
      </c>
      <c r="D582" s="11">
        <v>12330000</v>
      </c>
    </row>
    <row r="583" spans="1:5">
      <c r="A583" s="70" t="s">
        <v>233</v>
      </c>
      <c r="B583" s="11">
        <v>28170</v>
      </c>
      <c r="C583" s="11">
        <v>7670</v>
      </c>
      <c r="D583" s="11">
        <v>12220000</v>
      </c>
    </row>
    <row r="584" spans="1:5">
      <c r="A584" s="68" t="s">
        <v>234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235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236</v>
      </c>
      <c r="B587" s="11">
        <v>28260</v>
      </c>
      <c r="C587" s="11">
        <v>7685</v>
      </c>
      <c r="D587" s="11">
        <v>12210000</v>
      </c>
    </row>
    <row r="590" spans="1:5">
      <c r="A590" s="114" t="s">
        <v>315</v>
      </c>
      <c r="B590" s="114"/>
      <c r="C590" s="114"/>
      <c r="D590" s="114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232</v>
      </c>
      <c r="B593" s="11">
        <v>27980</v>
      </c>
      <c r="C593" s="11">
        <v>7635</v>
      </c>
      <c r="D593" s="11">
        <v>12040000</v>
      </c>
    </row>
    <row r="594" spans="1:5">
      <c r="A594" s="70" t="s">
        <v>233</v>
      </c>
      <c r="B594" s="11">
        <v>27850</v>
      </c>
      <c r="C594" s="11">
        <v>7600</v>
      </c>
      <c r="D594" s="11">
        <v>12060000</v>
      </c>
    </row>
    <row r="595" spans="1:5">
      <c r="A595" s="68" t="s">
        <v>234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235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236</v>
      </c>
      <c r="B598" s="11">
        <v>27830</v>
      </c>
      <c r="C598" s="11">
        <v>7540</v>
      </c>
      <c r="D598" s="11">
        <v>12020000</v>
      </c>
    </row>
    <row r="601" spans="1:5">
      <c r="A601" s="114" t="s">
        <v>316</v>
      </c>
      <c r="B601" s="114"/>
      <c r="C601" s="114"/>
      <c r="D601" s="114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232</v>
      </c>
      <c r="B604" s="11">
        <v>27150</v>
      </c>
      <c r="C604" s="11">
        <v>7435</v>
      </c>
      <c r="D604">
        <v>11850000</v>
      </c>
    </row>
    <row r="605" spans="1:5">
      <c r="A605" s="70" t="s">
        <v>233</v>
      </c>
      <c r="B605" s="11">
        <v>26900</v>
      </c>
      <c r="C605" s="11">
        <v>7380</v>
      </c>
      <c r="D605">
        <v>11780000</v>
      </c>
    </row>
    <row r="606" spans="1:5">
      <c r="A606" s="68" t="s">
        <v>234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235</v>
      </c>
      <c r="B608" s="11">
        <v>26900</v>
      </c>
      <c r="C608" s="11">
        <v>7420</v>
      </c>
      <c r="D608">
        <v>11820000</v>
      </c>
    </row>
    <row r="609" spans="1:4">
      <c r="A609" s="69" t="s">
        <v>236</v>
      </c>
      <c r="B609" s="11">
        <v>26900</v>
      </c>
      <c r="C609" s="11">
        <v>7420</v>
      </c>
      <c r="D609">
        <v>11850000</v>
      </c>
    </row>
    <row r="612" spans="1:4">
      <c r="A612" s="114" t="s">
        <v>317</v>
      </c>
      <c r="B612" s="114"/>
      <c r="C612" s="114"/>
      <c r="D612" s="114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232</v>
      </c>
      <c r="B615" s="11">
        <v>27310</v>
      </c>
      <c r="C615" s="11">
        <v>7490</v>
      </c>
      <c r="D615">
        <v>12010000</v>
      </c>
    </row>
    <row r="616" spans="1:4">
      <c r="A616" s="70" t="s">
        <v>233</v>
      </c>
      <c r="B616" s="11">
        <v>27260</v>
      </c>
      <c r="C616" s="11">
        <v>7445</v>
      </c>
      <c r="D616">
        <v>11990000</v>
      </c>
    </row>
    <row r="617" spans="1:4">
      <c r="A617" s="68" t="s">
        <v>234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235</v>
      </c>
      <c r="B619" s="11">
        <v>27250</v>
      </c>
      <c r="C619" s="11">
        <v>7440</v>
      </c>
      <c r="D619">
        <v>11980000</v>
      </c>
    </row>
    <row r="620" spans="1:4">
      <c r="A620" s="69" t="s">
        <v>236</v>
      </c>
      <c r="B620" s="11">
        <v>27250</v>
      </c>
      <c r="C620" s="11">
        <v>7440</v>
      </c>
      <c r="D620">
        <v>11990000</v>
      </c>
    </row>
    <row r="623" spans="1:4">
      <c r="A623" s="114" t="s">
        <v>318</v>
      </c>
      <c r="B623" s="114"/>
      <c r="C623" s="114"/>
      <c r="D623" s="114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232</v>
      </c>
      <c r="B626" s="11">
        <v>27240</v>
      </c>
      <c r="C626" s="11">
        <v>7410</v>
      </c>
      <c r="D626">
        <v>11970000</v>
      </c>
    </row>
    <row r="627" spans="1:6">
      <c r="A627" s="70" t="s">
        <v>233</v>
      </c>
      <c r="B627" s="11">
        <v>27170</v>
      </c>
      <c r="C627" s="11">
        <v>7410</v>
      </c>
      <c r="D627">
        <v>11930000</v>
      </c>
    </row>
    <row r="628" spans="1:6">
      <c r="A628" s="68" t="s">
        <v>234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235</v>
      </c>
      <c r="B630" s="11">
        <v>27130</v>
      </c>
      <c r="C630" s="11">
        <v>7375</v>
      </c>
      <c r="D630">
        <v>11890000</v>
      </c>
    </row>
    <row r="631" spans="1:6">
      <c r="A631" s="69" t="s">
        <v>236</v>
      </c>
      <c r="B631" s="11">
        <v>27130</v>
      </c>
      <c r="C631" s="11">
        <v>7375</v>
      </c>
      <c r="D631">
        <v>11890000</v>
      </c>
    </row>
    <row r="635" spans="1:6">
      <c r="A635" s="114" t="s">
        <v>319</v>
      </c>
      <c r="B635" s="114"/>
      <c r="C635" s="114"/>
      <c r="D635" s="114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69" t="s">
        <v>232</v>
      </c>
      <c r="B638" s="11">
        <v>27190</v>
      </c>
      <c r="C638" s="11"/>
    </row>
    <row r="639" spans="1:6">
      <c r="A639" s="70" t="s">
        <v>233</v>
      </c>
      <c r="B639" s="11"/>
      <c r="C639" s="11"/>
    </row>
    <row r="640" spans="1:6">
      <c r="A640" s="68" t="s">
        <v>234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235</v>
      </c>
      <c r="B642" s="11"/>
      <c r="C642" s="11"/>
    </row>
    <row r="643" spans="1:4">
      <c r="A643" s="69" t="s">
        <v>236</v>
      </c>
      <c r="B643" s="11"/>
      <c r="C643" s="11"/>
    </row>
    <row r="647" spans="1:4">
      <c r="A647" s="114" t="s">
        <v>321</v>
      </c>
      <c r="B647" s="114"/>
      <c r="C647" s="114"/>
      <c r="D647" s="114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232</v>
      </c>
      <c r="B650" s="11">
        <v>27150</v>
      </c>
      <c r="C650" s="11">
        <v>7420</v>
      </c>
      <c r="D650">
        <v>11930000</v>
      </c>
    </row>
    <row r="651" spans="1:4">
      <c r="A651" s="70" t="s">
        <v>233</v>
      </c>
      <c r="B651" s="11">
        <v>27180</v>
      </c>
      <c r="C651" s="11">
        <v>7410</v>
      </c>
      <c r="D651">
        <v>11990000</v>
      </c>
    </row>
    <row r="652" spans="1:4">
      <c r="A652" s="68" t="s">
        <v>234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235</v>
      </c>
      <c r="B654" s="11">
        <v>27050</v>
      </c>
      <c r="C654" s="11">
        <v>7390</v>
      </c>
      <c r="D654">
        <v>11980000</v>
      </c>
    </row>
    <row r="655" spans="1:4">
      <c r="A655" s="69" t="s">
        <v>236</v>
      </c>
      <c r="B655" s="11">
        <v>27050</v>
      </c>
      <c r="C655" s="11">
        <v>7390</v>
      </c>
      <c r="D655">
        <v>11990000</v>
      </c>
    </row>
    <row r="658" spans="1:4">
      <c r="A658" s="114" t="s">
        <v>322</v>
      </c>
      <c r="B658" s="114"/>
      <c r="C658" s="114"/>
      <c r="D658" s="114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232</v>
      </c>
      <c r="B661" s="11">
        <v>27210</v>
      </c>
      <c r="C661" s="11">
        <v>7400</v>
      </c>
      <c r="D661">
        <v>12090000</v>
      </c>
    </row>
    <row r="662" spans="1:4">
      <c r="A662" s="70" t="s">
        <v>233</v>
      </c>
      <c r="B662" s="11">
        <v>27220</v>
      </c>
      <c r="C662" s="11">
        <v>7420</v>
      </c>
      <c r="D662">
        <v>12150000</v>
      </c>
    </row>
    <row r="663" spans="1:4">
      <c r="A663" s="68" t="s">
        <v>234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235</v>
      </c>
      <c r="B665" s="11">
        <v>27190</v>
      </c>
      <c r="C665" s="11">
        <v>7410</v>
      </c>
      <c r="D665">
        <v>12090000</v>
      </c>
    </row>
    <row r="666" spans="1:4">
      <c r="A666" s="69" t="s">
        <v>236</v>
      </c>
      <c r="B666" s="11">
        <v>27190</v>
      </c>
      <c r="C666" s="11">
        <v>7410</v>
      </c>
      <c r="D666">
        <v>12130000</v>
      </c>
    </row>
    <row r="670" spans="1:4">
      <c r="A670" s="114" t="s">
        <v>323</v>
      </c>
      <c r="B670" s="114"/>
      <c r="C670" s="114"/>
      <c r="D670" s="114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232</v>
      </c>
      <c r="B673" s="11">
        <v>27050</v>
      </c>
      <c r="C673" s="11">
        <v>7400</v>
      </c>
      <c r="D673">
        <v>12070000</v>
      </c>
    </row>
    <row r="674" spans="1:4">
      <c r="A674" s="70" t="s">
        <v>233</v>
      </c>
      <c r="B674" s="11">
        <v>27000</v>
      </c>
      <c r="C674" s="11">
        <v>7370</v>
      </c>
      <c r="D674">
        <v>12040000</v>
      </c>
    </row>
    <row r="675" spans="1:4">
      <c r="A675" s="68" t="s">
        <v>234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235</v>
      </c>
      <c r="B677" s="11">
        <v>27010</v>
      </c>
      <c r="C677" s="11">
        <v>7385</v>
      </c>
      <c r="D677">
        <v>12030000</v>
      </c>
    </row>
    <row r="678" spans="1:4">
      <c r="A678" s="69" t="s">
        <v>236</v>
      </c>
      <c r="B678" s="11">
        <v>27010</v>
      </c>
      <c r="C678" s="11">
        <v>7385</v>
      </c>
      <c r="D678">
        <v>12050000</v>
      </c>
    </row>
    <row r="681" spans="1:4">
      <c r="A681" s="114" t="s">
        <v>324</v>
      </c>
      <c r="B681" s="114"/>
      <c r="C681" s="114"/>
      <c r="D681" s="114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232</v>
      </c>
      <c r="B684" s="11">
        <v>27170</v>
      </c>
      <c r="C684" s="11">
        <v>7405</v>
      </c>
      <c r="D684">
        <v>12110000</v>
      </c>
    </row>
    <row r="685" spans="1:4">
      <c r="A685" s="70" t="s">
        <v>233</v>
      </c>
      <c r="B685" s="11">
        <v>27080</v>
      </c>
      <c r="C685" s="11">
        <v>7420</v>
      </c>
      <c r="D685">
        <v>12080000</v>
      </c>
    </row>
    <row r="686" spans="1:4">
      <c r="A686" s="68" t="s">
        <v>234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235</v>
      </c>
      <c r="B688" s="11">
        <v>27120</v>
      </c>
      <c r="C688" s="11">
        <v>7410</v>
      </c>
      <c r="D688">
        <v>12110000</v>
      </c>
    </row>
    <row r="689" spans="1:4">
      <c r="A689" s="69" t="s">
        <v>236</v>
      </c>
      <c r="B689" s="11">
        <v>27120</v>
      </c>
      <c r="C689" s="11">
        <v>7410</v>
      </c>
      <c r="D689">
        <v>12140000</v>
      </c>
    </row>
    <row r="692" spans="1:4">
      <c r="A692" s="114" t="s">
        <v>325</v>
      </c>
      <c r="B692" s="114"/>
      <c r="C692" s="114"/>
      <c r="D692" s="114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232</v>
      </c>
      <c r="B695" s="11">
        <v>27510</v>
      </c>
      <c r="C695" s="11">
        <v>7530</v>
      </c>
      <c r="D695">
        <v>12160000</v>
      </c>
    </row>
    <row r="696" spans="1:4">
      <c r="A696" s="70" t="s">
        <v>233</v>
      </c>
      <c r="B696" s="11">
        <v>27560</v>
      </c>
      <c r="C696" s="11">
        <v>7540</v>
      </c>
      <c r="D696">
        <v>12190000</v>
      </c>
    </row>
    <row r="697" spans="1:4">
      <c r="A697" s="68" t="s">
        <v>234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235</v>
      </c>
      <c r="B699" s="11">
        <v>27530</v>
      </c>
      <c r="C699" s="11">
        <v>7570</v>
      </c>
      <c r="D699">
        <v>12210000</v>
      </c>
    </row>
    <row r="700" spans="1:4">
      <c r="A700" s="69" t="s">
        <v>236</v>
      </c>
      <c r="B700" s="11">
        <v>27530</v>
      </c>
      <c r="C700" s="11">
        <v>7570</v>
      </c>
      <c r="D700">
        <v>12200000</v>
      </c>
    </row>
    <row r="703" spans="1:4">
      <c r="A703" s="114" t="s">
        <v>326</v>
      </c>
      <c r="B703" s="114"/>
      <c r="C703" s="114"/>
      <c r="D703" s="114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69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0" t="s">
        <v>233</v>
      </c>
      <c r="B707" s="11">
        <v>27620</v>
      </c>
      <c r="C707" s="11"/>
    </row>
    <row r="708" spans="1:6">
      <c r="A708" s="68" t="s">
        <v>234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235</v>
      </c>
      <c r="B710" s="11"/>
      <c r="C710" s="11"/>
    </row>
    <row r="711" spans="1:6">
      <c r="A711" s="69" t="s">
        <v>236</v>
      </c>
      <c r="B711" s="11"/>
      <c r="C711" s="11"/>
    </row>
    <row r="715" spans="1:6">
      <c r="A715" s="114" t="s">
        <v>329</v>
      </c>
      <c r="B715" s="114"/>
      <c r="C715" s="114"/>
      <c r="D715" s="114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232</v>
      </c>
      <c r="B718" s="11">
        <v>27780</v>
      </c>
      <c r="C718" s="11">
        <v>7595</v>
      </c>
      <c r="D718">
        <v>12040000</v>
      </c>
    </row>
    <row r="719" spans="1:6">
      <c r="A719" s="70" t="s">
        <v>233</v>
      </c>
      <c r="B719" s="11">
        <v>27750</v>
      </c>
      <c r="C719" s="11">
        <v>7585</v>
      </c>
      <c r="D719">
        <v>12070000</v>
      </c>
    </row>
    <row r="720" spans="1:6">
      <c r="A720" s="68" t="s">
        <v>234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235</v>
      </c>
      <c r="B722" s="11">
        <v>27830</v>
      </c>
      <c r="C722" s="11">
        <v>7590</v>
      </c>
      <c r="D722">
        <v>12080000</v>
      </c>
    </row>
    <row r="723" spans="1:4">
      <c r="A723" s="69" t="s">
        <v>236</v>
      </c>
      <c r="B723" s="11">
        <v>27830</v>
      </c>
      <c r="C723" s="11">
        <v>7590</v>
      </c>
      <c r="D723">
        <v>12020000</v>
      </c>
    </row>
    <row r="726" spans="1:4">
      <c r="A726" s="114" t="s">
        <v>330</v>
      </c>
      <c r="B726" s="114"/>
      <c r="C726" s="114"/>
      <c r="D726" s="114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232</v>
      </c>
      <c r="B729" s="11">
        <v>27550</v>
      </c>
      <c r="C729" s="11">
        <v>7550</v>
      </c>
      <c r="D729">
        <v>11990000</v>
      </c>
    </row>
    <row r="730" spans="1:4">
      <c r="A730" s="70" t="s">
        <v>233</v>
      </c>
      <c r="B730" s="11">
        <v>27560</v>
      </c>
      <c r="C730" s="11">
        <v>7545</v>
      </c>
      <c r="D730">
        <v>12010000</v>
      </c>
    </row>
    <row r="731" spans="1:4">
      <c r="A731" s="68" t="s">
        <v>234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235</v>
      </c>
      <c r="B733" s="11">
        <v>27500</v>
      </c>
      <c r="C733" s="11">
        <v>7535</v>
      </c>
      <c r="D733">
        <v>12000000</v>
      </c>
    </row>
    <row r="734" spans="1:4">
      <c r="A734" s="69" t="s">
        <v>236</v>
      </c>
      <c r="B734" s="11">
        <v>27500</v>
      </c>
      <c r="C734" s="11">
        <v>7535</v>
      </c>
      <c r="D734">
        <v>11990000</v>
      </c>
    </row>
    <row r="738" spans="1:4">
      <c r="A738" s="114" t="s">
        <v>331</v>
      </c>
      <c r="B738" s="114"/>
      <c r="C738" s="114"/>
      <c r="D738" s="114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232</v>
      </c>
      <c r="B741" s="11">
        <v>26900</v>
      </c>
      <c r="C741" s="11">
        <v>7390</v>
      </c>
      <c r="D741">
        <v>11780000</v>
      </c>
    </row>
    <row r="742" spans="1:4">
      <c r="A742" s="70" t="s">
        <v>233</v>
      </c>
      <c r="B742" s="11">
        <v>26990</v>
      </c>
      <c r="C742" s="11">
        <v>7430</v>
      </c>
      <c r="D742">
        <v>11790000</v>
      </c>
    </row>
    <row r="743" spans="1:4">
      <c r="A743" s="68" t="s">
        <v>234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235</v>
      </c>
      <c r="B745" s="11">
        <v>27100</v>
      </c>
      <c r="C745" s="11">
        <v>7450</v>
      </c>
      <c r="D745">
        <v>11840000</v>
      </c>
    </row>
    <row r="746" spans="1:4">
      <c r="A746" s="69" t="s">
        <v>236</v>
      </c>
      <c r="B746" s="11">
        <v>27100</v>
      </c>
      <c r="C746" s="11">
        <v>7450</v>
      </c>
      <c r="D746">
        <v>11850000</v>
      </c>
    </row>
    <row r="749" spans="1:4">
      <c r="A749" s="114" t="s">
        <v>332</v>
      </c>
      <c r="B749" s="114"/>
      <c r="C749" s="114"/>
      <c r="D749" s="114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232</v>
      </c>
      <c r="B752" s="11">
        <v>27390</v>
      </c>
      <c r="C752" s="11">
        <v>7520</v>
      </c>
      <c r="D752">
        <v>11880000</v>
      </c>
    </row>
    <row r="753" spans="1:4">
      <c r="A753" s="70" t="s">
        <v>233</v>
      </c>
      <c r="B753" s="11">
        <v>27420</v>
      </c>
      <c r="C753" s="11">
        <v>7500</v>
      </c>
      <c r="D753">
        <v>11870000</v>
      </c>
    </row>
    <row r="754" spans="1:4">
      <c r="A754" s="68" t="s">
        <v>234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235</v>
      </c>
      <c r="B756" s="11">
        <v>27370</v>
      </c>
      <c r="C756" s="11">
        <v>7535</v>
      </c>
      <c r="D756">
        <v>11940000</v>
      </c>
    </row>
    <row r="757" spans="1:4">
      <c r="A757" s="69" t="s">
        <v>236</v>
      </c>
      <c r="B757" s="11">
        <v>27370</v>
      </c>
      <c r="C757" s="11">
        <v>7535</v>
      </c>
      <c r="D757">
        <v>11930000</v>
      </c>
    </row>
    <row r="760" spans="1:4">
      <c r="A760" s="114" t="s">
        <v>333</v>
      </c>
      <c r="B760" s="114"/>
      <c r="C760" s="114"/>
      <c r="D760" s="114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232</v>
      </c>
      <c r="B763" s="11">
        <v>27380</v>
      </c>
      <c r="C763" s="11">
        <v>7520</v>
      </c>
      <c r="D763">
        <v>11880000</v>
      </c>
    </row>
    <row r="764" spans="1:4">
      <c r="A764" s="70" t="s">
        <v>233</v>
      </c>
      <c r="B764" s="11">
        <v>27350</v>
      </c>
      <c r="C764" s="11">
        <v>7495</v>
      </c>
      <c r="D764">
        <v>11890000</v>
      </c>
    </row>
    <row r="765" spans="1:4">
      <c r="A765" s="68" t="s">
        <v>234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235</v>
      </c>
      <c r="B767" s="11">
        <v>27320</v>
      </c>
      <c r="C767" s="11">
        <v>7485</v>
      </c>
      <c r="D767">
        <v>11840000</v>
      </c>
    </row>
    <row r="768" spans="1:4">
      <c r="A768" s="69" t="s">
        <v>236</v>
      </c>
      <c r="B768" s="11">
        <v>27320</v>
      </c>
      <c r="C768" s="11">
        <v>7485</v>
      </c>
      <c r="D768">
        <v>11840000</v>
      </c>
    </row>
    <row r="772" spans="1:6">
      <c r="A772" s="114" t="s">
        <v>341</v>
      </c>
      <c r="B772" s="114"/>
      <c r="C772" s="114"/>
      <c r="D772" s="114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232</v>
      </c>
      <c r="B775" s="11"/>
      <c r="C775" s="11"/>
      <c r="E775">
        <v>11730000</v>
      </c>
      <c r="F775">
        <v>1202</v>
      </c>
    </row>
    <row r="776" spans="1:6">
      <c r="A776" s="70" t="s">
        <v>233</v>
      </c>
      <c r="B776" s="11"/>
      <c r="C776" s="11"/>
      <c r="E776">
        <v>11710000</v>
      </c>
      <c r="F776" t="s">
        <v>342</v>
      </c>
    </row>
    <row r="777" spans="1:6">
      <c r="A777" s="68" t="s">
        <v>234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235</v>
      </c>
      <c r="B779" s="11"/>
      <c r="C779" s="11"/>
    </row>
    <row r="780" spans="1:6">
      <c r="A780" s="69" t="s">
        <v>236</v>
      </c>
      <c r="B780" s="11"/>
      <c r="C780" s="11"/>
    </row>
    <row r="784" spans="1:6">
      <c r="A784" s="114" t="s">
        <v>344</v>
      </c>
      <c r="B784" s="114"/>
      <c r="C784" s="114"/>
      <c r="D784" s="114"/>
    </row>
    <row r="785" spans="1:5">
      <c r="A785" s="11" t="s">
        <v>228</v>
      </c>
      <c r="B785" s="11" t="s">
        <v>229</v>
      </c>
      <c r="C785" s="11" t="s">
        <v>230</v>
      </c>
      <c r="D785" s="11" t="s">
        <v>231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232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233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234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235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236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114" t="s">
        <v>346</v>
      </c>
      <c r="B796" s="114"/>
      <c r="C796" s="114"/>
      <c r="D796" s="114"/>
    </row>
    <row r="797" spans="1:5">
      <c r="A797" s="11" t="s">
        <v>228</v>
      </c>
      <c r="B797" s="11" t="s">
        <v>229</v>
      </c>
      <c r="C797" s="11" t="s">
        <v>230</v>
      </c>
      <c r="D797" s="11" t="s">
        <v>231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232</v>
      </c>
      <c r="B799" s="11">
        <v>27340</v>
      </c>
      <c r="C799" s="11">
        <v>7490</v>
      </c>
      <c r="D799" s="1">
        <v>11670000</v>
      </c>
    </row>
    <row r="800" spans="1:5">
      <c r="A800" s="70" t="s">
        <v>233</v>
      </c>
      <c r="B800" s="11">
        <v>27280</v>
      </c>
      <c r="C800" s="11">
        <v>7475</v>
      </c>
      <c r="D800" s="1">
        <v>11650000</v>
      </c>
    </row>
    <row r="801" spans="1:8">
      <c r="A801" s="68" t="s">
        <v>234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235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236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14" t="s">
        <v>349</v>
      </c>
      <c r="B809" s="114"/>
      <c r="C809" s="114"/>
      <c r="D809" s="114"/>
    </row>
    <row r="810" spans="1:8">
      <c r="A810" s="11" t="s">
        <v>228</v>
      </c>
      <c r="B810" s="11" t="s">
        <v>229</v>
      </c>
      <c r="C810" s="11" t="s">
        <v>230</v>
      </c>
      <c r="D810" s="11" t="s">
        <v>231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232</v>
      </c>
      <c r="B812" s="11">
        <v>27380</v>
      </c>
      <c r="C812" s="11">
        <v>7475</v>
      </c>
      <c r="D812" s="1">
        <v>11720000</v>
      </c>
    </row>
    <row r="813" spans="1:8">
      <c r="A813" s="70" t="s">
        <v>233</v>
      </c>
      <c r="B813" s="11">
        <v>27370</v>
      </c>
      <c r="C813" s="11">
        <v>7470</v>
      </c>
      <c r="D813" s="1">
        <v>11730000</v>
      </c>
    </row>
    <row r="814" spans="1:8">
      <c r="A814" s="68" t="s">
        <v>234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235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236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114" t="s">
        <v>351</v>
      </c>
      <c r="B820" s="114"/>
      <c r="C820" s="114"/>
      <c r="D820" s="114"/>
    </row>
    <row r="821" spans="1:5">
      <c r="A821" s="11" t="s">
        <v>228</v>
      </c>
      <c r="B821" s="11" t="s">
        <v>229</v>
      </c>
      <c r="C821" s="11" t="s">
        <v>230</v>
      </c>
      <c r="D821" s="11" t="s">
        <v>231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232</v>
      </c>
      <c r="B823" s="11">
        <v>27540</v>
      </c>
      <c r="C823" s="11">
        <v>7500</v>
      </c>
      <c r="D823" s="1">
        <v>11650000</v>
      </c>
    </row>
    <row r="824" spans="1:5">
      <c r="A824" s="70" t="s">
        <v>233</v>
      </c>
      <c r="B824" s="11">
        <v>27550</v>
      </c>
      <c r="C824" s="11">
        <v>7510</v>
      </c>
      <c r="D824" s="1">
        <v>11700000</v>
      </c>
    </row>
    <row r="825" spans="1:5">
      <c r="A825" s="68" t="s">
        <v>234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235</v>
      </c>
      <c r="B827" s="11">
        <v>27540</v>
      </c>
      <c r="C827" s="11">
        <v>7510</v>
      </c>
      <c r="D827" s="88">
        <v>11650000</v>
      </c>
    </row>
    <row r="828" spans="1:5">
      <c r="A828" s="69" t="s">
        <v>236</v>
      </c>
      <c r="B828" s="11">
        <v>27350</v>
      </c>
      <c r="C828" s="11">
        <v>7510</v>
      </c>
      <c r="D828" s="88">
        <v>11650000</v>
      </c>
    </row>
    <row r="831" spans="1:5">
      <c r="A831" s="114" t="s">
        <v>353</v>
      </c>
      <c r="B831" s="114"/>
      <c r="C831" s="114"/>
      <c r="D831" s="114"/>
    </row>
    <row r="832" spans="1:5">
      <c r="A832" s="11" t="s">
        <v>228</v>
      </c>
      <c r="B832" s="11" t="s">
        <v>229</v>
      </c>
      <c r="C832" s="11" t="s">
        <v>230</v>
      </c>
      <c r="D832" s="11" t="s">
        <v>231</v>
      </c>
    </row>
    <row r="833" spans="1:6">
      <c r="A833" s="68">
        <v>0.45833333333333298</v>
      </c>
      <c r="B833" s="11">
        <v>27500</v>
      </c>
      <c r="C833" s="11">
        <v>7520</v>
      </c>
      <c r="D833">
        <v>11700000</v>
      </c>
    </row>
    <row r="834" spans="1:6">
      <c r="A834" s="69" t="s">
        <v>232</v>
      </c>
      <c r="B834" s="11">
        <v>27550</v>
      </c>
      <c r="C834" s="11">
        <v>7515</v>
      </c>
      <c r="D834">
        <v>11730000</v>
      </c>
    </row>
    <row r="835" spans="1:6">
      <c r="A835" s="70" t="s">
        <v>233</v>
      </c>
      <c r="B835" s="11">
        <v>27520</v>
      </c>
      <c r="C835" s="11">
        <v>7515</v>
      </c>
      <c r="D835">
        <v>11750000</v>
      </c>
    </row>
    <row r="836" spans="1:6">
      <c r="A836" s="68" t="s">
        <v>234</v>
      </c>
      <c r="B836" s="11">
        <v>27520</v>
      </c>
      <c r="C836" s="11">
        <v>7510</v>
      </c>
      <c r="D836">
        <v>11750000</v>
      </c>
    </row>
    <row r="837" spans="1:6">
      <c r="A837" s="68">
        <v>0.625</v>
      </c>
      <c r="B837" s="11">
        <v>27520</v>
      </c>
      <c r="C837" s="11">
        <v>7505</v>
      </c>
      <c r="D837" s="88">
        <v>11750000</v>
      </c>
    </row>
    <row r="838" spans="1:6">
      <c r="A838" s="69" t="s">
        <v>235</v>
      </c>
      <c r="B838" s="11">
        <v>27520</v>
      </c>
      <c r="C838" s="11">
        <v>7505</v>
      </c>
      <c r="D838" s="88">
        <v>11730000</v>
      </c>
    </row>
    <row r="839" spans="1:6">
      <c r="A839" s="69" t="s">
        <v>236</v>
      </c>
      <c r="B839" s="11">
        <v>27520</v>
      </c>
      <c r="C839" s="11">
        <v>7505</v>
      </c>
      <c r="D839" s="88">
        <v>11730000</v>
      </c>
    </row>
    <row r="842" spans="1:6">
      <c r="A842" s="114" t="s">
        <v>355</v>
      </c>
      <c r="B842" s="114"/>
      <c r="C842" s="114"/>
      <c r="D842" s="114"/>
    </row>
    <row r="843" spans="1:6">
      <c r="A843" s="11" t="s">
        <v>228</v>
      </c>
      <c r="B843" s="11" t="s">
        <v>229</v>
      </c>
      <c r="C843" s="11" t="s">
        <v>230</v>
      </c>
      <c r="D843" s="11" t="s">
        <v>231</v>
      </c>
    </row>
    <row r="844" spans="1:6">
      <c r="A844" s="68">
        <v>0.45833333333333298</v>
      </c>
      <c r="B844" s="11"/>
      <c r="C844" s="11"/>
      <c r="D844" s="1"/>
      <c r="E844">
        <v>11750000</v>
      </c>
      <c r="F844" t="s">
        <v>280</v>
      </c>
    </row>
    <row r="845" spans="1:6">
      <c r="A845" s="69" t="s">
        <v>232</v>
      </c>
      <c r="B845" s="11"/>
      <c r="C845" s="11"/>
      <c r="D845" s="1"/>
    </row>
    <row r="846" spans="1:6">
      <c r="A846" s="70" t="s">
        <v>233</v>
      </c>
      <c r="B846" s="11"/>
      <c r="C846" s="11"/>
      <c r="D846" s="1"/>
    </row>
    <row r="847" spans="1:6">
      <c r="A847" s="68" t="s">
        <v>234</v>
      </c>
      <c r="B847" s="11"/>
      <c r="C847" s="11"/>
      <c r="D847" s="1"/>
    </row>
    <row r="848" spans="1:6">
      <c r="A848" s="68">
        <v>0.625</v>
      </c>
      <c r="B848" s="11"/>
      <c r="C848" s="11"/>
      <c r="D848" s="88"/>
    </row>
    <row r="849" spans="1:7">
      <c r="A849" s="69" t="s">
        <v>235</v>
      </c>
      <c r="B849" s="11"/>
      <c r="C849" s="11"/>
      <c r="D849" s="88"/>
    </row>
    <row r="850" spans="1:7">
      <c r="A850" s="69" t="s">
        <v>236</v>
      </c>
      <c r="B850" s="11"/>
      <c r="C850" s="11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14" t="s">
        <v>376</v>
      </c>
      <c r="B854" s="114"/>
      <c r="C854" s="114"/>
      <c r="D854" s="114"/>
    </row>
    <row r="855" spans="1:7">
      <c r="A855" s="11" t="s">
        <v>228</v>
      </c>
      <c r="B855" s="11" t="s">
        <v>229</v>
      </c>
      <c r="C855" s="11" t="s">
        <v>230</v>
      </c>
      <c r="D855" s="11" t="s">
        <v>377</v>
      </c>
    </row>
    <row r="856" spans="1:7">
      <c r="A856" s="68">
        <v>0.45833333333333298</v>
      </c>
      <c r="B856" s="11">
        <v>27680</v>
      </c>
      <c r="C856" s="11">
        <v>7560</v>
      </c>
      <c r="D856" s="1">
        <v>11760000</v>
      </c>
      <c r="G856">
        <v>11867000</v>
      </c>
    </row>
    <row r="857" spans="1:7">
      <c r="A857" s="69" t="s">
        <v>232</v>
      </c>
      <c r="B857" s="11">
        <v>27600</v>
      </c>
      <c r="C857" s="11">
        <v>7550</v>
      </c>
      <c r="D857" s="1">
        <v>11760000</v>
      </c>
    </row>
    <row r="858" spans="1:7">
      <c r="A858" s="70" t="s">
        <v>233</v>
      </c>
      <c r="B858" s="11">
        <v>27540</v>
      </c>
      <c r="C858" s="11">
        <v>7545</v>
      </c>
      <c r="D858" s="1">
        <v>11720000</v>
      </c>
    </row>
    <row r="859" spans="1:7">
      <c r="A859" s="68" t="s">
        <v>234</v>
      </c>
      <c r="B859" s="11">
        <v>27540</v>
      </c>
      <c r="C859" s="11">
        <v>7535</v>
      </c>
      <c r="D859" s="1">
        <v>11700000</v>
      </c>
    </row>
    <row r="860" spans="1:7">
      <c r="A860" s="68">
        <v>0.625</v>
      </c>
      <c r="B860" s="11">
        <v>27540</v>
      </c>
      <c r="C860" s="11">
        <v>7535</v>
      </c>
      <c r="D860" s="1">
        <v>11750000</v>
      </c>
    </row>
    <row r="861" spans="1:7">
      <c r="A861" s="69" t="s">
        <v>235</v>
      </c>
      <c r="B861" s="11">
        <v>27540</v>
      </c>
      <c r="C861" s="11">
        <v>7535</v>
      </c>
      <c r="D861" s="1">
        <v>11750000</v>
      </c>
    </row>
    <row r="865" spans="1:7">
      <c r="A865" s="114" t="s">
        <v>380</v>
      </c>
      <c r="B865" s="114"/>
      <c r="C865" s="114"/>
      <c r="D865" s="114"/>
    </row>
    <row r="866" spans="1:7">
      <c r="A866" s="11" t="s">
        <v>228</v>
      </c>
      <c r="B866" s="11" t="s">
        <v>229</v>
      </c>
      <c r="C866" s="11" t="s">
        <v>230</v>
      </c>
      <c r="D866" s="11" t="s">
        <v>231</v>
      </c>
    </row>
    <row r="867" spans="1:7">
      <c r="A867" s="68">
        <v>0.45833333333333298</v>
      </c>
      <c r="B867" s="11">
        <v>27600</v>
      </c>
      <c r="C867" s="11">
        <v>7560</v>
      </c>
      <c r="D867" s="1">
        <v>11750000</v>
      </c>
    </row>
    <row r="868" spans="1:7">
      <c r="A868" s="69" t="s">
        <v>232</v>
      </c>
      <c r="B868" s="11">
        <v>27470</v>
      </c>
      <c r="C868" s="11">
        <v>7550</v>
      </c>
      <c r="D868" s="1">
        <v>11760000</v>
      </c>
    </row>
    <row r="869" spans="1:7">
      <c r="A869" s="70" t="s">
        <v>233</v>
      </c>
      <c r="B869" s="11">
        <v>27620</v>
      </c>
      <c r="C869" s="11">
        <v>7560</v>
      </c>
      <c r="D869" s="1">
        <v>11760000</v>
      </c>
    </row>
    <row r="870" spans="1:7">
      <c r="A870" s="68" t="s">
        <v>234</v>
      </c>
      <c r="B870" s="11">
        <v>27650</v>
      </c>
      <c r="C870" s="11">
        <v>7560</v>
      </c>
      <c r="D870" s="1">
        <v>11770000</v>
      </c>
    </row>
    <row r="871" spans="1:7">
      <c r="A871" s="68">
        <v>0.625</v>
      </c>
      <c r="B871" s="11">
        <v>27650</v>
      </c>
      <c r="C871" s="11">
        <v>7560</v>
      </c>
      <c r="D871" s="88">
        <v>11770000</v>
      </c>
      <c r="E871" s="88"/>
    </row>
    <row r="872" spans="1:7">
      <c r="A872" s="69" t="s">
        <v>235</v>
      </c>
      <c r="B872" s="11">
        <v>27650</v>
      </c>
      <c r="C872" s="11">
        <v>7560</v>
      </c>
      <c r="D872" s="88">
        <v>11770000</v>
      </c>
      <c r="E872" s="88"/>
    </row>
    <row r="873" spans="1:7">
      <c r="D873" s="88">
        <v>11800000</v>
      </c>
    </row>
    <row r="876" spans="1:7">
      <c r="A876" s="114" t="s">
        <v>384</v>
      </c>
      <c r="B876" s="114"/>
      <c r="C876" s="114"/>
      <c r="D876" s="114"/>
      <c r="G876">
        <v>11888000</v>
      </c>
    </row>
    <row r="877" spans="1:7">
      <c r="A877" s="11" t="s">
        <v>228</v>
      </c>
      <c r="B877" s="11" t="s">
        <v>229</v>
      </c>
      <c r="C877" s="11" t="s">
        <v>230</v>
      </c>
      <c r="D877" s="11" t="s">
        <v>231</v>
      </c>
    </row>
    <row r="878" spans="1:7">
      <c r="A878" s="68">
        <v>0.45833333333333298</v>
      </c>
      <c r="B878" s="11">
        <v>27850</v>
      </c>
      <c r="C878" s="11">
        <v>7620</v>
      </c>
      <c r="D878" s="11"/>
      <c r="E878">
        <v>11800000</v>
      </c>
      <c r="F878" t="s">
        <v>382</v>
      </c>
      <c r="G878">
        <v>11970000</v>
      </c>
    </row>
    <row r="879" spans="1:7">
      <c r="A879" s="69" t="s">
        <v>232</v>
      </c>
      <c r="B879" s="11">
        <v>27850</v>
      </c>
      <c r="C879" s="11">
        <v>7620</v>
      </c>
      <c r="D879" s="11"/>
      <c r="E879">
        <v>11820000</v>
      </c>
      <c r="F879" t="s">
        <v>383</v>
      </c>
      <c r="G879">
        <v>11965000</v>
      </c>
    </row>
    <row r="880" spans="1:7">
      <c r="A880" s="70" t="s">
        <v>233</v>
      </c>
      <c r="B880" s="11">
        <v>27900</v>
      </c>
      <c r="C880" s="11">
        <v>7620</v>
      </c>
      <c r="D880" s="11"/>
      <c r="E880">
        <v>11790000</v>
      </c>
      <c r="F880" t="s">
        <v>342</v>
      </c>
      <c r="G880">
        <v>11960000</v>
      </c>
    </row>
    <row r="881" spans="1:4">
      <c r="A881" s="68" t="s">
        <v>234</v>
      </c>
      <c r="B881" s="11">
        <v>27900</v>
      </c>
      <c r="C881" s="11">
        <v>7650</v>
      </c>
      <c r="D881" s="11"/>
    </row>
    <row r="882" spans="1:4">
      <c r="A882" s="110">
        <v>0.625</v>
      </c>
      <c r="B882" s="111">
        <v>27900</v>
      </c>
      <c r="C882" s="111">
        <v>7620</v>
      </c>
      <c r="D882" s="112"/>
    </row>
    <row r="883" spans="1:4">
      <c r="A883" s="69" t="s">
        <v>235</v>
      </c>
      <c r="B883" s="11">
        <v>27900</v>
      </c>
      <c r="C883" s="11">
        <v>7620</v>
      </c>
      <c r="D883" s="112"/>
    </row>
    <row r="884" spans="1:4">
      <c r="A884" s="113">
        <v>0.70833333333333337</v>
      </c>
      <c r="B884" s="11">
        <v>27900</v>
      </c>
      <c r="C884" s="11">
        <v>7620</v>
      </c>
      <c r="D884" s="11"/>
    </row>
  </sheetData>
  <mergeCells count="82">
    <mergeCell ref="A842:D842"/>
    <mergeCell ref="A831:D831"/>
    <mergeCell ref="A796:D796"/>
    <mergeCell ref="A749:D749"/>
    <mergeCell ref="A760:D760"/>
    <mergeCell ref="A772:D772"/>
    <mergeCell ref="A784:D784"/>
    <mergeCell ref="A820:D820"/>
    <mergeCell ref="A809:D809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193:D193"/>
    <mergeCell ref="A1:D1"/>
    <mergeCell ref="A11:D11"/>
    <mergeCell ref="A21:D21"/>
    <mergeCell ref="A31:D31"/>
    <mergeCell ref="A41:D41"/>
    <mergeCell ref="A335:D335"/>
    <mergeCell ref="A346:D346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876:D876"/>
    <mergeCell ref="A865:D865"/>
    <mergeCell ref="A854:D854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324:D32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3" zoomScale="85" zoomScaleNormal="85" workbookViewId="0">
      <selection activeCell="C17" sqref="C17"/>
    </sheetView>
  </sheetViews>
  <sheetFormatPr defaultRowHeight="15"/>
  <cols>
    <col min="1" max="1" width="23.7109375" style="102" customWidth="1"/>
    <col min="2" max="2" width="22.140625" style="102" customWidth="1"/>
    <col min="3" max="3" width="22.5703125" style="102" customWidth="1"/>
    <col min="4" max="4" width="38.85546875" customWidth="1"/>
    <col min="5" max="5" width="22" customWidth="1"/>
    <col min="6" max="6" width="20.7109375" customWidth="1"/>
  </cols>
  <sheetData>
    <row r="1" spans="1:6" s="1" customFormat="1" ht="24.95" customHeight="1">
      <c r="A1" s="115" t="s">
        <v>367</v>
      </c>
      <c r="B1" s="115"/>
      <c r="C1" s="115"/>
    </row>
    <row r="2" spans="1:6" ht="24.95" customHeight="1">
      <c r="A2" s="103"/>
      <c r="B2" s="103" t="s">
        <v>357</v>
      </c>
      <c r="C2" s="103" t="s">
        <v>358</v>
      </c>
    </row>
    <row r="3" spans="1:6" ht="24.95" customHeight="1">
      <c r="A3" s="103" t="s">
        <v>359</v>
      </c>
      <c r="B3" s="103">
        <v>10250000</v>
      </c>
      <c r="C3" s="103">
        <v>11920000</v>
      </c>
      <c r="D3" s="102" t="s">
        <v>368</v>
      </c>
      <c r="E3">
        <f>100*(C3-B3)/B3</f>
        <v>16.292682926829269</v>
      </c>
      <c r="F3">
        <v>16</v>
      </c>
    </row>
    <row r="4" spans="1:6" ht="24.95" customHeight="1">
      <c r="A4" s="103" t="s">
        <v>360</v>
      </c>
      <c r="B4" s="103">
        <v>1018000</v>
      </c>
      <c r="C4" s="103">
        <v>1140000</v>
      </c>
      <c r="D4" s="102" t="s">
        <v>369</v>
      </c>
      <c r="E4" s="1">
        <f t="shared" ref="E4:E10" si="0">100*(C4-B4)/B4</f>
        <v>11.984282907662083</v>
      </c>
      <c r="F4">
        <v>12</v>
      </c>
    </row>
    <row r="5" spans="1:6" ht="24.95" customHeight="1">
      <c r="A5" s="103" t="s">
        <v>361</v>
      </c>
      <c r="B5" s="103">
        <v>23930</v>
      </c>
      <c r="C5" s="103">
        <v>27520</v>
      </c>
      <c r="D5" s="102" t="s">
        <v>370</v>
      </c>
      <c r="E5" s="1">
        <f t="shared" si="0"/>
        <v>15.002089427496866</v>
      </c>
      <c r="F5">
        <v>15</v>
      </c>
    </row>
    <row r="6" spans="1:6" ht="24.95" customHeight="1">
      <c r="A6" s="103" t="s">
        <v>362</v>
      </c>
      <c r="B6" s="103">
        <v>28324</v>
      </c>
      <c r="C6" s="103">
        <v>32347</v>
      </c>
      <c r="D6" s="102" t="s">
        <v>371</v>
      </c>
      <c r="E6" s="1">
        <f t="shared" si="0"/>
        <v>14.203502330179353</v>
      </c>
      <c r="F6">
        <v>14</v>
      </c>
    </row>
    <row r="7" spans="1:6" ht="24.95" customHeight="1">
      <c r="A7" s="103" t="s">
        <v>363</v>
      </c>
      <c r="B7" s="103">
        <v>23779</v>
      </c>
      <c r="C7" s="103">
        <v>26523</v>
      </c>
      <c r="D7" s="102" t="s">
        <v>372</v>
      </c>
      <c r="E7" s="1">
        <f t="shared" si="0"/>
        <v>11.539593759199294</v>
      </c>
      <c r="F7">
        <v>12</v>
      </c>
    </row>
    <row r="8" spans="1:6" ht="24.95" customHeight="1">
      <c r="A8" s="103" t="s">
        <v>364</v>
      </c>
      <c r="B8" s="103">
        <v>28081</v>
      </c>
      <c r="C8" s="103">
        <v>31394</v>
      </c>
      <c r="D8" s="102" t="s">
        <v>373</v>
      </c>
      <c r="E8" s="1">
        <f t="shared" si="0"/>
        <v>11.7980128912788</v>
      </c>
      <c r="F8">
        <v>12</v>
      </c>
    </row>
    <row r="9" spans="1:6" ht="24.95" customHeight="1">
      <c r="A9" s="103" t="s">
        <v>365</v>
      </c>
      <c r="B9" s="103">
        <v>23364</v>
      </c>
      <c r="C9" s="103">
        <v>26260</v>
      </c>
      <c r="D9" s="102" t="s">
        <v>374</v>
      </c>
      <c r="E9" s="1">
        <f t="shared" si="0"/>
        <v>12.395137818866633</v>
      </c>
      <c r="F9">
        <v>12</v>
      </c>
    </row>
    <row r="10" spans="1:6" ht="24.95" customHeight="1">
      <c r="A10" s="103" t="s">
        <v>366</v>
      </c>
      <c r="B10" s="103">
        <v>27693</v>
      </c>
      <c r="C10" s="103">
        <v>31147</v>
      </c>
      <c r="D10" s="102" t="s">
        <v>375</v>
      </c>
      <c r="E10" s="1">
        <f t="shared" si="0"/>
        <v>12.472465966128624</v>
      </c>
      <c r="F10">
        <v>12</v>
      </c>
    </row>
    <row r="12" spans="1:6">
      <c r="A12" s="1"/>
      <c r="B12" s="102">
        <f>C3-B3</f>
        <v>1670000</v>
      </c>
    </row>
    <row r="13" spans="1:6">
      <c r="B13" s="102">
        <f t="shared" ref="B13:B22" si="1">C4-B4</f>
        <v>122000</v>
      </c>
    </row>
    <row r="14" spans="1:6">
      <c r="B14" s="102">
        <f t="shared" si="1"/>
        <v>3590</v>
      </c>
    </row>
    <row r="15" spans="1:6">
      <c r="B15" s="102">
        <f t="shared" si="1"/>
        <v>4023</v>
      </c>
    </row>
    <row r="16" spans="1:6">
      <c r="B16" s="102">
        <f t="shared" si="1"/>
        <v>2744</v>
      </c>
    </row>
    <row r="17" spans="2:2">
      <c r="B17" s="102">
        <f t="shared" si="1"/>
        <v>3313</v>
      </c>
    </row>
    <row r="18" spans="2:2">
      <c r="B18" s="102">
        <f t="shared" si="1"/>
        <v>2896</v>
      </c>
    </row>
    <row r="19" spans="2:2">
      <c r="B19" s="102">
        <f t="shared" si="1"/>
        <v>3454</v>
      </c>
    </row>
    <row r="20" spans="2:2">
      <c r="B20" s="102">
        <f t="shared" si="1"/>
        <v>0</v>
      </c>
    </row>
    <row r="21" spans="2:2">
      <c r="B21" s="102">
        <f t="shared" si="1"/>
        <v>-1670000</v>
      </c>
    </row>
    <row r="22" spans="2:2">
      <c r="B22" s="102">
        <f t="shared" si="1"/>
        <v>-122000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78"/>
  <sheetViews>
    <sheetView tabSelected="1" zoomScaleNormal="100" workbookViewId="0">
      <selection activeCell="I11" sqref="I11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8" si="3">(C35-C34)*100/C34</f>
        <v>-1.0141987829614605</v>
      </c>
      <c r="G35">
        <f t="shared" ref="G35:G77" si="4">(D35-D34)*100/D34</f>
        <v>-9.5057034220532313E-2</v>
      </c>
      <c r="H35">
        <f t="shared" ref="H35:H77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9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9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9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9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9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9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9">
      <c r="B74">
        <v>14000630</v>
      </c>
      <c r="C74" s="88">
        <v>27350</v>
      </c>
      <c r="D74">
        <v>11650000</v>
      </c>
      <c r="E74">
        <v>1139937</v>
      </c>
      <c r="F74" s="1">
        <f t="shared" si="3"/>
        <v>-0.1095690284879474</v>
      </c>
      <c r="G74" s="1">
        <f t="shared" si="4"/>
        <v>0.17196904557179707</v>
      </c>
      <c r="H74" s="1">
        <f t="shared" si="5"/>
        <v>1.0229582929366869</v>
      </c>
      <c r="I74">
        <v>-2.56</v>
      </c>
    </row>
    <row r="75" spans="2:9">
      <c r="B75">
        <v>14000631</v>
      </c>
      <c r="C75" s="88">
        <v>27520</v>
      </c>
      <c r="D75">
        <v>11730000</v>
      </c>
      <c r="E75">
        <v>1150787</v>
      </c>
      <c r="F75" s="1">
        <f t="shared" si="3"/>
        <v>0.62157221206581348</v>
      </c>
      <c r="G75" s="1">
        <f t="shared" si="4"/>
        <v>0.68669527896995708</v>
      </c>
      <c r="H75" s="1">
        <f t="shared" si="5"/>
        <v>0.95180698582465517</v>
      </c>
      <c r="I75">
        <v>-0.34</v>
      </c>
    </row>
    <row r="76" spans="2:9">
      <c r="B76">
        <v>14000703</v>
      </c>
      <c r="C76" s="88">
        <v>27540</v>
      </c>
      <c r="D76">
        <v>11750000</v>
      </c>
      <c r="E76">
        <v>1141783</v>
      </c>
      <c r="F76" s="1">
        <f t="shared" si="3"/>
        <v>7.2674418604651167E-2</v>
      </c>
      <c r="G76" s="1">
        <f t="shared" si="4"/>
        <v>0.17050298380221654</v>
      </c>
      <c r="H76" s="1">
        <f t="shared" si="5"/>
        <v>-0.78242107357834245</v>
      </c>
      <c r="I76">
        <v>2.57</v>
      </c>
    </row>
    <row r="77" spans="2:9">
      <c r="B77">
        <v>14000704</v>
      </c>
      <c r="C77" s="88">
        <v>27650</v>
      </c>
      <c r="D77">
        <v>11770000</v>
      </c>
      <c r="E77">
        <v>1143861</v>
      </c>
      <c r="F77" s="1">
        <f t="shared" si="3"/>
        <v>0.39941902687000724</v>
      </c>
      <c r="G77" s="1">
        <f t="shared" si="4"/>
        <v>0.1702127659574468</v>
      </c>
      <c r="H77" s="1">
        <f t="shared" si="5"/>
        <v>0.18199605354082168</v>
      </c>
      <c r="I77">
        <v>0.18</v>
      </c>
    </row>
    <row r="78" spans="2:9">
      <c r="B78">
        <v>14000706</v>
      </c>
      <c r="C78" s="88">
        <v>27900</v>
      </c>
      <c r="F78" s="1">
        <f t="shared" si="3"/>
        <v>0.9041591320072333</v>
      </c>
      <c r="I78">
        <v>0.05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2021-09-28T13:45:00Z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