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7F6A3C21-7B8C-47D1-82A5-5317F259F007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set'!$A$1:$BL$197</definedName>
    <definedName name="_xlnm._FilterDatabase" localSheetId="1" hidden="1">weekly!$A$1:$K$49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" i="2" l="1"/>
  <c r="J39" i="2"/>
  <c r="G36" i="2"/>
  <c r="E36" i="2"/>
  <c r="F1534" i="3" l="1"/>
  <c r="M190" i="1"/>
  <c r="H122" i="5" l="1"/>
  <c r="G122" i="5"/>
  <c r="F122" i="5"/>
  <c r="H121" i="5" l="1"/>
  <c r="G121" i="5"/>
  <c r="F121" i="5"/>
  <c r="L190" i="1"/>
  <c r="T197" i="1" l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8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G193" i="1" l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8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9" i="2"/>
  <c r="G48" i="2"/>
  <c r="G47" i="2"/>
  <c r="G46" i="2"/>
  <c r="G45" i="2"/>
  <c r="G44" i="2"/>
  <c r="G43" i="2"/>
  <c r="G42" i="2"/>
  <c r="G41" i="2"/>
  <c r="D37" i="2"/>
  <c r="C37" i="2"/>
  <c r="B37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1" i="2" s="1"/>
  <c r="G16" i="2"/>
  <c r="E16" i="2"/>
  <c r="C4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J193" i="1"/>
  <c r="BI193" i="1"/>
  <c r="K193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93" i="1" l="1"/>
  <c r="U1" i="1" s="1"/>
  <c r="L193" i="1"/>
  <c r="S1" i="1" s="1"/>
</calcChain>
</file>

<file path=xl/sharedStrings.xml><?xml version="1.0" encoding="utf-8"?>
<sst xmlns="http://schemas.openxmlformats.org/spreadsheetml/2006/main" count="1689" uniqueCount="501">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</sst>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32078912"/>
        <c:axId val="932082720"/>
      </c:lineChart>
      <c:catAx>
        <c:axId val="93207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2720"/>
        <c:crosses val="autoZero"/>
        <c:auto val="1"/>
        <c:lblAlgn val="ctr"/>
        <c:lblOffset val="100"/>
        <c:noMultiLvlLbl val="0"/>
      </c:catAx>
      <c:valAx>
        <c:axId val="9320827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789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weekly!$B$27:$B$36</c15:sqref>
                  </c15:fullRef>
                </c:ext>
              </c:extLst>
              <c:f>weekly!$B$28:$B$36</c:f>
              <c:numCache>
                <c:formatCode>General</c:formatCode>
                <c:ptCount val="9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weekly!$H$27:$H$36</c15:sqref>
                  </c15:fullRef>
                </c:ext>
              </c:extLst>
              <c:f>weekly!$H$28:$H$36</c:f>
              <c:numCache>
                <c:formatCode>General</c:formatCode>
                <c:ptCount val="9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weekly!$J$27:$J$36</c15:sqref>
                  </c15:fullRef>
                </c:ext>
              </c:extLst>
              <c:f>weekly!$J$28:$J$36</c:f>
              <c:numCache>
                <c:formatCode>General</c:formatCode>
                <c:ptCount val="9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  <c:pt idx="8">
                  <c:v>29273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32079456"/>
        <c:axId val="932080000"/>
      </c:lineChart>
      <c:catAx>
        <c:axId val="93207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0000"/>
        <c:crosses val="autoZero"/>
        <c:auto val="1"/>
        <c:lblAlgn val="ctr"/>
        <c:lblOffset val="100"/>
        <c:noMultiLvlLbl val="0"/>
      </c:catAx>
      <c:valAx>
        <c:axId val="93208000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794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ششم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weekly!$D$2:$D$36</c:f>
              <c:numCache>
                <c:formatCode>General</c:formatCode>
                <c:ptCount val="3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32080544"/>
        <c:axId val="932081088"/>
      </c:lineChart>
      <c:catAx>
        <c:axId val="93208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1088"/>
        <c:crosses val="autoZero"/>
        <c:auto val="1"/>
        <c:lblAlgn val="ctr"/>
        <c:lblOffset val="100"/>
        <c:noMultiLvlLbl val="0"/>
      </c:catAx>
      <c:valAx>
        <c:axId val="9320810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05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32081632"/>
        <c:axId val="932082176"/>
      </c:lineChart>
      <c:catAx>
        <c:axId val="93208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2176"/>
        <c:crosses val="autoZero"/>
        <c:auto val="1"/>
        <c:lblAlgn val="ctr"/>
        <c:lblOffset val="100"/>
        <c:noMultiLvlLbl val="0"/>
      </c:catAx>
      <c:valAx>
        <c:axId val="9320821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3208163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ششم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weekly!$F$2:$F$36</c:f>
              <c:numCache>
                <c:formatCode>General</c:formatCode>
                <c:ptCount val="3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46318016"/>
        <c:axId val="1046318560"/>
      </c:lineChart>
      <c:catAx>
        <c:axId val="104631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8560"/>
        <c:crosses val="autoZero"/>
        <c:auto val="1"/>
        <c:lblAlgn val="ctr"/>
        <c:lblOffset val="100"/>
        <c:noMultiLvlLbl val="0"/>
      </c:catAx>
      <c:valAx>
        <c:axId val="10463185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80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6C53-4381-862D-BA6140BF7969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6C53-4381-862D-BA6140BF796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weekly!$C$27:$C$36</c15:sqref>
                  </c15:fullRef>
                </c:ext>
              </c:extLst>
              <c:f>weekly!$C$28:$C$36</c:f>
              <c:numCache>
                <c:formatCode>General</c:formatCode>
                <c:ptCount val="9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6C53-4381-862D-BA6140BF7969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6C53-4381-862D-BA6140BF796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weekly!$K$27:$K$36</c15:sqref>
                  </c15:fullRef>
                </c:ext>
              </c:extLst>
              <c:f>weekly!$K$28:$K$36</c:f>
              <c:numCache>
                <c:formatCode>General</c:formatCode>
                <c:ptCount val="9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  <c:pt idx="8">
                  <c:v>33079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6C53-4381-862D-BA6140BF7969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5-6C53-4381-862D-BA6140BF7969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weekly!$I$27:$I$36</c15:sqref>
                  </c15:fullRef>
                </c:ext>
              </c:extLst>
              <c:f>weekly!$I$28:$I$36</c:f>
              <c:numCache>
                <c:formatCode>General</c:formatCode>
                <c:ptCount val="9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046314752"/>
        <c:axId val="1046321824"/>
      </c:lineChart>
      <c:catAx>
        <c:axId val="104631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21824"/>
        <c:crosses val="autoZero"/>
        <c:auto val="1"/>
        <c:lblAlgn val="ctr"/>
        <c:lblOffset val="100"/>
        <c:noMultiLvlLbl val="0"/>
      </c:catAx>
      <c:valAx>
        <c:axId val="104632182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47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6319104"/>
        <c:axId val="1046319648"/>
      </c:barChart>
      <c:catAx>
        <c:axId val="104631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9648"/>
        <c:crosses val="autoZero"/>
        <c:auto val="1"/>
        <c:lblAlgn val="ctr"/>
        <c:lblOffset val="100"/>
        <c:noMultiLvlLbl val="0"/>
      </c:catAx>
      <c:valAx>
        <c:axId val="10463196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91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10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40"/>
          <c:order val="4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change'!$F$122:$I$122</c:f>
              <c:numCache>
                <c:formatCode>General</c:formatCode>
                <c:ptCount val="4"/>
                <c:pt idx="0">
                  <c:v>0.54963929920989352</c:v>
                </c:pt>
                <c:pt idx="1">
                  <c:v>0.59737156511350065</c:v>
                </c:pt>
                <c:pt idx="2">
                  <c:v>0.38987905792488858</c:v>
                </c:pt>
                <c:pt idx="3">
                  <c:v>-1.25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8-42DC-885D-54468EA096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46316384"/>
        <c:axId val="104632128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</c:ext>
        </c:extLst>
      </c:barChart>
      <c:catAx>
        <c:axId val="104631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21280"/>
        <c:crosses val="autoZero"/>
        <c:auto val="1"/>
        <c:lblAlgn val="ctr"/>
        <c:lblOffset val="100"/>
        <c:noMultiLvlLbl val="0"/>
      </c:catAx>
      <c:valAx>
        <c:axId val="10463212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4631638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591</xdr:row>
      <xdr:rowOff>102960</xdr:rowOff>
    </xdr:from>
    <xdr:to>
      <xdr:col>11</xdr:col>
      <xdr:colOff>279360</xdr:colOff>
      <xdr:row>621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171</xdr:row>
      <xdr:rowOff>27711</xdr:rowOff>
    </xdr:from>
    <xdr:to>
      <xdr:col>41</xdr:col>
      <xdr:colOff>533400</xdr:colOff>
      <xdr:row>276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307</xdr:row>
      <xdr:rowOff>0</xdr:rowOff>
    </xdr:from>
    <xdr:to>
      <xdr:col>82</xdr:col>
      <xdr:colOff>0</xdr:colOff>
      <xdr:row>383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626</xdr:row>
      <xdr:rowOff>0</xdr:rowOff>
    </xdr:from>
    <xdr:to>
      <xdr:col>13</xdr:col>
      <xdr:colOff>354240</xdr:colOff>
      <xdr:row>656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406</xdr:row>
      <xdr:rowOff>0</xdr:rowOff>
    </xdr:from>
    <xdr:to>
      <xdr:col>83</xdr:col>
      <xdr:colOff>533400</xdr:colOff>
      <xdr:row>505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54</xdr:row>
      <xdr:rowOff>76321</xdr:rowOff>
    </xdr:from>
    <xdr:to>
      <xdr:col>44</xdr:col>
      <xdr:colOff>533400</xdr:colOff>
      <xdr:row>153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10"/>
  <sheetViews>
    <sheetView topLeftCell="N1" zoomScale="85" zoomScaleNormal="85" workbookViewId="0">
      <selection activeCell="N192" sqref="N192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L193/G193</f>
        <v>4826094.9459798606</v>
      </c>
      <c r="T1" s="3" t="s">
        <v>15</v>
      </c>
      <c r="U1" s="3">
        <f>M193/K193</f>
        <v>45234.698912750886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K193/K62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90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90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hidden="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hidden="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hidden="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hidden="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hidden="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hidden="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hidden="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hidden="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0" s="119" customFormat="1" ht="21" hidden="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0" s="119" customFormat="1" ht="21" hidden="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0" s="119" customFormat="1" ht="21" hidden="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0" s="119" customFormat="1" ht="21" hidden="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0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0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3"/>
        <v>303066802500</v>
      </c>
      <c r="M182" s="99">
        <f t="shared" si="22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</row>
    <row r="183" spans="1:60" s="132" customFormat="1" ht="21" customHeight="1">
      <c r="A183" s="128"/>
      <c r="B183" s="129" t="s">
        <v>484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3"/>
        <v>329025981000</v>
      </c>
      <c r="M183" s="99">
        <f t="shared" si="22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</row>
    <row r="184" spans="1:60" s="132" customFormat="1" ht="21" customHeight="1">
      <c r="A184" s="128"/>
      <c r="B184" s="129" t="s">
        <v>485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3"/>
        <v>417184732800</v>
      </c>
      <c r="M184" s="99">
        <f t="shared" si="22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</row>
    <row r="185" spans="1:60" s="132" customFormat="1" ht="21" customHeight="1">
      <c r="A185" s="128"/>
      <c r="B185" s="129" t="s">
        <v>486</v>
      </c>
      <c r="C185" s="130">
        <v>3</v>
      </c>
      <c r="D185" s="131">
        <v>27064</v>
      </c>
      <c r="E185" s="130">
        <v>27750</v>
      </c>
      <c r="F185" s="130">
        <v>27384</v>
      </c>
      <c r="G185" s="130">
        <v>12359200</v>
      </c>
      <c r="H185" s="130">
        <v>30399</v>
      </c>
      <c r="I185" s="130">
        <v>31492</v>
      </c>
      <c r="J185" s="132">
        <v>31335</v>
      </c>
      <c r="K185" s="130">
        <v>1055500</v>
      </c>
      <c r="L185" s="99">
        <f t="shared" si="23"/>
        <v>338444332800</v>
      </c>
      <c r="M185" s="99">
        <f t="shared" si="22"/>
        <v>33074092500</v>
      </c>
      <c r="N185" s="132">
        <v>28028</v>
      </c>
      <c r="O185" s="132">
        <v>31807</v>
      </c>
      <c r="P185" s="132">
        <v>27335</v>
      </c>
      <c r="Q185" s="132">
        <v>30703</v>
      </c>
      <c r="R185" s="130"/>
      <c r="S185" s="130"/>
      <c r="T185" s="130"/>
      <c r="U185" s="130"/>
      <c r="V185" s="132">
        <v>28850</v>
      </c>
      <c r="X185" s="132">
        <v>29050</v>
      </c>
      <c r="Y185" s="132">
        <v>32426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1"/>
      <c r="AT185" s="131"/>
      <c r="AU185" s="131"/>
      <c r="AV185" s="131"/>
      <c r="AW185" s="131"/>
      <c r="AX185" s="131"/>
      <c r="AY185" s="130"/>
      <c r="AZ185" s="130"/>
      <c r="BA185" s="130"/>
      <c r="BB185" s="130"/>
      <c r="BC185" s="130"/>
      <c r="BE185" s="133"/>
      <c r="BF185" s="133"/>
      <c r="BG185" s="133"/>
      <c r="BH185" s="133"/>
    </row>
    <row r="186" spans="1:60" s="132" customFormat="1" ht="21" customHeight="1">
      <c r="A186" s="128"/>
      <c r="B186" s="129" t="s">
        <v>487</v>
      </c>
      <c r="C186" s="130">
        <v>4</v>
      </c>
      <c r="D186" s="131">
        <v>28042</v>
      </c>
      <c r="E186" s="130">
        <v>27723</v>
      </c>
      <c r="F186" s="130">
        <v>27768</v>
      </c>
      <c r="G186" s="130">
        <v>7533200</v>
      </c>
      <c r="H186" s="130">
        <v>31492</v>
      </c>
      <c r="I186" s="130">
        <v>31765</v>
      </c>
      <c r="J186" s="132">
        <v>31703</v>
      </c>
      <c r="K186" s="130">
        <v>442900</v>
      </c>
      <c r="L186" s="99">
        <f t="shared" si="23"/>
        <v>209181897600</v>
      </c>
      <c r="M186" s="99">
        <f t="shared" si="22"/>
        <v>14041258700</v>
      </c>
      <c r="N186" s="132">
        <v>28001</v>
      </c>
      <c r="O186" s="132">
        <v>32083</v>
      </c>
      <c r="P186" s="132">
        <v>28322</v>
      </c>
      <c r="Q186" s="132">
        <v>31807</v>
      </c>
      <c r="R186" s="130"/>
      <c r="S186" s="130"/>
      <c r="T186" s="130"/>
      <c r="U186" s="130"/>
      <c r="V186" s="132">
        <v>29030</v>
      </c>
      <c r="X186" s="132">
        <v>29050</v>
      </c>
      <c r="Y186" s="132">
        <v>32534</v>
      </c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1"/>
      <c r="AT186" s="131"/>
      <c r="AU186" s="131"/>
      <c r="AV186" s="131"/>
      <c r="AW186" s="131"/>
      <c r="AX186" s="131"/>
      <c r="AY186" s="130"/>
      <c r="AZ186" s="130"/>
      <c r="BA186" s="130"/>
      <c r="BB186" s="130"/>
      <c r="BC186" s="130"/>
      <c r="BE186" s="133"/>
      <c r="BF186" s="133"/>
      <c r="BG186" s="133"/>
      <c r="BH186" s="133"/>
    </row>
    <row r="187" spans="1:60" s="119" customFormat="1" ht="21" customHeight="1">
      <c r="A187" s="115"/>
      <c r="B187" s="116" t="s">
        <v>488</v>
      </c>
      <c r="C187" s="117">
        <v>6</v>
      </c>
      <c r="D187" s="118">
        <v>27760</v>
      </c>
      <c r="E187" s="117">
        <v>26482</v>
      </c>
      <c r="F187" s="117">
        <v>27139</v>
      </c>
      <c r="G187" s="117">
        <v>3812700</v>
      </c>
      <c r="H187" s="117">
        <v>31765</v>
      </c>
      <c r="I187" s="117">
        <v>30300</v>
      </c>
      <c r="J187" s="119">
        <v>30744</v>
      </c>
      <c r="K187" s="117">
        <v>280400</v>
      </c>
      <c r="L187" s="93">
        <f t="shared" si="23"/>
        <v>103472865300</v>
      </c>
      <c r="M187" s="93">
        <f t="shared" si="22"/>
        <v>8620617600</v>
      </c>
      <c r="N187" s="119">
        <v>26746</v>
      </c>
      <c r="O187" s="119">
        <v>30603</v>
      </c>
      <c r="P187" s="119">
        <v>28037</v>
      </c>
      <c r="Q187" s="119">
        <v>32083</v>
      </c>
      <c r="R187" s="117"/>
      <c r="S187" s="117"/>
      <c r="T187" s="117"/>
      <c r="U187" s="117"/>
      <c r="V187" s="119">
        <v>29270</v>
      </c>
      <c r="X187" s="119">
        <v>29150</v>
      </c>
      <c r="Y187" s="119">
        <v>33100</v>
      </c>
      <c r="Z187" s="117"/>
      <c r="AA187" s="117"/>
      <c r="AB187" s="117"/>
      <c r="AC187" s="117"/>
      <c r="AD187" s="117"/>
      <c r="AE187" s="117"/>
      <c r="AF187" s="117"/>
      <c r="AG187" s="117"/>
      <c r="AH187" s="117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8"/>
      <c r="AT187" s="118"/>
      <c r="AU187" s="118"/>
      <c r="AV187" s="118"/>
      <c r="AW187" s="118"/>
      <c r="AX187" s="118"/>
      <c r="AY187" s="117"/>
      <c r="AZ187" s="117"/>
      <c r="BA187" s="117"/>
      <c r="BB187" s="117"/>
      <c r="BC187" s="117"/>
      <c r="BE187" s="120"/>
      <c r="BF187" s="120"/>
      <c r="BG187" s="120"/>
      <c r="BH187" s="120"/>
    </row>
    <row r="188" spans="1:60" s="119" customFormat="1" ht="21" customHeight="1">
      <c r="A188" s="115"/>
      <c r="B188" s="116" t="s">
        <v>490</v>
      </c>
      <c r="C188" s="117">
        <v>7</v>
      </c>
      <c r="D188" s="118">
        <v>26482</v>
      </c>
      <c r="E188" s="117">
        <v>26063</v>
      </c>
      <c r="F188" s="117">
        <v>26151</v>
      </c>
      <c r="G188" s="117">
        <v>3931600</v>
      </c>
      <c r="H188" s="117">
        <v>30300</v>
      </c>
      <c r="I188" s="117">
        <v>30555</v>
      </c>
      <c r="J188" s="119">
        <v>30360</v>
      </c>
      <c r="K188" s="117">
        <v>292500</v>
      </c>
      <c r="L188" s="93">
        <f t="shared" si="23"/>
        <v>102815271600</v>
      </c>
      <c r="M188" s="93">
        <f t="shared" si="22"/>
        <v>8880300000</v>
      </c>
      <c r="N188" s="119">
        <v>26323</v>
      </c>
      <c r="O188" s="119">
        <v>30860</v>
      </c>
      <c r="P188" s="119">
        <v>26746</v>
      </c>
      <c r="Q188" s="119">
        <v>30603</v>
      </c>
      <c r="R188" s="117"/>
      <c r="S188" s="117"/>
      <c r="T188" s="117"/>
      <c r="U188" s="117"/>
      <c r="V188" s="119">
        <v>29080</v>
      </c>
      <c r="X188" s="119">
        <v>29250</v>
      </c>
      <c r="Y188" s="119">
        <v>32986</v>
      </c>
      <c r="Z188" s="117"/>
      <c r="AA188" s="117"/>
      <c r="AB188" s="117"/>
      <c r="AC188" s="117"/>
      <c r="AD188" s="117"/>
      <c r="AE188" s="117"/>
      <c r="AF188" s="117"/>
      <c r="AG188" s="117"/>
      <c r="AH188" s="117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8"/>
      <c r="AT188" s="118"/>
      <c r="AU188" s="118"/>
      <c r="AV188" s="118"/>
      <c r="AW188" s="118"/>
      <c r="AX188" s="118"/>
      <c r="AY188" s="117"/>
      <c r="AZ188" s="117"/>
      <c r="BA188" s="117"/>
      <c r="BB188" s="117"/>
      <c r="BC188" s="117"/>
      <c r="BE188" s="120"/>
      <c r="BF188" s="120"/>
      <c r="BG188" s="120"/>
      <c r="BH188" s="120"/>
    </row>
    <row r="189" spans="1:60" s="119" customFormat="1" ht="21" customHeight="1">
      <c r="A189" s="115"/>
      <c r="B189" s="116" t="s">
        <v>492</v>
      </c>
      <c r="C189" s="117">
        <v>8</v>
      </c>
      <c r="D189" s="118">
        <v>26850</v>
      </c>
      <c r="E189" s="117">
        <v>26196</v>
      </c>
      <c r="F189" s="117">
        <v>26428</v>
      </c>
      <c r="G189" s="117">
        <v>6785800</v>
      </c>
      <c r="H189" s="117">
        <v>30555</v>
      </c>
      <c r="I189" s="117">
        <v>30649</v>
      </c>
      <c r="J189" s="119">
        <v>30420</v>
      </c>
      <c r="K189" s="117">
        <v>469600</v>
      </c>
      <c r="L189" s="93">
        <f t="shared" si="23"/>
        <v>179335122400</v>
      </c>
      <c r="M189" s="93">
        <f t="shared" si="22"/>
        <v>14285232000</v>
      </c>
      <c r="N189" s="119">
        <v>26458</v>
      </c>
      <c r="O189" s="119">
        <v>30955</v>
      </c>
      <c r="P189" s="119">
        <v>27118</v>
      </c>
      <c r="Q189" s="119">
        <v>30860</v>
      </c>
      <c r="R189" s="117"/>
      <c r="S189" s="117"/>
      <c r="T189" s="117"/>
      <c r="U189" s="117"/>
      <c r="V189" s="119">
        <v>29540</v>
      </c>
      <c r="X189" s="119">
        <v>29500</v>
      </c>
      <c r="Y189" s="119">
        <v>33180</v>
      </c>
      <c r="Z189" s="117"/>
      <c r="AA189" s="117"/>
      <c r="AB189" s="117"/>
      <c r="AC189" s="117"/>
      <c r="AD189" s="117"/>
      <c r="AE189" s="117"/>
      <c r="AF189" s="117"/>
      <c r="AG189" s="117"/>
      <c r="AH189" s="117"/>
      <c r="AI189" s="117"/>
      <c r="AJ189" s="117"/>
      <c r="AK189" s="117"/>
      <c r="AL189" s="117"/>
      <c r="AM189" s="117"/>
      <c r="AN189" s="117"/>
      <c r="AO189" s="117"/>
      <c r="AP189" s="117"/>
      <c r="AQ189" s="117"/>
      <c r="AR189" s="117"/>
      <c r="AS189" s="118"/>
      <c r="AT189" s="118"/>
      <c r="AU189" s="118"/>
      <c r="AV189" s="118"/>
      <c r="AW189" s="118"/>
      <c r="AX189" s="118"/>
      <c r="AY189" s="117"/>
      <c r="AZ189" s="117"/>
      <c r="BA189" s="117"/>
      <c r="BB189" s="117"/>
      <c r="BC189" s="117"/>
      <c r="BE189" s="120"/>
      <c r="BF189" s="120"/>
      <c r="BG189" s="120"/>
      <c r="BH189" s="120"/>
    </row>
    <row r="190" spans="1:60" s="119" customFormat="1" ht="21" customHeight="1">
      <c r="A190" s="115"/>
      <c r="B190" s="116" t="s">
        <v>494</v>
      </c>
      <c r="C190" s="117">
        <v>9</v>
      </c>
      <c r="D190" s="118">
        <v>26196</v>
      </c>
      <c r="E190" s="117">
        <v>26218</v>
      </c>
      <c r="F190" s="117">
        <v>26243</v>
      </c>
      <c r="G190" s="117">
        <v>6483300</v>
      </c>
      <c r="H190" s="117">
        <v>30649</v>
      </c>
      <c r="I190" s="117">
        <v>30582</v>
      </c>
      <c r="J190" s="119">
        <v>30477</v>
      </c>
      <c r="K190" s="117">
        <v>324600</v>
      </c>
      <c r="L190" s="93">
        <f t="shared" si="23"/>
        <v>170141241900</v>
      </c>
      <c r="M190" s="93">
        <f t="shared" si="22"/>
        <v>9892834200</v>
      </c>
      <c r="N190" s="119">
        <v>26480</v>
      </c>
      <c r="O190" s="119">
        <v>30888</v>
      </c>
      <c r="P190" s="119">
        <v>26458</v>
      </c>
      <c r="Q190" s="119">
        <v>30955</v>
      </c>
      <c r="R190" s="117"/>
      <c r="S190" s="117"/>
      <c r="T190" s="117"/>
      <c r="U190" s="117"/>
      <c r="V190" s="119">
        <v>29140</v>
      </c>
      <c r="X190" s="119">
        <v>29110</v>
      </c>
      <c r="Y190" s="119">
        <v>33057</v>
      </c>
      <c r="Z190" s="117"/>
      <c r="AA190" s="117"/>
      <c r="AB190" s="117"/>
      <c r="AC190" s="117"/>
      <c r="AD190" s="117"/>
      <c r="AE190" s="117"/>
      <c r="AF190" s="117"/>
      <c r="AG190" s="117"/>
      <c r="AH190" s="117"/>
      <c r="AI190" s="117"/>
      <c r="AJ190" s="117"/>
      <c r="AK190" s="117"/>
      <c r="AL190" s="117"/>
      <c r="AM190" s="117"/>
      <c r="AN190" s="117"/>
      <c r="AO190" s="117"/>
      <c r="AP190" s="117"/>
      <c r="AQ190" s="117"/>
      <c r="AR190" s="117"/>
      <c r="AS190" s="118"/>
      <c r="AT190" s="118"/>
      <c r="AU190" s="118"/>
      <c r="AV190" s="118"/>
      <c r="AW190" s="118"/>
      <c r="AX190" s="118"/>
      <c r="AY190" s="117"/>
      <c r="AZ190" s="117"/>
      <c r="BA190" s="117"/>
      <c r="BB190" s="117"/>
      <c r="BC190" s="117"/>
      <c r="BE190" s="120"/>
      <c r="BF190" s="120"/>
      <c r="BG190" s="120"/>
      <c r="BH190" s="120"/>
    </row>
    <row r="191" spans="1:60" s="119" customFormat="1" ht="21" customHeight="1">
      <c r="A191" s="115"/>
      <c r="B191" s="116" t="s">
        <v>496</v>
      </c>
      <c r="C191" s="117">
        <v>10</v>
      </c>
      <c r="D191" s="118">
        <v>26232</v>
      </c>
      <c r="E191" s="117">
        <v>26361</v>
      </c>
      <c r="F191" s="117">
        <v>26418</v>
      </c>
      <c r="G191" s="117">
        <v>8065200</v>
      </c>
      <c r="H191" s="117">
        <v>30582</v>
      </c>
      <c r="I191" s="117">
        <v>30349</v>
      </c>
      <c r="J191" s="119">
        <v>30400</v>
      </c>
      <c r="K191" s="117">
        <v>384900</v>
      </c>
      <c r="L191" s="93"/>
      <c r="M191" s="93"/>
      <c r="N191" s="119">
        <v>26624</v>
      </c>
      <c r="O191" s="119">
        <v>30652</v>
      </c>
      <c r="P191" s="119">
        <v>26494</v>
      </c>
      <c r="Q191" s="119">
        <v>30888</v>
      </c>
      <c r="R191" s="117"/>
      <c r="S191" s="117"/>
      <c r="T191" s="117"/>
      <c r="U191" s="117"/>
      <c r="V191" s="119">
        <v>29220</v>
      </c>
      <c r="X191" s="119">
        <v>29270</v>
      </c>
      <c r="Y191" s="119">
        <v>33055</v>
      </c>
      <c r="Z191" s="117"/>
      <c r="AA191" s="117"/>
      <c r="AB191" s="117"/>
      <c r="AC191" s="117"/>
      <c r="AD191" s="117"/>
      <c r="AE191" s="117"/>
      <c r="AF191" s="117"/>
      <c r="AG191" s="117"/>
      <c r="AH191" s="117"/>
      <c r="AI191" s="117"/>
      <c r="AJ191" s="117"/>
      <c r="AK191" s="117"/>
      <c r="AL191" s="117"/>
      <c r="AM191" s="117"/>
      <c r="AN191" s="117"/>
      <c r="AO191" s="117"/>
      <c r="AP191" s="117"/>
      <c r="AQ191" s="117"/>
      <c r="AR191" s="117"/>
      <c r="AS191" s="118"/>
      <c r="AT191" s="118"/>
      <c r="AU191" s="118"/>
      <c r="AV191" s="118"/>
      <c r="AW191" s="118"/>
      <c r="AX191" s="118"/>
      <c r="AY191" s="117"/>
      <c r="AZ191" s="117"/>
      <c r="BA191" s="117"/>
      <c r="BB191" s="117"/>
      <c r="BC191" s="117"/>
      <c r="BE191" s="120"/>
      <c r="BF191" s="120"/>
      <c r="BG191" s="120"/>
      <c r="BH191" s="120"/>
    </row>
    <row r="192" spans="1:60" s="113" customFormat="1" ht="21" customHeight="1">
      <c r="A192" s="109"/>
      <c r="B192" s="110" t="s">
        <v>498</v>
      </c>
      <c r="C192" s="111">
        <v>11</v>
      </c>
      <c r="D192" s="112">
        <v>26407</v>
      </c>
      <c r="E192" s="111">
        <v>27059</v>
      </c>
      <c r="F192" s="111">
        <v>26673</v>
      </c>
      <c r="G192" s="111">
        <v>5925100</v>
      </c>
      <c r="H192" s="111">
        <v>30349</v>
      </c>
      <c r="I192" s="111">
        <v>31287</v>
      </c>
      <c r="J192" s="113">
        <v>31272</v>
      </c>
      <c r="K192" s="111">
        <v>177600</v>
      </c>
      <c r="L192" s="137"/>
      <c r="M192" s="137"/>
      <c r="N192" s="113">
        <v>27329</v>
      </c>
      <c r="O192" s="113">
        <v>31599</v>
      </c>
      <c r="P192" s="113">
        <v>26671</v>
      </c>
      <c r="Q192" s="113">
        <v>30652</v>
      </c>
      <c r="R192" s="111"/>
      <c r="S192" s="111"/>
      <c r="T192" s="111"/>
      <c r="U192" s="111"/>
      <c r="V192" s="113">
        <v>29300</v>
      </c>
      <c r="X192" s="113">
        <v>29360</v>
      </c>
      <c r="Y192" s="113">
        <v>33098</v>
      </c>
      <c r="Z192" s="111"/>
      <c r="AA192" s="111"/>
      <c r="AB192" s="111"/>
      <c r="AC192" s="111"/>
      <c r="AD192" s="111"/>
      <c r="AE192" s="111"/>
      <c r="AF192" s="111"/>
      <c r="AG192" s="111"/>
      <c r="AH192" s="111"/>
      <c r="AI192" s="111"/>
      <c r="AJ192" s="111"/>
      <c r="AK192" s="111"/>
      <c r="AL192" s="111"/>
      <c r="AM192" s="111"/>
      <c r="AN192" s="111"/>
      <c r="AO192" s="111"/>
      <c r="AP192" s="111"/>
      <c r="AQ192" s="111"/>
      <c r="AR192" s="111"/>
      <c r="AS192" s="112"/>
      <c r="AT192" s="112"/>
      <c r="AU192" s="112"/>
      <c r="AV192" s="112"/>
      <c r="AW192" s="112"/>
      <c r="AX192" s="112"/>
      <c r="AY192" s="111"/>
      <c r="AZ192" s="111"/>
      <c r="BA192" s="111"/>
      <c r="BB192" s="111"/>
      <c r="BC192" s="111"/>
      <c r="BE192" s="114"/>
      <c r="BF192" s="114"/>
      <c r="BG192" s="114"/>
      <c r="BH192" s="114"/>
    </row>
    <row r="193" spans="1:62" ht="18">
      <c r="A193" s="7"/>
      <c r="B193" s="8"/>
      <c r="C193" s="8"/>
      <c r="D193" s="26"/>
      <c r="E193" s="8"/>
      <c r="F193" s="8"/>
      <c r="G193" s="8">
        <f>SUM(G2:G182)/181</f>
        <v>6809377.3425414367</v>
      </c>
      <c r="H193" s="8"/>
      <c r="I193" s="8"/>
      <c r="J193" s="8"/>
      <c r="K193" s="8">
        <f>SUM(K2:K126)</f>
        <v>125564600</v>
      </c>
      <c r="L193" s="8">
        <f>SUM(L2:L190)</f>
        <v>32862701578109</v>
      </c>
      <c r="M193" s="9">
        <f>SUM(M2:M190)</f>
        <v>5679876875100</v>
      </c>
      <c r="N193" s="9"/>
      <c r="O193" s="9"/>
      <c r="P193" s="9"/>
      <c r="Q193" s="9"/>
      <c r="R193" s="9"/>
      <c r="S193" s="9"/>
      <c r="T193" s="9"/>
      <c r="U193" s="9"/>
      <c r="V193" s="119">
        <v>29270</v>
      </c>
      <c r="W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Y193" s="9"/>
      <c r="AZ193" s="9"/>
      <c r="BA193" s="9"/>
      <c r="BB193" s="9"/>
      <c r="BC193" s="9"/>
      <c r="BD193" s="9"/>
      <c r="BE193" s="10"/>
      <c r="BF193" s="10"/>
      <c r="BG193" s="10"/>
      <c r="BH193" s="10"/>
      <c r="BI193" t="e">
        <f>#REF!-N193</f>
        <v>#REF!</v>
      </c>
      <c r="BJ193" t="e">
        <f>(Y193-O193)/O193</f>
        <v>#DIV/0!</v>
      </c>
    </row>
    <row r="194" spans="1:62" ht="18">
      <c r="D194" s="26"/>
      <c r="V194" s="135">
        <v>29260</v>
      </c>
      <c r="Z194" s="25"/>
      <c r="AB194" s="25"/>
      <c r="AS194" s="25"/>
      <c r="AW194" s="30"/>
    </row>
    <row r="195" spans="1:62" ht="18">
      <c r="D195" s="26"/>
      <c r="V195" s="135">
        <v>29340</v>
      </c>
      <c r="Z195" s="25"/>
      <c r="AS195" s="26"/>
      <c r="AW195" s="30"/>
    </row>
    <row r="196" spans="1:62" ht="18">
      <c r="V196" s="134">
        <v>29330</v>
      </c>
      <c r="Z196" s="25"/>
      <c r="AS196" s="26"/>
      <c r="AW196" s="30"/>
    </row>
    <row r="197" spans="1:62" ht="18">
      <c r="T197">
        <f>3.673*7960</f>
        <v>29237.08</v>
      </c>
      <c r="V197" s="25"/>
      <c r="Z197" s="25"/>
      <c r="AS197" s="26"/>
      <c r="AW197" s="30"/>
    </row>
    <row r="198" spans="1:62" ht="18">
      <c r="D198" s="99"/>
      <c r="V198" s="25"/>
      <c r="Z198" s="25"/>
      <c r="AW198" s="30"/>
    </row>
    <row r="199" spans="1:62" ht="17.25" customHeight="1">
      <c r="D199" s="99"/>
      <c r="V199" s="25"/>
      <c r="Z199" s="25"/>
    </row>
    <row r="200" spans="1:62" ht="18">
      <c r="D200" s="99"/>
      <c r="V200" s="25"/>
      <c r="Z200" s="25"/>
    </row>
    <row r="201" spans="1:62" ht="18">
      <c r="D201" s="99"/>
      <c r="V201" s="25"/>
    </row>
    <row r="202" spans="1:62" ht="18">
      <c r="D202" s="99"/>
      <c r="V202" s="25"/>
    </row>
    <row r="203" spans="1:62" ht="18">
      <c r="D203" s="117"/>
    </row>
    <row r="204" spans="1:62" ht="18">
      <c r="D204" s="117"/>
    </row>
    <row r="205" spans="1:62" ht="18">
      <c r="D205" s="123"/>
    </row>
    <row r="206" spans="1:62" ht="18">
      <c r="D206" s="117"/>
      <c r="G206" s="9"/>
    </row>
    <row r="207" spans="1:62" ht="18">
      <c r="D207" s="111"/>
      <c r="G207" s="9"/>
    </row>
    <row r="208" spans="1:62" ht="18">
      <c r="G208" s="9"/>
    </row>
    <row r="209" spans="7:7" ht="18">
      <c r="G209" s="9"/>
    </row>
    <row r="210" spans="7:7" ht="18">
      <c r="G210" s="9"/>
    </row>
  </sheetData>
  <autoFilter ref="A1:BL197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9"/>
  <sheetViews>
    <sheetView tabSelected="1" zoomScale="70" zoomScaleNormal="70" workbookViewId="0">
      <selection activeCell="H25" sqref="H25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6" si="0">D29/6</f>
        <v>7281166.666666667</v>
      </c>
      <c r="F29" s="73">
        <v>5993000</v>
      </c>
      <c r="G29" s="73">
        <f t="shared" ref="G29:G36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5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5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5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5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>
      <c r="B37">
        <f>(B2-B8)/B2</f>
        <v>0.15346494762288476</v>
      </c>
      <c r="C37">
        <f>(C2-C8)/C2</f>
        <v>0.1154959674639829</v>
      </c>
      <c r="D37">
        <f>SUM(D2:D16)/15</f>
        <v>29639479.933333334</v>
      </c>
    </row>
    <row r="39" spans="1:11">
      <c r="J39">
        <f>(D36-D35)/D35</f>
        <v>-0.50773339408667473</v>
      </c>
    </row>
    <row r="40" spans="1:11">
      <c r="F40">
        <f>(F36-F35)/F35</f>
        <v>-0.62892307692307692</v>
      </c>
    </row>
    <row r="41" spans="1:11">
      <c r="D41">
        <v>5375132</v>
      </c>
      <c r="E41">
        <f>(E17-D41)/D41</f>
        <v>4.5958809321644006E-2</v>
      </c>
      <c r="G41">
        <f t="shared" ref="G41:G49" si="2">B3-B2</f>
        <v>-554</v>
      </c>
    </row>
    <row r="42" spans="1:11">
      <c r="G42">
        <f t="shared" si="2"/>
        <v>-302</v>
      </c>
    </row>
    <row r="43" spans="1:11">
      <c r="C43">
        <f>(D41-E16)/E16</f>
        <v>0.17110375179746395</v>
      </c>
      <c r="G43">
        <f t="shared" si="2"/>
        <v>-511</v>
      </c>
    </row>
    <row r="44" spans="1:11">
      <c r="G44">
        <f t="shared" si="2"/>
        <v>-362</v>
      </c>
    </row>
    <row r="45" spans="1:11">
      <c r="G45">
        <f t="shared" si="2"/>
        <v>-1699</v>
      </c>
    </row>
    <row r="46" spans="1:11">
      <c r="G46">
        <f t="shared" si="2"/>
        <v>-381</v>
      </c>
    </row>
    <row r="47" spans="1:11">
      <c r="G47">
        <f t="shared" si="2"/>
        <v>1075</v>
      </c>
    </row>
    <row r="48" spans="1:11">
      <c r="F48">
        <f>(F33-F32)/F32</f>
        <v>0.23948268173034043</v>
      </c>
      <c r="G48">
        <f t="shared" si="2"/>
        <v>151</v>
      </c>
      <c r="J48">
        <f>(F34-F35)/F34</f>
        <v>0.13877341459779063</v>
      </c>
    </row>
    <row r="49" spans="7:7">
      <c r="G49">
        <f t="shared" si="2"/>
        <v>1043</v>
      </c>
    </row>
  </sheetData>
  <autoFilter ref="A1:K49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34"/>
  <sheetViews>
    <sheetView topLeftCell="A1504" zoomScale="85" zoomScaleNormal="85" workbookViewId="0">
      <selection activeCell="D1533" sqref="D1533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38" t="s">
        <v>246</v>
      </c>
      <c r="B1" s="138"/>
      <c r="C1" s="138"/>
      <c r="D1" s="13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8" t="s">
        <v>256</v>
      </c>
      <c r="B11" s="138"/>
      <c r="C11" s="138"/>
      <c r="D11" s="13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8" t="s">
        <v>258</v>
      </c>
      <c r="B21" s="138"/>
      <c r="C21" s="138"/>
      <c r="D21" s="13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8" t="s">
        <v>259</v>
      </c>
      <c r="B31" s="138"/>
      <c r="C31" s="138"/>
      <c r="D31" s="13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8" t="s">
        <v>260</v>
      </c>
      <c r="B41" s="138"/>
      <c r="C41" s="138"/>
      <c r="D41" s="13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8" t="s">
        <v>262</v>
      </c>
      <c r="B51" s="138"/>
      <c r="C51" s="138"/>
      <c r="D51" s="13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8" t="s">
        <v>263</v>
      </c>
      <c r="B61" s="138"/>
      <c r="C61" s="138"/>
      <c r="D61" s="13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8" t="s">
        <v>264</v>
      </c>
      <c r="B71" s="138"/>
      <c r="C71" s="138"/>
      <c r="D71" s="13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8" t="s">
        <v>265</v>
      </c>
      <c r="B81" s="138"/>
      <c r="C81" s="138"/>
      <c r="D81" s="13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8" t="s">
        <v>269</v>
      </c>
      <c r="B93" s="138"/>
      <c r="C93" s="138"/>
      <c r="D93" s="13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8" t="s">
        <v>270</v>
      </c>
      <c r="B103" s="138"/>
      <c r="C103" s="138"/>
      <c r="D103" s="13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8" t="s">
        <v>272</v>
      </c>
      <c r="B113" s="138"/>
      <c r="C113" s="138"/>
      <c r="D113" s="13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8" t="s">
        <v>273</v>
      </c>
      <c r="B123" s="138"/>
      <c r="C123" s="138"/>
      <c r="D123" s="13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8" t="s">
        <v>274</v>
      </c>
      <c r="B133" s="138"/>
      <c r="C133" s="138"/>
      <c r="D133" s="13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8" t="s">
        <v>275</v>
      </c>
      <c r="B143" s="138"/>
      <c r="C143" s="138"/>
      <c r="D143" s="13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8" t="s">
        <v>277</v>
      </c>
      <c r="B153" s="138"/>
      <c r="C153" s="138"/>
      <c r="D153" s="13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8" t="s">
        <v>278</v>
      </c>
      <c r="B163" s="138"/>
      <c r="C163" s="138"/>
      <c r="D163" s="13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8" t="s">
        <v>279</v>
      </c>
      <c r="B173" s="138"/>
      <c r="C173" s="138"/>
      <c r="D173" s="13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8" t="s">
        <v>280</v>
      </c>
      <c r="B183" s="138"/>
      <c r="C183" s="138"/>
      <c r="D183" s="13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8" t="s">
        <v>281</v>
      </c>
      <c r="B193" s="138"/>
      <c r="C193" s="138"/>
      <c r="D193" s="13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8" t="s">
        <v>282</v>
      </c>
      <c r="B203" s="138"/>
      <c r="C203" s="138"/>
      <c r="D203" s="13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8" t="s">
        <v>283</v>
      </c>
      <c r="B213" s="138"/>
      <c r="C213" s="138"/>
      <c r="D213" s="13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8" t="s">
        <v>284</v>
      </c>
      <c r="B223" s="138"/>
      <c r="C223" s="138"/>
      <c r="D223" s="13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8" t="s">
        <v>285</v>
      </c>
      <c r="B233" s="138"/>
      <c r="C233" s="138"/>
      <c r="D233" s="13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8" t="s">
        <v>286</v>
      </c>
      <c r="B243" s="138"/>
      <c r="C243" s="138"/>
      <c r="D243" s="13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8" t="s">
        <v>287</v>
      </c>
      <c r="B253" s="138"/>
      <c r="C253" s="138"/>
      <c r="D253" s="13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8" t="s">
        <v>288</v>
      </c>
      <c r="B263" s="138"/>
      <c r="C263" s="138"/>
      <c r="D263" s="13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8" t="s">
        <v>289</v>
      </c>
      <c r="B273" s="138"/>
      <c r="C273" s="138"/>
      <c r="D273" s="13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8" t="s">
        <v>290</v>
      </c>
      <c r="B283" s="138"/>
      <c r="C283" s="138"/>
      <c r="D283" s="13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8" t="s">
        <v>291</v>
      </c>
      <c r="B293" s="138"/>
      <c r="C293" s="138"/>
      <c r="D293" s="13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8" t="s">
        <v>292</v>
      </c>
      <c r="B303" s="138"/>
      <c r="C303" s="138"/>
      <c r="D303" s="13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8" t="s">
        <v>296</v>
      </c>
      <c r="B313" s="138"/>
      <c r="C313" s="138"/>
      <c r="D313" s="13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8" t="s">
        <v>300</v>
      </c>
      <c r="B324" s="138"/>
      <c r="C324" s="138"/>
      <c r="D324" s="13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8" t="s">
        <v>303</v>
      </c>
      <c r="B335" s="138"/>
      <c r="C335" s="138"/>
      <c r="D335" s="13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8" t="s">
        <v>304</v>
      </c>
      <c r="B346" s="138"/>
      <c r="C346" s="138"/>
      <c r="D346" s="13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8" t="s">
        <v>305</v>
      </c>
      <c r="B357" s="138"/>
      <c r="C357" s="138"/>
      <c r="D357" s="13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8" t="s">
        <v>306</v>
      </c>
      <c r="B368" s="138"/>
      <c r="C368" s="138"/>
      <c r="D368" s="13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8" t="s">
        <v>307</v>
      </c>
      <c r="B379" s="138"/>
      <c r="C379" s="138"/>
      <c r="D379" s="13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8" t="s">
        <v>308</v>
      </c>
      <c r="B390" s="138"/>
      <c r="C390" s="138"/>
      <c r="D390" s="13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8" t="s">
        <v>309</v>
      </c>
      <c r="B401" s="138"/>
      <c r="C401" s="138"/>
      <c r="D401" s="13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8" t="s">
        <v>310</v>
      </c>
      <c r="B412" s="138"/>
      <c r="C412" s="138"/>
      <c r="D412" s="13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8" t="s">
        <v>311</v>
      </c>
      <c r="B423" s="138"/>
      <c r="C423" s="138"/>
      <c r="D423" s="13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8" t="s">
        <v>315</v>
      </c>
      <c r="B434" s="138"/>
      <c r="C434" s="138"/>
      <c r="D434" s="13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8" t="s">
        <v>316</v>
      </c>
      <c r="B445" s="138"/>
      <c r="C445" s="138"/>
      <c r="D445" s="13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8" t="s">
        <v>317</v>
      </c>
      <c r="B456" s="138"/>
      <c r="C456" s="138"/>
      <c r="D456" s="13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8" t="s">
        <v>318</v>
      </c>
      <c r="B467" s="138"/>
      <c r="C467" s="138"/>
      <c r="D467" s="13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8" t="s">
        <v>319</v>
      </c>
      <c r="B478" s="138"/>
      <c r="C478" s="138"/>
      <c r="D478" s="13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8" t="s">
        <v>320</v>
      </c>
      <c r="B489" s="138"/>
      <c r="C489" s="138"/>
      <c r="D489" s="13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8" t="s">
        <v>323</v>
      </c>
      <c r="B500" s="138"/>
      <c r="C500" s="138"/>
      <c r="D500" s="13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8" t="s">
        <v>324</v>
      </c>
      <c r="B511" s="138"/>
      <c r="C511" s="138"/>
      <c r="D511" s="13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8" t="s">
        <v>325</v>
      </c>
      <c r="B522" s="138"/>
      <c r="C522" s="138"/>
      <c r="D522" s="13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8" t="s">
        <v>326</v>
      </c>
      <c r="B533" s="138"/>
      <c r="C533" s="138"/>
      <c r="D533" s="13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8" t="s">
        <v>327</v>
      </c>
      <c r="B544" s="138"/>
      <c r="C544" s="138"/>
      <c r="D544" s="13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8" t="s">
        <v>328</v>
      </c>
      <c r="B555" s="138"/>
      <c r="C555" s="138"/>
      <c r="D555" s="13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8" t="s">
        <v>328</v>
      </c>
      <c r="B567" s="138"/>
      <c r="C567" s="138"/>
      <c r="D567" s="13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8" t="s">
        <v>333</v>
      </c>
      <c r="B579" s="138"/>
      <c r="C579" s="138"/>
      <c r="D579" s="13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8" t="s">
        <v>334</v>
      </c>
      <c r="B590" s="138"/>
      <c r="C590" s="138"/>
      <c r="D590" s="13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8" t="s">
        <v>335</v>
      </c>
      <c r="B601" s="138"/>
      <c r="C601" s="138"/>
      <c r="D601" s="13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8" t="s">
        <v>336</v>
      </c>
      <c r="B612" s="138"/>
      <c r="C612" s="138"/>
      <c r="D612" s="13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8" t="s">
        <v>337</v>
      </c>
      <c r="B623" s="138"/>
      <c r="C623" s="138"/>
      <c r="D623" s="13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8" t="s">
        <v>338</v>
      </c>
      <c r="B635" s="138"/>
      <c r="C635" s="138"/>
      <c r="D635" s="13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8" t="s">
        <v>340</v>
      </c>
      <c r="B647" s="138"/>
      <c r="C647" s="138"/>
      <c r="D647" s="13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8" t="s">
        <v>341</v>
      </c>
      <c r="B658" s="138"/>
      <c r="C658" s="138"/>
      <c r="D658" s="13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8" t="s">
        <v>342</v>
      </c>
      <c r="B670" s="138"/>
      <c r="C670" s="138"/>
      <c r="D670" s="13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8" t="s">
        <v>343</v>
      </c>
      <c r="B681" s="138"/>
      <c r="C681" s="138"/>
      <c r="D681" s="13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8" t="s">
        <v>344</v>
      </c>
      <c r="B692" s="138"/>
      <c r="C692" s="138"/>
      <c r="D692" s="13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8" t="s">
        <v>345</v>
      </c>
      <c r="B703" s="138"/>
      <c r="C703" s="138"/>
      <c r="D703" s="13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8" t="s">
        <v>348</v>
      </c>
      <c r="B715" s="138"/>
      <c r="C715" s="138"/>
      <c r="D715" s="13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8" t="s">
        <v>349</v>
      </c>
      <c r="B726" s="138"/>
      <c r="C726" s="138"/>
      <c r="D726" s="13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8" t="s">
        <v>350</v>
      </c>
      <c r="B738" s="138"/>
      <c r="C738" s="138"/>
      <c r="D738" s="13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8" t="s">
        <v>351</v>
      </c>
      <c r="B749" s="138"/>
      <c r="C749" s="138"/>
      <c r="D749" s="13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8" t="s">
        <v>352</v>
      </c>
      <c r="B760" s="138"/>
      <c r="C760" s="138"/>
      <c r="D760" s="13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8" t="s">
        <v>353</v>
      </c>
      <c r="B772" s="138"/>
      <c r="C772" s="138"/>
      <c r="D772" s="13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8" t="s">
        <v>355</v>
      </c>
      <c r="B784" s="138"/>
      <c r="C784" s="138"/>
      <c r="D784" s="13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8" t="s">
        <v>356</v>
      </c>
      <c r="B796" s="138"/>
      <c r="C796" s="138"/>
      <c r="D796" s="13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8" t="s">
        <v>357</v>
      </c>
      <c r="B809" s="138"/>
      <c r="C809" s="138"/>
      <c r="D809" s="13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8" t="s">
        <v>358</v>
      </c>
      <c r="B820" s="138"/>
      <c r="C820" s="138"/>
      <c r="D820" s="13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8" t="s">
        <v>359</v>
      </c>
      <c r="B831" s="138"/>
      <c r="C831" s="138"/>
      <c r="D831" s="13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8" t="s">
        <v>360</v>
      </c>
      <c r="B842" s="138"/>
      <c r="C842" s="138"/>
      <c r="D842" s="13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8" t="s">
        <v>361</v>
      </c>
      <c r="B854" s="138"/>
      <c r="C854" s="138"/>
      <c r="D854" s="13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8" t="s">
        <v>363</v>
      </c>
      <c r="B865" s="138"/>
      <c r="C865" s="138"/>
      <c r="D865" s="13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8" t="s">
        <v>364</v>
      </c>
      <c r="B876" s="138"/>
      <c r="C876" s="138"/>
      <c r="D876" s="13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8" t="s">
        <v>367</v>
      </c>
      <c r="B888" s="138"/>
      <c r="C888" s="138"/>
      <c r="D888" s="13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8" t="s">
        <v>368</v>
      </c>
      <c r="B901" s="138"/>
      <c r="C901" s="138"/>
      <c r="D901" s="13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8" t="s">
        <v>369</v>
      </c>
      <c r="B913" s="138"/>
      <c r="C913" s="138"/>
      <c r="D913" s="13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8" t="s">
        <v>370</v>
      </c>
      <c r="B925" s="138"/>
      <c r="C925" s="138"/>
      <c r="D925" s="13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8" t="s">
        <v>371</v>
      </c>
      <c r="B937" s="138"/>
      <c r="C937" s="138"/>
      <c r="D937" s="13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8" t="s">
        <v>372</v>
      </c>
      <c r="B949" s="138"/>
      <c r="C949" s="138"/>
      <c r="D949" s="13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8" t="s">
        <v>400</v>
      </c>
      <c r="B961" s="138"/>
      <c r="C961" s="138"/>
      <c r="D961" s="13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8" t="s">
        <v>402</v>
      </c>
      <c r="B974" s="138"/>
      <c r="C974" s="138"/>
      <c r="D974" s="13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8" t="s">
        <v>404</v>
      </c>
      <c r="B987" s="138"/>
      <c r="C987" s="138"/>
      <c r="D987" s="13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8" t="s">
        <v>405</v>
      </c>
      <c r="B1000" s="138"/>
      <c r="C1000" s="138"/>
      <c r="D1000" s="13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8" t="s">
        <v>408</v>
      </c>
      <c r="B1012" s="138"/>
      <c r="C1012" s="138"/>
      <c r="D1012" s="13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8" t="s">
        <v>410</v>
      </c>
      <c r="B1025" s="138"/>
      <c r="C1025" s="138"/>
      <c r="D1025" s="13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8" t="s">
        <v>413</v>
      </c>
      <c r="B1037" s="138"/>
      <c r="C1037" s="138"/>
      <c r="D1037" s="13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8" t="s">
        <v>415</v>
      </c>
      <c r="B1049" s="138"/>
      <c r="C1049" s="138"/>
      <c r="D1049" s="13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8" t="s">
        <v>417</v>
      </c>
      <c r="B1061" s="138"/>
      <c r="C1061" s="138"/>
      <c r="D1061" s="13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8" t="s">
        <v>419</v>
      </c>
      <c r="B1073" s="138"/>
      <c r="C1073" s="138"/>
      <c r="D1073" s="13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8" t="s">
        <v>421</v>
      </c>
      <c r="B1085" s="138"/>
      <c r="C1085" s="138"/>
      <c r="D1085" s="13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8" t="s">
        <v>423</v>
      </c>
      <c r="B1098" s="138"/>
      <c r="C1098" s="138"/>
      <c r="D1098" s="13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8" t="s">
        <v>426</v>
      </c>
      <c r="B1110" s="138"/>
      <c r="C1110" s="138"/>
      <c r="D1110" s="13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8" t="s">
        <v>428</v>
      </c>
      <c r="B1123" s="138"/>
      <c r="C1123" s="138"/>
      <c r="D1123" s="13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8" t="s">
        <v>430</v>
      </c>
      <c r="B1136" s="138"/>
      <c r="C1136" s="138"/>
      <c r="D1136" s="13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8" t="s">
        <v>432</v>
      </c>
      <c r="B1149" s="138"/>
      <c r="C1149" s="138"/>
      <c r="D1149" s="13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8" t="s">
        <v>434</v>
      </c>
      <c r="B1162" s="138"/>
      <c r="C1162" s="138"/>
      <c r="D1162" s="13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8" t="s">
        <v>437</v>
      </c>
      <c r="B1173" s="138"/>
      <c r="C1173" s="138"/>
      <c r="D1173" s="13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8" t="s">
        <v>439</v>
      </c>
      <c r="B1185" s="138"/>
      <c r="C1185" s="138"/>
      <c r="D1185" s="13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8" t="s">
        <v>441</v>
      </c>
      <c r="B1197" s="138"/>
      <c r="C1197" s="138"/>
      <c r="D1197" s="13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8" t="s">
        <v>443</v>
      </c>
      <c r="B1209" s="138"/>
      <c r="C1209" s="138"/>
      <c r="D1209" s="13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8" t="s">
        <v>445</v>
      </c>
      <c r="B1222" s="138"/>
      <c r="C1222" s="138"/>
      <c r="D1222" s="13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8" t="s">
        <v>447</v>
      </c>
      <c r="B1234" s="138"/>
      <c r="C1234" s="138"/>
      <c r="D1234" s="13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8" t="s">
        <v>449</v>
      </c>
      <c r="B1246" s="138"/>
      <c r="C1246" s="138"/>
      <c r="D1246" s="13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8" t="s">
        <v>452</v>
      </c>
      <c r="B1258" s="138"/>
      <c r="C1258" s="138"/>
      <c r="D1258" s="13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8" t="s">
        <v>454</v>
      </c>
      <c r="B1270" s="138"/>
      <c r="C1270" s="138"/>
      <c r="D1270" s="13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8" t="s">
        <v>456</v>
      </c>
      <c r="B1282" s="138"/>
      <c r="C1282" s="138"/>
      <c r="D1282" s="13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8" t="s">
        <v>458</v>
      </c>
      <c r="B1294" s="138"/>
      <c r="C1294" s="138"/>
      <c r="D1294" s="13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8" t="s">
        <v>460</v>
      </c>
      <c r="B1306" s="138"/>
      <c r="C1306" s="138"/>
      <c r="D1306" s="13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8" t="s">
        <v>462</v>
      </c>
      <c r="B1318" s="138"/>
      <c r="C1318" s="138"/>
      <c r="D1318" s="13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8" t="s">
        <v>464</v>
      </c>
      <c r="B1330" s="138"/>
      <c r="C1330" s="138"/>
      <c r="D1330" s="13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8" t="s">
        <v>467</v>
      </c>
      <c r="B1343" s="138"/>
      <c r="C1343" s="138"/>
      <c r="D1343" s="13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8" t="s">
        <v>469</v>
      </c>
      <c r="B1355" s="138"/>
      <c r="C1355" s="138"/>
      <c r="D1355" s="13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8" t="s">
        <v>471</v>
      </c>
      <c r="B1368" s="138"/>
      <c r="C1368" s="138"/>
      <c r="D1368" s="13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8" t="s">
        <v>473</v>
      </c>
      <c r="B1380" s="138"/>
      <c r="C1380" s="138"/>
      <c r="D1380" s="13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8" t="s">
        <v>476</v>
      </c>
      <c r="B1392" s="138"/>
      <c r="C1392" s="138"/>
      <c r="D1392" s="13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8" t="s">
        <v>478</v>
      </c>
      <c r="B1404" s="138"/>
      <c r="C1404" s="138"/>
      <c r="D1404" s="13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8" t="s">
        <v>479</v>
      </c>
      <c r="B1416" s="138"/>
      <c r="C1416" s="138"/>
      <c r="D1416" s="13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38" t="s">
        <v>480</v>
      </c>
      <c r="B1428" s="138"/>
      <c r="C1428" s="138"/>
      <c r="D1428" s="13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6">
      <c r="A1441" s="138" t="s">
        <v>481</v>
      </c>
      <c r="B1441" s="138"/>
      <c r="C1441" s="138"/>
      <c r="D1441" s="13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0" spans="1:6">
      <c r="F1450">
        <f>3.673*7920</f>
        <v>29090.16</v>
      </c>
    </row>
    <row r="1453" spans="1:6">
      <c r="A1453" s="138" t="s">
        <v>482</v>
      </c>
      <c r="B1453" s="138"/>
      <c r="C1453" s="138"/>
      <c r="D1453" s="13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6"/>
    </row>
    <row r="1465" spans="1:5">
      <c r="A1465" s="138" t="s">
        <v>489</v>
      </c>
      <c r="B1465" s="138"/>
      <c r="C1465" s="138"/>
      <c r="D1465" s="138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6">
        <v>12585000</v>
      </c>
    </row>
    <row r="1477" spans="1:4">
      <c r="A1477" s="138" t="s">
        <v>491</v>
      </c>
      <c r="B1477" s="138"/>
      <c r="C1477" s="138"/>
      <c r="D1477" s="138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6">
        <v>12595000</v>
      </c>
    </row>
    <row r="1490" spans="1:4">
      <c r="A1490" s="138" t="s">
        <v>493</v>
      </c>
      <c r="B1490" s="138"/>
      <c r="C1490" s="138"/>
      <c r="D1490" s="138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6">
        <v>12685000</v>
      </c>
    </row>
    <row r="1502" spans="1:4">
      <c r="A1502" s="138" t="s">
        <v>495</v>
      </c>
      <c r="B1502" s="138"/>
      <c r="C1502" s="138"/>
      <c r="D1502" s="138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6">
        <v>12555000</v>
      </c>
    </row>
    <row r="1514" spans="1:4">
      <c r="A1514" s="138" t="s">
        <v>497</v>
      </c>
      <c r="B1514" s="138"/>
      <c r="C1514" s="138"/>
      <c r="D1514" s="138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6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6">
      <c r="A1522" s="86">
        <v>0.70833333333333337</v>
      </c>
      <c r="B1522" s="85">
        <v>29270</v>
      </c>
      <c r="C1522" s="85">
        <v>8000</v>
      </c>
      <c r="D1522" s="136">
        <v>12630000</v>
      </c>
    </row>
    <row r="1526" spans="1:6">
      <c r="A1526" s="138" t="s">
        <v>499</v>
      </c>
      <c r="B1526" s="138"/>
      <c r="C1526" s="138"/>
      <c r="D1526" s="138"/>
    </row>
    <row r="1527" spans="1:6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6">
      <c r="A1528" s="75">
        <v>0.45833333333333298</v>
      </c>
      <c r="B1528" s="85"/>
      <c r="C1528" s="85"/>
      <c r="E1528">
        <v>12597000</v>
      </c>
    </row>
    <row r="1529" spans="1:6">
      <c r="A1529" s="76" t="s">
        <v>251</v>
      </c>
      <c r="B1529" s="85"/>
      <c r="C1529" s="85"/>
    </row>
    <row r="1530" spans="1:6">
      <c r="A1530" s="77" t="s">
        <v>252</v>
      </c>
      <c r="B1530" s="85"/>
      <c r="C1530" s="85"/>
    </row>
    <row r="1531" spans="1:6">
      <c r="A1531" s="75" t="s">
        <v>253</v>
      </c>
      <c r="B1531" s="85"/>
      <c r="C1531" s="85"/>
    </row>
    <row r="1532" spans="1:6">
      <c r="A1532" s="83">
        <v>0.625</v>
      </c>
      <c r="B1532" s="85"/>
      <c r="C1532" s="85"/>
    </row>
    <row r="1533" spans="1:6">
      <c r="A1533" s="76" t="s">
        <v>254</v>
      </c>
      <c r="B1533" s="85"/>
      <c r="C1533" s="85"/>
      <c r="D1533" s="85"/>
    </row>
    <row r="1534" spans="1:6">
      <c r="A1534" s="86">
        <v>0.70833333333333337</v>
      </c>
      <c r="B1534" s="85"/>
      <c r="C1534" s="85"/>
      <c r="D1534" s="136"/>
      <c r="F1534">
        <f>3.673*7970</f>
        <v>29273.81</v>
      </c>
    </row>
  </sheetData>
  <mergeCells count="135">
    <mergeCell ref="A1502:D1502"/>
    <mergeCell ref="A1490:D1490"/>
    <mergeCell ref="A1477:D1477"/>
    <mergeCell ref="A1025:D1025"/>
    <mergeCell ref="A949:D949"/>
    <mergeCell ref="A974:D974"/>
    <mergeCell ref="A1465:D1465"/>
    <mergeCell ref="A738:D738"/>
    <mergeCell ref="A692:D692"/>
    <mergeCell ref="A703:D703"/>
    <mergeCell ref="A715:D715"/>
    <mergeCell ref="A726:D72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  <mergeCell ref="A842:D842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47:D647"/>
    <mergeCell ref="A303:D3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318:D131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1526:D1526"/>
    <mergeCell ref="A1514:D1514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428:D1428"/>
    <mergeCell ref="A1355:D1355"/>
    <mergeCell ref="A1453:D145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C24" sqref="C24"/>
    </sheetView>
  </sheetViews>
  <sheetFormatPr defaultColWidth="8.5546875" defaultRowHeight="14.4"/>
  <cols>
    <col min="1" max="1" width="23.6640625" style="88" customWidth="1"/>
    <col min="2" max="2" width="22.109375" style="88" customWidth="1"/>
    <col min="3" max="3" width="22.5546875" style="88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39" t="s">
        <v>373</v>
      </c>
      <c r="B1" s="139"/>
      <c r="C1" s="139"/>
    </row>
    <row r="2" spans="1:6" ht="24.9" customHeight="1">
      <c r="A2" s="89"/>
      <c r="B2" s="89" t="s">
        <v>374</v>
      </c>
      <c r="C2" s="89" t="s">
        <v>375</v>
      </c>
    </row>
    <row r="3" spans="1:6" ht="24.9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22"/>
  <sheetViews>
    <sheetView zoomScale="85" zoomScaleNormal="85" workbookViewId="0">
      <selection activeCell="A34" sqref="A34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2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2021-12-02T14:53:51Z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