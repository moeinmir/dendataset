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A1FBBFAF-2FF0-4517-A4F3-08DA14C6446D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set'!$A$1:$BL$167</definedName>
    <definedName name="_xlnm._FilterDatabase" localSheetId="1" hidden="1">weekly!$A$1:$K$44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2" l="1"/>
  <c r="E31" i="2"/>
  <c r="M162" i="1"/>
  <c r="L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63" i="1"/>
  <c r="F167" i="1" s="1"/>
  <c r="M149" i="1" l="1"/>
  <c r="L149" i="1"/>
  <c r="G167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4" i="2"/>
  <c r="G43" i="2"/>
  <c r="G42" i="2"/>
  <c r="G41" i="2"/>
  <c r="G40" i="2"/>
  <c r="G39" i="2"/>
  <c r="G38" i="2"/>
  <c r="G37" i="2"/>
  <c r="G36" i="2"/>
  <c r="D32" i="2"/>
  <c r="C32" i="2"/>
  <c r="B3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6" i="2" s="1"/>
  <c r="G16" i="2"/>
  <c r="E16" i="2"/>
  <c r="C3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1" i="1"/>
  <c r="AW167" i="1"/>
  <c r="AW170" i="1" s="1"/>
  <c r="AU167" i="1"/>
  <c r="T167" i="1"/>
  <c r="BB166" i="1"/>
  <c r="AY165" i="1"/>
  <c r="BJ163" i="1"/>
  <c r="BI163" i="1"/>
  <c r="K163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3" i="1" l="1"/>
  <c r="U1" i="1" s="1"/>
  <c r="L163" i="1"/>
  <c r="S1" i="1" s="1"/>
</calcChain>
</file>

<file path=xl/sharedStrings.xml><?xml version="1.0" encoding="utf-8"?>
<sst xmlns="http://schemas.openxmlformats.org/spreadsheetml/2006/main" count="1384" uniqueCount="436">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</sst>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48912"/>
        <c:axId val="1556051632"/>
      </c:lineChart>
      <c:catAx>
        <c:axId val="155604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1632"/>
        <c:crosses val="autoZero"/>
        <c:auto val="1"/>
        <c:lblAlgn val="ctr"/>
        <c:lblOffset val="100"/>
        <c:noMultiLvlLbl val="0"/>
      </c:catAx>
      <c:valAx>
        <c:axId val="1556051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89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weekly!$B$27:$B$31</c15:sqref>
                  </c15:fullRef>
                </c:ext>
              </c:extLst>
              <c:f>weekly!$B$28:$B$31</c:f>
              <c:numCache>
                <c:formatCode>General</c:formatCode>
                <c:ptCount val="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weekly!$H$27:$H$31</c15:sqref>
                  </c15:fullRef>
                </c:ext>
              </c:extLst>
              <c:f>weekly!$H$28:$H$31</c:f>
              <c:numCache>
                <c:formatCode>General</c:formatCode>
                <c:ptCount val="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weekly!$J$27:$J$31</c15:sqref>
                  </c15:fullRef>
                </c:ext>
              </c:extLst>
              <c:f>weekly!$J$28:$J$31</c:f>
              <c:numCache>
                <c:formatCode>General</c:formatCode>
                <c:ptCount val="4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49456"/>
        <c:axId val="1556048368"/>
      </c:lineChart>
      <c:catAx>
        <c:axId val="155604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8368"/>
        <c:crosses val="autoZero"/>
        <c:auto val="1"/>
        <c:lblAlgn val="ctr"/>
        <c:lblOffset val="100"/>
        <c:noMultiLvlLbl val="0"/>
      </c:catAx>
      <c:valAx>
        <c:axId val="155604836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49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یکم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weekly!$D$2:$D$31</c:f>
              <c:numCache>
                <c:formatCode>General</c:formatCode>
                <c:ptCount val="30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56050000"/>
        <c:axId val="1556050544"/>
      </c:lineChart>
      <c:catAx>
        <c:axId val="155605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0544"/>
        <c:crosses val="autoZero"/>
        <c:auto val="1"/>
        <c:lblAlgn val="ctr"/>
        <c:lblOffset val="100"/>
        <c:noMultiLvlLbl val="0"/>
      </c:catAx>
      <c:valAx>
        <c:axId val="1556050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560500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5600"/>
        <c:axId val="1593895056"/>
      </c:lineChart>
      <c:catAx>
        <c:axId val="159389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5056"/>
        <c:crosses val="autoZero"/>
        <c:auto val="1"/>
        <c:lblAlgn val="ctr"/>
        <c:lblOffset val="100"/>
        <c:noMultiLvlLbl val="0"/>
      </c:catAx>
      <c:valAx>
        <c:axId val="159389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56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یکم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weekly!$F$2:$F$31</c:f>
              <c:numCache>
                <c:formatCode>General</c:formatCode>
                <c:ptCount val="30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9952"/>
        <c:axId val="1593896144"/>
      </c:lineChart>
      <c:catAx>
        <c:axId val="159389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6144"/>
        <c:crosses val="autoZero"/>
        <c:auto val="1"/>
        <c:lblAlgn val="ctr"/>
        <c:lblOffset val="100"/>
        <c:noMultiLvlLbl val="0"/>
      </c:catAx>
      <c:valAx>
        <c:axId val="159389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99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weekly!$C$27:$C$31</c15:sqref>
                  </c15:fullRef>
                </c:ext>
              </c:extLst>
              <c:f>weekly!$C$28:$C$31</c:f>
              <c:numCache>
                <c:formatCode>General</c:formatCode>
                <c:ptCount val="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weekly!$K$27:$K$31</c15:sqref>
                  </c15:fullRef>
                </c:ext>
              </c:extLst>
              <c:f>weekly!$K$28:$K$31</c:f>
              <c:numCache>
                <c:formatCode>General</c:formatCode>
                <c:ptCount val="4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weekly!$I$27:$I$31</c15:sqref>
                  </c15:fullRef>
                </c:ext>
              </c:extLst>
              <c:f>weekly!$I$28:$I$31</c:f>
              <c:numCache>
                <c:formatCode>General</c:formatCode>
                <c:ptCount val="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3896688"/>
        <c:axId val="1593899408"/>
      </c:lineChart>
      <c:catAx>
        <c:axId val="159389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9408"/>
        <c:crosses val="autoZero"/>
        <c:auto val="1"/>
        <c:lblAlgn val="ctr"/>
        <c:lblOffset val="100"/>
        <c:noMultiLvlLbl val="0"/>
      </c:catAx>
      <c:valAx>
        <c:axId val="15938994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897776"/>
        <c:axId val="1593898320"/>
      </c:barChart>
      <c:catAx>
        <c:axId val="159389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8320"/>
        <c:crosses val="autoZero"/>
        <c:auto val="1"/>
        <c:lblAlgn val="ctr"/>
        <c:lblOffset val="100"/>
        <c:noMultiLvlLbl val="0"/>
      </c:catAx>
      <c:valAx>
        <c:axId val="1593898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77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5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5"/>
          <c:order val="1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change'!$F$97:$I$97</c:f>
              <c:numCache>
                <c:formatCode>General</c:formatCode>
                <c:ptCount val="4"/>
                <c:pt idx="0">
                  <c:v>0.87463556851311952</c:v>
                </c:pt>
                <c:pt idx="1">
                  <c:v>0.54759898904802018</c:v>
                </c:pt>
                <c:pt idx="2">
                  <c:v>0</c:v>
                </c:pt>
                <c:pt idx="3">
                  <c:v>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D16-91C5-8B2777F1B3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93897232"/>
        <c:axId val="1593898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</c:ext>
        </c:extLst>
      </c:barChart>
      <c:catAx>
        <c:axId val="159389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8864"/>
        <c:crosses val="autoZero"/>
        <c:auto val="1"/>
        <c:lblAlgn val="ctr"/>
        <c:lblOffset val="100"/>
        <c:noMultiLvlLbl val="0"/>
      </c:catAx>
      <c:valAx>
        <c:axId val="159389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38972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586</xdr:row>
      <xdr:rowOff>102960</xdr:rowOff>
    </xdr:from>
    <xdr:to>
      <xdr:col>11</xdr:col>
      <xdr:colOff>279360</xdr:colOff>
      <xdr:row>616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166</xdr:row>
      <xdr:rowOff>27711</xdr:rowOff>
    </xdr:from>
    <xdr:to>
      <xdr:col>41</xdr:col>
      <xdr:colOff>533400</xdr:colOff>
      <xdr:row>271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302</xdr:row>
      <xdr:rowOff>0</xdr:rowOff>
    </xdr:from>
    <xdr:to>
      <xdr:col>82</xdr:col>
      <xdr:colOff>0</xdr:colOff>
      <xdr:row>378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621</xdr:row>
      <xdr:rowOff>0</xdr:rowOff>
    </xdr:from>
    <xdr:to>
      <xdr:col>13</xdr:col>
      <xdr:colOff>354240</xdr:colOff>
      <xdr:row>651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401</xdr:row>
      <xdr:rowOff>0</xdr:rowOff>
    </xdr:from>
    <xdr:to>
      <xdr:col>83</xdr:col>
      <xdr:colOff>533400</xdr:colOff>
      <xdr:row>500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49</xdr:row>
      <xdr:rowOff>76321</xdr:rowOff>
    </xdr:from>
    <xdr:to>
      <xdr:col>44</xdr:col>
      <xdr:colOff>533400</xdr:colOff>
      <xdr:row>148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81"/>
  <sheetViews>
    <sheetView topLeftCell="W158" zoomScaleNormal="100" workbookViewId="0">
      <selection activeCell="Y158" sqref="Y158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L163/G163</f>
        <v>3581474.6721000345</v>
      </c>
      <c r="T1" s="3" t="s">
        <v>15</v>
      </c>
      <c r="U1" s="3">
        <f>M163/K163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K163/K62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2" si="21">F130*G130</f>
        <v>134799608200</v>
      </c>
      <c r="M130" s="12">
        <f t="shared" ref="M130:M16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hidden="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hidden="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hidden="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hidden="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hidden="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hidden="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73" customFormat="1" ht="21" customHeight="1">
      <c r="A162" s="104"/>
      <c r="B162" s="105" t="s">
        <v>433</v>
      </c>
      <c r="C162" s="106">
        <v>6</v>
      </c>
      <c r="D162" s="107">
        <v>26707</v>
      </c>
      <c r="E162" s="106">
        <v>26701</v>
      </c>
      <c r="F162" s="106">
        <v>26689</v>
      </c>
      <c r="G162" s="106">
        <v>8231300</v>
      </c>
      <c r="H162" s="106">
        <v>31200</v>
      </c>
      <c r="I162" s="106">
        <v>30913</v>
      </c>
      <c r="J162" s="73">
        <v>30962</v>
      </c>
      <c r="K162" s="106">
        <v>837100</v>
      </c>
      <c r="L162" s="106">
        <f t="shared" si="21"/>
        <v>219685165700</v>
      </c>
      <c r="M162" s="106">
        <f t="shared" si="22"/>
        <v>25918290200</v>
      </c>
      <c r="N162" s="73">
        <v>26968</v>
      </c>
      <c r="O162" s="73">
        <v>31222</v>
      </c>
      <c r="P162" s="73">
        <v>26974</v>
      </c>
      <c r="Q162" s="73">
        <v>31512</v>
      </c>
      <c r="R162" s="106"/>
      <c r="S162" s="106"/>
      <c r="T162" s="106"/>
      <c r="U162" s="106"/>
      <c r="V162" s="73">
        <v>27680</v>
      </c>
      <c r="X162" s="73">
        <v>27630</v>
      </c>
      <c r="Y162" s="73">
        <v>32114</v>
      </c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7"/>
      <c r="AT162" s="107"/>
      <c r="AU162" s="107"/>
      <c r="AV162" s="107"/>
      <c r="AW162" s="107"/>
      <c r="AX162" s="107"/>
      <c r="AY162" s="106"/>
      <c r="AZ162" s="106"/>
      <c r="BA162" s="106"/>
      <c r="BB162" s="106"/>
      <c r="BC162" s="106"/>
      <c r="BE162" s="108"/>
      <c r="BF162" s="108"/>
      <c r="BG162" s="108"/>
      <c r="BH162" s="108"/>
    </row>
    <row r="163" spans="1:62" ht="18">
      <c r="A163" s="7"/>
      <c r="B163" s="8"/>
      <c r="C163" s="8"/>
      <c r="D163" s="26"/>
      <c r="E163" s="8"/>
      <c r="F163" s="8"/>
      <c r="G163" s="8">
        <f>SUM(G2:G149)/148</f>
        <v>6179374.9932432435</v>
      </c>
      <c r="H163" s="8"/>
      <c r="I163" s="8"/>
      <c r="J163" s="8"/>
      <c r="K163" s="8">
        <f>SUM(K2:K126)</f>
        <v>125564600</v>
      </c>
      <c r="L163" s="8">
        <f>SUM(L2:L147)</f>
        <v>22131275027709</v>
      </c>
      <c r="M163" s="9">
        <f>SUM(M2:M147)</f>
        <v>4038177022200</v>
      </c>
      <c r="N163" s="9"/>
      <c r="O163" s="9"/>
      <c r="P163" s="9"/>
      <c r="Q163" s="9"/>
      <c r="R163" s="9"/>
      <c r="S163" s="9"/>
      <c r="T163" s="9"/>
      <c r="U163" s="9"/>
      <c r="V163" s="59">
        <v>27670</v>
      </c>
      <c r="W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Y163" s="9"/>
      <c r="AZ163" s="9"/>
      <c r="BA163" s="9"/>
      <c r="BB163" s="9"/>
      <c r="BC163" s="9"/>
      <c r="BD163" s="9"/>
      <c r="BE163" s="10"/>
      <c r="BF163" s="10"/>
      <c r="BG163" s="10"/>
      <c r="BH163" s="10"/>
      <c r="BI163" t="e">
        <f>#REF!-N163</f>
        <v>#REF!</v>
      </c>
      <c r="BJ163" t="e">
        <f>(Y163-O163)/O163</f>
        <v>#DIV/0!</v>
      </c>
    </row>
    <row r="164" spans="1:62" ht="18">
      <c r="D164" s="26"/>
      <c r="V164" s="74">
        <v>27630</v>
      </c>
      <c r="Z164" s="25"/>
      <c r="AB164" s="25"/>
      <c r="AS164" s="25"/>
      <c r="AW164" s="30"/>
    </row>
    <row r="165" spans="1:62" ht="18">
      <c r="D165" s="26"/>
      <c r="Z165" s="25"/>
      <c r="AS165" s="26"/>
      <c r="AW165" s="30"/>
      <c r="AY165">
        <f>AY51-AY50</f>
        <v>35000</v>
      </c>
    </row>
    <row r="166" spans="1:62" ht="18">
      <c r="Z166" s="25"/>
      <c r="AS166" s="26">
        <v>10290000</v>
      </c>
      <c r="AW166" s="30"/>
      <c r="BB166">
        <f>AY60-AY59</f>
        <v>70000</v>
      </c>
    </row>
    <row r="167" spans="1:62" ht="18">
      <c r="F167">
        <f>(G163-G149)/G163</f>
        <v>4.0113279015155934E-2</v>
      </c>
      <c r="G167">
        <f>(G148-G163)/G163</f>
        <v>0.34049155603234549</v>
      </c>
      <c r="T167">
        <f>V137-X140</f>
        <v>-620</v>
      </c>
      <c r="V167" s="25"/>
      <c r="Z167" s="25"/>
      <c r="AS167" s="26"/>
      <c r="AU167">
        <f>AS166-AS49</f>
        <v>195000</v>
      </c>
      <c r="AW167" s="30">
        <f>AC52-AY51</f>
        <v>305000</v>
      </c>
    </row>
    <row r="168" spans="1:62" ht="18">
      <c r="V168" s="25"/>
      <c r="Z168" s="25"/>
      <c r="AW168" s="30"/>
    </row>
    <row r="169" spans="1:62" ht="17.25" customHeight="1">
      <c r="V169" s="25"/>
      <c r="Z169" s="25"/>
    </row>
    <row r="170" spans="1:62" ht="18">
      <c r="V170" s="25"/>
      <c r="Z170" s="25"/>
      <c r="AW170">
        <f>AW167/AY51</f>
        <v>2.9539951573849879E-2</v>
      </c>
    </row>
    <row r="171" spans="1:62" ht="18">
      <c r="V171" s="25"/>
    </row>
    <row r="172" spans="1:62" ht="18">
      <c r="V172" s="25"/>
    </row>
    <row r="176" spans="1:62" ht="18">
      <c r="G176" s="9">
        <v>8861800</v>
      </c>
    </row>
    <row r="177" spans="7:7" ht="18">
      <c r="G177" s="9">
        <v>8230700</v>
      </c>
    </row>
    <row r="178" spans="7:7" ht="18">
      <c r="G178" s="9">
        <v>8995300</v>
      </c>
    </row>
    <row r="179" spans="7:7" ht="18">
      <c r="G179" s="9">
        <v>10062100</v>
      </c>
    </row>
    <row r="180" spans="7:7" ht="18">
      <c r="G180" s="9">
        <v>8462400</v>
      </c>
    </row>
    <row r="181" spans="7:7">
      <c r="G181">
        <f>SUM(G176:G180)</f>
        <v>44612300</v>
      </c>
    </row>
  </sheetData>
  <autoFilter ref="A1:BL167" xr:uid="{00000000-0009-0000-00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tabSelected="1" topLeftCell="A140" zoomScale="10" zoomScaleNormal="10" workbookViewId="0">
      <selection activeCell="BM244" sqref="BM244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>
      <c r="B32">
        <f>(B2-B8)/B2</f>
        <v>0.15346494762288476</v>
      </c>
      <c r="C32">
        <f>(C2-C8)/C2</f>
        <v>0.1154959674639829</v>
      </c>
      <c r="D32">
        <f>SUM(D2:D16)/15</f>
        <v>29639479.933333334</v>
      </c>
    </row>
    <row r="36" spans="3:7">
      <c r="D36">
        <v>5375132</v>
      </c>
      <c r="E36">
        <f>(E17-D36)/D36</f>
        <v>4.5958809321644006E-2</v>
      </c>
      <c r="G36">
        <f t="shared" ref="G36:G44" si="0">B3-B2</f>
        <v>-554</v>
      </c>
    </row>
    <row r="37" spans="3:7">
      <c r="G37">
        <f t="shared" si="0"/>
        <v>-302</v>
      </c>
    </row>
    <row r="38" spans="3:7">
      <c r="C38">
        <f>(D36-E16)/E16</f>
        <v>0.17110375179746395</v>
      </c>
      <c r="G38">
        <f t="shared" si="0"/>
        <v>-511</v>
      </c>
    </row>
    <row r="39" spans="3:7">
      <c r="G39">
        <f t="shared" si="0"/>
        <v>-362</v>
      </c>
    </row>
    <row r="40" spans="3:7">
      <c r="G40">
        <f t="shared" si="0"/>
        <v>-1699</v>
      </c>
    </row>
    <row r="41" spans="3:7">
      <c r="G41">
        <f t="shared" si="0"/>
        <v>-381</v>
      </c>
    </row>
    <row r="42" spans="3:7">
      <c r="G42">
        <f t="shared" si="0"/>
        <v>1075</v>
      </c>
    </row>
    <row r="43" spans="3:7">
      <c r="G43">
        <f t="shared" si="0"/>
        <v>151</v>
      </c>
    </row>
    <row r="44" spans="3:7">
      <c r="G44">
        <f t="shared" si="0"/>
        <v>1043</v>
      </c>
    </row>
  </sheetData>
  <autoFilter ref="A1:K44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70"/>
  <sheetViews>
    <sheetView topLeftCell="A1144" zoomScale="85" zoomScaleNormal="85" workbookViewId="0">
      <selection activeCell="E1169" sqref="E1169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09" t="s">
        <v>423</v>
      </c>
      <c r="B1098" s="109"/>
      <c r="C1098" s="109"/>
      <c r="D1098" s="109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09" t="s">
        <v>426</v>
      </c>
      <c r="B1110" s="109"/>
      <c r="C1110" s="109"/>
      <c r="D1110" s="109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09" t="s">
        <v>428</v>
      </c>
      <c r="B1123" s="109"/>
      <c r="C1123" s="109"/>
      <c r="D1123" s="109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09" t="s">
        <v>430</v>
      </c>
      <c r="B1136" s="109"/>
      <c r="C1136" s="109"/>
      <c r="D1136" s="109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09" t="s">
        <v>432</v>
      </c>
      <c r="B1149" s="109"/>
      <c r="C1149" s="109"/>
      <c r="D1149" s="109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09" t="s">
        <v>434</v>
      </c>
      <c r="B1162" s="109"/>
      <c r="C1162" s="109"/>
      <c r="D1162" s="109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</sheetData>
  <mergeCells count="105">
    <mergeCell ref="A93:D93"/>
    <mergeCell ref="A103:D103"/>
    <mergeCell ref="A113:D113"/>
    <mergeCell ref="A123:D123"/>
    <mergeCell ref="A133:D133"/>
    <mergeCell ref="A143:D14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24:D324"/>
    <mergeCell ref="A335:D335"/>
    <mergeCell ref="A346:D346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445:D445"/>
    <mergeCell ref="A456:D456"/>
    <mergeCell ref="A357:D357"/>
    <mergeCell ref="A368:D368"/>
    <mergeCell ref="A379:D379"/>
    <mergeCell ref="A390:D390"/>
    <mergeCell ref="A401:D401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987:D987"/>
    <mergeCell ref="A1012:D1012"/>
    <mergeCell ref="A961:D961"/>
    <mergeCell ref="A925:D925"/>
    <mergeCell ref="A937:D937"/>
    <mergeCell ref="A949:D949"/>
    <mergeCell ref="A974:D974"/>
    <mergeCell ref="A1098:D1098"/>
    <mergeCell ref="A1085:D1085"/>
    <mergeCell ref="A1073:D1073"/>
    <mergeCell ref="A1061:D1061"/>
    <mergeCell ref="A1162:D1162"/>
    <mergeCell ref="A1149:D1149"/>
    <mergeCell ref="A1136:D1136"/>
    <mergeCell ref="A1123:D1123"/>
    <mergeCell ref="A1110:D1110"/>
    <mergeCell ref="A1049:D1049"/>
    <mergeCell ref="A1037:D1037"/>
    <mergeCell ref="A1025:D1025"/>
    <mergeCell ref="A1000:D100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B1" zoomScale="70" zoomScaleNormal="70" workbookViewId="0">
      <selection activeCell="E21" sqref="E21"/>
    </sheetView>
  </sheetViews>
  <sheetFormatPr defaultColWidth="8.5546875" defaultRowHeight="14.4"/>
  <cols>
    <col min="1" max="1" width="23.6640625" style="89" customWidth="1"/>
    <col min="2" max="2" width="22.109375" style="89" customWidth="1"/>
    <col min="3" max="3" width="22.5546875" style="89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10" t="s">
        <v>373</v>
      </c>
      <c r="B1" s="110"/>
      <c r="C1" s="110"/>
    </row>
    <row r="2" spans="1:6" ht="24.9" customHeight="1">
      <c r="A2" s="90"/>
      <c r="B2" s="90" t="s">
        <v>374</v>
      </c>
      <c r="C2" s="90" t="s">
        <v>375</v>
      </c>
    </row>
    <row r="3" spans="1:6" ht="24.9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97"/>
  <sheetViews>
    <sheetView zoomScale="85" zoomScaleNormal="85" workbookViewId="0">
      <selection activeCell="M85" sqref="M85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9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  <c r="J97">
        <v>0.87</v>
      </c>
      <c r="K97">
        <v>0.55000000000000004</v>
      </c>
      <c r="L97">
        <v>0</v>
      </c>
      <c r="M97">
        <v>0.68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2021-10-28T14:52:23Z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