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1" activeTab="4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6" i="4" l="1"/>
  <c r="G76" i="4"/>
  <c r="F76" i="4"/>
  <c r="H141" i="1"/>
  <c r="G138" i="1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21" i="5"/>
  <c r="B12" i="5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G141" i="1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2" i="1"/>
  <c r="AW145" i="1" s="1"/>
  <c r="AU142" i="1"/>
  <c r="BB141" i="1"/>
  <c r="AY140" i="1"/>
  <c r="BJ138" i="1"/>
  <c r="BI138" i="1"/>
  <c r="K138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8" i="1" l="1"/>
  <c r="S1" i="1" s="1"/>
  <c r="M138" i="1"/>
  <c r="U1" i="1" s="1"/>
</calcChain>
</file>

<file path=xl/sharedStrings.xml><?xml version="1.0" encoding="utf-8"?>
<sst xmlns="http://schemas.openxmlformats.org/spreadsheetml/2006/main" count="1126" uniqueCount="379">
  <si>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</si>
  <si>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</si>
  <si>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</si>
  <si>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</si>
  <si>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</si>
  <si>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</si>
  <si>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</si>
  <si>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</si>
  <si>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</si>
  <si>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</si>
  <si>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</si>
  <si>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</si>
  <si>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</si>
  <si>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</si>
  <si>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</si>
  <si>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</si>
  <si>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</si>
  <si>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</si>
  <si>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</si>
  <si>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</si>
  <si>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</si>
  <si>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</si>
  <si>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</si>
  <si>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</si>
  <si>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</si>
  <si>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</si>
  <si>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</si>
  <si>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</si>
  <si>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</si>
  <si>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</si>
  <si>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</si>
  <si>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</si>
  <si>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</si>
  <si>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</si>
  <si>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</si>
  <si>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</si>
  <si>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</si>
  <si>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</si>
  <si>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</si>
  <si>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</si>
  <si>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</si>
  <si>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</si>
  <si>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</si>
  <si>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</si>
  <si>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</si>
  <si>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</si>
  <si>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</si>
  <si>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</si>
  <si>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</si>
  <si>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</si>
  <si>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</si>
  <si>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</si>
  <si>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</si>
  <si>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</si>
  <si>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</si>
  <si>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</si>
  <si>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</si>
  <si>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</si>
  <si>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</si>
  <si>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</si>
  <si>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</si>
  <si>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</si>
  <si>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</si>
  <si>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</si>
  <si>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</si>
  <si>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</si>
  <si>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</si>
  <si>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</si>
  <si>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</si>
  <si>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</si>
  <si>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</si>
  <si>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</si>
  <si>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</si>
  <si>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</si>
  <si>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</si>
  <si>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</si>
  <si>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</si>
  <si>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</si>
  <si>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</si>
  <si>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</si>
  <si>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</si>
  <si>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</si>
  <si>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</si>
  <si>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</si>
  <si>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</si>
  <si>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</si>
  <si>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</si>
  <si>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</si>
  <si>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</si>
  <si>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</si>
  <si>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</si>
  <si>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</si>
  <si>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</si>
  <si>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</si>
  <si>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</si>
  <si>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</si>
  <si>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</si>
  <si>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</si>
  <si>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</si>
  <si>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</si>
  <si>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</si>
  <si>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</si>
  <si>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</si>
  <si>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</si>
  <si>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</si>
  <si>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</si>
  <si>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</si>
  <si>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</si>
  <si>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</si>
  <si>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</si>
  <si>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</si>
  <si>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</si>
  <si>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</si>
  <si>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</si>
  <si>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</si>
  <si>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</si>
  <si>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</si>
  <si>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</si>
  <si>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</si>
  <si>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</si>
  <si>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</si>
  <si>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</si>
  <si>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</si>
  <si>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</si>
  <si>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</si>
  <si>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</si>
  <si>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</si>
  <si>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</si>
  <si>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</si>
  <si>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</si>
  <si>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</si>
  <si>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</si>
  <si>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</si>
  <si>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</si>
  <si>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</si>
  <si>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</si>
  <si>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</si>
  <si>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</si>
  <si>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</si>
  <si>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</si>
  <si>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</si>
  <si>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</si>
  <si>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</si>
  <si>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</si>
  <si>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</si>
  <si>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</si>
  <si>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</si>
  <si>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</si>
  <si>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</si>
  <si>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</si>
  <si>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</si>
  <si>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</si>
  <si>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</si>
  <si>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</si>
  <si>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</si>
  <si>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</si>
  <si>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</si>
  <si>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</si>
  <si>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</si>
  <si>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</si>
  <si>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</si>
  <si>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</si>
  <si>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</si>
  <si>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</si>
  <si>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</si>
  <si>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</si>
  <si>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</si>
  <si>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</si>
  <si>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</si>
  <si>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</si>
  <si>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</si>
  <si>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</si>
  <si>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</si>
  <si>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</si>
  <si>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</si>
  <si>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</si>
  <si>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</si>
  <si>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</si>
  <si>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</si>
  <si>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</si>
  <si>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</si>
  <si>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</si>
  <si>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</si>
  <si>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</si>
  <si>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</si>
  <si>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</si>
  <si>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</si>
  <si>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</si>
  <si>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</si>
  <si>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</si>
  <si>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</si>
  <si>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</si>
  <si>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</si>
  <si>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</si>
  <si>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</si>
  <si>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</si>
  <si>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</si>
  <si>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</si>
  <si>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</si>
  <si>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</si>
  <si>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</si>
  <si>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</si>
  <si>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</si>
  <si>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</si>
  <si>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</si>
  <si>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</si>
  <si>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</si>
  <si>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</si>
  <si>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</si>
  <si>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</si>
  <si>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</si>
  <si>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</si>
  <si>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</si>
  <si>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</si>
  <si>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</si>
  <si>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</si>
  <si>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</si>
  <si>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</si>
  <si>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</si>
  <si>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</si>
  <si>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</si>
  <si>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</si>
  <si>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</si>
  <si>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</si>
  <si>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</si>
  <si>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</si>
  <si>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</si>
  <si>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</si>
  <si>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</si>
  <si>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</si>
  <si>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</si>
  <si>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</si>
  <si>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</si>
  <si>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</si>
  <si>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</si>
  <si>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</si>
  <si>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</si>
  <si>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</si>
  <si>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</si>
  <si>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</si>
  <si>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</si>
  <si>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</si>
  <si>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</si>
  <si>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</si>
  <si>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</si>
  <si>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</si>
  <si>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</si>
  <si>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</si>
  <si>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</si>
  <si>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</si>
  <si>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</si>
  <si>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</si>
  <si>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</si>
  <si>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</si>
  <si>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</si>
  <si>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</si>
  <si>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</si>
  <si>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</si>
  <si>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</si>
  <si>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</si>
  <si>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</si>
  <si>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</si>
  <si>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</si>
  <si>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</si>
  <si>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</si>
  <si>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</si>
  <si>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</si>
  <si>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</si>
  <si>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</si>
  <si>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</si>
  <si>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</si>
  <si>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</si>
  <si>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</si>
  <si>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</si>
  <si>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</si>
  <si>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</si>
  <si>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</si>
  <si>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</si>
  <si>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</si>
  <si>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</si>
  <si>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</si>
  <si>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</si>
  <si>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</si>
  <si>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</si>
  <si>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</si>
  <si>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</si>
  <si>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</si>
  <si>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</si>
  <si>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</si>
  <si>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</si>
  <si>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</si>
  <si>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</si>
  <si>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</si>
  <si>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</si>
  <si>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</si>
  <si>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</si>
  <si>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</si>
  <si>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</si>
  <si>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</si>
  <si>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</si>
  <si>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</si>
  <si>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</si>
  <si>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</si>
  <si>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</si>
  <si>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</si>
  <si>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</si>
  <si>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</si>
  <si>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</si>
  <si>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</si>
  <si>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</si>
  <si>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</si>
  <si>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</si>
  <si>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</si>
  <si>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</si>
  <si>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</si>
  <si>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</si>
  <si>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</si>
  <si>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</si>
  <si>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</si>
  <si>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</si>
  <si>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</si>
  <si>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</si>
  <si>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</si>
  <si>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</si>
  <si>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</si>
  <si>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</si>
  <si>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</si>
  <si>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</si>
  <si>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</si>
  <si>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</si>
  <si>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</si>
  <si>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</si>
  <si>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</si>
  <si>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</si>
  <si>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</si>
  <si>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</si>
  <si>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</si>
  <si>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</si>
  <si>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</si>
  <si>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</si>
  <si>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</si>
  <si>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</si>
  <si>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</si>
  <si>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</si>
  <si>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</si>
  <si>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</si>
  <si>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</si>
  <si>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</si>
  <si>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</si>
  <si>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</si>
  <si>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</si>
  <si>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</si>
  <si>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</si>
  <si>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</si>
  <si>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</si>
  <si>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</si>
  <si>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</si>
  <si>
    <t>02مهر1400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</si>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</sst>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28890880"/>
        <c:axId val="-528900672"/>
      </c:lineChart>
      <c:catAx>
        <c:axId val="-52889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900672"/>
        <c:crosses val="autoZero"/>
        <c:auto val="1"/>
        <c:lblAlgn val="ctr"/>
        <c:lblOffset val="100"/>
        <c:noMultiLvlLbl val="0"/>
      </c:catAx>
      <c:valAx>
        <c:axId val="-528900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088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E639-41DE-AF10-B9EA1EF96DD5}"/>
                </c:ext>
                <c:ext xmlns:c15="http://schemas.microsoft.com/office/drawing/2012/chart" uri="{CE6537A1-D6FC-4f65-9D91-7224C49458BB}"/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28892512"/>
        <c:axId val="-528885984"/>
      </c:lineChart>
      <c:catAx>
        <c:axId val="-52889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528885984"/>
        <c:crosses val="autoZero"/>
        <c:auto val="1"/>
        <c:lblAlgn val="ctr"/>
        <c:lblOffset val="100"/>
        <c:noMultiLvlLbl val="0"/>
      </c:catAx>
      <c:valAx>
        <c:axId val="-528885984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251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28900128"/>
        <c:axId val="-528893600"/>
      </c:lineChart>
      <c:catAx>
        <c:axId val="-52890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3600"/>
        <c:crosses val="autoZero"/>
        <c:auto val="1"/>
        <c:lblAlgn val="ctr"/>
        <c:lblOffset val="100"/>
        <c:noMultiLvlLbl val="0"/>
      </c:catAx>
      <c:valAx>
        <c:axId val="-528893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90012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28887616"/>
        <c:axId val="-528890336"/>
      </c:lineChart>
      <c:catAx>
        <c:axId val="-52888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0336"/>
        <c:crosses val="autoZero"/>
        <c:auto val="1"/>
        <c:lblAlgn val="ctr"/>
        <c:lblOffset val="100"/>
        <c:noMultiLvlLbl val="0"/>
      </c:catAx>
      <c:valAx>
        <c:axId val="-5288903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876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28893056"/>
        <c:axId val="-528899584"/>
      </c:lineChart>
      <c:catAx>
        <c:axId val="-52889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9584"/>
        <c:crosses val="autoZero"/>
        <c:auto val="1"/>
        <c:lblAlgn val="ctr"/>
        <c:lblOffset val="100"/>
        <c:noMultiLvlLbl val="0"/>
      </c:catAx>
      <c:valAx>
        <c:axId val="-528899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305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28899040"/>
        <c:axId val="-528889792"/>
      </c:barChart>
      <c:catAx>
        <c:axId val="-5288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28889792"/>
        <c:crosses val="autoZero"/>
        <c:auto val="1"/>
        <c:lblAlgn val="ctr"/>
        <c:lblOffset val="100"/>
        <c:noMultiLvlLbl val="0"/>
      </c:catAx>
      <c:valAx>
        <c:axId val="-52888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28899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بازارها(شنبه نسبت به چهارشنبه هفته گذشته)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6"/>
          <c:order val="6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change'!$F$76:$I$76</c:f>
              <c:numCache>
                <c:formatCode>General</c:formatCode>
                <c:ptCount val="4"/>
                <c:pt idx="0">
                  <c:v>7.2674418604651167E-2</c:v>
                </c:pt>
                <c:pt idx="1">
                  <c:v>0.17050298380221654</c:v>
                </c:pt>
                <c:pt idx="2">
                  <c:v>-0.78242107357834245</c:v>
                </c:pt>
                <c:pt idx="3">
                  <c:v>2.57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28891424"/>
        <c:axId val="-5288968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</c:ext>
        </c:extLst>
      </c:barChart>
      <c:catAx>
        <c:axId val="-528891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a-IR"/>
                  <a:t>توضیحات:</a:t>
                </a:r>
                <a:r>
                  <a:rPr lang="fa-IR" baseline="0"/>
                  <a:t> بازدهی سکه و طلای 18 عیار بر اساس نرخ‌های اتحادیه است</a:t>
                </a:r>
                <a:endParaRPr lang="en-US"/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6864"/>
        <c:crosses val="autoZero"/>
        <c:auto val="1"/>
        <c:lblAlgn val="ctr"/>
        <c:lblOffset val="100"/>
        <c:noMultiLvlLbl val="0"/>
      </c:catAx>
      <c:valAx>
        <c:axId val="-528896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889142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571350</xdr:colOff>
      <xdr:row>0</xdr:row>
      <xdr:rowOff>114389</xdr:rowOff>
    </xdr:from>
    <xdr:to>
      <xdr:col>10</xdr:col>
      <xdr:colOff>37650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7"/>
  <sheetViews>
    <sheetView topLeftCell="B124" zoomScaleNormal="100" workbookViewId="0">
      <selection activeCell="B137" sqref="B137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L138/G138</f>
        <v>3120489.6507603866</v>
      </c>
      <c r="T1" s="4" t="s">
        <v>15</v>
      </c>
      <c r="U1" s="4">
        <f>M138/K138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K138/K62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7" si="19">F98*G98</f>
        <v>92308365600</v>
      </c>
      <c r="M98" s="13">
        <f t="shared" ref="M98:M137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354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86" customFormat="1" ht="21" customHeight="1">
      <c r="A137" s="83"/>
      <c r="B137" s="94" t="s">
        <v>357</v>
      </c>
      <c r="C137" s="84">
        <v>3</v>
      </c>
      <c r="D137" s="85">
        <v>26530</v>
      </c>
      <c r="E137" s="84">
        <v>26568</v>
      </c>
      <c r="F137" s="84">
        <v>26572</v>
      </c>
      <c r="G137" s="84">
        <v>9541500</v>
      </c>
      <c r="H137" s="84">
        <v>31168</v>
      </c>
      <c r="I137" s="84">
        <v>31185</v>
      </c>
      <c r="J137" s="84">
        <v>31146</v>
      </c>
      <c r="K137" s="84">
        <v>1141700</v>
      </c>
      <c r="L137" s="84">
        <f t="shared" si="19"/>
        <v>253536738000</v>
      </c>
      <c r="M137" s="84">
        <f t="shared" si="20"/>
        <v>35559388200</v>
      </c>
      <c r="N137" s="86">
        <v>26834</v>
      </c>
      <c r="O137" s="86">
        <v>31497</v>
      </c>
      <c r="P137" s="86">
        <v>26796</v>
      </c>
      <c r="Q137" s="86">
        <v>31480</v>
      </c>
      <c r="R137" s="84"/>
      <c r="S137" s="84"/>
      <c r="T137" s="84"/>
      <c r="U137" s="84"/>
      <c r="V137" s="86">
        <v>27680</v>
      </c>
      <c r="X137" s="86">
        <v>27540</v>
      </c>
      <c r="Y137" s="86">
        <v>32349</v>
      </c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  <c r="AN137" s="84"/>
      <c r="AO137" s="84"/>
      <c r="AP137" s="84"/>
      <c r="AQ137" s="84"/>
      <c r="AR137" s="84"/>
      <c r="AS137" s="85"/>
      <c r="AT137" s="85"/>
      <c r="AU137" s="85"/>
      <c r="AV137" s="85"/>
      <c r="AW137" s="85"/>
      <c r="AX137" s="85"/>
      <c r="AY137" s="84"/>
      <c r="AZ137" s="84"/>
      <c r="BA137" s="84"/>
      <c r="BB137" s="84"/>
      <c r="BC137" s="84"/>
      <c r="BE137" s="87"/>
      <c r="BF137" s="87"/>
      <c r="BG137" s="87"/>
      <c r="BH137" s="87"/>
    </row>
    <row r="138" spans="1:62" ht="18">
      <c r="A138" s="8"/>
      <c r="B138" s="9"/>
      <c r="C138" s="9"/>
      <c r="D138" s="27"/>
      <c r="E138" s="9"/>
      <c r="F138" s="9"/>
      <c r="G138" s="9">
        <f>SUM(G2:G137)/136</f>
        <v>6091218.375</v>
      </c>
      <c r="H138" s="9"/>
      <c r="I138" s="9"/>
      <c r="J138" s="9"/>
      <c r="K138" s="9">
        <f>SUM(K2:K126)</f>
        <v>125564600</v>
      </c>
      <c r="L138" s="9">
        <f>SUM(L2:L132)</f>
        <v>19007583899709</v>
      </c>
      <c r="M138" s="10">
        <f>SUM(M2:M132)</f>
        <v>3712564725600</v>
      </c>
      <c r="N138" s="10"/>
      <c r="O138" s="10"/>
      <c r="P138" s="10"/>
      <c r="Q138" s="10"/>
      <c r="R138" s="10"/>
      <c r="S138" s="10"/>
      <c r="T138" s="10"/>
      <c r="U138" s="10"/>
      <c r="V138" s="60">
        <v>27670</v>
      </c>
      <c r="W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Y138" s="10"/>
      <c r="AZ138" s="10"/>
      <c r="BA138" s="10"/>
      <c r="BB138" s="10"/>
      <c r="BC138" s="10"/>
      <c r="BD138" s="10"/>
      <c r="BE138" s="11"/>
      <c r="BF138" s="11"/>
      <c r="BG138" s="11"/>
      <c r="BH138" s="11"/>
      <c r="BI138" t="e">
        <f>#REF!-N138</f>
        <v>#REF!</v>
      </c>
      <c r="BJ138" t="e">
        <f>(Y138-O138)/O138</f>
        <v>#DIV/0!</v>
      </c>
    </row>
    <row r="139" spans="1:62" ht="18">
      <c r="D139" s="27"/>
      <c r="V139" s="66">
        <v>27540</v>
      </c>
      <c r="Z139" s="26"/>
      <c r="AB139" s="26"/>
      <c r="AS139" s="26"/>
      <c r="AW139" s="31"/>
    </row>
    <row r="140" spans="1:62" ht="18">
      <c r="D140" s="27"/>
      <c r="Z140" s="26"/>
      <c r="AS140" s="27"/>
      <c r="AW140" s="31"/>
      <c r="AY140">
        <f>AY51-AY50</f>
        <v>35000</v>
      </c>
    </row>
    <row r="141" spans="1:62" ht="18">
      <c r="G141">
        <f>(G134-G138)/G138</f>
        <v>0.65190268687420028</v>
      </c>
      <c r="H141">
        <f>(G137-G138)/G138</f>
        <v>0.56643538494053747</v>
      </c>
      <c r="Z141" s="26"/>
      <c r="AS141" s="27">
        <v>10290000</v>
      </c>
      <c r="AW141" s="31"/>
      <c r="BB141">
        <f>AY60-AY59</f>
        <v>70000</v>
      </c>
    </row>
    <row r="142" spans="1:62" ht="18">
      <c r="V142" s="26"/>
      <c r="Z142" s="26"/>
      <c r="AS142" s="27"/>
      <c r="AU142">
        <f>AS141-AS49</f>
        <v>195000</v>
      </c>
      <c r="AW142" s="31">
        <f>AC52-AY51</f>
        <v>305000</v>
      </c>
    </row>
    <row r="143" spans="1:62" ht="18">
      <c r="V143" s="26"/>
      <c r="Z143" s="26"/>
      <c r="AW143" s="31"/>
    </row>
    <row r="144" spans="1:62" ht="17.25" customHeight="1">
      <c r="V144" s="26"/>
      <c r="Z144" s="26"/>
    </row>
    <row r="145" spans="22:49" ht="18">
      <c r="V145" s="26"/>
      <c r="Z145" s="26"/>
      <c r="AW145">
        <f>AW142/AY51</f>
        <v>2.9539951573849879E-2</v>
      </c>
    </row>
    <row r="146" spans="22:49" ht="18">
      <c r="V146" s="26"/>
    </row>
    <row r="147" spans="22:49" ht="18">
      <c r="V147" s="26"/>
    </row>
  </sheetData>
  <autoFilter ref="A1:BL14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289" zoomScale="25" zoomScaleNormal="25" workbookViewId="0">
      <selection activeCell="BA310" sqref="BA31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61"/>
  <sheetViews>
    <sheetView topLeftCell="A843" zoomScaleNormal="100" workbookViewId="0">
      <selection activeCell="A857" sqref="A85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4" t="s">
        <v>227</v>
      </c>
      <c r="B1" s="104"/>
      <c r="C1" s="104"/>
      <c r="D1" s="104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04" t="s">
        <v>237</v>
      </c>
      <c r="B11" s="104"/>
      <c r="C11" s="104"/>
      <c r="D11" s="104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04" t="s">
        <v>239</v>
      </c>
      <c r="B21" s="104"/>
      <c r="C21" s="104"/>
      <c r="D21" s="104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04" t="s">
        <v>240</v>
      </c>
      <c r="B31" s="104"/>
      <c r="C31" s="104"/>
      <c r="D31" s="104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04" t="s">
        <v>241</v>
      </c>
      <c r="B41" s="104"/>
      <c r="C41" s="104"/>
      <c r="D41" s="104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04" t="s">
        <v>243</v>
      </c>
      <c r="B51" s="104"/>
      <c r="C51" s="104"/>
      <c r="D51" s="104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04" t="s">
        <v>244</v>
      </c>
      <c r="B61" s="104"/>
      <c r="C61" s="104"/>
      <c r="D61" s="104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04" t="s">
        <v>245</v>
      </c>
      <c r="B71" s="104"/>
      <c r="C71" s="104"/>
      <c r="D71" s="104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04" t="s">
        <v>246</v>
      </c>
      <c r="B81" s="104"/>
      <c r="C81" s="104"/>
      <c r="D81" s="104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04" t="s">
        <v>250</v>
      </c>
      <c r="B93" s="104"/>
      <c r="C93" s="104"/>
      <c r="D93" s="104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04" t="s">
        <v>251</v>
      </c>
      <c r="B103" s="104"/>
      <c r="C103" s="104"/>
      <c r="D103" s="104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04" t="s">
        <v>253</v>
      </c>
      <c r="B113" s="104"/>
      <c r="C113" s="104"/>
      <c r="D113" s="104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04" t="s">
        <v>254</v>
      </c>
      <c r="B123" s="104"/>
      <c r="C123" s="104"/>
      <c r="D123" s="104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04" t="s">
        <v>255</v>
      </c>
      <c r="B133" s="104"/>
      <c r="C133" s="104"/>
      <c r="D133" s="104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04" t="s">
        <v>256</v>
      </c>
      <c r="B143" s="104"/>
      <c r="C143" s="104"/>
      <c r="D143" s="104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04" t="s">
        <v>258</v>
      </c>
      <c r="B153" s="104"/>
      <c r="C153" s="104"/>
      <c r="D153" s="104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04" t="s">
        <v>259</v>
      </c>
      <c r="B163" s="104"/>
      <c r="C163" s="104"/>
      <c r="D163" s="104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04" t="s">
        <v>260</v>
      </c>
      <c r="B173" s="104"/>
      <c r="C173" s="104"/>
      <c r="D173" s="104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4" t="s">
        <v>261</v>
      </c>
      <c r="B183" s="104"/>
      <c r="C183" s="104"/>
      <c r="D183" s="104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04" t="s">
        <v>262</v>
      </c>
      <c r="B193" s="104"/>
      <c r="C193" s="104"/>
      <c r="D193" s="104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04" t="s">
        <v>263</v>
      </c>
      <c r="B203" s="104"/>
      <c r="C203" s="104"/>
      <c r="D203" s="104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04" t="s">
        <v>264</v>
      </c>
      <c r="B213" s="104"/>
      <c r="C213" s="104"/>
      <c r="D213" s="104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04" t="s">
        <v>265</v>
      </c>
      <c r="B223" s="104"/>
      <c r="C223" s="104"/>
      <c r="D223" s="104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04" t="s">
        <v>266</v>
      </c>
      <c r="B233" s="104"/>
      <c r="C233" s="104"/>
      <c r="D233" s="104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04" t="s">
        <v>267</v>
      </c>
      <c r="B243" s="104"/>
      <c r="C243" s="104"/>
      <c r="D243" s="104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04" t="s">
        <v>268</v>
      </c>
      <c r="B253" s="104"/>
      <c r="C253" s="104"/>
      <c r="D253" s="104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04" t="s">
        <v>269</v>
      </c>
      <c r="B263" s="104"/>
      <c r="C263" s="104"/>
      <c r="D263" s="104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04" t="s">
        <v>270</v>
      </c>
      <c r="B273" s="104"/>
      <c r="C273" s="104"/>
      <c r="D273" s="104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04" t="s">
        <v>271</v>
      </c>
      <c r="B283" s="104"/>
      <c r="C283" s="104"/>
      <c r="D283" s="104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04" t="s">
        <v>272</v>
      </c>
      <c r="B293" s="104"/>
      <c r="C293" s="104"/>
      <c r="D293" s="104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04" t="s">
        <v>273</v>
      </c>
      <c r="B303" s="104"/>
      <c r="C303" s="104"/>
      <c r="D303" s="104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04" t="s">
        <v>277</v>
      </c>
      <c r="B313" s="104"/>
      <c r="C313" s="104"/>
      <c r="D313" s="104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04" t="s">
        <v>281</v>
      </c>
      <c r="B324" s="104"/>
      <c r="C324" s="104"/>
      <c r="D324" s="104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04" t="s">
        <v>284</v>
      </c>
      <c r="B335" s="104"/>
      <c r="C335" s="104"/>
      <c r="D335" s="104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04" t="s">
        <v>285</v>
      </c>
      <c r="B346" s="104"/>
      <c r="C346" s="104"/>
      <c r="D346" s="104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04" t="s">
        <v>286</v>
      </c>
      <c r="B357" s="104"/>
      <c r="C357" s="104"/>
      <c r="D357" s="104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04" t="s">
        <v>287</v>
      </c>
      <c r="B368" s="104"/>
      <c r="C368" s="104"/>
      <c r="D368" s="104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04" t="s">
        <v>288</v>
      </c>
      <c r="B379" s="104"/>
      <c r="C379" s="104"/>
      <c r="D379" s="104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04" t="s">
        <v>289</v>
      </c>
      <c r="B390" s="104"/>
      <c r="C390" s="104"/>
      <c r="D390" s="104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04" t="s">
        <v>290</v>
      </c>
      <c r="B401" s="104"/>
      <c r="C401" s="104"/>
      <c r="D401" s="104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04" t="s">
        <v>291</v>
      </c>
      <c r="B412" s="104"/>
      <c r="C412" s="104"/>
      <c r="D412" s="104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04" t="s">
        <v>292</v>
      </c>
      <c r="B423" s="104"/>
      <c r="C423" s="104"/>
      <c r="D423" s="104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04" t="s">
        <v>296</v>
      </c>
      <c r="B434" s="104"/>
      <c r="C434" s="104"/>
      <c r="D434" s="104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04" t="s">
        <v>297</v>
      </c>
      <c r="B445" s="104"/>
      <c r="C445" s="104"/>
      <c r="D445" s="104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04" t="s">
        <v>298</v>
      </c>
      <c r="B456" s="104"/>
      <c r="C456" s="104"/>
      <c r="D456" s="104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04" t="s">
        <v>299</v>
      </c>
      <c r="B467" s="104"/>
      <c r="C467" s="104"/>
      <c r="D467" s="104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04" t="s">
        <v>300</v>
      </c>
      <c r="B478" s="104"/>
      <c r="C478" s="104"/>
      <c r="D478" s="104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04" t="s">
        <v>301</v>
      </c>
      <c r="B489" s="104"/>
      <c r="C489" s="104"/>
      <c r="D489" s="104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04" t="s">
        <v>304</v>
      </c>
      <c r="B500" s="104"/>
      <c r="C500" s="104"/>
      <c r="D500" s="104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04" t="s">
        <v>305</v>
      </c>
      <c r="B511" s="104"/>
      <c r="C511" s="104"/>
      <c r="D511" s="104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04" t="s">
        <v>306</v>
      </c>
      <c r="B522" s="104"/>
      <c r="C522" s="104"/>
      <c r="D522" s="104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04" t="s">
        <v>307</v>
      </c>
      <c r="B533" s="104"/>
      <c r="C533" s="104"/>
      <c r="D533" s="104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04" t="s">
        <v>308</v>
      </c>
      <c r="B544" s="104"/>
      <c r="C544" s="104"/>
      <c r="D544" s="104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04" t="s">
        <v>309</v>
      </c>
      <c r="B555" s="104"/>
      <c r="C555" s="104"/>
      <c r="D555" s="104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04" t="s">
        <v>309</v>
      </c>
      <c r="B567" s="104"/>
      <c r="C567" s="104"/>
      <c r="D567" s="104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04" t="s">
        <v>314</v>
      </c>
      <c r="B579" s="104"/>
      <c r="C579" s="104"/>
      <c r="D579" s="104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04" t="s">
        <v>315</v>
      </c>
      <c r="B590" s="104"/>
      <c r="C590" s="104"/>
      <c r="D590" s="104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04" t="s">
        <v>316</v>
      </c>
      <c r="B601" s="104"/>
      <c r="C601" s="104"/>
      <c r="D601" s="104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04" t="s">
        <v>317</v>
      </c>
      <c r="B612" s="104"/>
      <c r="C612" s="104"/>
      <c r="D612" s="104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04" t="s">
        <v>318</v>
      </c>
      <c r="B623" s="104"/>
      <c r="C623" s="104"/>
      <c r="D623" s="104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04" t="s">
        <v>319</v>
      </c>
      <c r="B635" s="104"/>
      <c r="C635" s="104"/>
      <c r="D635" s="104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04" t="s">
        <v>321</v>
      </c>
      <c r="B647" s="104"/>
      <c r="C647" s="104"/>
      <c r="D647" s="104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04" t="s">
        <v>322</v>
      </c>
      <c r="B658" s="104"/>
      <c r="C658" s="104"/>
      <c r="D658" s="104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04" t="s">
        <v>323</v>
      </c>
      <c r="B670" s="104"/>
      <c r="C670" s="104"/>
      <c r="D670" s="104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04" t="s">
        <v>324</v>
      </c>
      <c r="B681" s="104"/>
      <c r="C681" s="104"/>
      <c r="D681" s="104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04" t="s">
        <v>325</v>
      </c>
      <c r="B692" s="104"/>
      <c r="C692" s="104"/>
      <c r="D692" s="104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04" t="s">
        <v>326</v>
      </c>
      <c r="B703" s="104"/>
      <c r="C703" s="104"/>
      <c r="D703" s="104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04" t="s">
        <v>329</v>
      </c>
      <c r="B715" s="104"/>
      <c r="C715" s="104"/>
      <c r="D715" s="104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04" t="s">
        <v>330</v>
      </c>
      <c r="B726" s="104"/>
      <c r="C726" s="104"/>
      <c r="D726" s="104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04" t="s">
        <v>331</v>
      </c>
      <c r="B738" s="104"/>
      <c r="C738" s="104"/>
      <c r="D738" s="104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04" t="s">
        <v>332</v>
      </c>
      <c r="B749" s="104"/>
      <c r="C749" s="104"/>
      <c r="D749" s="104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04" t="s">
        <v>333</v>
      </c>
      <c r="B760" s="104"/>
      <c r="C760" s="104"/>
      <c r="D760" s="104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04" t="s">
        <v>341</v>
      </c>
      <c r="B772" s="104"/>
      <c r="C772" s="104"/>
      <c r="D772" s="104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04" t="s">
        <v>344</v>
      </c>
      <c r="B784" s="104"/>
      <c r="C784" s="104"/>
      <c r="D784" s="104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04" t="s">
        <v>346</v>
      </c>
      <c r="B796" s="104"/>
      <c r="C796" s="104"/>
      <c r="D796" s="104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04" t="s">
        <v>349</v>
      </c>
      <c r="B809" s="104"/>
      <c r="C809" s="104"/>
      <c r="D809" s="104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04" t="s">
        <v>351</v>
      </c>
      <c r="B820" s="104"/>
      <c r="C820" s="104"/>
      <c r="D820" s="104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04" t="s">
        <v>353</v>
      </c>
      <c r="B831" s="104"/>
      <c r="C831" s="104"/>
      <c r="D831" s="104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104" t="s">
        <v>355</v>
      </c>
      <c r="B842" s="104"/>
      <c r="C842" s="104"/>
      <c r="D842" s="104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235</v>
      </c>
      <c r="B849" s="11"/>
      <c r="C849" s="11"/>
      <c r="D849" s="88"/>
    </row>
    <row r="850" spans="1:7">
      <c r="A850" s="69" t="s">
        <v>236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4" t="s">
        <v>377</v>
      </c>
      <c r="B854" s="104"/>
      <c r="C854" s="104"/>
      <c r="D854" s="104"/>
    </row>
    <row r="855" spans="1:7">
      <c r="A855" s="11" t="s">
        <v>228</v>
      </c>
      <c r="B855" s="11" t="s">
        <v>229</v>
      </c>
      <c r="C855" s="11" t="s">
        <v>230</v>
      </c>
      <c r="D855" s="11" t="s">
        <v>378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232</v>
      </c>
      <c r="B857" s="11">
        <v>27600</v>
      </c>
      <c r="C857" s="11">
        <v>7550</v>
      </c>
      <c r="D857" s="1">
        <v>11760000</v>
      </c>
    </row>
    <row r="858" spans="1:7">
      <c r="A858" s="70" t="s">
        <v>233</v>
      </c>
      <c r="B858" s="11">
        <v>27540</v>
      </c>
      <c r="C858" s="11">
        <v>7545</v>
      </c>
      <c r="D858" s="1">
        <v>11720000</v>
      </c>
    </row>
    <row r="859" spans="1:7">
      <c r="A859" s="68" t="s">
        <v>234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235</v>
      </c>
      <c r="B861" s="11">
        <v>27540</v>
      </c>
      <c r="C861" s="11">
        <v>7535</v>
      </c>
      <c r="D861" s="1">
        <v>11750000</v>
      </c>
    </row>
  </sheetData>
  <mergeCells count="80"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:D1"/>
    <mergeCell ref="A11:D11"/>
    <mergeCell ref="A21:D21"/>
    <mergeCell ref="A31:D31"/>
    <mergeCell ref="A41:D41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854:D854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05" t="s">
        <v>368</v>
      </c>
      <c r="B1" s="105"/>
      <c r="C1" s="105"/>
    </row>
    <row r="2" spans="1:6" ht="24.95" customHeight="1">
      <c r="A2" s="103"/>
      <c r="B2" s="103" t="s">
        <v>358</v>
      </c>
      <c r="C2" s="103" t="s">
        <v>359</v>
      </c>
    </row>
    <row r="3" spans="1:6" ht="24.95" customHeight="1">
      <c r="A3" s="103" t="s">
        <v>360</v>
      </c>
      <c r="B3" s="103">
        <v>10250000</v>
      </c>
      <c r="C3" s="103">
        <v>11920000</v>
      </c>
      <c r="D3" s="102" t="s">
        <v>369</v>
      </c>
      <c r="E3">
        <f>100*(C3-B3)/B3</f>
        <v>16.292682926829269</v>
      </c>
      <c r="F3">
        <v>16</v>
      </c>
    </row>
    <row r="4" spans="1:6" ht="24.95" customHeight="1">
      <c r="A4" s="103" t="s">
        <v>361</v>
      </c>
      <c r="B4" s="103">
        <v>1018000</v>
      </c>
      <c r="C4" s="103">
        <v>1140000</v>
      </c>
      <c r="D4" s="102" t="s">
        <v>370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362</v>
      </c>
      <c r="B5" s="103">
        <v>23930</v>
      </c>
      <c r="C5" s="103">
        <v>27520</v>
      </c>
      <c r="D5" s="102" t="s">
        <v>371</v>
      </c>
      <c r="E5" s="1">
        <f t="shared" si="0"/>
        <v>15.002089427496866</v>
      </c>
      <c r="F5">
        <v>15</v>
      </c>
    </row>
    <row r="6" spans="1:6" ht="24.95" customHeight="1">
      <c r="A6" s="103" t="s">
        <v>363</v>
      </c>
      <c r="B6" s="103">
        <v>28324</v>
      </c>
      <c r="C6" s="103">
        <v>32347</v>
      </c>
      <c r="D6" s="102" t="s">
        <v>372</v>
      </c>
      <c r="E6" s="1">
        <f t="shared" si="0"/>
        <v>14.203502330179353</v>
      </c>
      <c r="F6">
        <v>14</v>
      </c>
    </row>
    <row r="7" spans="1:6" ht="24.95" customHeight="1">
      <c r="A7" s="103" t="s">
        <v>364</v>
      </c>
      <c r="B7" s="103">
        <v>23779</v>
      </c>
      <c r="C7" s="103">
        <v>26523</v>
      </c>
      <c r="D7" s="102" t="s">
        <v>373</v>
      </c>
      <c r="E7" s="1">
        <f t="shared" si="0"/>
        <v>11.539593759199294</v>
      </c>
      <c r="F7">
        <v>12</v>
      </c>
    </row>
    <row r="8" spans="1:6" ht="24.95" customHeight="1">
      <c r="A8" s="103" t="s">
        <v>365</v>
      </c>
      <c r="B8" s="103">
        <v>28081</v>
      </c>
      <c r="C8" s="103">
        <v>31394</v>
      </c>
      <c r="D8" s="102" t="s">
        <v>374</v>
      </c>
      <c r="E8" s="1">
        <f t="shared" si="0"/>
        <v>11.7980128912788</v>
      </c>
      <c r="F8">
        <v>12</v>
      </c>
    </row>
    <row r="9" spans="1:6" ht="24.95" customHeight="1">
      <c r="A9" s="103" t="s">
        <v>366</v>
      </c>
      <c r="B9" s="103">
        <v>23364</v>
      </c>
      <c r="C9" s="103">
        <v>26260</v>
      </c>
      <c r="D9" s="102" t="s">
        <v>375</v>
      </c>
      <c r="E9" s="1">
        <f t="shared" si="0"/>
        <v>12.395137818866633</v>
      </c>
      <c r="F9">
        <v>12</v>
      </c>
    </row>
    <row r="10" spans="1:6" ht="24.95" customHeight="1">
      <c r="A10" s="103" t="s">
        <v>367</v>
      </c>
      <c r="B10" s="103">
        <v>27693</v>
      </c>
      <c r="C10" s="103">
        <v>31147</v>
      </c>
      <c r="D10" s="102" t="s">
        <v>376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6"/>
  <sheetViews>
    <sheetView tabSelected="1" topLeftCell="C1" zoomScaleNormal="100" workbookViewId="0">
      <selection activeCell="I76" sqref="I76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6" si="3">(C35-C34)*100/C34</f>
        <v>-1.0141987829614605</v>
      </c>
      <c r="G35">
        <f t="shared" ref="G35:G76" si="4">(D35-D34)*100/D34</f>
        <v>-9.5057034220532313E-2</v>
      </c>
      <c r="H35">
        <f t="shared" ref="H35:H7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  <c r="J76">
        <v>0.1</v>
      </c>
      <c r="K76">
        <v>0.17</v>
      </c>
      <c r="L76">
        <v>-0.78</v>
      </c>
      <c r="M76">
        <v>2.57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2021-09-25T14:07:30Z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