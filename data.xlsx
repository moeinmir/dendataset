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set'!$A$1:$BN$257</definedName>
    <definedName name="_xlnm._FilterDatabase" localSheetId="1" hidden="1">weekly!$A$1:$K$59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319" i="3" l="1"/>
  <c r="X256" i="1"/>
  <c r="H175" i="5" l="1"/>
  <c r="G175" i="5"/>
  <c r="F175" i="5"/>
  <c r="H174" i="5" l="1"/>
  <c r="G174" i="5"/>
  <c r="F174" i="5"/>
  <c r="D2295" i="3" l="1"/>
  <c r="W258" i="1"/>
  <c r="H173" i="5" l="1"/>
  <c r="G173" i="5"/>
  <c r="F173" i="5"/>
  <c r="H172" i="5" l="1"/>
  <c r="G172" i="5"/>
  <c r="F172" i="5"/>
  <c r="D2261" i="3" l="1"/>
  <c r="H171" i="5" l="1"/>
  <c r="G171" i="5"/>
  <c r="F171" i="5"/>
  <c r="X260" i="1" l="1"/>
  <c r="H170" i="5" l="1"/>
  <c r="G170" i="5"/>
  <c r="F170" i="5"/>
  <c r="H169" i="5" l="1"/>
  <c r="G169" i="5"/>
  <c r="F169" i="5"/>
  <c r="D2226" i="3" l="1"/>
  <c r="D2222" i="3"/>
  <c r="W261" i="1" l="1"/>
  <c r="H168" i="5" l="1"/>
  <c r="G168" i="5"/>
  <c r="F168" i="5"/>
  <c r="H2223" i="3" l="1"/>
  <c r="H167" i="5" l="1"/>
  <c r="G167" i="5"/>
  <c r="F167" i="5"/>
  <c r="D2185" i="3" l="1"/>
  <c r="H166" i="5" l="1"/>
  <c r="G166" i="5"/>
  <c r="F166" i="5"/>
  <c r="N258" i="1" l="1"/>
  <c r="N256" i="1"/>
  <c r="D256" i="1"/>
  <c r="D2177" i="3" l="1"/>
  <c r="H165" i="5" l="1"/>
  <c r="G165" i="5"/>
  <c r="F165" i="5"/>
  <c r="Y260" i="1"/>
  <c r="O257" i="1"/>
  <c r="E257" i="1"/>
  <c r="H164" i="5" l="1"/>
  <c r="G164" i="5"/>
  <c r="F164" i="5"/>
  <c r="W265" i="1"/>
  <c r="W266" i="1"/>
  <c r="D2162" i="3"/>
  <c r="H163" i="5" l="1"/>
  <c r="G163" i="5"/>
  <c r="F163" i="5"/>
  <c r="D2152" i="3"/>
  <c r="D2149" i="3"/>
  <c r="A49" i="2" l="1"/>
  <c r="B47" i="2"/>
  <c r="D2135" i="3"/>
  <c r="H162" i="5" l="1"/>
  <c r="G162" i="5"/>
  <c r="F162" i="5"/>
  <c r="E263" i="1"/>
  <c r="F261" i="1"/>
  <c r="E260" i="1"/>
  <c r="H161" i="5" l="1"/>
  <c r="G161" i="5"/>
  <c r="F161" i="5"/>
  <c r="H160" i="5" l="1"/>
  <c r="G160" i="5"/>
  <c r="F160" i="5"/>
  <c r="D2084" i="3" l="1"/>
  <c r="H159" i="5" l="1"/>
  <c r="G159" i="5"/>
  <c r="F159" i="5"/>
  <c r="H158" i="5" l="1"/>
  <c r="G158" i="5"/>
  <c r="F158" i="5"/>
  <c r="I47" i="2"/>
  <c r="C49" i="2"/>
  <c r="H48" i="2"/>
  <c r="B50" i="2"/>
  <c r="D2061" i="3"/>
  <c r="H157" i="5" l="1"/>
  <c r="G157" i="5"/>
  <c r="F157" i="5"/>
  <c r="H156" i="5" l="1"/>
  <c r="G156" i="5"/>
  <c r="F156" i="5"/>
  <c r="H155" i="5" l="1"/>
  <c r="G155" i="5"/>
  <c r="F155" i="5"/>
  <c r="P258" i="1"/>
  <c r="H154" i="5" l="1"/>
  <c r="G154" i="5"/>
  <c r="F154" i="5"/>
  <c r="Y266" i="1"/>
  <c r="Y268" i="1"/>
  <c r="BR228" i="1"/>
  <c r="D2001" i="3" l="1"/>
  <c r="H153" i="5"/>
  <c r="G153" i="5"/>
  <c r="F153" i="5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D1946" i="3" l="1"/>
  <c r="H150" i="5" l="1"/>
  <c r="G150" i="5"/>
  <c r="F150" i="5"/>
  <c r="D1927" i="3" l="1"/>
  <c r="D1934" i="3"/>
  <c r="H149" i="5" l="1"/>
  <c r="G149" i="5"/>
  <c r="F149" i="5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55" i="1" l="1"/>
  <c r="M216" i="1"/>
  <c r="L216" i="1"/>
  <c r="D1850" i="3" l="1"/>
  <c r="M215" i="1"/>
  <c r="L215" i="1"/>
  <c r="Y265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7" i="2" l="1"/>
  <c r="E49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61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62" i="1"/>
  <c r="N263" i="1"/>
  <c r="N264" i="1"/>
  <c r="N265" i="1"/>
  <c r="N266" i="1"/>
  <c r="N267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50" i="2" l="1"/>
  <c r="J49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8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8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9" i="2"/>
  <c r="G58" i="2"/>
  <c r="G57" i="2"/>
  <c r="G56" i="2"/>
  <c r="G55" i="2"/>
  <c r="G54" i="2"/>
  <c r="G53" i="2"/>
  <c r="G52" i="2"/>
  <c r="G51" i="2"/>
  <c r="C47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51" i="2" s="1"/>
  <c r="G16" i="2"/>
  <c r="E16" i="2"/>
  <c r="C53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55" i="1" l="1"/>
  <c r="S1" i="1" s="1"/>
  <c r="M255" i="1"/>
  <c r="U1" i="1" s="1"/>
</calcChain>
</file>

<file path=xl/sharedStrings.xml><?xml version="1.0" encoding="utf-8"?>
<sst xmlns="http://schemas.openxmlformats.org/spreadsheetml/2006/main" count="2286" uniqueCount="640">
  <si>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</si>
  <si>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</si>
  <si>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</si>
  <si>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</si>
  <si>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</si>
  <si>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</si>
  <si>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</si>
  <si>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</si>
  <si>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</si>
  <si>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</si>
  <si>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</si>
  <si>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</si>
  <si>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</si>
  <si>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</si>
  <si>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</si>
  <si>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</si>
  <si>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</si>
  <si>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</si>
  <si>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</si>
  <si>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</si>
  <si>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</si>
  <si>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</si>
  <si>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</si>
  <si>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</si>
  <si>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</si>
  <si>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</si>
  <si>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</si>
  <si>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</si>
  <si>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</si>
  <si>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</si>
  <si>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</si>
  <si>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</si>
  <si>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</si>
  <si>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</si>
  <si>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</si>
  <si>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</si>
  <si>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</si>
  <si>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</si>
  <si>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</si>
  <si>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</si>
  <si>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</si>
  <si>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</si>
  <si>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</si>
  <si>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</si>
  <si>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</si>
  <si>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</si>
  <si>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</si>
  <si>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</si>
  <si>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</si>
  <si>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</si>
  <si>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</si>
  <si>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</si>
  <si>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</si>
  <si>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</si>
  <si>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</si>
  <si>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</si>
  <si>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</si>
  <si>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</si>
  <si>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</si>
  <si>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</si>
  <si>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</si>
  <si>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</si>
  <si>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</si>
  <si>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</si>
  <si>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</si>
  <si>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</si>
  <si>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</si>
  <si>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</si>
  <si>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</si>
  <si>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</si>
  <si>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</si>
  <si>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</si>
  <si>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</si>
  <si>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</si>
  <si>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</si>
  <si>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</si>
  <si>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</si>
  <si>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</si>
  <si>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</si>
  <si>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</si>
  <si>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</si>
  <si>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</si>
  <si>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</si>
  <si>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</si>
  <si>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</si>
  <si>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</si>
  <si>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</si>
  <si>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</si>
  <si>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</si>
  <si>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</si>
  <si>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</si>
  <si>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</si>
  <si>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</si>
  <si>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</si>
  <si>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</si>
  <si>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</si>
  <si>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</si>
  <si>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</si>
  <si>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</si>
  <si>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</si>
  <si>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</si>
  <si>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</si>
  <si>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</si>
  <si>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</si>
  <si>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</si>
  <si>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</si>
  <si>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</si>
  <si>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</si>
  <si>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</si>
  <si>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</si>
  <si>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</si>
  <si>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</si>
  <si>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</si>
  <si>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</si>
  <si>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</si>
  <si>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</si>
  <si>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</si>
  <si>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</si>
  <si>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</si>
  <si>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</si>
  <si>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</si>
  <si>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</si>
  <si>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</si>
  <si>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</si>
  <si>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</si>
  <si>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</si>
  <si>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</si>
  <si>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</si>
  <si>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</si>
  <si>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</si>
  <si>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</si>
  <si>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</si>
  <si>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</si>
  <si>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</si>
  <si>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</si>
  <si>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</si>
  <si>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</si>
  <si>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</si>
  <si>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</si>
  <si>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</si>
  <si>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</si>
  <si>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</si>
  <si>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</si>
  <si>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</si>
  <si>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</si>
  <si>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</si>
  <si>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</si>
  <si>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</si>
  <si>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</si>
  <si>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</si>
  <si>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</si>
  <si>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</si>
  <si>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</si>
  <si>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</si>
  <si>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</si>
  <si>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</si>
  <si>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</si>
  <si>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</si>
  <si>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</si>
  <si>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</si>
  <si>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</si>
  <si>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</si>
  <si>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</si>
  <si>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</si>
  <si>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</si>
  <si>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</si>
  <si>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</si>
  <si>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</si>
  <si>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</si>
  <si>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</si>
  <si>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</si>
  <si>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</si>
  <si>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</si>
  <si>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</si>
  <si>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</si>
  <si>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</si>
  <si>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</si>
  <si>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</si>
  <si>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</si>
  <si>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</si>
  <si>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</si>
  <si>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</si>
  <si>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</si>
  <si>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</si>
  <si>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</si>
  <si>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</si>
  <si>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</si>
  <si>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</si>
  <si>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</si>
  <si>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</si>
  <si>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</si>
  <si>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</si>
  <si>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</si>
  <si>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</si>
  <si>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</si>
  <si>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</si>
  <si>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</si>
  <si>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</si>
  <si>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</si>
  <si>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</si>
  <si>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</si>
  <si>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</si>
  <si>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</si>
  <si>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</si>
  <si>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</si>
  <si>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</si>
  <si>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</si>
  <si>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</si>
  <si>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</si>
  <si>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</si>
  <si>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</si>
  <si>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</si>
  <si>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</si>
  <si>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</si>
  <si>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</si>
  <si>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</si>
  <si>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</si>
  <si>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</si>
  <si>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</si>
  <si>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</si>
  <si>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</si>
  <si>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</si>
  <si>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</si>
  <si>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</si>
  <si>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</si>
  <si>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</si>
  <si>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</si>
  <si>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</si>
  <si>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</si>
  <si>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</si>
  <si>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</si>
  <si>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</si>
  <si>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</si>
  <si>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</si>
  <si>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</si>
  <si>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</si>
  <si>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</si>
  <si>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</si>
  <si>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</si>
  <si>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</si>
  <si>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</si>
  <si>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</si>
  <si>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</si>
  <si>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</si>
  <si>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</si>
  <si>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</si>
  <si>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</si>
  <si>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</si>
  <si>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</si>
  <si>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</si>
  <si>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</si>
  <si>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</si>
  <si>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</si>
  <si>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</si>
  <si>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</si>
  <si>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</si>
  <si>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</si>
  <si>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</si>
  <si>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</si>
  <si>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</si>
  <si>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</si>
  <si>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</si>
  <si>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</si>
  <si>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</si>
  <si>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</si>
  <si>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</si>
  <si>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</si>
  <si>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</si>
  <si>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</si>
  <si>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</si>
  <si>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</si>
  <si>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</si>
  <si>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</si>
  <si>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</si>
  <si>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</si>
  <si>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</si>
  <si>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</si>
  <si>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</si>
  <si>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</si>
  <si>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</si>
  <si>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</si>
  <si>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</si>
  <si>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</si>
  <si>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</si>
  <si>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</si>
  <si>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</si>
  <si>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</si>
  <si>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</si>
  <si>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</si>
  <si>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</si>
  <si>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</si>
  <si>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</si>
  <si>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</si>
  <si>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</si>
  <si>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</si>
  <si>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</si>
  <si>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</si>
  <si>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</si>
  <si>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</si>
  <si>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</si>
  <si>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</si>
  <si>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</si>
  <si>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</si>
  <si>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</si>
  <si>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</si>
  <si>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</si>
  <si>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</si>
  <si>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</si>
  <si>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</si>
  <si>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</si>
  <si>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</si>
  <si>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</si>
  <si>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</si>
  <si>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</si>
  <si>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</si>
  <si>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</si>
  <si>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</si>
  <si>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</si>
  <si>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</si>
  <si>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</si>
  <si>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</si>
  <si>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</si>
  <si>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</si>
  <si>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</si>
  <si>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</si>
  <si>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</si>
  <si>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</si>
  <si>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</si>
  <si>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</si>
  <si>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</si>
  <si>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</si>
  <si>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</si>
  <si>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</si>
  <si>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</si>
  <si>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</si>
  <si>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</si>
  <si>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</si>
  <si>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</si>
  <si>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</si>
  <si>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</si>
  <si>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</si>
  <si>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</si>
  <si>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</si>
  <si>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</si>
  <si>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</si>
  <si>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</si>
  <si>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</si>
  <si>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</si>
  <si>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</si>
  <si>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</si>
  <si>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</si>
  <si>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</si>
  <si>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</si>
  <si>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</si>
  <si>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</si>
  <si>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</si>
  <si>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</si>
  <si>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</si>
  <si>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</si>
  <si>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</si>
  <si>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</si>
  <si>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</si>
  <si>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</si>
  <si>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</si>
  <si>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</si>
  <si>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</si>
  <si>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</si>
  <si>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</si>
  <si>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</si>
  <si>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</si>
  <si>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</si>
  <si>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</si>
  <si>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</si>
  <si>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</si>
  <si>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</si>
  <si>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</si>
  <si>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</si>
  <si>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</si>
  <si>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</si>
  <si>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</si>
  <si>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</si>
  <si>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</si>
  <si>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</si>
  <si>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</si>
  <si>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</si>
  <si>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</si>
  <si>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</si>
  <si>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</si>
  <si>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</si>
  <si>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</si>
  <si>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</si>
  <si>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</si>
  <si>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</si>
  <si>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</si>
  <si>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</si>
  <si>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</si>
  <si>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</si>
  <si>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</si>
  <si>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</si>
  <si>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</si>
  <si>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</si>
  <si>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</si>
  <si>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</si>
  <si>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</si>
  <si>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</si>
  <si>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</si>
  <si>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</si>
  <si>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</si>
  <si>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</si>
  <si>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</si>
  <si>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</si>
  <si>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</si>
  <si>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</si>
  <si>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</si>
  <si>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</si>
  <si>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</si>
  <si>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</si>
  <si>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</si>
  <si>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</si>
  <si>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</si>
  <si>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</si>
  <si>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</si>
  <si>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</si>
  <si>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</si>
  <si>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</si>
  <si>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</si>
  <si>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</si>
  <si>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</si>
  <si>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</si>
  <si>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</si>
  <si>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</si>
  <si>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</si>
  <si>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</si>
  <si>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</si>
  <si>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</si>
  <si>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</si>
  <si>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</si>
  <si>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</si>
  <si>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</si>
  <si>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</si>
  <si>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</si>
  <si>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</si>
  <si>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</si>
  <si>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</si>
  <si>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</si>
  <si>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</si>
  <si>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</si>
  <si>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</si>
  <si>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</si>
  <si>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</si>
  <si>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</si>
  <si>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</si>
  <si>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</si>
  <si>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</si>
  <si>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</si>
  <si>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</si>
  <si>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</si>
  <si>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</si>
  <si>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</si>
  <si>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</si>
  <si>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</si>
  <si>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</si>
  <si>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</si>
  <si>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</si>
  <si>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</si>
  <si>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</si>
  <si>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</si>
  <si>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</si>
  <si>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</si>
  <si>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</si>
  <si>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</si>
  <si>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</si>
  <si>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</si>
  <si>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</si>
  <si>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</si>
  <si>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</si>
  <si>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</si>
  <si>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</si>
  <si>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</si>
  <si>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</si>
  <si>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</si>
  <si>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</si>
  <si>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</si>
  <si>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</si>
  <si>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</si>
  <si>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</si>
  <si>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</si>
  <si>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</si>
  <si>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</si>
  <si>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</si>
  <si>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</si>
  <si>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</si>
  <si>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</si>
  <si>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</si>
  <si>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</si>
  <si>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</si>
  <si>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</si>
  <si>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</si>
  <si>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</si>
  <si>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</si>
  <si>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</si>
  <si>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</si>
  <si>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</si>
  <si>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</si>
  <si>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</si>
  <si>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</si>
  <si>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</si>
  <si>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</si>
  <si>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</si>
  <si>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</si>
  <si>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</si>
  <si>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</si>
  <si>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</si>
  <si>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</si>
  <si>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</si>
  <si>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</si>
  <si>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</si>
  <si>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</si>
  <si>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</si>
  <si>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</si>
  <si>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</si>
  <si>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</si>
  <si>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</si>
  <si>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</si>
  <si>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</si>
  <si>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</si>
  <si>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</si>
  <si>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</si>
  <si>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</si>
  <si>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</si>
  <si>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</si>
  <si>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</si>
  <si>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</si>
  <si>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</si>
  <si>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</si>
  <si>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</si>
  <si>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</si>
  <si>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</si>
  <si>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</si>
  <si>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</si>
  <si>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</si>
  <si>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</si>
  <si>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</si>
  <si>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</si>
  <si>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</si>
  <si>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</si>
  <si>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</si>
  <si>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</si>
  <si>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</si>
  <si>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</si>
  <si>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</si>
  <si>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</si>
  <si>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</si>
  <si>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</si>
  <si>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</si>
  <si>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</si>
  <si>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</si>
  <si>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</si>
  <si>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</si>
  <si>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</si>
  <si>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</si>
  <si>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</si>
  <si>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</si>
  <si>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</si>
  <si>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</si>
  <si>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</si>
  <si>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</si>
  <si>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</si>
  <si>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</si>
  <si>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</si>
  <si>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</si>
  <si>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</si>
  <si>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</si>
  <si>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</si>
  <si>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</si>
  <si>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</si>
  <si>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</si>
  <si>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</si>
  <si>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</si>
  <si>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</si>
  <si>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</si>
  <si>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</si>
  <si>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</si>
  <si>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</si>
  <si>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</si>
  <si>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</si>
  <si>
    <t>28دی1400</t>
  </si>
  <si>
    <t>روند روزانه بهای سکه و ارز ( سه‌شنبه 28 دی 1400)</t>
  </si>
  <si>
    <t>29دی1400</t>
  </si>
  <si>
    <t>روند روزانه بهای سکه و ارز ( چهارشنبه 29 دی 1400)</t>
  </si>
  <si>
    <t>30دی1400</t>
  </si>
  <si>
    <t>روند روزانه بهای سکه و ارز ( پنجشنبه 30 دی 1400)</t>
  </si>
  <si>
    <t>هفته 43 سال</t>
  </si>
  <si>
    <t>2بهمن 1400</t>
  </si>
  <si>
    <t>روند روزانه بهای سکه و ارز ( شنبه 02 بهمن 1400)</t>
  </si>
  <si>
    <t>03بهمن1400</t>
  </si>
  <si>
    <t>روند روزانه بهای سکه و ارز ( یکشنبه 03 بهمن 1400)</t>
  </si>
  <si>
    <t>04بهمن1400</t>
  </si>
  <si>
    <t>روند روزانه بهای سکه و ارز ( دوشنبه 04 بهمن 1400)</t>
  </si>
  <si>
    <t>05بهمن1400</t>
  </si>
  <si>
    <t>روند روزانه بهای سکه و ارز ( دوشنبه 05 بهمن 1400)</t>
  </si>
  <si>
    <t>06بهمن1400</t>
  </si>
  <si>
    <t>روند روزانه بهای سکه و ارز ( چهارشنبه 06 بهمن 1400)</t>
  </si>
  <si>
    <t>07بهمن1400</t>
  </si>
  <si>
    <t>روند روزانه بهای سکه و ارز ( پنج‌شنبه 07 بهمن 1400)</t>
  </si>
  <si>
    <t>هفته 44 سال</t>
  </si>
  <si>
    <t>روند روزانه بهای سکه و ارز ( شنبه 09 بهمن 1400)</t>
  </si>
  <si>
    <t>09بهمن1400</t>
  </si>
  <si>
    <t>روند روزانه بهای سکه و ارز ( یکشنبه 10 بهمن 1400)</t>
  </si>
  <si>
    <t>روند روزانه بهای سکه و ارز ( یکشنبه 11 بهمن 1400)</t>
  </si>
  <si>
    <t>10بهمن1400</t>
  </si>
  <si>
    <t>11بهمن1400</t>
  </si>
  <si>
    <t>12بهمن1400</t>
  </si>
  <si>
    <t>روند روزانه بهای سکه و ارز ( سه‌شنبه 12 بهمن 1400)</t>
  </si>
  <si>
    <t>13بهمن1400</t>
  </si>
  <si>
    <t>روند روزانه بهای سکه و ارز ( چهارشنبه 13 بهمن 1400)</t>
  </si>
  <si>
    <t>14بهمن1400</t>
  </si>
  <si>
    <t>روند روزانه بهای سکه و ارز ( پنج‌شنبه 15 بهمن 1400)</t>
  </si>
  <si>
    <t>هفته 45 سال</t>
  </si>
  <si>
    <t>16بهمن1400</t>
  </si>
  <si>
    <t>روند روزانه بهای سکه و ارز ( شنبه 16 بهمن 1400)</t>
  </si>
  <si>
    <t>17بهمن1400</t>
  </si>
  <si>
    <t>روند روزانه بهای سکه و ارز ( یکشنبه 17 بهمن 1400)</t>
  </si>
  <si>
    <t>18بهمن1400</t>
  </si>
  <si>
    <t>روند روزانه بهای سکه و ارز ( دوشنبه 18 بهمن 1400)</t>
  </si>
  <si>
    <t>13 52</t>
  </si>
  <si>
    <t>19بهمن1400</t>
  </si>
  <si>
    <t>روند روزانه بهای سکه و ارز ( سه‌شنبه 19 بهمن 1400)</t>
  </si>
  <si>
    <t>20بهمن1400</t>
  </si>
  <si>
    <t>روند روزانه بهای سکه و ارز ( چهارشنبه 20 بهمن 1400)</t>
  </si>
  <si>
    <t>21بهمن1400</t>
  </si>
  <si>
    <t>روند روزانه بهای سکه و ارز ( پنج‌شنبه 21 بهمن 1400)</t>
  </si>
  <si>
    <t>13 17</t>
  </si>
  <si>
    <t>هفته 46 سال</t>
  </si>
  <si>
    <t>روند روزانه بهای سکه و ارز ( شنبه 23 بهمن 1400)</t>
  </si>
  <si>
    <t>روند روزانه بهای سکه و ارز ( یکشنبه 24 بهمن 1400)</t>
  </si>
  <si>
    <t>23بهمن1400</t>
  </si>
  <si>
    <t>24بهمن1400</t>
  </si>
  <si>
    <t>25بهمن1400</t>
  </si>
  <si>
    <t>روند روزانه بهای سکه و ارز ( یکشنبه 25 بهمن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</si>
</sst>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0" borderId="3" xfId="0" applyFill="1" applyBorder="1"/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622772512"/>
        <c:axId val="1622780128"/>
      </c:lineChart>
      <c:catAx>
        <c:axId val="162277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22780128"/>
        <c:crosses val="autoZero"/>
        <c:auto val="1"/>
        <c:lblAlgn val="ctr"/>
        <c:lblOffset val="100"/>
        <c:noMultiLvlLbl val="0"/>
      </c:catAx>
      <c:valAx>
        <c:axId val="16227801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2277251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</a:t>
            </a:r>
            <a:r>
              <a:rPr lang="en-US" sz="5000" b="0" strike="noStrike" spc="-1">
                <a:solidFill>
                  <a:srgbClr val="595959"/>
                </a:solidFill>
                <a:latin typeface="Calibri"/>
              </a:rPr>
              <a:t>19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1.5192293530399801E-2"/>
                  <c:y val="1.74805091264456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90F-4F51-9A35-6F5002F923B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8468976525814605E-2"/>
                  <c:y val="9.887819700979875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-5.5406929577444574E-3"/>
                  <c:y val="2.37307672823517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weekly!$A$27:$A$46</c15:sqref>
                  </c15:fullRef>
                </c:ext>
              </c:extLst>
              <c:f>weekly!$A$28:$A$46</c:f>
              <c:strCache>
                <c:ptCount val="1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  <c:pt idx="18">
                  <c:v>هفته 46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weekly!$B$27:$B$46</c15:sqref>
                  </c15:fullRef>
                </c:ext>
              </c:extLst>
              <c:f>weekly!$B$28:$B$46</c:f>
              <c:numCache>
                <c:formatCode>General</c:formatCode>
                <c:ptCount val="19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  <c:pt idx="15">
                  <c:v>25505</c:v>
                </c:pt>
                <c:pt idx="16">
                  <c:v>25255</c:v>
                </c:pt>
                <c:pt idx="17">
                  <c:v>24969</c:v>
                </c:pt>
                <c:pt idx="18">
                  <c:v>24587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355E-4B62-A857-364C7FFBA74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5.9286999143024939E-3"/>
                  <c:y val="-1.344654548188180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2558904037553966E-2"/>
                  <c:y val="-3.00970698419526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0"/>
                  <c:y val="-2.24123913222210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17"/>
              <c:layout>
                <c:manualLayout>
                  <c:x val="0"/>
                  <c:y val="-1.69379126500251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39B-42FE-890C-FBBD5EA10856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weekly!$A$27:$A$46</c15:sqref>
                  </c15:fullRef>
                </c:ext>
              </c:extLst>
              <c:f>weekly!$A$28:$A$46</c:f>
              <c:strCache>
                <c:ptCount val="1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  <c:pt idx="18">
                  <c:v>هفته 46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weekly!$H$27:$H$46</c15:sqref>
                  </c15:fullRef>
                </c:ext>
              </c:extLst>
              <c:f>weekly!$H$28:$H$46</c:f>
              <c:numCache>
                <c:formatCode>General</c:formatCode>
                <c:ptCount val="19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  <c:pt idx="15">
                  <c:v>25731</c:v>
                </c:pt>
                <c:pt idx="16">
                  <c:v>25479</c:v>
                </c:pt>
                <c:pt idx="17">
                  <c:v>25191</c:v>
                </c:pt>
                <c:pt idx="18">
                  <c:v>24838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622780672"/>
        <c:axId val="1622773600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weekly!$A$27:$A$46</c15:sqref>
                        </c15:fullRef>
                        <c15:formulaRef>
                          <c15:sqref>weekly!$A$28:$A$46</c15:sqref>
                        </c15:formulaRef>
                      </c:ext>
                    </c:extLst>
                    <c:strCache>
                      <c:ptCount val="19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  <c:pt idx="17">
                        <c:v>هفته 45 سال</c:v>
                      </c:pt>
                      <c:pt idx="18">
                        <c:v>هفته 46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1622780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22773600"/>
        <c:crosses val="autoZero"/>
        <c:auto val="1"/>
        <c:lblAlgn val="ctr"/>
        <c:lblOffset val="100"/>
        <c:noMultiLvlLbl val="0"/>
      </c:catAx>
      <c:valAx>
        <c:axId val="1622773600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2278067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622769248"/>
        <c:axId val="1622775776"/>
      </c:lineChart>
      <c:catAx>
        <c:axId val="1622769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22775776"/>
        <c:crosses val="autoZero"/>
        <c:auto val="1"/>
        <c:lblAlgn val="ctr"/>
        <c:lblOffset val="100"/>
        <c:noMultiLvlLbl val="0"/>
      </c:catAx>
      <c:valAx>
        <c:axId val="16227757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2276924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622782304"/>
        <c:axId val="1622767616"/>
      </c:lineChart>
      <c:catAx>
        <c:axId val="1622782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22767616"/>
        <c:crosses val="autoZero"/>
        <c:auto val="1"/>
        <c:lblAlgn val="ctr"/>
        <c:lblOffset val="100"/>
        <c:noMultiLvlLbl val="0"/>
      </c:catAx>
      <c:valAx>
        <c:axId val="162276761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2278230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622776320"/>
        <c:axId val="1622776864"/>
      </c:lineChart>
      <c:catAx>
        <c:axId val="1622776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22776864"/>
        <c:crosses val="autoZero"/>
        <c:auto val="1"/>
        <c:lblAlgn val="ctr"/>
        <c:lblOffset val="100"/>
        <c:noMultiLvlLbl val="0"/>
      </c:catAx>
      <c:valAx>
        <c:axId val="16227768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2277632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</a:t>
            </a:r>
            <a:r>
              <a:rPr lang="en-US" sz="5000" b="0" strike="noStrike" spc="-1">
                <a:solidFill>
                  <a:srgbClr val="595959"/>
                </a:solidFill>
                <a:latin typeface="Calibri"/>
              </a:rPr>
              <a:t>19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18"/>
              <c:layout>
                <c:manualLayout>
                  <c:x val="-1.0828370330265296E-3"/>
                  <c:y val="2.49159834522661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weekly!$A$27:$A$46</c15:sqref>
                  </c15:fullRef>
                </c:ext>
              </c:extLst>
              <c:f>weekly!$A$28:$A$46</c:f>
              <c:strCache>
                <c:ptCount val="1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  <c:pt idx="18">
                  <c:v>هفته 46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weekly!$C$27:$C$46</c15:sqref>
                  </c15:fullRef>
                </c:ext>
              </c:extLst>
              <c:f>weekly!$C$28:$C$46</c:f>
              <c:numCache>
                <c:formatCode>General</c:formatCode>
                <c:ptCount val="19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  <c:pt idx="15">
                  <c:v>28892</c:v>
                </c:pt>
                <c:pt idx="16">
                  <c:v>28631</c:v>
                </c:pt>
                <c:pt idx="17">
                  <c:v>28422</c:v>
                </c:pt>
                <c:pt idx="18">
                  <c:v>28403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CC3E-4439-B070-3AEFA3B2358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weekly!$A$27:$A$46</c15:sqref>
                  </c15:fullRef>
                </c:ext>
              </c:extLst>
              <c:f>weekly!$A$28:$A$46</c:f>
              <c:strCache>
                <c:ptCount val="1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  <c:pt idx="18">
                  <c:v>هفته 46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weekly!$I$27:$I$46</c15:sqref>
                  </c15:fullRef>
                </c:ext>
              </c:extLst>
              <c:f>weekly!$I$28:$I$46</c:f>
              <c:numCache>
                <c:formatCode>General</c:formatCode>
                <c:ptCount val="19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  <c:pt idx="15">
                  <c:v>29043</c:v>
                </c:pt>
                <c:pt idx="16">
                  <c:v>28888</c:v>
                </c:pt>
                <c:pt idx="17">
                  <c:v>28608</c:v>
                </c:pt>
                <c:pt idx="18">
                  <c:v>28710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622777408"/>
        <c:axId val="1622777952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weekly!$A$27:$A$46</c15:sqref>
                        </c15:fullRef>
                        <c15:formulaRef>
                          <c15:sqref>weekly!$A$28:$A$46</c15:sqref>
                        </c15:formulaRef>
                      </c:ext>
                    </c:extLst>
                    <c:strCache>
                      <c:ptCount val="19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  <c:pt idx="17">
                        <c:v>هفته 45 سال</c:v>
                      </c:pt>
                      <c:pt idx="18">
                        <c:v>هفته 46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1622777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22777952"/>
        <c:crosses val="autoZero"/>
        <c:auto val="1"/>
        <c:lblAlgn val="ctr"/>
        <c:lblOffset val="100"/>
        <c:noMultiLvlLbl val="0"/>
      </c:catAx>
      <c:valAx>
        <c:axId val="1622777952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2277740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layout/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2779584"/>
        <c:axId val="1841450624"/>
      </c:barChart>
      <c:catAx>
        <c:axId val="1622779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41450624"/>
        <c:crosses val="autoZero"/>
        <c:auto val="1"/>
        <c:lblAlgn val="ctr"/>
        <c:lblOffset val="100"/>
        <c:noMultiLvlLbl val="0"/>
      </c:catAx>
      <c:valAx>
        <c:axId val="18414506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layout/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2277958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دوشنبه 25 بهمن 1400 )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93"/>
          <c:order val="93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change'!$F$175:$I$175</c:f>
              <c:numCache>
                <c:formatCode>General</c:formatCode>
                <c:ptCount val="4"/>
                <c:pt idx="0">
                  <c:v>1.1123470522803114</c:v>
                </c:pt>
                <c:pt idx="1">
                  <c:v>-4.1339396444811903E-2</c:v>
                </c:pt>
                <c:pt idx="2">
                  <c:v>0.9390841851574836</c:v>
                </c:pt>
                <c:pt idx="3">
                  <c:v>0.57999999999999996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41440832"/>
        <c:axId val="1841449536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7CB-4623-96D1-F21BF08FFBA1}"/>
                  </c:ext>
                </c:extLst>
              </c15:ser>
            </c15:filteredBarSeries>
            <c15:filteredBarSeries>
              <c15:ser>
                <c:idx val="73"/>
                <c:order val="7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change'!$F$155:$I$155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-0.86830680173661356</c:v>
                      </c:pt>
                      <c:pt idx="1">
                        <c:v>-0.73170731707317072</c:v>
                      </c:pt>
                      <c:pt idx="2">
                        <c:v>-0.98292378175760098</c:v>
                      </c:pt>
                      <c:pt idx="3">
                        <c:v>-0.33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7CB-4623-96D1-F21BF08FFBA1}"/>
                  </c:ext>
                </c:extLst>
              </c15:ser>
            </c15:filteredBarSeries>
            <c15:filteredBarSeries>
              <c15:ser>
                <c:idx val="74"/>
                <c:order val="7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change'!$F$156:$I$156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1.0948905109489051</c:v>
                      </c:pt>
                      <c:pt idx="1">
                        <c:v>0.16380016380016379</c:v>
                      </c:pt>
                      <c:pt idx="2">
                        <c:v>-0.87490535879532261</c:v>
                      </c:pt>
                      <c:pt idx="3">
                        <c:v>-2.34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7CB-4623-96D1-F21BF08FFBA1}"/>
                  </c:ext>
                </c:extLst>
              </c15:ser>
            </c15:filteredBarSeries>
            <c15:filteredBarSeries>
              <c15:ser>
                <c:idx val="75"/>
                <c:order val="7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change'!$F$157:$I$157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0.79422382671480141</c:v>
                      </c:pt>
                      <c:pt idx="1">
                        <c:v>0.77677841373671297</c:v>
                      </c:pt>
                      <c:pt idx="2">
                        <c:v>1.4767037257065263</c:v>
                      </c:pt>
                      <c:pt idx="3">
                        <c:v>0.27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7CB-4623-96D1-F21BF08FFBA1}"/>
                  </c:ext>
                </c:extLst>
              </c15:ser>
            </c15:filteredBarSeries>
            <c15:filteredBarSeries>
              <c15:ser>
                <c:idx val="76"/>
                <c:order val="7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change'!$F$158:$I$158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-0.14326647564469913</c:v>
                      </c:pt>
                      <c:pt idx="1">
                        <c:v>0.28397565922920892</c:v>
                      </c:pt>
                      <c:pt idx="2">
                        <c:v>1.480304424186669</c:v>
                      </c:pt>
                      <c:pt idx="3">
                        <c:v>0.19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D5-49DE-A5A4-FBE70B88F2CA}"/>
                  </c:ext>
                </c:extLst>
              </c15:ser>
            </c15:filteredBarSeries>
            <c15:filteredBarSeries>
              <c15:ser>
                <c:idx val="77"/>
                <c:order val="7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change'!$F$159:$I$159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0.25107604017216645</c:v>
                      </c:pt>
                      <c:pt idx="1">
                        <c:v>1.2944983818770226</c:v>
                      </c:pt>
                      <c:pt idx="2">
                        <c:v>9.8895665073347613E-2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580A-4DC9-AF07-7B1D9A94AFC4}"/>
                  </c:ext>
                </c:extLst>
              </c15:ser>
            </c15:filteredBarSeries>
            <c15:filteredBarSeries>
              <c15:ser>
                <c:idx val="78"/>
                <c:order val="7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change'!$F$160:$I$160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0.89445438282647582</c:v>
                      </c:pt>
                      <c:pt idx="1">
                        <c:v>0.47923322683706071</c:v>
                      </c:pt>
                      <c:pt idx="2">
                        <c:v>2.0171249794170922</c:v>
                      </c:pt>
                      <c:pt idx="3">
                        <c:v>-1.74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580A-4DC9-AF07-7B1D9A94AFC4}"/>
                  </c:ext>
                </c:extLst>
              </c15:ser>
            </c15:filteredBarSeries>
            <c15:filteredBarSeries>
              <c15:ser>
                <c:idx val="79"/>
                <c:order val="7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change'!$F$161:$I$161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-0.3546099290780142</c:v>
                      </c:pt>
                      <c:pt idx="1">
                        <c:v>-1.0731319554848966</c:v>
                      </c:pt>
                      <c:pt idx="2">
                        <c:v>0.21790008877411024</c:v>
                      </c:pt>
                      <c:pt idx="3">
                        <c:v>-2.16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580A-4DC9-AF07-7B1D9A94AFC4}"/>
                  </c:ext>
                </c:extLst>
              </c15:ser>
            </c15:filteredBarSeries>
            <c15:filteredBarSeries>
              <c15:ser>
                <c:idx val="80"/>
                <c:order val="8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change'!$F$162:$I$162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0.17793594306049823</c:v>
                      </c:pt>
                      <c:pt idx="1">
                        <c:v>1.0847730012053034</c:v>
                      </c:pt>
                      <c:pt idx="2">
                        <c:v>2.7943308101143502</c:v>
                      </c:pt>
                      <c:pt idx="3">
                        <c:v>1.78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80A-4DC9-AF07-7B1D9A94AFC4}"/>
                  </c:ext>
                </c:extLst>
              </c15:ser>
            </c15:filteredBarSeries>
            <c15:filteredBarSeries>
              <c15:ser>
                <c:idx val="81"/>
                <c:order val="8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change'!$F$163:$I$163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0.28419182948490229</c:v>
                      </c:pt>
                      <c:pt idx="1">
                        <c:v>-0.99364069952305245</c:v>
                      </c:pt>
                      <c:pt idx="2">
                        <c:v>-2.4598511555033293</c:v>
                      </c:pt>
                      <c:pt idx="3">
                        <c:v>2.41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25-4A13-98D8-CAB9E1153C64}"/>
                  </c:ext>
                </c:extLst>
              </c15:ser>
            </c15:filteredBarSeries>
            <c15:filteredBarSeries>
              <c15:ser>
                <c:idx val="82"/>
                <c:order val="8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change'!$F$164:$I$164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-0.38965639390719092</c:v>
                      </c:pt>
                      <c:pt idx="1">
                        <c:v>-0.76274588518667197</c:v>
                      </c:pt>
                      <c:pt idx="2">
                        <c:v>-1.7428319010521243</c:v>
                      </c:pt>
                      <c:pt idx="3">
                        <c:v>2.0299999999999998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25-4A13-98D8-CAB9E1153C64}"/>
                  </c:ext>
                </c:extLst>
              </c15:ser>
            </c15:filteredBarSeries>
            <c15:filteredBarSeries>
              <c15:ser>
                <c:idx val="83"/>
                <c:order val="8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change'!$F$165:$I$165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-0.53342816500711232</c:v>
                      </c:pt>
                      <c:pt idx="1">
                        <c:v>-1.0113268608414239</c:v>
                      </c:pt>
                      <c:pt idx="2">
                        <c:v>0.18800065391531798</c:v>
                      </c:pt>
                      <c:pt idx="3">
                        <c:v>0.78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25-4A13-98D8-CAB9E1153C64}"/>
                  </c:ext>
                </c:extLst>
              </c15:ser>
            </c15:filteredBarSeries>
            <c15:filteredBarSeries>
              <c15:ser>
                <c:idx val="84"/>
                <c:order val="8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change'!$F$166:$I$166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-0.64354665713264214</c:v>
                      </c:pt>
                      <c:pt idx="1">
                        <c:v>4.0866366979975477E-2</c:v>
                      </c:pt>
                      <c:pt idx="2">
                        <c:v>-0.66084686301705153</c:v>
                      </c:pt>
                      <c:pt idx="3">
                        <c:v>0.52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25-4A13-98D8-CAB9E1153C64}"/>
                  </c:ext>
                </c:extLst>
              </c15:ser>
            </c15:filteredBarSeries>
            <c15:filteredBarSeries>
              <c15:ser>
                <c:idx val="85"/>
                <c:order val="8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change'!$F$167:$I$167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-0.97157250809643758</c:v>
                      </c:pt>
                      <c:pt idx="1">
                        <c:v>-0.49019607843137253</c:v>
                      </c:pt>
                      <c:pt idx="2">
                        <c:v>-0.79664914586070956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25-4A13-98D8-CAB9E1153C64}"/>
                  </c:ext>
                </c:extLst>
              </c15:ser>
            </c15:filteredBarSeries>
            <c15:filteredBarSeries>
              <c15:ser>
                <c:idx val="86"/>
                <c:order val="8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change'!$F$168:$I$168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-2.3255813953488373</c:v>
                      </c:pt>
                      <c:pt idx="1">
                        <c:v>-2.4220032840722494</c:v>
                      </c:pt>
                      <c:pt idx="2">
                        <c:v>-0.93550790628363278</c:v>
                      </c:pt>
                      <c:pt idx="3">
                        <c:v>0.25</c:v>
                      </c:pt>
                    </c:numCache>
                  </c:numRef>
                </c:val>
              </c15:ser>
            </c15:filteredBarSeries>
            <c15:filteredBarSeries>
              <c15:ser>
                <c:idx val="87"/>
                <c:order val="8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change'!$F$169:$I$169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-0.85565476190476186</c:v>
                      </c:pt>
                      <c:pt idx="1">
                        <c:v>0.79932688262515772</c:v>
                      </c:pt>
                      <c:pt idx="2">
                        <c:v>-2.6073875981948853</c:v>
                      </c:pt>
                      <c:pt idx="3">
                        <c:v>-1.72</c:v>
                      </c:pt>
                    </c:numCache>
                  </c:numRef>
                </c:val>
              </c15:ser>
            </c15:filteredBarSeries>
            <c15:filteredBarSeries>
              <c15:ser>
                <c:idx val="88"/>
                <c:order val="8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change'!$F$170:$I$170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0.41275797373358347</c:v>
                      </c:pt>
                      <c:pt idx="1">
                        <c:v>-0.62604340567612693</c:v>
                      </c:pt>
                      <c:pt idx="2">
                        <c:v>1.2270465076368628</c:v>
                      </c:pt>
                      <c:pt idx="3">
                        <c:v>-0.59</c:v>
                      </c:pt>
                    </c:numCache>
                  </c:numRef>
                </c:val>
              </c15:ser>
            </c15:filteredBarSeries>
            <c15:filteredBarSeries>
              <c15:ser>
                <c:idx val="89"/>
                <c:order val="8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change'!$F$171:$I$171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-1.905829596412556</c:v>
                      </c:pt>
                      <c:pt idx="1">
                        <c:v>-1.0499790004199916</c:v>
                      </c:pt>
                      <c:pt idx="2">
                        <c:v>-1.4834279901669916</c:v>
                      </c:pt>
                      <c:pt idx="3">
                        <c:v>0.53</c:v>
                      </c:pt>
                    </c:numCache>
                  </c:numRef>
                </c:val>
              </c15:ser>
            </c15:filteredBarSeries>
            <c15:filteredBarSeries>
              <c15:ser>
                <c:idx val="90"/>
                <c:order val="9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change'!$F$172:$I$172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1.1428571428571428</c:v>
                      </c:pt>
                      <c:pt idx="1">
                        <c:v>-8.4889643463497449E-2</c:v>
                      </c:pt>
                      <c:pt idx="2">
                        <c:v>-0.51626226122870422</c:v>
                      </c:pt>
                      <c:pt idx="3">
                        <c:v>0.24</c:v>
                      </c:pt>
                    </c:numCache>
                  </c:numRef>
                </c:val>
              </c15:ser>
            </c15:filteredBarSeries>
            <c15:filteredBarSeries>
              <c15:ser>
                <c:idx val="91"/>
                <c:order val="9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change'!$F$173:$I$173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0.4519774011299435</c:v>
                      </c:pt>
                      <c:pt idx="1">
                        <c:v>2.3364485981308412</c:v>
                      </c:pt>
                      <c:pt idx="2">
                        <c:v>3.8920601971977167</c:v>
                      </c:pt>
                      <c:pt idx="3">
                        <c:v>0</c:v>
                      </c:pt>
                    </c:numCache>
                  </c:numRef>
                </c:val>
              </c15:ser>
            </c15:filteredBarSeries>
            <c15:filteredBarSeries>
              <c15:ser>
                <c:idx val="92"/>
                <c:order val="9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change'!$F$174:$I$174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1.124859392575928</c:v>
                      </c:pt>
                      <c:pt idx="1">
                        <c:v>0.41511000415110005</c:v>
                      </c:pt>
                      <c:pt idx="2">
                        <c:v>0.17482517482517482</c:v>
                      </c:pt>
                      <c:pt idx="3">
                        <c:v>-0.62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1841440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41449536"/>
        <c:crosses val="autoZero"/>
        <c:auto val="1"/>
        <c:lblAlgn val="ctr"/>
        <c:lblOffset val="100"/>
        <c:noMultiLvlLbl val="0"/>
      </c:catAx>
      <c:valAx>
        <c:axId val="18414495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4144083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601</xdr:row>
      <xdr:rowOff>102960</xdr:rowOff>
    </xdr:from>
    <xdr:to>
      <xdr:col>11</xdr:col>
      <xdr:colOff>279360</xdr:colOff>
      <xdr:row>631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181</xdr:row>
      <xdr:rowOff>27711</xdr:rowOff>
    </xdr:from>
    <xdr:to>
      <xdr:col>53</xdr:col>
      <xdr:colOff>335280</xdr:colOff>
      <xdr:row>286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317</xdr:row>
      <xdr:rowOff>0</xdr:rowOff>
    </xdr:from>
    <xdr:to>
      <xdr:col>82</xdr:col>
      <xdr:colOff>0</xdr:colOff>
      <xdr:row>393</xdr:row>
      <xdr:rowOff>152161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636</xdr:row>
      <xdr:rowOff>0</xdr:rowOff>
    </xdr:from>
    <xdr:to>
      <xdr:col>13</xdr:col>
      <xdr:colOff>354240</xdr:colOff>
      <xdr:row>666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416</xdr:row>
      <xdr:rowOff>0</xdr:rowOff>
    </xdr:from>
    <xdr:to>
      <xdr:col>83</xdr:col>
      <xdr:colOff>533400</xdr:colOff>
      <xdr:row>515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64</xdr:row>
      <xdr:rowOff>76321</xdr:rowOff>
    </xdr:from>
    <xdr:to>
      <xdr:col>44</xdr:col>
      <xdr:colOff>533400</xdr:colOff>
      <xdr:row>163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685345</xdr:colOff>
      <xdr:row>2</xdr:row>
      <xdr:rowOff>80863</xdr:rowOff>
    </xdr:from>
    <xdr:to>
      <xdr:col>7</xdr:col>
      <xdr:colOff>954081</xdr:colOff>
      <xdr:row>31</xdr:row>
      <xdr:rowOff>134471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70"/>
  <sheetViews>
    <sheetView tabSelected="1" topLeftCell="R1" zoomScaleNormal="100" workbookViewId="0">
      <pane ySplit="1" topLeftCell="A246" activePane="bottomLeft" state="frozen"/>
      <selection activeCell="B1" sqref="B1"/>
      <selection pane="bottomLeft" activeCell="W258" sqref="W258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9" width="8.570312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L255/G255</f>
        <v>#DIV/0!</v>
      </c>
      <c r="T1" s="3" t="s">
        <v>15</v>
      </c>
      <c r="U1" s="3">
        <f>M255/K255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52" customFormat="1" ht="18">
      <c r="B230" s="153" t="s">
        <v>584</v>
      </c>
      <c r="C230" s="121">
        <v>27</v>
      </c>
      <c r="D230" s="154">
        <v>25583</v>
      </c>
      <c r="E230" s="152">
        <v>25372</v>
      </c>
      <c r="F230" s="152">
        <v>25188</v>
      </c>
      <c r="H230" s="152">
        <v>28731</v>
      </c>
      <c r="I230" s="152">
        <v>28625</v>
      </c>
      <c r="J230" s="152">
        <v>28650</v>
      </c>
      <c r="L230" s="201"/>
      <c r="M230" s="201"/>
      <c r="N230" s="152">
        <v>25626</v>
      </c>
      <c r="O230" s="152">
        <v>28911</v>
      </c>
      <c r="P230" s="152">
        <v>25839</v>
      </c>
      <c r="Q230" s="152">
        <v>29018</v>
      </c>
      <c r="V230" s="152">
        <v>27480</v>
      </c>
      <c r="X230" s="152">
        <v>27400</v>
      </c>
      <c r="Y230" s="152">
        <v>31384</v>
      </c>
      <c r="Z230" s="155"/>
      <c r="AB230" s="154"/>
      <c r="AS230" s="154"/>
      <c r="AW230" s="154"/>
      <c r="BI230" s="178"/>
      <c r="BO230" s="156"/>
      <c r="BP230" s="156"/>
      <c r="BQ230" s="156"/>
      <c r="BR230" s="156"/>
    </row>
    <row r="231" spans="2:70" s="152" customFormat="1" ht="18">
      <c r="B231" s="153" t="s">
        <v>586</v>
      </c>
      <c r="C231" s="121">
        <v>28</v>
      </c>
      <c r="D231" s="154">
        <v>25372</v>
      </c>
      <c r="E231" s="152">
        <v>25287</v>
      </c>
      <c r="F231" s="152">
        <v>25282</v>
      </c>
      <c r="H231" s="152">
        <v>28625</v>
      </c>
      <c r="I231" s="152">
        <v>28870</v>
      </c>
      <c r="J231" s="152">
        <v>28966</v>
      </c>
      <c r="L231" s="201"/>
      <c r="M231" s="201"/>
      <c r="N231" s="152">
        <v>25540</v>
      </c>
      <c r="O231" s="152">
        <v>29159</v>
      </c>
      <c r="P231" s="152">
        <v>25626</v>
      </c>
      <c r="Q231" s="152">
        <v>28911</v>
      </c>
      <c r="V231" s="152">
        <v>27250</v>
      </c>
      <c r="X231" s="152">
        <v>27700</v>
      </c>
      <c r="Y231" s="152">
        <v>31102</v>
      </c>
      <c r="Z231" s="155"/>
      <c r="AB231" s="154"/>
      <c r="AS231" s="154"/>
      <c r="AW231" s="154"/>
      <c r="BI231" s="178"/>
      <c r="BO231" s="156"/>
      <c r="BP231" s="156"/>
      <c r="BQ231" s="156"/>
      <c r="BR231" s="156"/>
    </row>
    <row r="232" spans="2:70" s="152" customFormat="1" ht="18">
      <c r="B232" s="153" t="s">
        <v>588</v>
      </c>
      <c r="C232" s="121">
        <v>29</v>
      </c>
      <c r="D232" s="154">
        <v>25644</v>
      </c>
      <c r="E232" s="152">
        <v>25289</v>
      </c>
      <c r="F232" s="152">
        <v>25357</v>
      </c>
      <c r="H232" s="152">
        <v>28870</v>
      </c>
      <c r="I232" s="152">
        <v>28606</v>
      </c>
      <c r="J232" s="152">
        <v>28898</v>
      </c>
      <c r="L232" s="201"/>
      <c r="M232" s="201"/>
      <c r="N232" s="152">
        <v>25541</v>
      </c>
      <c r="O232" s="152">
        <v>28892</v>
      </c>
      <c r="P232" s="152">
        <v>25900</v>
      </c>
      <c r="Q232" s="152">
        <v>29159</v>
      </c>
      <c r="V232" s="152">
        <v>27800</v>
      </c>
      <c r="X232" s="152">
        <v>27920</v>
      </c>
      <c r="Y232" s="152">
        <v>31471</v>
      </c>
      <c r="Z232" s="155"/>
      <c r="AB232" s="154"/>
      <c r="AS232" s="154"/>
      <c r="AW232" s="154"/>
      <c r="BI232" s="178"/>
      <c r="BO232" s="156"/>
      <c r="BP232" s="156"/>
      <c r="BQ232" s="156"/>
      <c r="BR232" s="156"/>
    </row>
    <row r="233" spans="2:70" s="152" customFormat="1" ht="18">
      <c r="B233" s="153" t="s">
        <v>590</v>
      </c>
      <c r="C233" s="121">
        <v>30</v>
      </c>
      <c r="D233" s="154">
        <v>25289</v>
      </c>
      <c r="E233" s="152">
        <v>25450</v>
      </c>
      <c r="F233" s="152">
        <v>25314</v>
      </c>
      <c r="H233" s="152">
        <v>28606</v>
      </c>
      <c r="I233" s="152">
        <v>28700</v>
      </c>
      <c r="J233" s="152">
        <v>28713</v>
      </c>
      <c r="L233" s="201"/>
      <c r="M233" s="201"/>
      <c r="N233" s="152">
        <v>25704</v>
      </c>
      <c r="O233" s="152">
        <v>28987</v>
      </c>
      <c r="P233" s="152">
        <v>25542</v>
      </c>
      <c r="Q233" s="152">
        <v>28892</v>
      </c>
      <c r="V233" s="152">
        <v>27850</v>
      </c>
      <c r="X233" s="152">
        <v>27880</v>
      </c>
      <c r="Y233" s="152">
        <v>31696</v>
      </c>
      <c r="Z233" s="155"/>
      <c r="AB233" s="154"/>
      <c r="AS233" s="154"/>
      <c r="AW233" s="154"/>
      <c r="BI233" s="178"/>
      <c r="BO233" s="156"/>
      <c r="BP233" s="156"/>
      <c r="BQ233" s="156"/>
      <c r="BR233" s="156"/>
    </row>
    <row r="234" spans="2:70" s="144" customFormat="1" ht="18">
      <c r="B234" s="145" t="s">
        <v>593</v>
      </c>
      <c r="C234" s="108">
        <v>2</v>
      </c>
      <c r="D234" s="146">
        <v>25600</v>
      </c>
      <c r="E234" s="144">
        <v>25552</v>
      </c>
      <c r="F234" s="144">
        <v>25504</v>
      </c>
      <c r="H234" s="144">
        <v>28700</v>
      </c>
      <c r="I234" s="144">
        <v>28700</v>
      </c>
      <c r="J234" s="144">
        <v>28768</v>
      </c>
      <c r="L234" s="142"/>
      <c r="M234" s="142"/>
      <c r="N234" s="144">
        <v>25808</v>
      </c>
      <c r="O234" s="144">
        <v>28987</v>
      </c>
      <c r="P234" s="144">
        <v>25856</v>
      </c>
      <c r="Q234" s="144">
        <v>28987</v>
      </c>
      <c r="X234" s="144">
        <v>27880</v>
      </c>
      <c r="Y234" s="144">
        <v>31638</v>
      </c>
      <c r="Z234" s="147"/>
      <c r="AB234" s="146"/>
      <c r="AS234" s="146"/>
      <c r="AW234" s="146"/>
      <c r="BI234" s="207"/>
      <c r="BO234" s="150"/>
      <c r="BP234" s="150"/>
      <c r="BQ234" s="150"/>
      <c r="BR234" s="150"/>
    </row>
    <row r="235" spans="2:70" s="144" customFormat="1" ht="18">
      <c r="B235" s="145" t="s">
        <v>595</v>
      </c>
      <c r="C235" s="108">
        <v>3</v>
      </c>
      <c r="D235" s="146">
        <v>25477</v>
      </c>
      <c r="E235" s="144">
        <v>25468</v>
      </c>
      <c r="F235" s="144">
        <v>25474</v>
      </c>
      <c r="H235" s="144">
        <v>28990</v>
      </c>
      <c r="I235" s="144">
        <v>28942</v>
      </c>
      <c r="J235" s="144">
        <v>28707</v>
      </c>
      <c r="L235" s="142"/>
      <c r="M235" s="142"/>
      <c r="N235" s="144">
        <v>25723</v>
      </c>
      <c r="O235" s="144">
        <v>29231</v>
      </c>
      <c r="P235" s="144">
        <v>25732</v>
      </c>
      <c r="Q235" s="144">
        <v>29280</v>
      </c>
      <c r="V235" s="144">
        <v>27850</v>
      </c>
      <c r="X235" s="144">
        <v>27950</v>
      </c>
      <c r="Y235" s="144">
        <v>31581</v>
      </c>
      <c r="Z235" s="147"/>
      <c r="AB235" s="146"/>
      <c r="AS235" s="146"/>
      <c r="AW235" s="146"/>
      <c r="BI235" s="207"/>
      <c r="BO235" s="150"/>
      <c r="BP235" s="150"/>
      <c r="BQ235" s="150"/>
      <c r="BR235" s="150"/>
    </row>
    <row r="236" spans="2:70" s="144" customFormat="1" ht="18">
      <c r="B236" s="145" t="s">
        <v>597</v>
      </c>
      <c r="C236" s="108">
        <v>4</v>
      </c>
      <c r="D236" s="146">
        <v>25456</v>
      </c>
      <c r="E236" s="144">
        <v>25264</v>
      </c>
      <c r="F236" s="144">
        <v>25310</v>
      </c>
      <c r="H236" s="144">
        <v>28942</v>
      </c>
      <c r="I236" s="144">
        <v>28680</v>
      </c>
      <c r="J236" s="144">
        <v>28765</v>
      </c>
      <c r="L236" s="142"/>
      <c r="M236" s="142"/>
      <c r="N236" s="144">
        <v>25517</v>
      </c>
      <c r="O236" s="144">
        <v>28967</v>
      </c>
      <c r="P236" s="144">
        <v>25711</v>
      </c>
      <c r="Q236" s="144">
        <v>29231</v>
      </c>
      <c r="V236" s="144">
        <v>28080</v>
      </c>
      <c r="X236" s="144">
        <v>28200</v>
      </c>
      <c r="Y236" s="144">
        <v>31837</v>
      </c>
      <c r="Z236" s="147"/>
      <c r="AB236" s="146"/>
      <c r="AS236" s="146"/>
      <c r="AW236" s="146"/>
      <c r="BI236" s="207"/>
      <c r="BO236" s="150"/>
      <c r="BP236" s="150"/>
      <c r="BQ236" s="150"/>
      <c r="BR236" s="150"/>
    </row>
    <row r="237" spans="2:70" s="144" customFormat="1" ht="18">
      <c r="B237" s="145" t="s">
        <v>599</v>
      </c>
      <c r="C237" s="108">
        <v>5</v>
      </c>
      <c r="D237" s="146">
        <v>25250</v>
      </c>
      <c r="E237" s="144">
        <v>25088</v>
      </c>
      <c r="F237" s="144">
        <v>25174</v>
      </c>
      <c r="H237" s="144">
        <v>26680</v>
      </c>
      <c r="I237" s="144">
        <v>28350</v>
      </c>
      <c r="J237" s="144">
        <v>28564</v>
      </c>
      <c r="L237" s="142"/>
      <c r="M237" s="142"/>
      <c r="N237" s="144">
        <v>25339</v>
      </c>
      <c r="O237" s="144">
        <v>28633</v>
      </c>
      <c r="P237" s="144">
        <v>25502</v>
      </c>
      <c r="Q237" s="144">
        <v>28967</v>
      </c>
      <c r="V237" s="144">
        <v>28100</v>
      </c>
      <c r="X237" s="144">
        <v>28100</v>
      </c>
      <c r="Y237" s="144">
        <v>31795</v>
      </c>
      <c r="Z237" s="147"/>
      <c r="AB237" s="146"/>
      <c r="AS237" s="146"/>
      <c r="AW237" s="146"/>
      <c r="BI237" s="207"/>
      <c r="BO237" s="150"/>
      <c r="BP237" s="150"/>
      <c r="BQ237" s="150"/>
      <c r="BR237" s="150"/>
    </row>
    <row r="238" spans="2:70" s="144" customFormat="1" ht="18">
      <c r="B238" s="145" t="s">
        <v>601</v>
      </c>
      <c r="C238" s="108">
        <v>6</v>
      </c>
      <c r="D238" s="146">
        <v>25088</v>
      </c>
      <c r="E238" s="144">
        <v>24998</v>
      </c>
      <c r="F238" s="144">
        <v>25080</v>
      </c>
      <c r="H238" s="144">
        <v>28350</v>
      </c>
      <c r="I238" s="144">
        <v>28393</v>
      </c>
      <c r="J238" s="144">
        <v>28491</v>
      </c>
      <c r="L238" s="142"/>
      <c r="M238" s="142"/>
      <c r="N238" s="144">
        <v>25248</v>
      </c>
      <c r="O238" s="144">
        <v>28677</v>
      </c>
      <c r="P238" s="144">
        <v>25339</v>
      </c>
      <c r="Q238" s="144">
        <v>28633</v>
      </c>
      <c r="V238" s="144">
        <v>28300</v>
      </c>
      <c r="X238" s="144">
        <v>28150</v>
      </c>
      <c r="Y238" s="144">
        <v>31998</v>
      </c>
      <c r="Z238" s="147"/>
      <c r="AB238" s="146"/>
      <c r="AS238" s="146"/>
      <c r="AW238" s="146"/>
      <c r="BI238" s="207"/>
      <c r="BO238" s="150"/>
      <c r="BP238" s="150"/>
      <c r="BQ238" s="150"/>
      <c r="BR238" s="150"/>
    </row>
    <row r="239" spans="2:70" s="202" customFormat="1" ht="18">
      <c r="B239" s="148" t="s">
        <v>603</v>
      </c>
      <c r="C239" s="114">
        <v>7</v>
      </c>
      <c r="D239" s="203">
        <v>25080</v>
      </c>
      <c r="E239" s="202">
        <v>24988</v>
      </c>
      <c r="F239" s="202">
        <v>24989</v>
      </c>
      <c r="H239" s="202">
        <v>28393</v>
      </c>
      <c r="I239" s="202">
        <v>28546</v>
      </c>
      <c r="J239" s="202">
        <v>28491</v>
      </c>
      <c r="L239" s="149"/>
      <c r="M239" s="149"/>
      <c r="N239" s="202">
        <v>25238</v>
      </c>
      <c r="O239" s="202">
        <v>28831</v>
      </c>
      <c r="P239" s="202">
        <v>25331</v>
      </c>
      <c r="Q239" s="202">
        <v>28677</v>
      </c>
      <c r="V239" s="202">
        <v>28000</v>
      </c>
      <c r="X239" s="202">
        <v>27960</v>
      </c>
      <c r="Y239" s="202">
        <v>31399</v>
      </c>
      <c r="Z239" s="204"/>
      <c r="AB239" s="203"/>
      <c r="AS239" s="203"/>
      <c r="AW239" s="203"/>
      <c r="BI239" s="205"/>
      <c r="BO239" s="206"/>
      <c r="BP239" s="206"/>
      <c r="BQ239" s="206"/>
      <c r="BR239" s="206"/>
    </row>
    <row r="240" spans="2:70" s="152" customFormat="1" ht="18">
      <c r="B240" s="153" t="s">
        <v>607</v>
      </c>
      <c r="C240" s="121">
        <v>9</v>
      </c>
      <c r="D240" s="154">
        <v>25019</v>
      </c>
      <c r="E240" s="152">
        <v>24959</v>
      </c>
      <c r="F240" s="152">
        <v>24987</v>
      </c>
      <c r="H240" s="152">
        <v>28546</v>
      </c>
      <c r="I240" s="152">
        <v>28101</v>
      </c>
      <c r="J240" s="152">
        <v>28438</v>
      </c>
      <c r="L240" s="201"/>
      <c r="M240" s="201"/>
      <c r="N240" s="152">
        <v>25208</v>
      </c>
      <c r="O240" s="152">
        <v>28382</v>
      </c>
      <c r="P240" s="152">
        <v>25269</v>
      </c>
      <c r="Q240" s="152">
        <v>28831</v>
      </c>
      <c r="V240" s="152">
        <v>28340</v>
      </c>
      <c r="X240" s="152">
        <v>28230</v>
      </c>
      <c r="Y240" s="152">
        <v>31767</v>
      </c>
      <c r="Z240" s="155"/>
      <c r="AB240" s="154"/>
      <c r="AS240" s="154"/>
      <c r="AW240" s="154"/>
      <c r="BI240" s="178"/>
      <c r="BO240" s="156"/>
      <c r="BP240" s="156"/>
      <c r="BQ240" s="156"/>
      <c r="BR240" s="156"/>
    </row>
    <row r="241" spans="2:70" s="152" customFormat="1" ht="18">
      <c r="B241" s="153" t="s">
        <v>610</v>
      </c>
      <c r="C241" s="121">
        <v>10</v>
      </c>
      <c r="D241" s="154">
        <v>24954</v>
      </c>
      <c r="E241" s="152">
        <v>24806</v>
      </c>
      <c r="F241" s="152">
        <v>24952</v>
      </c>
      <c r="H241" s="152">
        <v>28101</v>
      </c>
      <c r="I241" s="152">
        <v>28390</v>
      </c>
      <c r="J241" s="152">
        <v>28333</v>
      </c>
      <c r="L241" s="201"/>
      <c r="M241" s="201"/>
      <c r="N241" s="152">
        <v>25054</v>
      </c>
      <c r="O241" s="152">
        <v>28674</v>
      </c>
      <c r="P241" s="152">
        <v>25244</v>
      </c>
      <c r="Q241" s="152">
        <v>28382</v>
      </c>
      <c r="V241" s="152">
        <v>28000</v>
      </c>
      <c r="X241" s="152">
        <v>28120</v>
      </c>
      <c r="Y241" s="152">
        <v>31197</v>
      </c>
      <c r="Z241" s="155"/>
      <c r="AB241" s="154"/>
      <c r="AS241" s="154"/>
      <c r="AW241" s="154"/>
      <c r="BI241" s="178"/>
      <c r="BO241" s="156"/>
      <c r="BP241" s="156"/>
      <c r="BQ241" s="156"/>
      <c r="BR241" s="156"/>
    </row>
    <row r="242" spans="2:70" s="152" customFormat="1" ht="18">
      <c r="B242" s="153" t="s">
        <v>611</v>
      </c>
      <c r="C242" s="121">
        <v>11</v>
      </c>
      <c r="D242" s="154">
        <v>25053</v>
      </c>
      <c r="E242" s="152">
        <v>24808</v>
      </c>
      <c r="F242" s="152">
        <v>24968</v>
      </c>
      <c r="H242" s="152">
        <v>28390</v>
      </c>
      <c r="I242" s="152">
        <v>28299</v>
      </c>
      <c r="J242" s="152">
        <v>28325</v>
      </c>
      <c r="L242" s="201"/>
      <c r="M242" s="201"/>
      <c r="N242" s="152">
        <v>25056</v>
      </c>
      <c r="O242" s="152">
        <v>28582</v>
      </c>
      <c r="P242" s="152">
        <v>25303</v>
      </c>
      <c r="Q242" s="152">
        <v>28674</v>
      </c>
      <c r="V242" s="152">
        <v>28100</v>
      </c>
      <c r="X242" s="152">
        <v>27970</v>
      </c>
      <c r="Y242" s="152">
        <v>31197</v>
      </c>
      <c r="Z242" s="155"/>
      <c r="AB242" s="154"/>
      <c r="AS242" s="154"/>
      <c r="AW242" s="154"/>
      <c r="BI242" s="178"/>
      <c r="BO242" s="156"/>
      <c r="BP242" s="156"/>
      <c r="BQ242" s="156"/>
      <c r="BR242" s="156"/>
    </row>
    <row r="243" spans="2:70" s="152" customFormat="1" ht="18">
      <c r="B243" s="153" t="s">
        <v>612</v>
      </c>
      <c r="C243" s="121">
        <v>12</v>
      </c>
      <c r="D243" s="154">
        <v>25033</v>
      </c>
      <c r="E243" s="152">
        <v>24897</v>
      </c>
      <c r="F243" s="152">
        <v>24869</v>
      </c>
      <c r="H243" s="152">
        <v>28299</v>
      </c>
      <c r="I243" s="152">
        <v>28216</v>
      </c>
      <c r="J243" s="152">
        <v>28225</v>
      </c>
      <c r="L243" s="201"/>
      <c r="M243" s="201"/>
      <c r="N243" s="152">
        <v>25145</v>
      </c>
      <c r="O243" s="152">
        <v>28498</v>
      </c>
      <c r="P243" s="152">
        <v>25283</v>
      </c>
      <c r="Q243" s="152">
        <v>28582</v>
      </c>
      <c r="V243" s="152">
        <v>27900</v>
      </c>
      <c r="X243" s="152">
        <v>27790</v>
      </c>
      <c r="Y243" s="152">
        <v>31197</v>
      </c>
      <c r="Z243" s="155"/>
      <c r="AB243" s="154"/>
      <c r="AS243" s="154"/>
      <c r="AW243" s="154"/>
      <c r="BI243" s="178"/>
      <c r="BO243" s="156"/>
      <c r="BP243" s="156"/>
      <c r="BQ243" s="156"/>
      <c r="BR243" s="156"/>
    </row>
    <row r="244" spans="2:70" s="152" customFormat="1" ht="18">
      <c r="B244" s="153" t="s">
        <v>614</v>
      </c>
      <c r="C244" s="121">
        <v>13</v>
      </c>
      <c r="D244" s="154">
        <v>24900</v>
      </c>
      <c r="E244" s="152">
        <v>25058</v>
      </c>
      <c r="F244" s="152">
        <v>24961</v>
      </c>
      <c r="H244" s="152">
        <v>28216</v>
      </c>
      <c r="I244" s="152">
        <v>28460</v>
      </c>
      <c r="J244" s="152">
        <v>28637</v>
      </c>
      <c r="L244" s="201"/>
      <c r="M244" s="201"/>
      <c r="N244" s="152">
        <v>25309</v>
      </c>
      <c r="O244" s="152">
        <v>28745</v>
      </c>
      <c r="P244" s="152">
        <v>25149</v>
      </c>
      <c r="Q244" s="152">
        <v>28498</v>
      </c>
      <c r="V244" s="152">
        <v>27680</v>
      </c>
      <c r="X244" s="152">
        <v>27520</v>
      </c>
      <c r="Y244" s="152">
        <v>31141</v>
      </c>
      <c r="Z244" s="155"/>
      <c r="AB244" s="154"/>
      <c r="AS244" s="154"/>
      <c r="AW244" s="154"/>
      <c r="BI244" s="178"/>
      <c r="BO244" s="156"/>
      <c r="BP244" s="156"/>
      <c r="BQ244" s="156"/>
      <c r="BR244" s="156"/>
    </row>
    <row r="245" spans="2:70" s="152" customFormat="1" ht="18">
      <c r="B245" s="153" t="s">
        <v>616</v>
      </c>
      <c r="C245" s="121">
        <v>14</v>
      </c>
      <c r="D245" s="154">
        <v>25090</v>
      </c>
      <c r="E245" s="152">
        <v>25125</v>
      </c>
      <c r="F245" s="152">
        <v>25079</v>
      </c>
      <c r="H245" s="152">
        <v>28460</v>
      </c>
      <c r="I245" s="152">
        <v>28482</v>
      </c>
      <c r="J245" s="152">
        <v>28573</v>
      </c>
      <c r="L245" s="201"/>
      <c r="M245" s="201"/>
      <c r="N245" s="152">
        <v>25376</v>
      </c>
      <c r="O245" s="152">
        <v>28767</v>
      </c>
      <c r="P245" s="152">
        <v>25341</v>
      </c>
      <c r="Q245" s="152">
        <v>28745</v>
      </c>
      <c r="V245" s="152">
        <v>27530</v>
      </c>
      <c r="X245" s="152">
        <v>27550</v>
      </c>
      <c r="Y245" s="152">
        <v>31141</v>
      </c>
      <c r="Z245" s="155"/>
      <c r="AB245" s="154"/>
      <c r="AS245" s="154"/>
      <c r="AW245" s="154"/>
      <c r="BI245" s="178"/>
      <c r="BO245" s="156"/>
      <c r="BP245" s="156"/>
      <c r="BQ245" s="156"/>
      <c r="BR245" s="156"/>
    </row>
    <row r="246" spans="2:70" s="144" customFormat="1" ht="18">
      <c r="B246" s="145" t="s">
        <v>619</v>
      </c>
      <c r="C246" s="108">
        <v>16</v>
      </c>
      <c r="D246" s="146">
        <v>24987</v>
      </c>
      <c r="E246" s="144">
        <v>24810</v>
      </c>
      <c r="F246" s="144">
        <v>24981</v>
      </c>
      <c r="H246" s="144">
        <v>28482</v>
      </c>
      <c r="I246" s="144">
        <v>28540</v>
      </c>
      <c r="J246" s="144">
        <v>28636</v>
      </c>
      <c r="L246" s="142"/>
      <c r="M246" s="142"/>
      <c r="N246" s="144">
        <v>25058</v>
      </c>
      <c r="O246" s="144">
        <v>28825</v>
      </c>
      <c r="P246" s="144">
        <v>25237</v>
      </c>
      <c r="Q246" s="144">
        <v>28767</v>
      </c>
      <c r="V246" s="144">
        <v>27080</v>
      </c>
      <c r="X246" s="144">
        <v>26880</v>
      </c>
      <c r="Y246" s="144">
        <v>30785</v>
      </c>
      <c r="Z246" s="147"/>
      <c r="AB246" s="146"/>
      <c r="AS246" s="146"/>
      <c r="AW246" s="146"/>
      <c r="BI246" s="207"/>
      <c r="BO246" s="150"/>
      <c r="BP246" s="150"/>
      <c r="BQ246" s="150"/>
      <c r="BR246" s="150"/>
    </row>
    <row r="247" spans="2:70" s="144" customFormat="1" ht="18">
      <c r="B247" s="145" t="s">
        <v>621</v>
      </c>
      <c r="C247" s="108">
        <v>17</v>
      </c>
      <c r="D247" s="146">
        <v>24624</v>
      </c>
      <c r="E247" s="144">
        <v>24286</v>
      </c>
      <c r="F247" s="144">
        <v>24319</v>
      </c>
      <c r="H247" s="144">
        <v>28540</v>
      </c>
      <c r="I247" s="144">
        <v>28064</v>
      </c>
      <c r="J247" s="144">
        <v>28240</v>
      </c>
      <c r="L247" s="142"/>
      <c r="M247" s="142"/>
      <c r="N247" s="144">
        <v>24529</v>
      </c>
      <c r="O247" s="144">
        <v>28344</v>
      </c>
      <c r="P247" s="144">
        <v>24870</v>
      </c>
      <c r="Q247" s="144">
        <v>28825</v>
      </c>
      <c r="V247" s="144">
        <v>26250</v>
      </c>
      <c r="X247" s="144">
        <v>26650</v>
      </c>
      <c r="Y247" s="144">
        <v>29950</v>
      </c>
      <c r="Z247" s="147"/>
      <c r="AB247" s="146"/>
      <c r="AS247" s="146"/>
      <c r="AW247" s="146"/>
      <c r="BI247" s="207"/>
      <c r="BO247" s="150"/>
      <c r="BP247" s="150"/>
      <c r="BQ247" s="150"/>
      <c r="BR247" s="150"/>
    </row>
    <row r="248" spans="2:70" s="144" customFormat="1" ht="18">
      <c r="B248" s="145" t="s">
        <v>623</v>
      </c>
      <c r="C248" s="108">
        <v>18</v>
      </c>
      <c r="D248" s="146">
        <v>24300</v>
      </c>
      <c r="E248" s="144">
        <v>24503</v>
      </c>
      <c r="F248" s="144">
        <v>24406</v>
      </c>
      <c r="H248" s="144">
        <v>28064</v>
      </c>
      <c r="I248" s="144">
        <v>28700</v>
      </c>
      <c r="J248" s="144">
        <v>28395</v>
      </c>
      <c r="L248" s="142"/>
      <c r="M248" s="142"/>
      <c r="N248" s="144">
        <v>24748</v>
      </c>
      <c r="O248" s="144">
        <v>28987</v>
      </c>
      <c r="P248" s="144">
        <v>24543</v>
      </c>
      <c r="Q248" s="144">
        <v>28344</v>
      </c>
      <c r="V248" s="144">
        <v>26980</v>
      </c>
      <c r="X248" s="144">
        <v>26760</v>
      </c>
      <c r="Y248" s="144">
        <v>30729</v>
      </c>
      <c r="Z248" s="147"/>
      <c r="AB248" s="146"/>
      <c r="AS248" s="146"/>
      <c r="AW248" s="146"/>
      <c r="BI248" s="207"/>
      <c r="BO248" s="150"/>
      <c r="BP248" s="150"/>
      <c r="BQ248" s="150"/>
      <c r="BR248" s="150"/>
    </row>
    <row r="249" spans="2:70" s="144" customFormat="1" ht="18">
      <c r="B249" s="145" t="s">
        <v>626</v>
      </c>
      <c r="C249" s="108">
        <v>19</v>
      </c>
      <c r="D249" s="146">
        <v>24357</v>
      </c>
      <c r="E249" s="144">
        <v>24292</v>
      </c>
      <c r="F249" s="144">
        <v>24242</v>
      </c>
      <c r="H249" s="144">
        <v>28700</v>
      </c>
      <c r="I249" s="144">
        <v>28250</v>
      </c>
      <c r="J249" s="144">
        <v>28107</v>
      </c>
      <c r="L249" s="142"/>
      <c r="M249" s="142"/>
      <c r="N249" s="144">
        <v>24535</v>
      </c>
      <c r="O249" s="144">
        <v>28532</v>
      </c>
      <c r="P249" s="144">
        <v>24601</v>
      </c>
      <c r="Q249" s="144">
        <v>28987</v>
      </c>
      <c r="V249" s="144">
        <v>26480</v>
      </c>
      <c r="X249" s="144">
        <v>26250</v>
      </c>
      <c r="Y249" s="144">
        <v>30168</v>
      </c>
      <c r="Z249" s="147"/>
      <c r="AB249" s="146"/>
      <c r="AS249" s="146"/>
      <c r="AW249" s="146"/>
      <c r="BI249" s="207"/>
      <c r="BO249" s="150"/>
      <c r="BP249" s="150"/>
      <c r="BQ249" s="150"/>
      <c r="BR249" s="150"/>
    </row>
    <row r="250" spans="2:70" s="202" customFormat="1" ht="18">
      <c r="B250" s="148" t="s">
        <v>628</v>
      </c>
      <c r="C250" s="114">
        <v>20</v>
      </c>
      <c r="D250" s="203">
        <v>24292</v>
      </c>
      <c r="E250" s="202">
        <v>24600</v>
      </c>
      <c r="F250" s="202">
        <v>24583</v>
      </c>
      <c r="H250" s="202">
        <v>28250</v>
      </c>
      <c r="I250" s="202">
        <v>28450</v>
      </c>
      <c r="J250" s="202">
        <v>28405</v>
      </c>
      <c r="L250" s="149"/>
      <c r="M250" s="149"/>
      <c r="N250" s="202">
        <v>24846</v>
      </c>
      <c r="O250" s="202">
        <v>28734</v>
      </c>
      <c r="P250" s="202">
        <v>24535</v>
      </c>
      <c r="Q250" s="202">
        <v>28532</v>
      </c>
      <c r="V250" s="202">
        <v>26630</v>
      </c>
      <c r="X250" s="202">
        <v>26550</v>
      </c>
      <c r="Y250" s="202">
        <v>30320</v>
      </c>
      <c r="Z250" s="204"/>
      <c r="AB250" s="203"/>
      <c r="AS250" s="203"/>
      <c r="AW250" s="203"/>
      <c r="BI250" s="205"/>
      <c r="BO250" s="206"/>
      <c r="BP250" s="206"/>
      <c r="BQ250" s="206"/>
      <c r="BR250" s="206"/>
    </row>
    <row r="251" spans="2:70" s="144" customFormat="1" ht="18">
      <c r="B251" s="145" t="s">
        <v>630</v>
      </c>
      <c r="C251" s="108">
        <v>21</v>
      </c>
      <c r="D251" s="146">
        <v>24700</v>
      </c>
      <c r="E251" s="144">
        <v>25061</v>
      </c>
      <c r="F251" s="144">
        <v>24991</v>
      </c>
      <c r="H251" s="144">
        <v>28450</v>
      </c>
      <c r="I251" s="144">
        <v>28554</v>
      </c>
      <c r="J251" s="144">
        <v>28634</v>
      </c>
      <c r="L251" s="142"/>
      <c r="M251" s="142"/>
      <c r="N251" s="144">
        <v>25311</v>
      </c>
      <c r="O251" s="144">
        <v>28840</v>
      </c>
      <c r="P251" s="144">
        <v>24947</v>
      </c>
      <c r="Q251" s="144">
        <v>28734</v>
      </c>
      <c r="V251" s="144">
        <v>26500</v>
      </c>
      <c r="X251" s="144">
        <v>26440</v>
      </c>
      <c r="Y251" s="144">
        <v>30269</v>
      </c>
      <c r="Z251" s="147"/>
      <c r="AB251" s="146"/>
      <c r="AS251" s="146"/>
      <c r="AW251" s="146"/>
      <c r="BI251" s="207"/>
      <c r="BO251" s="150"/>
      <c r="BP251" s="150"/>
      <c r="BQ251" s="150"/>
      <c r="BR251" s="150"/>
    </row>
    <row r="252" spans="2:70" s="152" customFormat="1" ht="18">
      <c r="B252" s="153" t="s">
        <v>636</v>
      </c>
      <c r="C252" s="121">
        <v>23</v>
      </c>
      <c r="D252" s="154">
        <v>25121</v>
      </c>
      <c r="E252" s="152">
        <v>25133</v>
      </c>
      <c r="F252" s="152">
        <v>25188</v>
      </c>
      <c r="H252" s="152">
        <v>28554</v>
      </c>
      <c r="I252" s="152">
        <v>28750</v>
      </c>
      <c r="J252" s="152">
        <v>28683</v>
      </c>
      <c r="L252" s="201"/>
      <c r="M252" s="201"/>
      <c r="N252" s="152">
        <v>25384</v>
      </c>
      <c r="O252" s="152">
        <v>29038</v>
      </c>
      <c r="P252" s="152">
        <v>25372</v>
      </c>
      <c r="Q252" s="152">
        <v>28840</v>
      </c>
      <c r="V252" s="152">
        <v>26750</v>
      </c>
      <c r="X252" s="152">
        <v>26670</v>
      </c>
      <c r="Y252" s="152">
        <v>30379</v>
      </c>
      <c r="Z252" s="155"/>
      <c r="AB252" s="154"/>
      <c r="AS252" s="154"/>
      <c r="AW252" s="154"/>
      <c r="BI252" s="178"/>
      <c r="BO252" s="156"/>
      <c r="BP252" s="156"/>
      <c r="BQ252" s="156"/>
      <c r="BR252" s="156"/>
    </row>
    <row r="253" spans="2:70" s="152" customFormat="1" ht="18">
      <c r="B253" s="153" t="s">
        <v>637</v>
      </c>
      <c r="C253" s="121">
        <v>24</v>
      </c>
      <c r="D253" s="154">
        <v>25250</v>
      </c>
      <c r="E253" s="152">
        <v>25150</v>
      </c>
      <c r="F253" s="152">
        <v>25156</v>
      </c>
      <c r="H253" s="152">
        <v>28750</v>
      </c>
      <c r="I253" s="152">
        <v>28850</v>
      </c>
      <c r="J253" s="152">
        <v>28715</v>
      </c>
      <c r="L253" s="201"/>
      <c r="M253" s="201"/>
      <c r="N253" s="152">
        <v>25401</v>
      </c>
      <c r="O253" s="152">
        <v>29138</v>
      </c>
      <c r="P253" s="152">
        <v>25502</v>
      </c>
      <c r="Q253" s="152">
        <v>29038</v>
      </c>
      <c r="V253" s="152">
        <v>26850</v>
      </c>
      <c r="X253" s="152">
        <v>26970</v>
      </c>
      <c r="Y253" s="152">
        <v>30493</v>
      </c>
      <c r="Z253" s="155"/>
      <c r="AB253" s="154"/>
      <c r="AS253" s="154"/>
      <c r="AW253" s="154"/>
      <c r="BI253" s="178"/>
      <c r="BO253" s="156"/>
      <c r="BP253" s="156"/>
      <c r="BQ253" s="156"/>
      <c r="BR253" s="156"/>
    </row>
    <row r="254" spans="2:70" s="136" customFormat="1" ht="18">
      <c r="B254" s="131" t="s">
        <v>638</v>
      </c>
      <c r="C254" s="104">
        <v>25</v>
      </c>
      <c r="D254" s="137">
        <v>25293</v>
      </c>
      <c r="E254" s="136">
        <v>25211</v>
      </c>
      <c r="F254" s="136">
        <v>25210</v>
      </c>
      <c r="H254" s="136">
        <v>28850</v>
      </c>
      <c r="I254" s="136">
        <v>28550</v>
      </c>
      <c r="J254" s="136">
        <v>28680</v>
      </c>
      <c r="L254" s="208"/>
      <c r="M254" s="208"/>
      <c r="N254" s="136">
        <v>25463</v>
      </c>
      <c r="O254" s="136">
        <v>28835</v>
      </c>
      <c r="P254" s="136">
        <v>25546</v>
      </c>
      <c r="Q254" s="136">
        <v>29138</v>
      </c>
      <c r="V254" s="136">
        <v>27290</v>
      </c>
      <c r="X254" s="136">
        <v>27270</v>
      </c>
      <c r="Y254" s="136">
        <v>30919</v>
      </c>
      <c r="Z254" s="138"/>
      <c r="AB254" s="137"/>
      <c r="AS254" s="137"/>
      <c r="AW254" s="137"/>
      <c r="BI254" s="177"/>
      <c r="BO254" s="151"/>
      <c r="BP254" s="151"/>
      <c r="BQ254" s="151"/>
      <c r="BR254" s="151"/>
    </row>
    <row r="255" spans="2:70" ht="18">
      <c r="D255" s="26"/>
      <c r="K255">
        <f>SUM(K2:K216)</f>
        <v>210358000</v>
      </c>
      <c r="L255" s="142">
        <f>SUM(L2:L216)</f>
        <v>38488576407409</v>
      </c>
      <c r="M255" s="142">
        <f>SUM(M2:M216)</f>
        <v>6182194847600</v>
      </c>
      <c r="V255" s="144"/>
      <c r="Z255" s="25"/>
      <c r="AS255" s="26"/>
      <c r="AW255" s="30"/>
    </row>
    <row r="256" spans="2:70" ht="18">
      <c r="D256">
        <f>D243-F242</f>
        <v>65</v>
      </c>
      <c r="N256">
        <f>(38955-36945)/36945</f>
        <v>5.4405196914332113E-2</v>
      </c>
      <c r="V256" s="152"/>
      <c r="X256">
        <f>X254-X253</f>
        <v>300</v>
      </c>
      <c r="Z256" s="25"/>
      <c r="AS256" s="26"/>
      <c r="AW256" s="30"/>
    </row>
    <row r="257" spans="4:49" ht="18">
      <c r="E257">
        <f>D242-F241</f>
        <v>101</v>
      </c>
      <c r="O257">
        <f>P242-N241</f>
        <v>249</v>
      </c>
      <c r="V257" s="152"/>
      <c r="W257" s="152"/>
      <c r="Z257" s="25"/>
      <c r="AS257" s="26"/>
      <c r="AW257" s="30"/>
    </row>
    <row r="258" spans="4:49" ht="18">
      <c r="D258" s="93"/>
      <c r="N258">
        <f>(2785-2525)/2525</f>
        <v>0.10297029702970296</v>
      </c>
      <c r="P258">
        <f>P230-N229</f>
        <v>24</v>
      </c>
      <c r="V258" s="152"/>
      <c r="W258" s="152">
        <f>V252-X251</f>
        <v>310</v>
      </c>
      <c r="Z258" s="25"/>
      <c r="AW258" s="30"/>
    </row>
    <row r="259" spans="4:49" ht="17.25" customHeight="1">
      <c r="D259" s="93"/>
      <c r="P259" t="s">
        <v>523</v>
      </c>
      <c r="Q259" t="s">
        <v>524</v>
      </c>
      <c r="V259" s="152"/>
      <c r="W259" s="152"/>
      <c r="Z259" s="25"/>
    </row>
    <row r="260" spans="4:49" ht="18">
      <c r="D260" s="93"/>
      <c r="E260">
        <f>(28300-25088)/25088</f>
        <v>0.12802933673469388</v>
      </c>
      <c r="O260" s="126" t="s">
        <v>503</v>
      </c>
      <c r="P260">
        <v>-178</v>
      </c>
      <c r="Q260">
        <v>-180</v>
      </c>
      <c r="V260" s="25"/>
      <c r="W260" s="152"/>
      <c r="X260">
        <f>Y248-Y247</f>
        <v>779</v>
      </c>
      <c r="Y260">
        <f>(2631-2489)/2489</f>
        <v>5.7051024507834475E-2</v>
      </c>
      <c r="Z260" s="25"/>
    </row>
    <row r="261" spans="4:49" ht="18">
      <c r="D261" s="93"/>
      <c r="F261">
        <f>(37881-36136)/37136</f>
        <v>4.6989444205084017E-2</v>
      </c>
      <c r="H261">
        <f>(27376-26532)/26532</f>
        <v>3.1810643750942259E-2</v>
      </c>
      <c r="O261" s="132" t="s">
        <v>505</v>
      </c>
      <c r="P261">
        <v>59</v>
      </c>
      <c r="Q261">
        <v>59</v>
      </c>
      <c r="V261" s="25"/>
      <c r="W261" s="152">
        <f>(X246-X245)/X245</f>
        <v>-2.4319419237749548E-2</v>
      </c>
    </row>
    <row r="262" spans="4:49" ht="18">
      <c r="D262" s="93"/>
      <c r="N262">
        <f t="shared" ref="N262:N266" si="42">N199-N198</f>
        <v>-15</v>
      </c>
      <c r="O262" s="132" t="s">
        <v>507</v>
      </c>
      <c r="P262">
        <v>-17</v>
      </c>
      <c r="Q262">
        <v>-16</v>
      </c>
      <c r="V262" s="25"/>
      <c r="W262" s="152"/>
    </row>
    <row r="263" spans="4:49" ht="18">
      <c r="D263" s="107"/>
      <c r="E263">
        <f>(2499-2381)/2381</f>
        <v>4.9559008819823606E-2</v>
      </c>
      <c r="N263">
        <f t="shared" si="42"/>
        <v>-12</v>
      </c>
      <c r="O263" s="132" t="s">
        <v>509</v>
      </c>
      <c r="P263">
        <v>-163</v>
      </c>
      <c r="Q263">
        <v>-165</v>
      </c>
      <c r="V263" s="26"/>
      <c r="W263" s="144"/>
    </row>
    <row r="264" spans="4:49" ht="18">
      <c r="D264" s="107"/>
      <c r="N264">
        <f t="shared" si="42"/>
        <v>-137</v>
      </c>
      <c r="O264" s="132" t="s">
        <v>511</v>
      </c>
      <c r="P264">
        <v>50</v>
      </c>
      <c r="Q264">
        <v>50</v>
      </c>
      <c r="V264" s="26"/>
      <c r="W264" s="144"/>
      <c r="X264" s="109"/>
    </row>
    <row r="265" spans="4:49" ht="18">
      <c r="D265" s="113"/>
      <c r="N265">
        <f t="shared" si="42"/>
        <v>-138</v>
      </c>
      <c r="O265" s="145" t="s">
        <v>513</v>
      </c>
      <c r="P265">
        <v>-15</v>
      </c>
      <c r="Q265">
        <v>-15</v>
      </c>
      <c r="W265" s="144">
        <f>(2628-2533)/2533</f>
        <v>3.750493485984998E-2</v>
      </c>
      <c r="X265" s="109"/>
      <c r="Y265">
        <f>(W263-X215)/X215</f>
        <v>-1</v>
      </c>
    </row>
    <row r="266" spans="4:49" ht="18">
      <c r="D266" s="107"/>
      <c r="G266" s="9"/>
      <c r="N266">
        <f t="shared" si="42"/>
        <v>-43</v>
      </c>
      <c r="O266" s="145" t="s">
        <v>515</v>
      </c>
      <c r="P266">
        <v>-12</v>
      </c>
      <c r="Q266">
        <v>-12</v>
      </c>
      <c r="W266">
        <f>(38576-37406)/37406</f>
        <v>3.1278404534031974E-2</v>
      </c>
      <c r="X266" s="109"/>
      <c r="Y266">
        <f>(43725-42669)/42669</f>
        <v>2.4748646558391339E-2</v>
      </c>
    </row>
    <row r="267" spans="4:49" ht="18">
      <c r="D267" s="103"/>
      <c r="G267" s="9"/>
      <c r="N267">
        <f>N255-N203</f>
        <v>-27379</v>
      </c>
      <c r="O267" s="148" t="s">
        <v>517</v>
      </c>
      <c r="P267">
        <v>-136</v>
      </c>
      <c r="Q267">
        <v>-137</v>
      </c>
      <c r="X267" s="109"/>
    </row>
    <row r="268" spans="4:49" ht="18">
      <c r="G268" s="9"/>
      <c r="O268" s="145" t="s">
        <v>519</v>
      </c>
      <c r="P268">
        <v>-137</v>
      </c>
      <c r="Q268">
        <v>-138</v>
      </c>
      <c r="X268" s="109"/>
      <c r="Y268">
        <f>(3365-3279)/3279</f>
        <v>2.6227508386703263E-2</v>
      </c>
    </row>
    <row r="269" spans="4:49" ht="18">
      <c r="G269" s="9"/>
      <c r="O269" s="131" t="s">
        <v>521</v>
      </c>
      <c r="P269">
        <v>-42</v>
      </c>
      <c r="Q269">
        <v>-43</v>
      </c>
      <c r="X269" s="109"/>
    </row>
    <row r="270" spans="4:49" ht="18">
      <c r="G270" s="9"/>
    </row>
  </sheetData>
  <autoFilter ref="A1:BN257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9"/>
  <sheetViews>
    <sheetView topLeftCell="A28" zoomScale="85" zoomScaleNormal="85" workbookViewId="0">
      <selection activeCell="A47" sqref="A47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 s="67" customFormat="1" ht="13.9" customHeight="1">
      <c r="A43" s="67" t="s">
        <v>592</v>
      </c>
      <c r="B43" s="67">
        <v>25505</v>
      </c>
      <c r="C43" s="67">
        <v>28892</v>
      </c>
      <c r="D43" s="101"/>
      <c r="F43" s="101"/>
      <c r="H43" s="67">
        <v>25731</v>
      </c>
      <c r="I43" s="67">
        <v>29043</v>
      </c>
      <c r="J43" s="67">
        <v>27665</v>
      </c>
      <c r="K43" s="67">
        <v>31483</v>
      </c>
    </row>
    <row r="44" spans="1:11" s="67" customFormat="1" ht="13.9" customHeight="1">
      <c r="A44" s="67" t="s">
        <v>605</v>
      </c>
      <c r="B44" s="67">
        <v>25255</v>
      </c>
      <c r="C44" s="67">
        <v>28631</v>
      </c>
      <c r="D44" s="101"/>
      <c r="F44" s="101"/>
      <c r="H44" s="67">
        <v>25479</v>
      </c>
      <c r="I44" s="67">
        <v>28888</v>
      </c>
      <c r="J44" s="67">
        <v>28040</v>
      </c>
      <c r="K44" s="67">
        <v>31708</v>
      </c>
    </row>
    <row r="45" spans="1:11" s="67" customFormat="1" ht="13.9" customHeight="1">
      <c r="A45" s="67" t="s">
        <v>618</v>
      </c>
      <c r="B45" s="67">
        <v>24969</v>
      </c>
      <c r="C45" s="67">
        <v>28422</v>
      </c>
      <c r="D45" s="101"/>
      <c r="F45" s="101"/>
      <c r="H45" s="67">
        <v>25191</v>
      </c>
      <c r="I45" s="67">
        <v>28608</v>
      </c>
      <c r="J45" s="67">
        <v>27863</v>
      </c>
      <c r="K45" s="67">
        <v>31273</v>
      </c>
    </row>
    <row r="46" spans="1:11" s="67" customFormat="1" ht="13.9" customHeight="1">
      <c r="A46" s="67" t="s">
        <v>633</v>
      </c>
      <c r="B46" s="67">
        <v>24587</v>
      </c>
      <c r="C46" s="67">
        <v>28403</v>
      </c>
      <c r="D46" s="101"/>
      <c r="F46" s="101"/>
      <c r="H46" s="67">
        <v>24838</v>
      </c>
      <c r="I46" s="67">
        <v>28710</v>
      </c>
      <c r="J46" s="67">
        <v>26588</v>
      </c>
      <c r="K46" s="67">
        <v>30370</v>
      </c>
    </row>
    <row r="47" spans="1:11">
      <c r="A47" s="67"/>
      <c r="B47">
        <f>(B2-B8)/B2</f>
        <v>0.15346494762288476</v>
      </c>
      <c r="C47">
        <f>(C2-C8)/C2</f>
        <v>0.1154959674639829</v>
      </c>
      <c r="D47">
        <f>SUM(D2:D39)/38</f>
        <v>37702089.447368421</v>
      </c>
      <c r="I47">
        <f>I43-I42</f>
        <v>-332</v>
      </c>
    </row>
    <row r="48" spans="1:11">
      <c r="H48">
        <f>(H43-H42)/H42</f>
        <v>-1.9771428571428572E-2</v>
      </c>
    </row>
    <row r="49" spans="1:10">
      <c r="A49">
        <f>(B44-B43)</f>
        <v>-250</v>
      </c>
      <c r="C49">
        <f>(C43-C42)/C42</f>
        <v>-1.2137997059527473E-2</v>
      </c>
      <c r="E49">
        <f>(D39-D47)/D47</f>
        <v>0.21324840799221964</v>
      </c>
      <c r="J49">
        <f>(D36-D35)/D35</f>
        <v>-0.50773339408667473</v>
      </c>
    </row>
    <row r="50" spans="1:10">
      <c r="B50">
        <f>(B43-B42)/B42</f>
        <v>-1.4413787773398253E-2</v>
      </c>
      <c r="F50">
        <f>(F36-F35)/F35</f>
        <v>-0.62892307692307692</v>
      </c>
    </row>
    <row r="51" spans="1:10">
      <c r="D51">
        <v>5375132</v>
      </c>
      <c r="E51">
        <f>(E17-D51)/D51</f>
        <v>4.5958809321644006E-2</v>
      </c>
      <c r="G51">
        <f t="shared" ref="G51:G59" si="2">B3-B2</f>
        <v>-554</v>
      </c>
    </row>
    <row r="52" spans="1:10">
      <c r="G52">
        <f t="shared" si="2"/>
        <v>-302</v>
      </c>
    </row>
    <row r="53" spans="1:10">
      <c r="C53">
        <f>(D51-E16)/E16</f>
        <v>0.17110375179746395</v>
      </c>
      <c r="G53">
        <f t="shared" si="2"/>
        <v>-511</v>
      </c>
    </row>
    <row r="54" spans="1:10">
      <c r="G54">
        <f t="shared" si="2"/>
        <v>-362</v>
      </c>
    </row>
    <row r="55" spans="1:10">
      <c r="G55">
        <f t="shared" si="2"/>
        <v>-1699</v>
      </c>
    </row>
    <row r="56" spans="1:10">
      <c r="G56">
        <f t="shared" si="2"/>
        <v>-381</v>
      </c>
    </row>
    <row r="57" spans="1:10">
      <c r="G57">
        <f t="shared" si="2"/>
        <v>1075</v>
      </c>
    </row>
    <row r="58" spans="1:10">
      <c r="F58">
        <f>(F33-F32)/F32</f>
        <v>0.23948268173034043</v>
      </c>
      <c r="G58">
        <f t="shared" si="2"/>
        <v>151</v>
      </c>
      <c r="J58">
        <f>(F34-F35)/F34</f>
        <v>0.13877341459779063</v>
      </c>
    </row>
    <row r="59" spans="1:10">
      <c r="G59">
        <f t="shared" si="2"/>
        <v>1043</v>
      </c>
    </row>
  </sheetData>
  <autoFilter ref="A1:K59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23"/>
  <sheetViews>
    <sheetView topLeftCell="A2305" zoomScaleNormal="100" workbookViewId="0">
      <selection activeCell="C2321" sqref="C2321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4" t="s">
        <v>246</v>
      </c>
      <c r="B1" s="214"/>
      <c r="C1" s="214"/>
      <c r="D1" s="214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4" t="s">
        <v>256</v>
      </c>
      <c r="B11" s="214"/>
      <c r="C11" s="214"/>
      <c r="D11" s="214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4" t="s">
        <v>258</v>
      </c>
      <c r="B21" s="214"/>
      <c r="C21" s="214"/>
      <c r="D21" s="214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4" t="s">
        <v>259</v>
      </c>
      <c r="B31" s="214"/>
      <c r="C31" s="214"/>
      <c r="D31" s="214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4" t="s">
        <v>260</v>
      </c>
      <c r="B41" s="214"/>
      <c r="C41" s="214"/>
      <c r="D41" s="214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4" t="s">
        <v>262</v>
      </c>
      <c r="B51" s="214"/>
      <c r="C51" s="214"/>
      <c r="D51" s="214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4" t="s">
        <v>263</v>
      </c>
      <c r="B61" s="214"/>
      <c r="C61" s="214"/>
      <c r="D61" s="214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4" t="s">
        <v>264</v>
      </c>
      <c r="B71" s="214"/>
      <c r="C71" s="214"/>
      <c r="D71" s="214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4" t="s">
        <v>265</v>
      </c>
      <c r="B81" s="214"/>
      <c r="C81" s="214"/>
      <c r="D81" s="214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4" t="s">
        <v>269</v>
      </c>
      <c r="B93" s="214"/>
      <c r="C93" s="214"/>
      <c r="D93" s="214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4" t="s">
        <v>270</v>
      </c>
      <c r="B103" s="214"/>
      <c r="C103" s="214"/>
      <c r="D103" s="214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4" t="s">
        <v>272</v>
      </c>
      <c r="B113" s="214"/>
      <c r="C113" s="214"/>
      <c r="D113" s="214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4" t="s">
        <v>273</v>
      </c>
      <c r="B123" s="214"/>
      <c r="C123" s="214"/>
      <c r="D123" s="214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4" t="s">
        <v>274</v>
      </c>
      <c r="B133" s="214"/>
      <c r="C133" s="214"/>
      <c r="D133" s="214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4" t="s">
        <v>275</v>
      </c>
      <c r="B143" s="214"/>
      <c r="C143" s="214"/>
      <c r="D143" s="214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4" t="s">
        <v>277</v>
      </c>
      <c r="B153" s="214"/>
      <c r="C153" s="214"/>
      <c r="D153" s="214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4" t="s">
        <v>278</v>
      </c>
      <c r="B163" s="214"/>
      <c r="C163" s="214"/>
      <c r="D163" s="214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4" t="s">
        <v>279</v>
      </c>
      <c r="B173" s="214"/>
      <c r="C173" s="214"/>
      <c r="D173" s="214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4" t="s">
        <v>280</v>
      </c>
      <c r="B183" s="214"/>
      <c r="C183" s="214"/>
      <c r="D183" s="214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4" t="s">
        <v>281</v>
      </c>
      <c r="B193" s="214"/>
      <c r="C193" s="214"/>
      <c r="D193" s="214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4" t="s">
        <v>282</v>
      </c>
      <c r="B203" s="214"/>
      <c r="C203" s="214"/>
      <c r="D203" s="214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4" t="s">
        <v>283</v>
      </c>
      <c r="B213" s="214"/>
      <c r="C213" s="214"/>
      <c r="D213" s="214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4" t="s">
        <v>284</v>
      </c>
      <c r="B223" s="214"/>
      <c r="C223" s="214"/>
      <c r="D223" s="214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4" t="s">
        <v>285</v>
      </c>
      <c r="B233" s="214"/>
      <c r="C233" s="214"/>
      <c r="D233" s="214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4" t="s">
        <v>286</v>
      </c>
      <c r="B243" s="214"/>
      <c r="C243" s="214"/>
      <c r="D243" s="214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4" t="s">
        <v>287</v>
      </c>
      <c r="B253" s="214"/>
      <c r="C253" s="214"/>
      <c r="D253" s="214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4" t="s">
        <v>288</v>
      </c>
      <c r="B263" s="214"/>
      <c r="C263" s="214"/>
      <c r="D263" s="214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4" t="s">
        <v>289</v>
      </c>
      <c r="B273" s="214"/>
      <c r="C273" s="214"/>
      <c r="D273" s="214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4" t="s">
        <v>290</v>
      </c>
      <c r="B283" s="214"/>
      <c r="C283" s="214"/>
      <c r="D283" s="214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4" t="s">
        <v>291</v>
      </c>
      <c r="B293" s="214"/>
      <c r="C293" s="214"/>
      <c r="D293" s="214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4" t="s">
        <v>292</v>
      </c>
      <c r="B303" s="214"/>
      <c r="C303" s="214"/>
      <c r="D303" s="214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4" t="s">
        <v>296</v>
      </c>
      <c r="B313" s="214"/>
      <c r="C313" s="214"/>
      <c r="D313" s="214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4" t="s">
        <v>300</v>
      </c>
      <c r="B324" s="214"/>
      <c r="C324" s="214"/>
      <c r="D324" s="214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4" t="s">
        <v>303</v>
      </c>
      <c r="B335" s="214"/>
      <c r="C335" s="214"/>
      <c r="D335" s="214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4" t="s">
        <v>304</v>
      </c>
      <c r="B346" s="214"/>
      <c r="C346" s="214"/>
      <c r="D346" s="214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4" t="s">
        <v>305</v>
      </c>
      <c r="B357" s="214"/>
      <c r="C357" s="214"/>
      <c r="D357" s="214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4" t="s">
        <v>306</v>
      </c>
      <c r="B368" s="214"/>
      <c r="C368" s="214"/>
      <c r="D368" s="214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4" t="s">
        <v>307</v>
      </c>
      <c r="B379" s="214"/>
      <c r="C379" s="214"/>
      <c r="D379" s="214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4" t="s">
        <v>308</v>
      </c>
      <c r="B390" s="214"/>
      <c r="C390" s="214"/>
      <c r="D390" s="214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4" t="s">
        <v>309</v>
      </c>
      <c r="B401" s="214"/>
      <c r="C401" s="214"/>
      <c r="D401" s="214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4" t="s">
        <v>310</v>
      </c>
      <c r="B412" s="214"/>
      <c r="C412" s="214"/>
      <c r="D412" s="214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4" t="s">
        <v>311</v>
      </c>
      <c r="B423" s="214"/>
      <c r="C423" s="214"/>
      <c r="D423" s="214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4" t="s">
        <v>315</v>
      </c>
      <c r="B434" s="214"/>
      <c r="C434" s="214"/>
      <c r="D434" s="214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4" t="s">
        <v>316</v>
      </c>
      <c r="B445" s="214"/>
      <c r="C445" s="214"/>
      <c r="D445" s="214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4" t="s">
        <v>317</v>
      </c>
      <c r="B456" s="214"/>
      <c r="C456" s="214"/>
      <c r="D456" s="214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4" t="s">
        <v>318</v>
      </c>
      <c r="B467" s="214"/>
      <c r="C467" s="214"/>
      <c r="D467" s="214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4" t="s">
        <v>319</v>
      </c>
      <c r="B478" s="214"/>
      <c r="C478" s="214"/>
      <c r="D478" s="214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4" t="s">
        <v>320</v>
      </c>
      <c r="B489" s="214"/>
      <c r="C489" s="214"/>
      <c r="D489" s="214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4" t="s">
        <v>323</v>
      </c>
      <c r="B500" s="214"/>
      <c r="C500" s="214"/>
      <c r="D500" s="214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4" t="s">
        <v>324</v>
      </c>
      <c r="B511" s="214"/>
      <c r="C511" s="214"/>
      <c r="D511" s="214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4" t="s">
        <v>325</v>
      </c>
      <c r="B522" s="214"/>
      <c r="C522" s="214"/>
      <c r="D522" s="214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4" t="s">
        <v>326</v>
      </c>
      <c r="B533" s="214"/>
      <c r="C533" s="214"/>
      <c r="D533" s="214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4" t="s">
        <v>327</v>
      </c>
      <c r="B544" s="214"/>
      <c r="C544" s="214"/>
      <c r="D544" s="214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4" t="s">
        <v>328</v>
      </c>
      <c r="B555" s="214"/>
      <c r="C555" s="214"/>
      <c r="D555" s="214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4" t="s">
        <v>328</v>
      </c>
      <c r="B567" s="214"/>
      <c r="C567" s="214"/>
      <c r="D567" s="214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4" t="s">
        <v>333</v>
      </c>
      <c r="B579" s="214"/>
      <c r="C579" s="214"/>
      <c r="D579" s="214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4" t="s">
        <v>334</v>
      </c>
      <c r="B590" s="214"/>
      <c r="C590" s="214"/>
      <c r="D590" s="214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4" t="s">
        <v>335</v>
      </c>
      <c r="B601" s="214"/>
      <c r="C601" s="214"/>
      <c r="D601" s="214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4" t="s">
        <v>336</v>
      </c>
      <c r="B612" s="214"/>
      <c r="C612" s="214"/>
      <c r="D612" s="214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4" t="s">
        <v>337</v>
      </c>
      <c r="B623" s="214"/>
      <c r="C623" s="214"/>
      <c r="D623" s="214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4" t="s">
        <v>338</v>
      </c>
      <c r="B635" s="214"/>
      <c r="C635" s="214"/>
      <c r="D635" s="214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4" t="s">
        <v>340</v>
      </c>
      <c r="B647" s="214"/>
      <c r="C647" s="214"/>
      <c r="D647" s="214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4" t="s">
        <v>341</v>
      </c>
      <c r="B658" s="214"/>
      <c r="C658" s="214"/>
      <c r="D658" s="214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4" t="s">
        <v>342</v>
      </c>
      <c r="B670" s="214"/>
      <c r="C670" s="214"/>
      <c r="D670" s="214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4" t="s">
        <v>343</v>
      </c>
      <c r="B681" s="214"/>
      <c r="C681" s="214"/>
      <c r="D681" s="214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4" t="s">
        <v>344</v>
      </c>
      <c r="B692" s="214"/>
      <c r="C692" s="214"/>
      <c r="D692" s="214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4" t="s">
        <v>345</v>
      </c>
      <c r="B703" s="214"/>
      <c r="C703" s="214"/>
      <c r="D703" s="214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4" t="s">
        <v>348</v>
      </c>
      <c r="B715" s="214"/>
      <c r="C715" s="214"/>
      <c r="D715" s="214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4" t="s">
        <v>349</v>
      </c>
      <c r="B726" s="214"/>
      <c r="C726" s="214"/>
      <c r="D726" s="214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4" t="s">
        <v>350</v>
      </c>
      <c r="B738" s="214"/>
      <c r="C738" s="214"/>
      <c r="D738" s="214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4" t="s">
        <v>351</v>
      </c>
      <c r="B749" s="214"/>
      <c r="C749" s="214"/>
      <c r="D749" s="214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4" t="s">
        <v>352</v>
      </c>
      <c r="B760" s="214"/>
      <c r="C760" s="214"/>
      <c r="D760" s="214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4" t="s">
        <v>353</v>
      </c>
      <c r="B772" s="214"/>
      <c r="C772" s="214"/>
      <c r="D772" s="214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4" t="s">
        <v>355</v>
      </c>
      <c r="B784" s="214"/>
      <c r="C784" s="214"/>
      <c r="D784" s="214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4" t="s">
        <v>356</v>
      </c>
      <c r="B796" s="214"/>
      <c r="C796" s="214"/>
      <c r="D796" s="214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4" t="s">
        <v>357</v>
      </c>
      <c r="B809" s="214"/>
      <c r="C809" s="214"/>
      <c r="D809" s="214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4" t="s">
        <v>358</v>
      </c>
      <c r="B820" s="214"/>
      <c r="C820" s="214"/>
      <c r="D820" s="214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4" t="s">
        <v>359</v>
      </c>
      <c r="B831" s="214"/>
      <c r="C831" s="214"/>
      <c r="D831" s="214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4" t="s">
        <v>360</v>
      </c>
      <c r="B842" s="214"/>
      <c r="C842" s="214"/>
      <c r="D842" s="214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4" t="s">
        <v>361</v>
      </c>
      <c r="B854" s="214"/>
      <c r="C854" s="214"/>
      <c r="D854" s="214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4" t="s">
        <v>363</v>
      </c>
      <c r="B865" s="214"/>
      <c r="C865" s="214"/>
      <c r="D865" s="214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4" t="s">
        <v>364</v>
      </c>
      <c r="B876" s="214"/>
      <c r="C876" s="214"/>
      <c r="D876" s="214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4" t="s">
        <v>367</v>
      </c>
      <c r="B888" s="214"/>
      <c r="C888" s="214"/>
      <c r="D888" s="214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4" t="s">
        <v>368</v>
      </c>
      <c r="B901" s="214"/>
      <c r="C901" s="214"/>
      <c r="D901" s="214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4" t="s">
        <v>369</v>
      </c>
      <c r="B913" s="214"/>
      <c r="C913" s="214"/>
      <c r="D913" s="214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4" t="s">
        <v>370</v>
      </c>
      <c r="B925" s="214"/>
      <c r="C925" s="214"/>
      <c r="D925" s="214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4" t="s">
        <v>371</v>
      </c>
      <c r="B937" s="214"/>
      <c r="C937" s="214"/>
      <c r="D937" s="214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4" t="s">
        <v>372</v>
      </c>
      <c r="B949" s="214"/>
      <c r="C949" s="214"/>
      <c r="D949" s="214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4" t="s">
        <v>400</v>
      </c>
      <c r="B961" s="214"/>
      <c r="C961" s="214"/>
      <c r="D961" s="214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4" t="s">
        <v>402</v>
      </c>
      <c r="B974" s="214"/>
      <c r="C974" s="214"/>
      <c r="D974" s="214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4" t="s">
        <v>404</v>
      </c>
      <c r="B987" s="214"/>
      <c r="C987" s="214"/>
      <c r="D987" s="214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4" t="s">
        <v>405</v>
      </c>
      <c r="B1000" s="214"/>
      <c r="C1000" s="214"/>
      <c r="D1000" s="214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4" t="s">
        <v>408</v>
      </c>
      <c r="B1012" s="214"/>
      <c r="C1012" s="214"/>
      <c r="D1012" s="214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4" t="s">
        <v>410</v>
      </c>
      <c r="B1025" s="214"/>
      <c r="C1025" s="214"/>
      <c r="D1025" s="214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4" t="s">
        <v>413</v>
      </c>
      <c r="B1037" s="214"/>
      <c r="C1037" s="214"/>
      <c r="D1037" s="214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4" t="s">
        <v>415</v>
      </c>
      <c r="B1049" s="214"/>
      <c r="C1049" s="214"/>
      <c r="D1049" s="214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4" t="s">
        <v>417</v>
      </c>
      <c r="B1061" s="214"/>
      <c r="C1061" s="214"/>
      <c r="D1061" s="214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4" t="s">
        <v>419</v>
      </c>
      <c r="B1073" s="214"/>
      <c r="C1073" s="214"/>
      <c r="D1073" s="214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4" t="s">
        <v>421</v>
      </c>
      <c r="B1085" s="214"/>
      <c r="C1085" s="214"/>
      <c r="D1085" s="214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4" t="s">
        <v>423</v>
      </c>
      <c r="B1098" s="214"/>
      <c r="C1098" s="214"/>
      <c r="D1098" s="214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4" t="s">
        <v>426</v>
      </c>
      <c r="B1110" s="214"/>
      <c r="C1110" s="214"/>
      <c r="D1110" s="214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4" t="s">
        <v>428</v>
      </c>
      <c r="B1123" s="214"/>
      <c r="C1123" s="214"/>
      <c r="D1123" s="214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4" t="s">
        <v>430</v>
      </c>
      <c r="B1136" s="214"/>
      <c r="C1136" s="214"/>
      <c r="D1136" s="214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4" t="s">
        <v>432</v>
      </c>
      <c r="B1149" s="214"/>
      <c r="C1149" s="214"/>
      <c r="D1149" s="214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4" t="s">
        <v>434</v>
      </c>
      <c r="B1162" s="214"/>
      <c r="C1162" s="214"/>
      <c r="D1162" s="214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4" t="s">
        <v>437</v>
      </c>
      <c r="B1173" s="214"/>
      <c r="C1173" s="214"/>
      <c r="D1173" s="214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4" t="s">
        <v>439</v>
      </c>
      <c r="B1185" s="214"/>
      <c r="C1185" s="214"/>
      <c r="D1185" s="214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4" t="s">
        <v>441</v>
      </c>
      <c r="B1197" s="214"/>
      <c r="C1197" s="214"/>
      <c r="D1197" s="214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4" t="s">
        <v>443</v>
      </c>
      <c r="B1209" s="214"/>
      <c r="C1209" s="214"/>
      <c r="D1209" s="214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4" t="s">
        <v>445</v>
      </c>
      <c r="B1222" s="214"/>
      <c r="C1222" s="214"/>
      <c r="D1222" s="214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4" t="s">
        <v>447</v>
      </c>
      <c r="B1234" s="214"/>
      <c r="C1234" s="214"/>
      <c r="D1234" s="214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4" t="s">
        <v>449</v>
      </c>
      <c r="B1246" s="214"/>
      <c r="C1246" s="214"/>
      <c r="D1246" s="214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4" t="s">
        <v>452</v>
      </c>
      <c r="B1258" s="214"/>
      <c r="C1258" s="214"/>
      <c r="D1258" s="214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4" t="s">
        <v>454</v>
      </c>
      <c r="B1270" s="214"/>
      <c r="C1270" s="214"/>
      <c r="D1270" s="214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4" t="s">
        <v>456</v>
      </c>
      <c r="B1282" s="214"/>
      <c r="C1282" s="214"/>
      <c r="D1282" s="214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4" t="s">
        <v>458</v>
      </c>
      <c r="B1294" s="214"/>
      <c r="C1294" s="214"/>
      <c r="D1294" s="214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4" t="s">
        <v>460</v>
      </c>
      <c r="B1306" s="214"/>
      <c r="C1306" s="214"/>
      <c r="D1306" s="214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4" t="s">
        <v>462</v>
      </c>
      <c r="B1318" s="214"/>
      <c r="C1318" s="214"/>
      <c r="D1318" s="214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4" t="s">
        <v>464</v>
      </c>
      <c r="B1330" s="214"/>
      <c r="C1330" s="214"/>
      <c r="D1330" s="214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4" t="s">
        <v>467</v>
      </c>
      <c r="B1343" s="214"/>
      <c r="C1343" s="214"/>
      <c r="D1343" s="214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4" t="s">
        <v>469</v>
      </c>
      <c r="B1355" s="214"/>
      <c r="C1355" s="214"/>
      <c r="D1355" s="214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4" t="s">
        <v>471</v>
      </c>
      <c r="B1368" s="214"/>
      <c r="C1368" s="214"/>
      <c r="D1368" s="214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4" t="s">
        <v>473</v>
      </c>
      <c r="B1380" s="214"/>
      <c r="C1380" s="214"/>
      <c r="D1380" s="214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4" t="s">
        <v>476</v>
      </c>
      <c r="B1392" s="214"/>
      <c r="C1392" s="214"/>
      <c r="D1392" s="214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4" t="s">
        <v>478</v>
      </c>
      <c r="B1404" s="214"/>
      <c r="C1404" s="214"/>
      <c r="D1404" s="214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4" t="s">
        <v>479</v>
      </c>
      <c r="B1416" s="214"/>
      <c r="C1416" s="214"/>
      <c r="D1416" s="214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4" t="s">
        <v>480</v>
      </c>
      <c r="B1428" s="214"/>
      <c r="C1428" s="214"/>
      <c r="D1428" s="214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4" t="s">
        <v>481</v>
      </c>
      <c r="B1441" s="214"/>
      <c r="C1441" s="214"/>
      <c r="D1441" s="214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4" t="s">
        <v>482</v>
      </c>
      <c r="B1453" s="214"/>
      <c r="C1453" s="214"/>
      <c r="D1453" s="214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4" t="s">
        <v>489</v>
      </c>
      <c r="B1465" s="214"/>
      <c r="C1465" s="214"/>
      <c r="D1465" s="214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4" t="s">
        <v>491</v>
      </c>
      <c r="B1477" s="214"/>
      <c r="C1477" s="214"/>
      <c r="D1477" s="214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4" t="s">
        <v>493</v>
      </c>
      <c r="B1490" s="214"/>
      <c r="C1490" s="214"/>
      <c r="D1490" s="214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4" t="s">
        <v>495</v>
      </c>
      <c r="B1502" s="214"/>
      <c r="C1502" s="214"/>
      <c r="D1502" s="214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4" t="s">
        <v>497</v>
      </c>
      <c r="B1514" s="214"/>
      <c r="C1514" s="214"/>
      <c r="D1514" s="214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4" t="s">
        <v>499</v>
      </c>
      <c r="B1526" s="214"/>
      <c r="C1526" s="214"/>
      <c r="D1526" s="214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4" t="s">
        <v>502</v>
      </c>
      <c r="B1539" s="214"/>
      <c r="C1539" s="214"/>
      <c r="D1539" s="214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4" t="s">
        <v>504</v>
      </c>
      <c r="B1551" s="214"/>
      <c r="C1551" s="214"/>
      <c r="D1551" s="214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4" t="s">
        <v>506</v>
      </c>
      <c r="B1563" s="214"/>
      <c r="C1563" s="214"/>
      <c r="D1563" s="214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4" t="s">
        <v>508</v>
      </c>
      <c r="B1576" s="214"/>
      <c r="C1576" s="214"/>
      <c r="D1576" s="214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4" t="s">
        <v>510</v>
      </c>
      <c r="B1589" s="214"/>
      <c r="C1589" s="214"/>
      <c r="D1589" s="214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3" t="s">
        <v>510</v>
      </c>
      <c r="B1601" s="213"/>
      <c r="C1601" s="213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3" t="s">
        <v>510</v>
      </c>
      <c r="B1613" s="213"/>
      <c r="C1613" s="213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3" t="s">
        <v>514</v>
      </c>
      <c r="B1629" s="213"/>
      <c r="C1629" s="213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3" t="s">
        <v>516</v>
      </c>
      <c r="B1640" s="213"/>
      <c r="C1640" s="213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3" t="s">
        <v>518</v>
      </c>
      <c r="B1653" s="213"/>
      <c r="C1653" s="213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3" t="s">
        <v>520</v>
      </c>
      <c r="B1665" s="213"/>
      <c r="C1665" s="213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3" t="s">
        <v>522</v>
      </c>
      <c r="B1677" s="213"/>
      <c r="C1677" s="213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3" t="s">
        <v>526</v>
      </c>
      <c r="B1690" s="213"/>
      <c r="C1690" s="213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3" t="s">
        <v>529</v>
      </c>
      <c r="B1703" s="213"/>
      <c r="C1703" s="213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3" t="s">
        <v>531</v>
      </c>
      <c r="B1716" s="213"/>
      <c r="C1716" s="213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3" t="s">
        <v>533</v>
      </c>
      <c r="B1729" s="213"/>
      <c r="C1729" s="213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3" t="s">
        <v>536</v>
      </c>
      <c r="B1742" s="213"/>
      <c r="C1742" s="213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3" t="s">
        <v>538</v>
      </c>
      <c r="B1754" s="213"/>
      <c r="C1754" s="213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3" t="s">
        <v>540</v>
      </c>
      <c r="B1767" s="213"/>
      <c r="C1767" s="213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3" t="s">
        <v>542</v>
      </c>
      <c r="B1779" s="213"/>
      <c r="C1779" s="213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3" t="s">
        <v>545</v>
      </c>
      <c r="B1791" s="213"/>
      <c r="C1791" s="213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3" t="s">
        <v>547</v>
      </c>
      <c r="B1803" s="213"/>
      <c r="C1803" s="213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3" t="s">
        <v>549</v>
      </c>
      <c r="B1816" s="213"/>
      <c r="C1816" s="213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3" t="s">
        <v>551</v>
      </c>
      <c r="B1829" s="213"/>
      <c r="C1829" s="213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3" t="s">
        <v>553</v>
      </c>
      <c r="B1842" s="213"/>
      <c r="C1842" s="213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3" t="s">
        <v>557</v>
      </c>
      <c r="B1854" s="213"/>
      <c r="C1854" s="213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3" t="s">
        <v>558</v>
      </c>
      <c r="B1866" s="213"/>
      <c r="C1866" s="213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3" t="s">
        <v>560</v>
      </c>
      <c r="B1878" s="213"/>
      <c r="C1878" s="213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3" t="s">
        <v>562</v>
      </c>
      <c r="B1890" s="213"/>
      <c r="C1890" s="213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3" t="s">
        <v>564</v>
      </c>
      <c r="B1903" s="213"/>
      <c r="C1903" s="213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3" t="s">
        <v>568</v>
      </c>
      <c r="B1916" s="213"/>
      <c r="C1916" s="213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3" t="s">
        <v>570</v>
      </c>
      <c r="B1928" s="213"/>
      <c r="C1928" s="213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3" t="s">
        <v>572</v>
      </c>
      <c r="B1940" s="213"/>
      <c r="C1940" s="213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3" t="s">
        <v>574</v>
      </c>
      <c r="B1953" s="213"/>
      <c r="C1953" s="213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3" t="s">
        <v>576</v>
      </c>
      <c r="B1966" s="213"/>
      <c r="C1966" s="213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3" t="s">
        <v>578</v>
      </c>
      <c r="B1979" s="213"/>
      <c r="C1979" s="213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3" t="s">
        <v>580</v>
      </c>
      <c r="B1992" s="213"/>
      <c r="C1992" s="213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3" t="s">
        <v>583</v>
      </c>
      <c r="B2005" s="213"/>
      <c r="C2005" s="213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3" t="s">
        <v>585</v>
      </c>
      <c r="B2017" s="213"/>
      <c r="C2017" s="213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  <row r="2029" spans="1:3">
      <c r="A2029" s="213" t="s">
        <v>587</v>
      </c>
      <c r="B2029" s="213"/>
      <c r="C2029" s="213"/>
    </row>
    <row r="2030" spans="1:3">
      <c r="A2030" s="79" t="s">
        <v>247</v>
      </c>
      <c r="B2030" s="79" t="s">
        <v>250</v>
      </c>
      <c r="C2030" s="79" t="s">
        <v>249</v>
      </c>
    </row>
    <row r="2031" spans="1:3">
      <c r="A2031" s="69">
        <v>0.45833333333333298</v>
      </c>
      <c r="B2031" s="79">
        <v>12145000</v>
      </c>
      <c r="C2031" s="79">
        <v>7490</v>
      </c>
    </row>
    <row r="2032" spans="1:3">
      <c r="A2032" s="70" t="s">
        <v>251</v>
      </c>
      <c r="B2032" s="79">
        <v>12200000</v>
      </c>
      <c r="C2032" s="79">
        <v>7480</v>
      </c>
    </row>
    <row r="2033" spans="1:3">
      <c r="A2033" s="71" t="s">
        <v>252</v>
      </c>
      <c r="B2033" s="79">
        <v>12210000</v>
      </c>
      <c r="C2033" s="79">
        <v>7540</v>
      </c>
    </row>
    <row r="2034" spans="1:3">
      <c r="A2034" s="69" t="s">
        <v>253</v>
      </c>
      <c r="B2034" s="212">
        <v>12230000</v>
      </c>
      <c r="C2034" s="79">
        <v>7570</v>
      </c>
    </row>
    <row r="2035" spans="1:3">
      <c r="A2035" s="77">
        <v>0.625</v>
      </c>
      <c r="B2035" s="212">
        <v>12230000</v>
      </c>
      <c r="C2035" s="79">
        <v>7540</v>
      </c>
    </row>
    <row r="2036" spans="1:3">
      <c r="A2036" s="70" t="s">
        <v>254</v>
      </c>
      <c r="B2036" s="212">
        <v>12230000</v>
      </c>
      <c r="C2036" s="79">
        <v>7530</v>
      </c>
    </row>
    <row r="2037" spans="1:3">
      <c r="A2037" s="80">
        <v>0.70833333333333337</v>
      </c>
      <c r="B2037" s="79">
        <v>12230000</v>
      </c>
      <c r="C2037" s="79">
        <v>7530</v>
      </c>
    </row>
    <row r="2042" spans="1:3">
      <c r="A2042" s="213" t="s">
        <v>589</v>
      </c>
      <c r="B2042" s="213"/>
      <c r="C2042" s="213"/>
    </row>
    <row r="2043" spans="1:3">
      <c r="A2043" s="79" t="s">
        <v>247</v>
      </c>
      <c r="B2043" s="79" t="s">
        <v>250</v>
      </c>
      <c r="C2043" s="79" t="s">
        <v>249</v>
      </c>
    </row>
    <row r="2044" spans="1:3">
      <c r="A2044" s="69">
        <v>0.45833333333333298</v>
      </c>
      <c r="B2044" s="79">
        <v>12270000</v>
      </c>
      <c r="C2044" s="79">
        <v>7580</v>
      </c>
    </row>
    <row r="2045" spans="1:3">
      <c r="A2045" s="70" t="s">
        <v>251</v>
      </c>
      <c r="B2045" s="79">
        <v>12290000</v>
      </c>
      <c r="C2045" s="79">
        <v>7600</v>
      </c>
    </row>
    <row r="2046" spans="1:3">
      <c r="A2046" s="71" t="s">
        <v>252</v>
      </c>
      <c r="B2046" s="79">
        <v>12320000</v>
      </c>
      <c r="C2046" s="79">
        <v>7580</v>
      </c>
    </row>
    <row r="2047" spans="1:3">
      <c r="A2047" s="69" t="s">
        <v>253</v>
      </c>
      <c r="B2047" s="212">
        <v>12340000</v>
      </c>
      <c r="C2047" s="79">
        <v>7610</v>
      </c>
    </row>
    <row r="2048" spans="1:3">
      <c r="A2048" s="77">
        <v>0.625</v>
      </c>
      <c r="B2048" s="212">
        <v>12330000</v>
      </c>
      <c r="C2048" s="79">
        <v>7610</v>
      </c>
    </row>
    <row r="2049" spans="1:4">
      <c r="A2049" s="70" t="s">
        <v>254</v>
      </c>
      <c r="B2049" s="212">
        <v>12325000</v>
      </c>
      <c r="C2049" s="79">
        <v>7600</v>
      </c>
    </row>
    <row r="2050" spans="1:4">
      <c r="A2050" s="80">
        <v>0.70833333333333337</v>
      </c>
      <c r="B2050" s="79">
        <v>12325000</v>
      </c>
      <c r="C2050" s="79">
        <v>7600</v>
      </c>
    </row>
    <row r="2055" spans="1:4">
      <c r="A2055" s="213" t="s">
        <v>591</v>
      </c>
      <c r="B2055" s="213"/>
      <c r="C2055" s="213"/>
    </row>
    <row r="2056" spans="1:4">
      <c r="A2056" s="79" t="s">
        <v>247</v>
      </c>
      <c r="B2056" s="79" t="s">
        <v>250</v>
      </c>
      <c r="C2056" s="79" t="s">
        <v>249</v>
      </c>
    </row>
    <row r="2057" spans="1:4">
      <c r="A2057" s="69">
        <v>0.45833333333333298</v>
      </c>
      <c r="B2057" s="79"/>
      <c r="C2057" s="79"/>
      <c r="D2057">
        <v>12370000</v>
      </c>
    </row>
    <row r="2058" spans="1:4">
      <c r="A2058" s="70" t="s">
        <v>251</v>
      </c>
      <c r="B2058" s="79"/>
      <c r="C2058" s="79"/>
      <c r="D2058">
        <v>12420000</v>
      </c>
    </row>
    <row r="2059" spans="1:4">
      <c r="A2059" s="71" t="s">
        <v>252</v>
      </c>
      <c r="B2059" s="79"/>
      <c r="C2059" s="79"/>
      <c r="D2059">
        <v>12425000</v>
      </c>
    </row>
    <row r="2060" spans="1:4">
      <c r="A2060" s="69" t="s">
        <v>253</v>
      </c>
      <c r="B2060" s="212"/>
      <c r="C2060" s="79"/>
    </row>
    <row r="2061" spans="1:4">
      <c r="A2061" s="77">
        <v>0.625</v>
      </c>
      <c r="B2061" s="212"/>
      <c r="C2061" s="79"/>
      <c r="D2061">
        <f>D2059-B2050</f>
        <v>100000</v>
      </c>
    </row>
    <row r="2062" spans="1:4">
      <c r="A2062" s="70" t="s">
        <v>254</v>
      </c>
      <c r="B2062" s="212"/>
      <c r="C2062" s="79"/>
    </row>
    <row r="2063" spans="1:4">
      <c r="A2063" s="80">
        <v>0.70833333333333337</v>
      </c>
      <c r="B2063" s="79"/>
      <c r="C2063" s="79"/>
    </row>
    <row r="2068" spans="1:4">
      <c r="A2068" s="213" t="s">
        <v>594</v>
      </c>
      <c r="B2068" s="213"/>
      <c r="C2068" s="213"/>
    </row>
    <row r="2069" spans="1:4">
      <c r="A2069" s="79" t="s">
        <v>247</v>
      </c>
      <c r="B2069" s="79" t="s">
        <v>250</v>
      </c>
      <c r="C2069" s="79" t="s">
        <v>249</v>
      </c>
    </row>
    <row r="2070" spans="1:4">
      <c r="A2070" s="69">
        <v>0.45833333333333298</v>
      </c>
      <c r="B2070" s="79"/>
      <c r="C2070" s="79"/>
    </row>
    <row r="2071" spans="1:4">
      <c r="A2071" s="70" t="s">
        <v>251</v>
      </c>
      <c r="B2071" s="79"/>
      <c r="C2071" s="79"/>
      <c r="D2071">
        <v>12365000</v>
      </c>
    </row>
    <row r="2072" spans="1:4">
      <c r="A2072" s="71" t="s">
        <v>252</v>
      </c>
      <c r="B2072" s="79"/>
      <c r="C2072" s="79"/>
    </row>
    <row r="2073" spans="1:4">
      <c r="A2073" s="69" t="s">
        <v>253</v>
      </c>
      <c r="B2073" s="212"/>
      <c r="C2073" s="79"/>
    </row>
    <row r="2074" spans="1:4">
      <c r="A2074" s="77">
        <v>0.625</v>
      </c>
      <c r="B2074" s="212"/>
      <c r="C2074" s="79"/>
    </row>
    <row r="2075" spans="1:4">
      <c r="A2075" s="70" t="s">
        <v>254</v>
      </c>
      <c r="B2075" s="212"/>
      <c r="C2075" s="79"/>
    </row>
    <row r="2076" spans="1:4">
      <c r="A2076" s="80">
        <v>0.70833333333333337</v>
      </c>
      <c r="B2076" s="79"/>
      <c r="C2076" s="79"/>
    </row>
    <row r="2081" spans="1:4">
      <c r="A2081" s="213" t="s">
        <v>596</v>
      </c>
      <c r="B2081" s="213"/>
      <c r="C2081" s="213"/>
    </row>
    <row r="2082" spans="1:4">
      <c r="A2082" s="79" t="s">
        <v>247</v>
      </c>
      <c r="B2082" s="79" t="s">
        <v>250</v>
      </c>
      <c r="C2082" s="79" t="s">
        <v>249</v>
      </c>
    </row>
    <row r="2083" spans="1:4">
      <c r="A2083" s="69">
        <v>0.45833333333333298</v>
      </c>
      <c r="B2083" s="79">
        <v>12390000</v>
      </c>
      <c r="C2083" s="79">
        <v>7590</v>
      </c>
    </row>
    <row r="2084" spans="1:4">
      <c r="A2084" s="70" t="s">
        <v>251</v>
      </c>
      <c r="B2084" s="79">
        <v>12410000</v>
      </c>
      <c r="C2084" s="79">
        <v>7590</v>
      </c>
      <c r="D2084">
        <f>B2083-D2071</f>
        <v>25000</v>
      </c>
    </row>
    <row r="2085" spans="1:4">
      <c r="A2085" s="71" t="s">
        <v>252</v>
      </c>
      <c r="B2085" s="79">
        <v>12445000</v>
      </c>
      <c r="C2085" s="79">
        <v>7630</v>
      </c>
    </row>
    <row r="2086" spans="1:4">
      <c r="A2086" s="69" t="s">
        <v>253</v>
      </c>
      <c r="B2086" s="212">
        <v>12450000</v>
      </c>
      <c r="C2086" s="79">
        <v>7630</v>
      </c>
    </row>
    <row r="2087" spans="1:4">
      <c r="A2087" s="77">
        <v>0.625</v>
      </c>
      <c r="B2087" s="212">
        <v>12460000</v>
      </c>
      <c r="C2087" s="79">
        <v>7630</v>
      </c>
    </row>
    <row r="2088" spans="1:4">
      <c r="A2088" s="70" t="s">
        <v>254</v>
      </c>
      <c r="B2088" s="212">
        <v>12475000</v>
      </c>
      <c r="C2088" s="79">
        <v>7620</v>
      </c>
    </row>
    <row r="2089" spans="1:4">
      <c r="A2089" s="80">
        <v>0.70833333333333337</v>
      </c>
      <c r="B2089" s="79">
        <v>12520000</v>
      </c>
      <c r="C2089" s="79">
        <v>7630</v>
      </c>
    </row>
    <row r="2093" spans="1:4">
      <c r="A2093" s="213" t="s">
        <v>598</v>
      </c>
      <c r="B2093" s="213"/>
      <c r="C2093" s="213"/>
    </row>
    <row r="2094" spans="1:4">
      <c r="A2094" s="79" t="s">
        <v>247</v>
      </c>
      <c r="B2094" s="79" t="s">
        <v>250</v>
      </c>
      <c r="C2094" s="79" t="s">
        <v>249</v>
      </c>
    </row>
    <row r="2095" spans="1:4">
      <c r="A2095" s="69">
        <v>0.45833333333333298</v>
      </c>
      <c r="B2095" s="79">
        <v>12560000</v>
      </c>
      <c r="C2095" s="79">
        <v>7660</v>
      </c>
      <c r="D2095">
        <v>12560000</v>
      </c>
    </row>
    <row r="2096" spans="1:4">
      <c r="A2096" s="70" t="s">
        <v>251</v>
      </c>
      <c r="B2096" s="79">
        <v>12600000</v>
      </c>
      <c r="C2096" s="79">
        <v>7670</v>
      </c>
      <c r="D2096">
        <v>12555000</v>
      </c>
    </row>
    <row r="2097" spans="1:4">
      <c r="A2097" s="71" t="s">
        <v>252</v>
      </c>
      <c r="B2097" s="79">
        <v>12605000</v>
      </c>
      <c r="C2097" s="79">
        <v>7680</v>
      </c>
      <c r="D2097">
        <v>12565000</v>
      </c>
    </row>
    <row r="2098" spans="1:4">
      <c r="A2098" s="69" t="s">
        <v>253</v>
      </c>
      <c r="B2098" s="212">
        <v>12615000</v>
      </c>
      <c r="C2098" s="79">
        <v>7720</v>
      </c>
      <c r="D2098">
        <v>12585000</v>
      </c>
    </row>
    <row r="2099" spans="1:4">
      <c r="A2099" s="77">
        <v>0.625</v>
      </c>
      <c r="B2099" s="212">
        <v>12595000</v>
      </c>
      <c r="C2099" s="79">
        <v>7730</v>
      </c>
      <c r="D2099">
        <v>12590000</v>
      </c>
    </row>
    <row r="2100" spans="1:4">
      <c r="A2100" s="70" t="s">
        <v>254</v>
      </c>
      <c r="B2100" s="212">
        <v>12590000</v>
      </c>
      <c r="C2100" s="79">
        <v>7740</v>
      </c>
      <c r="D2100">
        <v>12595000</v>
      </c>
    </row>
    <row r="2101" spans="1:4">
      <c r="A2101" s="80">
        <v>0.70833333333333337</v>
      </c>
      <c r="B2101" s="79">
        <v>12580000</v>
      </c>
      <c r="C2101" s="79">
        <v>7730</v>
      </c>
      <c r="D2101">
        <v>12605000</v>
      </c>
    </row>
    <row r="2105" spans="1:4">
      <c r="A2105" s="213" t="s">
        <v>600</v>
      </c>
      <c r="B2105" s="213"/>
      <c r="C2105" s="213"/>
    </row>
    <row r="2106" spans="1:4">
      <c r="A2106" s="79" t="s">
        <v>247</v>
      </c>
      <c r="B2106" s="79" t="s">
        <v>250</v>
      </c>
      <c r="C2106" s="79" t="s">
        <v>249</v>
      </c>
    </row>
    <row r="2107" spans="1:4">
      <c r="A2107" s="69">
        <v>0.45833333333333298</v>
      </c>
      <c r="B2107" s="79">
        <v>12510000</v>
      </c>
      <c r="C2107" s="79">
        <v>7650</v>
      </c>
    </row>
    <row r="2108" spans="1:4">
      <c r="A2108" s="70" t="s">
        <v>251</v>
      </c>
      <c r="B2108" s="79">
        <v>12540000</v>
      </c>
      <c r="C2108" s="79">
        <v>7660</v>
      </c>
    </row>
    <row r="2109" spans="1:4">
      <c r="A2109" s="71" t="s">
        <v>252</v>
      </c>
      <c r="B2109" s="79">
        <v>12510000</v>
      </c>
      <c r="C2109" s="79">
        <v>7670</v>
      </c>
    </row>
    <row r="2110" spans="1:4">
      <c r="A2110" s="69" t="s">
        <v>253</v>
      </c>
      <c r="B2110" s="212">
        <v>12490000</v>
      </c>
      <c r="C2110" s="79">
        <v>7680</v>
      </c>
    </row>
    <row r="2111" spans="1:4">
      <c r="A2111" s="77">
        <v>0.625</v>
      </c>
      <c r="B2111" s="212">
        <v>12450000</v>
      </c>
      <c r="C2111" s="79">
        <v>7670</v>
      </c>
    </row>
    <row r="2112" spans="1:4">
      <c r="A2112" s="70" t="s">
        <v>254</v>
      </c>
      <c r="B2112" s="212">
        <v>12435000</v>
      </c>
      <c r="C2112" s="79">
        <v>7670</v>
      </c>
    </row>
    <row r="2113" spans="1:4">
      <c r="A2113" s="80">
        <v>0.70833333333333337</v>
      </c>
      <c r="B2113" s="79">
        <v>12445000</v>
      </c>
      <c r="C2113" s="79">
        <v>7670</v>
      </c>
    </row>
    <row r="2117" spans="1:4">
      <c r="A2117" s="213" t="s">
        <v>602</v>
      </c>
      <c r="B2117" s="213"/>
      <c r="C2117" s="213"/>
    </row>
    <row r="2118" spans="1:4">
      <c r="A2118" s="79" t="s">
        <v>247</v>
      </c>
      <c r="B2118" s="79" t="s">
        <v>250</v>
      </c>
      <c r="C2118" s="79" t="s">
        <v>249</v>
      </c>
    </row>
    <row r="2119" spans="1:4">
      <c r="A2119" s="69">
        <v>0.45833333333333298</v>
      </c>
      <c r="B2119" s="79">
        <v>12590000</v>
      </c>
      <c r="C2119" s="79">
        <v>7740</v>
      </c>
      <c r="D2119">
        <v>12590000</v>
      </c>
    </row>
    <row r="2120" spans="1:4">
      <c r="A2120" s="70" t="s">
        <v>251</v>
      </c>
      <c r="B2120" s="79">
        <v>12600000</v>
      </c>
      <c r="C2120" s="79">
        <v>7730</v>
      </c>
      <c r="D2120">
        <v>12585000</v>
      </c>
    </row>
    <row r="2121" spans="1:4">
      <c r="A2121" s="71" t="s">
        <v>252</v>
      </c>
      <c r="B2121" s="79">
        <v>12580000</v>
      </c>
      <c r="C2121" s="79">
        <v>7720</v>
      </c>
      <c r="D2121">
        <v>12580000</v>
      </c>
    </row>
    <row r="2122" spans="1:4">
      <c r="A2122" s="69" t="s">
        <v>253</v>
      </c>
      <c r="B2122" s="212">
        <v>12570000</v>
      </c>
      <c r="C2122" s="79">
        <v>7720</v>
      </c>
      <c r="D2122">
        <v>12590000</v>
      </c>
    </row>
    <row r="2123" spans="1:4">
      <c r="A2123" s="77">
        <v>0.625</v>
      </c>
      <c r="B2123" s="212">
        <v>12565000</v>
      </c>
      <c r="C2123" s="79">
        <v>7700</v>
      </c>
      <c r="D2123">
        <v>12605000</v>
      </c>
    </row>
    <row r="2124" spans="1:4">
      <c r="A2124" s="70" t="s">
        <v>254</v>
      </c>
      <c r="B2124" s="212">
        <v>12575000</v>
      </c>
      <c r="C2124" s="79">
        <v>7690</v>
      </c>
      <c r="D2124">
        <v>12600000</v>
      </c>
    </row>
    <row r="2125" spans="1:4">
      <c r="A2125" s="80">
        <v>0.70833333333333337</v>
      </c>
      <c r="B2125" s="79">
        <v>12580000</v>
      </c>
      <c r="C2125" s="79">
        <v>7680</v>
      </c>
      <c r="D2125">
        <v>12595000</v>
      </c>
    </row>
    <row r="2126" spans="1:4">
      <c r="D2126">
        <v>12585000</v>
      </c>
    </row>
    <row r="2127" spans="1:4">
      <c r="D2127">
        <v>12580000</v>
      </c>
    </row>
    <row r="2128" spans="1:4">
      <c r="D2128">
        <v>12575000</v>
      </c>
    </row>
    <row r="2129" spans="1:4">
      <c r="A2129" s="213" t="s">
        <v>604</v>
      </c>
      <c r="B2129" s="213"/>
      <c r="C2129" s="213"/>
    </row>
    <row r="2130" spans="1:4">
      <c r="A2130" s="79" t="s">
        <v>247</v>
      </c>
      <c r="B2130" s="79" t="s">
        <v>250</v>
      </c>
      <c r="C2130" s="79" t="s">
        <v>249</v>
      </c>
    </row>
    <row r="2131" spans="1:4">
      <c r="A2131" s="69">
        <v>0.45833333333333298</v>
      </c>
      <c r="B2131" s="79">
        <v>12390000</v>
      </c>
      <c r="C2131" s="79"/>
    </row>
    <row r="2132" spans="1:4">
      <c r="A2132" s="70" t="s">
        <v>251</v>
      </c>
      <c r="B2132" s="79">
        <v>12380000</v>
      </c>
      <c r="C2132" s="79"/>
    </row>
    <row r="2133" spans="1:4">
      <c r="A2133" s="71" t="s">
        <v>252</v>
      </c>
      <c r="B2133" s="79">
        <v>12415000</v>
      </c>
      <c r="C2133" s="79"/>
    </row>
    <row r="2134" spans="1:4">
      <c r="A2134" s="69" t="s">
        <v>253</v>
      </c>
      <c r="B2134" s="212">
        <v>12410000</v>
      </c>
      <c r="C2134" s="79"/>
    </row>
    <row r="2135" spans="1:4">
      <c r="A2135" s="77">
        <v>0.625</v>
      </c>
      <c r="B2135" s="212"/>
      <c r="C2135" s="79"/>
      <c r="D2135">
        <f>B2125-B2131</f>
        <v>190000</v>
      </c>
    </row>
    <row r="2136" spans="1:4">
      <c r="A2136" s="70" t="s">
        <v>254</v>
      </c>
      <c r="B2136" s="212"/>
      <c r="C2136" s="79"/>
    </row>
    <row r="2137" spans="1:4">
      <c r="A2137" s="80">
        <v>0.70833333333333337</v>
      </c>
      <c r="B2137" s="79"/>
      <c r="C2137" s="79"/>
    </row>
    <row r="2141" spans="1:4">
      <c r="A2141" s="213" t="s">
        <v>606</v>
      </c>
      <c r="B2141" s="213"/>
      <c r="C2141" s="213"/>
    </row>
    <row r="2142" spans="1:4">
      <c r="A2142" s="79" t="s">
        <v>247</v>
      </c>
      <c r="B2142" s="79" t="s">
        <v>250</v>
      </c>
      <c r="C2142" s="79" t="s">
        <v>249</v>
      </c>
    </row>
    <row r="2143" spans="1:4">
      <c r="A2143" s="69">
        <v>0.45833333333333298</v>
      </c>
      <c r="B2143" s="79">
        <v>12540000</v>
      </c>
      <c r="C2143" s="79">
        <v>7755</v>
      </c>
      <c r="D2143">
        <v>12540000</v>
      </c>
    </row>
    <row r="2144" spans="1:4">
      <c r="A2144" s="70" t="s">
        <v>251</v>
      </c>
      <c r="B2144" s="79">
        <v>12505000</v>
      </c>
      <c r="C2144" s="79">
        <v>7750</v>
      </c>
      <c r="D2144">
        <v>12545000</v>
      </c>
    </row>
    <row r="2145" spans="1:4">
      <c r="A2145" s="71" t="s">
        <v>252</v>
      </c>
      <c r="B2145" s="79">
        <v>12495000</v>
      </c>
      <c r="C2145" s="79">
        <v>7745</v>
      </c>
      <c r="D2145">
        <v>12550000</v>
      </c>
    </row>
    <row r="2146" spans="1:4">
      <c r="A2146" s="69" t="s">
        <v>253</v>
      </c>
      <c r="B2146" s="212">
        <v>12490000</v>
      </c>
      <c r="C2146" s="79">
        <v>7740</v>
      </c>
      <c r="D2146">
        <v>12540000</v>
      </c>
    </row>
    <row r="2147" spans="1:4">
      <c r="A2147" s="77">
        <v>0.625</v>
      </c>
      <c r="B2147" s="212">
        <v>12500000</v>
      </c>
      <c r="C2147" s="79">
        <v>7730</v>
      </c>
    </row>
    <row r="2148" spans="1:4">
      <c r="A2148" s="70" t="s">
        <v>254</v>
      </c>
      <c r="B2148" s="212">
        <v>12465000</v>
      </c>
      <c r="C2148" s="79">
        <v>7720</v>
      </c>
    </row>
    <row r="2149" spans="1:4">
      <c r="A2149" s="80">
        <v>0.70833333333333337</v>
      </c>
      <c r="B2149" s="79">
        <v>12455000</v>
      </c>
      <c r="C2149" s="79">
        <v>7710</v>
      </c>
      <c r="D2149">
        <f>D2146-B2134</f>
        <v>130000</v>
      </c>
    </row>
    <row r="2152" spans="1:4">
      <c r="D2152">
        <f>B2143-B2134</f>
        <v>130000</v>
      </c>
    </row>
    <row r="2154" spans="1:4">
      <c r="A2154" s="213" t="s">
        <v>608</v>
      </c>
      <c r="B2154" s="213"/>
      <c r="C2154" s="213"/>
    </row>
    <row r="2155" spans="1:4">
      <c r="A2155" s="79" t="s">
        <v>247</v>
      </c>
      <c r="B2155" s="79" t="s">
        <v>250</v>
      </c>
      <c r="C2155" s="79" t="s">
        <v>249</v>
      </c>
    </row>
    <row r="2156" spans="1:4">
      <c r="A2156" s="69">
        <v>0.45833333333333298</v>
      </c>
      <c r="B2156" s="79">
        <v>12370000</v>
      </c>
      <c r="C2156" s="79">
        <v>7630</v>
      </c>
      <c r="D2156">
        <v>12370000</v>
      </c>
    </row>
    <row r="2157" spans="1:4">
      <c r="A2157" s="70" t="s">
        <v>251</v>
      </c>
      <c r="B2157" s="79">
        <v>12380000</v>
      </c>
      <c r="C2157" s="79">
        <v>7650</v>
      </c>
      <c r="D2157">
        <v>12365000</v>
      </c>
    </row>
    <row r="2158" spans="1:4">
      <c r="A2158" s="71" t="s">
        <v>252</v>
      </c>
      <c r="B2158" s="79">
        <v>12395000</v>
      </c>
      <c r="C2158" s="79">
        <v>7660</v>
      </c>
      <c r="D2158">
        <v>12380000</v>
      </c>
    </row>
    <row r="2159" spans="1:4">
      <c r="A2159" s="69" t="s">
        <v>253</v>
      </c>
      <c r="B2159" s="212">
        <v>12400000</v>
      </c>
      <c r="C2159" s="79">
        <v>7670</v>
      </c>
    </row>
    <row r="2160" spans="1:4">
      <c r="A2160" s="77">
        <v>0.625</v>
      </c>
      <c r="B2160" s="212">
        <v>12360000</v>
      </c>
      <c r="C2160" s="79">
        <v>7670</v>
      </c>
    </row>
    <row r="2161" spans="1:4">
      <c r="A2161" s="70" t="s">
        <v>254</v>
      </c>
      <c r="B2161" s="212">
        <v>12355000</v>
      </c>
      <c r="C2161" s="79">
        <v>7670</v>
      </c>
    </row>
    <row r="2162" spans="1:4">
      <c r="A2162" s="80">
        <v>0.70833333333333337</v>
      </c>
      <c r="B2162" s="79">
        <v>12360000</v>
      </c>
      <c r="C2162" s="79">
        <v>7660</v>
      </c>
      <c r="D2162">
        <f>D2156-B2149</f>
        <v>-85000</v>
      </c>
    </row>
    <row r="2167" spans="1:4">
      <c r="A2167" s="213" t="s">
        <v>609</v>
      </c>
      <c r="B2167" s="213"/>
      <c r="C2167" s="213"/>
    </row>
    <row r="2168" spans="1:4">
      <c r="A2168" s="79" t="s">
        <v>247</v>
      </c>
      <c r="B2168" s="79" t="s">
        <v>250</v>
      </c>
      <c r="C2168" s="79" t="s">
        <v>249</v>
      </c>
    </row>
    <row r="2169" spans="1:4">
      <c r="A2169" s="69">
        <v>0.45833333333333298</v>
      </c>
      <c r="B2169" s="79">
        <v>12375000</v>
      </c>
      <c r="C2169" s="79">
        <v>7660</v>
      </c>
    </row>
    <row r="2170" spans="1:4">
      <c r="A2170" s="70" t="s">
        <v>251</v>
      </c>
      <c r="B2170" s="79">
        <v>12360000</v>
      </c>
      <c r="C2170" s="79">
        <v>7640</v>
      </c>
    </row>
    <row r="2171" spans="1:4">
      <c r="A2171" s="71" t="s">
        <v>252</v>
      </c>
      <c r="B2171" s="79">
        <v>12275000</v>
      </c>
      <c r="C2171" s="79">
        <v>7630</v>
      </c>
    </row>
    <row r="2172" spans="1:4">
      <c r="A2172" s="69" t="s">
        <v>253</v>
      </c>
      <c r="B2172" s="212">
        <v>12295000</v>
      </c>
      <c r="C2172" s="79">
        <v>7640</v>
      </c>
    </row>
    <row r="2173" spans="1:4">
      <c r="A2173" s="77">
        <v>0.625</v>
      </c>
      <c r="B2173" s="212">
        <v>12265000</v>
      </c>
      <c r="C2173" s="79">
        <v>7640</v>
      </c>
    </row>
    <row r="2174" spans="1:4">
      <c r="A2174" s="70" t="s">
        <v>254</v>
      </c>
      <c r="B2174" s="212">
        <v>12265000</v>
      </c>
      <c r="C2174" s="79">
        <v>7640</v>
      </c>
    </row>
    <row r="2175" spans="1:4">
      <c r="A2175" s="80">
        <v>0.70833333333333337</v>
      </c>
      <c r="B2175" s="79">
        <v>12235000</v>
      </c>
      <c r="C2175" s="79">
        <v>7630</v>
      </c>
    </row>
    <row r="2177" spans="1:4">
      <c r="D2177">
        <f>B2175-B2162</f>
        <v>-125000</v>
      </c>
    </row>
    <row r="2180" spans="1:4">
      <c r="A2180" s="213" t="s">
        <v>613</v>
      </c>
      <c r="B2180" s="213"/>
      <c r="C2180" s="213"/>
    </row>
    <row r="2181" spans="1:4">
      <c r="A2181" s="79" t="s">
        <v>247</v>
      </c>
      <c r="B2181" s="79" t="s">
        <v>250</v>
      </c>
      <c r="C2181" s="79" t="s">
        <v>249</v>
      </c>
    </row>
    <row r="2182" spans="1:4">
      <c r="A2182" s="69">
        <v>0.45833333333333298</v>
      </c>
      <c r="B2182" s="79">
        <v>12280000</v>
      </c>
      <c r="C2182" s="79">
        <v>7620</v>
      </c>
    </row>
    <row r="2183" spans="1:4">
      <c r="A2183" s="70" t="s">
        <v>251</v>
      </c>
      <c r="B2183" s="79">
        <v>12265000</v>
      </c>
      <c r="C2183" s="79">
        <v>7600</v>
      </c>
    </row>
    <row r="2184" spans="1:4">
      <c r="A2184" s="71" t="s">
        <v>252</v>
      </c>
      <c r="B2184" s="79">
        <v>12245000</v>
      </c>
      <c r="C2184" s="79">
        <v>7570</v>
      </c>
    </row>
    <row r="2185" spans="1:4">
      <c r="A2185" s="69" t="s">
        <v>253</v>
      </c>
      <c r="B2185" s="212">
        <v>12230000</v>
      </c>
      <c r="C2185" s="79">
        <v>7550</v>
      </c>
      <c r="D2185">
        <f>B2182-B2175</f>
        <v>45000</v>
      </c>
    </row>
    <row r="2186" spans="1:4">
      <c r="A2186" s="77">
        <v>0.625</v>
      </c>
      <c r="B2186" s="212">
        <v>12235000</v>
      </c>
      <c r="C2186" s="79">
        <v>7550</v>
      </c>
    </row>
    <row r="2187" spans="1:4">
      <c r="A2187" s="70" t="s">
        <v>254</v>
      </c>
      <c r="B2187" s="212">
        <v>12250000</v>
      </c>
      <c r="C2187" s="79">
        <v>7560</v>
      </c>
    </row>
    <row r="2188" spans="1:4">
      <c r="A2188" s="80">
        <v>0.70833333333333337</v>
      </c>
      <c r="B2188" s="79">
        <v>12240000</v>
      </c>
      <c r="C2188" s="79">
        <v>7560</v>
      </c>
    </row>
    <row r="2193" spans="1:4">
      <c r="A2193" s="213" t="s">
        <v>615</v>
      </c>
      <c r="B2193" s="213"/>
      <c r="C2193" s="213"/>
    </row>
    <row r="2194" spans="1:4">
      <c r="A2194" s="79" t="s">
        <v>247</v>
      </c>
      <c r="B2194" s="79" t="s">
        <v>250</v>
      </c>
      <c r="C2194" s="79" t="s">
        <v>249</v>
      </c>
    </row>
    <row r="2195" spans="1:4">
      <c r="A2195" s="69">
        <v>0.45833333333333298</v>
      </c>
      <c r="B2195">
        <v>12180000</v>
      </c>
      <c r="C2195" s="79">
        <v>7540</v>
      </c>
    </row>
    <row r="2196" spans="1:4">
      <c r="A2196" s="70" t="s">
        <v>251</v>
      </c>
      <c r="B2196">
        <v>12185000</v>
      </c>
      <c r="C2196" s="79">
        <v>7510</v>
      </c>
    </row>
    <row r="2197" spans="1:4">
      <c r="A2197" s="71" t="s">
        <v>252</v>
      </c>
      <c r="B2197">
        <v>12185000</v>
      </c>
      <c r="C2197" s="79">
        <v>7500</v>
      </c>
    </row>
    <row r="2198" spans="1:4">
      <c r="A2198" s="69" t="s">
        <v>253</v>
      </c>
      <c r="B2198">
        <v>12195000</v>
      </c>
      <c r="C2198" s="79">
        <v>7490</v>
      </c>
    </row>
    <row r="2199" spans="1:4">
      <c r="A2199" s="77">
        <v>0.625</v>
      </c>
      <c r="B2199">
        <v>12210000</v>
      </c>
      <c r="C2199" s="79">
        <v>7480</v>
      </c>
    </row>
    <row r="2200" spans="1:4">
      <c r="A2200" s="70" t="s">
        <v>254</v>
      </c>
      <c r="B2200" s="212">
        <v>12200000</v>
      </c>
      <c r="C2200" s="79">
        <v>7470</v>
      </c>
    </row>
    <row r="2201" spans="1:4">
      <c r="A2201" s="80">
        <v>0.70833333333333337</v>
      </c>
      <c r="B2201" s="79">
        <v>12180000</v>
      </c>
      <c r="C2201" s="79">
        <v>7470</v>
      </c>
    </row>
    <row r="2205" spans="1:4">
      <c r="A2205" s="213" t="s">
        <v>617</v>
      </c>
      <c r="B2205" s="213"/>
      <c r="C2205" s="213"/>
    </row>
    <row r="2206" spans="1:4">
      <c r="A2206" s="79" t="s">
        <v>247</v>
      </c>
      <c r="B2206" s="79" t="s">
        <v>250</v>
      </c>
      <c r="C2206" s="79" t="s">
        <v>249</v>
      </c>
    </row>
    <row r="2207" spans="1:4">
      <c r="A2207" s="69">
        <v>0.45833333333333298</v>
      </c>
      <c r="C2207" s="79"/>
      <c r="D2207">
        <v>12250000</v>
      </c>
    </row>
    <row r="2208" spans="1:4">
      <c r="A2208" s="70" t="s">
        <v>251</v>
      </c>
      <c r="C2208" s="79"/>
    </row>
    <row r="2209" spans="1:8">
      <c r="A2209" s="71" t="s">
        <v>252</v>
      </c>
      <c r="C2209" s="79"/>
    </row>
    <row r="2210" spans="1:8">
      <c r="A2210" s="69" t="s">
        <v>253</v>
      </c>
      <c r="C2210" s="79"/>
    </row>
    <row r="2211" spans="1:8">
      <c r="A2211" s="77">
        <v>0.625</v>
      </c>
      <c r="C2211" s="79"/>
    </row>
    <row r="2212" spans="1:8">
      <c r="A2212" s="70" t="s">
        <v>254</v>
      </c>
      <c r="B2212" s="212"/>
      <c r="C2212" s="79"/>
    </row>
    <row r="2213" spans="1:8">
      <c r="A2213" s="80">
        <v>0.70833333333333337</v>
      </c>
      <c r="B2213" s="79"/>
      <c r="C2213" s="79"/>
    </row>
    <row r="2218" spans="1:8">
      <c r="A2218" s="213" t="s">
        <v>620</v>
      </c>
      <c r="B2218" s="213"/>
      <c r="C2218" s="213"/>
    </row>
    <row r="2219" spans="1:8">
      <c r="A2219" s="79" t="s">
        <v>247</v>
      </c>
      <c r="B2219" s="79" t="s">
        <v>250</v>
      </c>
      <c r="C2219" s="79" t="s">
        <v>249</v>
      </c>
    </row>
    <row r="2220" spans="1:8">
      <c r="A2220" s="69">
        <v>0.45833333333333298</v>
      </c>
      <c r="B2220">
        <v>12055000</v>
      </c>
      <c r="C2220" s="79">
        <v>7470</v>
      </c>
    </row>
    <row r="2221" spans="1:8">
      <c r="A2221" s="70" t="s">
        <v>251</v>
      </c>
      <c r="B2221">
        <v>12070000</v>
      </c>
      <c r="C2221" s="79">
        <v>7350</v>
      </c>
    </row>
    <row r="2222" spans="1:8">
      <c r="A2222" s="71" t="s">
        <v>252</v>
      </c>
      <c r="B2222">
        <v>11990000</v>
      </c>
      <c r="C2222" s="79">
        <v>7300</v>
      </c>
      <c r="D2222">
        <f>B2220-D2207</f>
        <v>-195000</v>
      </c>
    </row>
    <row r="2223" spans="1:8">
      <c r="A2223" s="69" t="s">
        <v>253</v>
      </c>
      <c r="B2223">
        <v>11995000</v>
      </c>
      <c r="C2223" s="79">
        <v>7310</v>
      </c>
      <c r="H2223">
        <f>D2207-D2221</f>
        <v>12250000</v>
      </c>
    </row>
    <row r="2224" spans="1:8">
      <c r="A2224" s="77">
        <v>0.625</v>
      </c>
      <c r="B2224">
        <v>11940000</v>
      </c>
      <c r="C2224" s="79">
        <v>7300</v>
      </c>
    </row>
    <row r="2225" spans="1:4">
      <c r="A2225" s="70" t="s">
        <v>254</v>
      </c>
      <c r="B2225" s="212">
        <v>11930000</v>
      </c>
      <c r="C2225" s="79">
        <v>7290</v>
      </c>
    </row>
    <row r="2226" spans="1:4">
      <c r="A2226" s="80">
        <v>0.70833333333333337</v>
      </c>
      <c r="B2226" s="79">
        <v>11885000</v>
      </c>
      <c r="C2226" s="79">
        <v>7280</v>
      </c>
      <c r="D2226">
        <f>(B2226-D2207)/D2207</f>
        <v>-2.9795918367346939E-2</v>
      </c>
    </row>
    <row r="2230" spans="1:4">
      <c r="A2230" s="213" t="s">
        <v>622</v>
      </c>
      <c r="B2230" s="213"/>
      <c r="C2230" s="213"/>
    </row>
    <row r="2231" spans="1:4">
      <c r="A2231" s="79" t="s">
        <v>247</v>
      </c>
      <c r="B2231" s="79" t="s">
        <v>250</v>
      </c>
      <c r="C2231" s="79" t="s">
        <v>249</v>
      </c>
    </row>
    <row r="2232" spans="1:4">
      <c r="A2232" s="69">
        <v>0.45833333333333298</v>
      </c>
      <c r="B2232">
        <v>11865000</v>
      </c>
      <c r="C2232" s="79">
        <v>7140</v>
      </c>
    </row>
    <row r="2233" spans="1:4">
      <c r="A2233" s="70" t="s">
        <v>251</v>
      </c>
      <c r="B2233">
        <v>11870000</v>
      </c>
      <c r="C2233" s="79">
        <v>7180</v>
      </c>
    </row>
    <row r="2234" spans="1:4">
      <c r="A2234" s="71" t="s">
        <v>252</v>
      </c>
      <c r="B2234">
        <v>11940000</v>
      </c>
      <c r="C2234" s="79">
        <v>7250</v>
      </c>
    </row>
    <row r="2235" spans="1:4">
      <c r="A2235" s="69" t="s">
        <v>253</v>
      </c>
      <c r="B2235">
        <v>11945000</v>
      </c>
      <c r="C2235" s="79">
        <v>7260</v>
      </c>
    </row>
    <row r="2236" spans="1:4">
      <c r="A2236" s="77">
        <v>0.625</v>
      </c>
      <c r="B2236">
        <v>11950000</v>
      </c>
      <c r="C2236" s="79">
        <v>7270</v>
      </c>
    </row>
    <row r="2237" spans="1:4">
      <c r="A2237" s="70" t="s">
        <v>254</v>
      </c>
      <c r="B2237" s="212">
        <v>11955000</v>
      </c>
      <c r="C2237" s="79">
        <v>7280</v>
      </c>
    </row>
    <row r="2238" spans="1:4">
      <c r="A2238" s="80">
        <v>0.70833333333333337</v>
      </c>
      <c r="B2238" s="79">
        <v>11980000</v>
      </c>
      <c r="C2238" s="79">
        <v>7290</v>
      </c>
    </row>
    <row r="2243" spans="1:5">
      <c r="A2243" s="213" t="s">
        <v>624</v>
      </c>
      <c r="B2243" s="213"/>
      <c r="C2243" s="213"/>
    </row>
    <row r="2244" spans="1:5">
      <c r="A2244" s="79" t="s">
        <v>247</v>
      </c>
      <c r="B2244" s="79" t="s">
        <v>250</v>
      </c>
      <c r="C2244" s="79" t="s">
        <v>249</v>
      </c>
    </row>
    <row r="2245" spans="1:5">
      <c r="A2245" s="69">
        <v>0.45833333333333298</v>
      </c>
      <c r="B2245">
        <v>11980000</v>
      </c>
      <c r="C2245" s="79">
        <v>7340</v>
      </c>
      <c r="D2245">
        <v>11980000</v>
      </c>
    </row>
    <row r="2246" spans="1:5">
      <c r="A2246" s="70" t="s">
        <v>251</v>
      </c>
      <c r="B2246">
        <v>12010000</v>
      </c>
      <c r="C2246" s="79">
        <v>7310</v>
      </c>
    </row>
    <row r="2247" spans="1:5">
      <c r="A2247" s="71" t="s">
        <v>252</v>
      </c>
      <c r="B2247">
        <v>11960000</v>
      </c>
      <c r="C2247" s="79">
        <v>7280</v>
      </c>
    </row>
    <row r="2248" spans="1:5">
      <c r="A2248" s="69" t="s">
        <v>253</v>
      </c>
      <c r="B2248">
        <v>11935000</v>
      </c>
      <c r="C2248" s="79">
        <v>7270</v>
      </c>
    </row>
    <row r="2249" spans="1:5">
      <c r="A2249" s="77">
        <v>0.625</v>
      </c>
      <c r="B2249">
        <v>11915000</v>
      </c>
      <c r="C2249" s="79">
        <v>7280</v>
      </c>
    </row>
    <row r="2250" spans="1:5">
      <c r="A2250" s="70" t="s">
        <v>254</v>
      </c>
      <c r="B2250" s="212">
        <v>11905000</v>
      </c>
      <c r="C2250" s="79">
        <v>7290</v>
      </c>
    </row>
    <row r="2251" spans="1:5">
      <c r="A2251" s="80">
        <v>0.70833333333333337</v>
      </c>
      <c r="B2251" s="79">
        <v>11905000</v>
      </c>
      <c r="C2251" s="79">
        <v>7280</v>
      </c>
      <c r="D2251">
        <v>11915000</v>
      </c>
      <c r="E2251" t="s">
        <v>625</v>
      </c>
    </row>
    <row r="2255" spans="1:5">
      <c r="A2255" s="213" t="s">
        <v>627</v>
      </c>
      <c r="B2255" s="213"/>
      <c r="C2255" s="213"/>
    </row>
    <row r="2256" spans="1:5">
      <c r="A2256" s="79" t="s">
        <v>247</v>
      </c>
      <c r="B2256" s="79" t="s">
        <v>250</v>
      </c>
      <c r="C2256" s="79" t="s">
        <v>249</v>
      </c>
    </row>
    <row r="2257" spans="1:4">
      <c r="A2257" s="69">
        <v>0.45833333333333298</v>
      </c>
      <c r="B2257">
        <v>11845000</v>
      </c>
      <c r="C2257" s="79">
        <v>7220</v>
      </c>
    </row>
    <row r="2258" spans="1:4">
      <c r="A2258" s="70" t="s">
        <v>251</v>
      </c>
      <c r="B2258">
        <v>11855000</v>
      </c>
      <c r="C2258" s="79">
        <v>7180</v>
      </c>
    </row>
    <row r="2259" spans="1:4">
      <c r="A2259" s="71" t="s">
        <v>252</v>
      </c>
      <c r="B2259">
        <v>11770000</v>
      </c>
      <c r="C2259" s="79">
        <v>7160</v>
      </c>
    </row>
    <row r="2260" spans="1:4">
      <c r="A2260" s="69" t="s">
        <v>253</v>
      </c>
      <c r="B2260">
        <v>11775000</v>
      </c>
      <c r="C2260" s="79">
        <v>7150</v>
      </c>
    </row>
    <row r="2261" spans="1:4">
      <c r="A2261" s="77">
        <v>0.625</v>
      </c>
      <c r="B2261">
        <v>11775000</v>
      </c>
      <c r="C2261" s="79">
        <v>7160</v>
      </c>
      <c r="D2261">
        <f>B2263-B2251</f>
        <v>-125000</v>
      </c>
    </row>
    <row r="2262" spans="1:4">
      <c r="A2262" s="70" t="s">
        <v>254</v>
      </c>
      <c r="B2262">
        <v>11775000</v>
      </c>
      <c r="C2262" s="79">
        <v>7160</v>
      </c>
    </row>
    <row r="2263" spans="1:4">
      <c r="A2263" s="80">
        <v>0.70833333333333337</v>
      </c>
      <c r="B2263" s="79">
        <v>11780000</v>
      </c>
      <c r="C2263" s="79">
        <v>7160</v>
      </c>
    </row>
    <row r="2267" spans="1:4">
      <c r="A2267" s="213" t="s">
        <v>629</v>
      </c>
      <c r="B2267" s="213"/>
      <c r="C2267" s="213"/>
    </row>
    <row r="2268" spans="1:4">
      <c r="A2268" s="79" t="s">
        <v>247</v>
      </c>
      <c r="B2268" s="79" t="s">
        <v>250</v>
      </c>
      <c r="C2268" s="79" t="s">
        <v>249</v>
      </c>
    </row>
    <row r="2269" spans="1:4">
      <c r="A2269" s="69">
        <v>0.45833333333333298</v>
      </c>
      <c r="B2269">
        <v>11810000</v>
      </c>
      <c r="C2269" s="79">
        <v>7250</v>
      </c>
    </row>
    <row r="2270" spans="1:4">
      <c r="A2270" s="70" t="s">
        <v>251</v>
      </c>
      <c r="B2270">
        <v>11775000</v>
      </c>
      <c r="C2270" s="79">
        <v>7210</v>
      </c>
    </row>
    <row r="2271" spans="1:4">
      <c r="A2271" s="71" t="s">
        <v>252</v>
      </c>
      <c r="B2271">
        <v>11785000</v>
      </c>
      <c r="C2271" s="79">
        <v>7200</v>
      </c>
    </row>
    <row r="2272" spans="1:4">
      <c r="A2272" s="69" t="s">
        <v>253</v>
      </c>
      <c r="B2272">
        <v>11770000</v>
      </c>
      <c r="C2272" s="79">
        <v>7200</v>
      </c>
    </row>
    <row r="2273" spans="1:5">
      <c r="A2273" s="77">
        <v>0.625</v>
      </c>
      <c r="B2273">
        <v>11770000</v>
      </c>
      <c r="C2273" s="79">
        <v>7210</v>
      </c>
    </row>
    <row r="2274" spans="1:5">
      <c r="A2274" s="70" t="s">
        <v>254</v>
      </c>
      <c r="B2274">
        <v>11770000</v>
      </c>
      <c r="C2274" s="79">
        <v>7220</v>
      </c>
    </row>
    <row r="2275" spans="1:5">
      <c r="A2275" s="80">
        <v>0.70833333333333337</v>
      </c>
      <c r="B2275">
        <v>11770000</v>
      </c>
      <c r="C2275" s="79">
        <v>7220</v>
      </c>
    </row>
    <row r="2279" spans="1:5">
      <c r="A2279" s="213" t="s">
        <v>631</v>
      </c>
      <c r="B2279" s="213"/>
      <c r="C2279" s="213"/>
    </row>
    <row r="2280" spans="1:5">
      <c r="A2280" s="79" t="s">
        <v>247</v>
      </c>
      <c r="B2280" s="79" t="s">
        <v>250</v>
      </c>
      <c r="C2280" s="79" t="s">
        <v>249</v>
      </c>
    </row>
    <row r="2281" spans="1:5">
      <c r="A2281" s="69">
        <v>0.45833333333333298</v>
      </c>
      <c r="C2281" s="79"/>
      <c r="D2281">
        <v>11750000</v>
      </c>
      <c r="E2281" t="s">
        <v>632</v>
      </c>
    </row>
    <row r="2282" spans="1:5">
      <c r="A2282" s="70" t="s">
        <v>251</v>
      </c>
      <c r="C2282" s="79"/>
    </row>
    <row r="2283" spans="1:5">
      <c r="A2283" s="71" t="s">
        <v>252</v>
      </c>
      <c r="C2283" s="79"/>
    </row>
    <row r="2284" spans="1:5">
      <c r="A2284" s="69" t="s">
        <v>253</v>
      </c>
      <c r="C2284" s="79"/>
    </row>
    <row r="2285" spans="1:5">
      <c r="A2285" s="77">
        <v>0.625</v>
      </c>
      <c r="C2285" s="79"/>
    </row>
    <row r="2286" spans="1:5">
      <c r="A2286" s="70" t="s">
        <v>254</v>
      </c>
      <c r="C2286" s="79"/>
    </row>
    <row r="2287" spans="1:5">
      <c r="A2287" s="80">
        <v>0.70833333333333337</v>
      </c>
      <c r="C2287" s="79"/>
    </row>
    <row r="2291" spans="1:4">
      <c r="A2291" s="213" t="s">
        <v>634</v>
      </c>
      <c r="B2291" s="213"/>
      <c r="C2291" s="213"/>
    </row>
    <row r="2292" spans="1:4">
      <c r="A2292" s="79" t="s">
        <v>247</v>
      </c>
      <c r="B2292" s="79" t="s">
        <v>250</v>
      </c>
      <c r="C2292" s="79" t="s">
        <v>249</v>
      </c>
    </row>
    <row r="2293" spans="1:4">
      <c r="A2293" s="69">
        <v>0.45833333333333298</v>
      </c>
      <c r="B2293">
        <v>11970000</v>
      </c>
      <c r="C2293" s="79">
        <v>7250</v>
      </c>
    </row>
    <row r="2294" spans="1:4">
      <c r="A2294" s="70" t="s">
        <v>251</v>
      </c>
      <c r="B2294">
        <v>12025000</v>
      </c>
      <c r="C2294" s="79">
        <v>7230</v>
      </c>
    </row>
    <row r="2295" spans="1:4">
      <c r="A2295" s="71" t="s">
        <v>252</v>
      </c>
      <c r="B2295">
        <v>12040000</v>
      </c>
      <c r="C2295" s="79">
        <v>7220</v>
      </c>
      <c r="D2295">
        <f>B2293-D2281</f>
        <v>220000</v>
      </c>
    </row>
    <row r="2296" spans="1:4">
      <c r="A2296" s="69" t="s">
        <v>253</v>
      </c>
      <c r="B2296">
        <v>12060000</v>
      </c>
      <c r="C2296" s="79">
        <v>7220</v>
      </c>
    </row>
    <row r="2297" spans="1:4">
      <c r="A2297" s="77">
        <v>0.625</v>
      </c>
      <c r="B2297">
        <v>12050000</v>
      </c>
      <c r="C2297" s="79">
        <v>7220</v>
      </c>
    </row>
    <row r="2298" spans="1:4">
      <c r="A2298" s="70" t="s">
        <v>254</v>
      </c>
      <c r="B2298">
        <v>12060000</v>
      </c>
      <c r="C2298" s="79">
        <v>7220</v>
      </c>
    </row>
    <row r="2299" spans="1:4">
      <c r="A2299" s="80">
        <v>0.70833333333333337</v>
      </c>
      <c r="B2299">
        <v>12045000</v>
      </c>
      <c r="C2299" s="79">
        <v>7230</v>
      </c>
    </row>
    <row r="2303" spans="1:4">
      <c r="A2303" s="213" t="s">
        <v>635</v>
      </c>
      <c r="B2303" s="213"/>
      <c r="C2303" s="213"/>
    </row>
    <row r="2304" spans="1:4">
      <c r="A2304" s="79" t="s">
        <v>247</v>
      </c>
      <c r="B2304" s="79" t="s">
        <v>250</v>
      </c>
      <c r="C2304" s="79" t="s">
        <v>249</v>
      </c>
    </row>
    <row r="2305" spans="1:4">
      <c r="A2305" s="69">
        <v>0.45833333333333298</v>
      </c>
      <c r="B2305">
        <v>12100000</v>
      </c>
      <c r="C2305" s="79">
        <v>7280</v>
      </c>
    </row>
    <row r="2306" spans="1:4">
      <c r="A2306" s="70" t="s">
        <v>251</v>
      </c>
      <c r="B2306">
        <v>12105000</v>
      </c>
      <c r="C2306" s="79">
        <v>7330</v>
      </c>
    </row>
    <row r="2307" spans="1:4">
      <c r="A2307" s="71" t="s">
        <v>252</v>
      </c>
      <c r="B2307">
        <v>12140000</v>
      </c>
      <c r="C2307" s="79">
        <v>7340</v>
      </c>
    </row>
    <row r="2308" spans="1:4">
      <c r="A2308" s="69" t="s">
        <v>253</v>
      </c>
      <c r="B2308">
        <v>12150000</v>
      </c>
      <c r="C2308" s="79">
        <v>7350</v>
      </c>
    </row>
    <row r="2309" spans="1:4">
      <c r="A2309" s="77">
        <v>0.625</v>
      </c>
      <c r="B2309">
        <v>12140000</v>
      </c>
      <c r="C2309" s="79">
        <v>7340</v>
      </c>
    </row>
    <row r="2310" spans="1:4">
      <c r="A2310" s="70" t="s">
        <v>254</v>
      </c>
      <c r="B2310">
        <v>12100000</v>
      </c>
      <c r="C2310" s="79">
        <v>7330</v>
      </c>
    </row>
    <row r="2311" spans="1:4">
      <c r="A2311" s="80">
        <v>0.70833333333333337</v>
      </c>
      <c r="B2311">
        <v>12095000</v>
      </c>
      <c r="C2311" s="79">
        <v>7320</v>
      </c>
    </row>
    <row r="2315" spans="1:4">
      <c r="A2315" s="213" t="s">
        <v>639</v>
      </c>
      <c r="B2315" s="213"/>
      <c r="C2315" s="213"/>
    </row>
    <row r="2316" spans="1:4">
      <c r="A2316" s="79" t="s">
        <v>247</v>
      </c>
      <c r="B2316" s="79" t="s">
        <v>250</v>
      </c>
      <c r="C2316" s="79" t="s">
        <v>249</v>
      </c>
    </row>
    <row r="2317" spans="1:4">
      <c r="A2317" s="69">
        <v>0.45833333333333298</v>
      </c>
      <c r="B2317">
        <v>12160000</v>
      </c>
      <c r="C2317" s="79">
        <v>7400</v>
      </c>
    </row>
    <row r="2318" spans="1:4">
      <c r="A2318" s="70" t="s">
        <v>251</v>
      </c>
      <c r="B2318">
        <v>12155000</v>
      </c>
      <c r="C2318" s="79">
        <v>7410</v>
      </c>
    </row>
    <row r="2319" spans="1:4">
      <c r="A2319" s="71" t="s">
        <v>252</v>
      </c>
      <c r="B2319">
        <v>12140000</v>
      </c>
      <c r="C2319" s="79">
        <v>7400</v>
      </c>
      <c r="D2319">
        <f>B2317-B2311</f>
        <v>65000</v>
      </c>
    </row>
    <row r="2320" spans="1:4">
      <c r="A2320" s="69" t="s">
        <v>253</v>
      </c>
      <c r="B2320">
        <v>12100000</v>
      </c>
      <c r="C2320" s="79">
        <v>7380</v>
      </c>
    </row>
    <row r="2321" spans="1:3">
      <c r="A2321" s="77">
        <v>0.625</v>
      </c>
      <c r="B2321">
        <v>12095000</v>
      </c>
      <c r="C2321" s="79">
        <v>7370</v>
      </c>
    </row>
    <row r="2322" spans="1:3">
      <c r="A2322" s="70" t="s">
        <v>254</v>
      </c>
      <c r="B2322">
        <v>12095000</v>
      </c>
      <c r="C2322" s="79">
        <v>7380</v>
      </c>
    </row>
    <row r="2323" spans="1:3">
      <c r="A2323" s="80">
        <v>0.70833333333333337</v>
      </c>
      <c r="B2323">
        <v>12090000</v>
      </c>
      <c r="C2323" s="79">
        <v>7390</v>
      </c>
    </row>
  </sheetData>
  <mergeCells count="198">
    <mergeCell ref="A2315:C2315"/>
    <mergeCell ref="A1085:D1085"/>
    <mergeCell ref="A1073:D1073"/>
    <mergeCell ref="A1061:D1061"/>
    <mergeCell ref="A1049:D1049"/>
    <mergeCell ref="A842:D842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949:D949"/>
    <mergeCell ref="A974:D974"/>
    <mergeCell ref="A961:D961"/>
    <mergeCell ref="A1465:D1465"/>
    <mergeCell ref="A1149:D1149"/>
    <mergeCell ref="A1123:D1123"/>
    <mergeCell ref="A1173:D1173"/>
    <mergeCell ref="A1162:D1162"/>
    <mergeCell ref="A1110:D1110"/>
    <mergeCell ref="A1185:D1185"/>
    <mergeCell ref="A1000:D1000"/>
    <mergeCell ref="A987:D987"/>
    <mergeCell ref="A1012:D1012"/>
    <mergeCell ref="A1428:D1428"/>
    <mergeCell ref="A1294:D1294"/>
    <mergeCell ref="A1197:D1197"/>
    <mergeCell ref="A1209:D1209"/>
    <mergeCell ref="A1222:D1222"/>
    <mergeCell ref="A1343:D1343"/>
    <mergeCell ref="A1330:D1330"/>
    <mergeCell ref="A1306:D1306"/>
    <mergeCell ref="A1282:D1282"/>
    <mergeCell ref="A1270:D1270"/>
    <mergeCell ref="A1258:D1258"/>
    <mergeCell ref="A1234:D1234"/>
    <mergeCell ref="A1318:D1318"/>
    <mergeCell ref="A1098:D1098"/>
    <mergeCell ref="A1441:D1441"/>
    <mergeCell ref="A1416:D1416"/>
    <mergeCell ref="A1404:D1404"/>
    <mergeCell ref="A1368:D1368"/>
    <mergeCell ref="A937:D937"/>
    <mergeCell ref="A1136:D1136"/>
    <mergeCell ref="A670:D670"/>
    <mergeCell ref="A738:D738"/>
    <mergeCell ref="A681:D681"/>
    <mergeCell ref="A692:D692"/>
    <mergeCell ref="A703:D703"/>
    <mergeCell ref="A715:D715"/>
    <mergeCell ref="A1246:D1246"/>
    <mergeCell ref="A1392:D1392"/>
    <mergeCell ref="A1380:D1380"/>
    <mergeCell ref="A1355:D1355"/>
    <mergeCell ref="A854:D854"/>
    <mergeCell ref="A888:D888"/>
    <mergeCell ref="A901:D901"/>
    <mergeCell ref="A913:D913"/>
    <mergeCell ref="A925:D925"/>
    <mergeCell ref="A1025:D1025"/>
    <mergeCell ref="A726:D726"/>
    <mergeCell ref="A1037:D1037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33:D133"/>
    <mergeCell ref="A143:D143"/>
    <mergeCell ref="A273:D273"/>
    <mergeCell ref="A293:D2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1502:D1502"/>
    <mergeCell ref="A1490:D1490"/>
    <mergeCell ref="A1477:D1477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453:D1453"/>
    <mergeCell ref="A113:D113"/>
    <mergeCell ref="A123:D123"/>
    <mergeCell ref="A253:D253"/>
    <mergeCell ref="A263:D263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576:D1576"/>
    <mergeCell ref="A1890:C1890"/>
    <mergeCell ref="A1878:C1878"/>
    <mergeCell ref="A1866:C1866"/>
    <mergeCell ref="A1854:C1854"/>
    <mergeCell ref="A1842:C1842"/>
    <mergeCell ref="A1916:C1916"/>
    <mergeCell ref="A1903:C1903"/>
    <mergeCell ref="A1803:C1803"/>
    <mergeCell ref="A1563:D1563"/>
    <mergeCell ref="A1767:C1767"/>
    <mergeCell ref="A1690:C1690"/>
    <mergeCell ref="A1677:C1677"/>
    <mergeCell ref="A1791:C1791"/>
    <mergeCell ref="A1779:C1779"/>
    <mergeCell ref="A1703:C1703"/>
    <mergeCell ref="A1716:C1716"/>
    <mergeCell ref="A1729:C1729"/>
    <mergeCell ref="A1742:C1742"/>
    <mergeCell ref="A1754:C1754"/>
    <mergeCell ref="A2081:C2081"/>
    <mergeCell ref="A2279:C2279"/>
    <mergeCell ref="A2267:C2267"/>
    <mergeCell ref="A2255:C2255"/>
    <mergeCell ref="A2230:C2230"/>
    <mergeCell ref="A2218:C2218"/>
    <mergeCell ref="A2193:C2193"/>
    <mergeCell ref="A2141:C2141"/>
    <mergeCell ref="A1816:C1816"/>
    <mergeCell ref="A2055:C2055"/>
    <mergeCell ref="A2042:C2042"/>
    <mergeCell ref="A2017:C2017"/>
    <mergeCell ref="A2005:C2005"/>
    <mergeCell ref="A1928:C1928"/>
    <mergeCell ref="A2105:C2105"/>
    <mergeCell ref="A2093:C2093"/>
    <mergeCell ref="A2068:C2068"/>
    <mergeCell ref="A1992:C1992"/>
    <mergeCell ref="A1979:C1979"/>
    <mergeCell ref="A2029:C2029"/>
    <mergeCell ref="A1829:C1829"/>
    <mergeCell ref="A1966:C1966"/>
    <mergeCell ref="A1953:C1953"/>
    <mergeCell ref="A1940:C1940"/>
    <mergeCell ref="A2303:C2303"/>
    <mergeCell ref="A2291:C2291"/>
    <mergeCell ref="A2243:C2243"/>
    <mergeCell ref="A2205:C2205"/>
    <mergeCell ref="A2180:C2180"/>
    <mergeCell ref="A2167:C2167"/>
    <mergeCell ref="A2154:C2154"/>
    <mergeCell ref="A2129:C2129"/>
    <mergeCell ref="A2117:C2117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B15" sqref="B15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5" t="s">
        <v>373</v>
      </c>
      <c r="B1" s="215"/>
      <c r="C1" s="215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75"/>
  <sheetViews>
    <sheetView topLeftCell="A13" zoomScale="85" zoomScaleNormal="85" workbookViewId="0">
      <selection activeCell="J18" sqref="J18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75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61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  <row r="156" spans="2:9">
      <c r="B156">
        <v>14001028</v>
      </c>
      <c r="C156">
        <v>27700</v>
      </c>
      <c r="D156">
        <v>12230000</v>
      </c>
      <c r="E156">
        <v>1178300</v>
      </c>
      <c r="F156">
        <f t="shared" si="6"/>
        <v>1.0948905109489051</v>
      </c>
      <c r="G156">
        <f t="shared" si="9"/>
        <v>0.16380016380016379</v>
      </c>
      <c r="H156">
        <f t="shared" si="11"/>
        <v>-0.87490535879532261</v>
      </c>
      <c r="I156">
        <v>-2.34</v>
      </c>
    </row>
    <row r="157" spans="2:9">
      <c r="B157">
        <v>14001029</v>
      </c>
      <c r="C157">
        <v>27920</v>
      </c>
      <c r="D157">
        <v>12325000</v>
      </c>
      <c r="E157">
        <v>1195700</v>
      </c>
      <c r="F157">
        <f t="shared" si="6"/>
        <v>0.79422382671480141</v>
      </c>
      <c r="G157">
        <f t="shared" si="9"/>
        <v>0.77677841373671297</v>
      </c>
      <c r="H157">
        <f t="shared" ref="H157:H175" si="12">(E157-E156)*100/E156</f>
        <v>1.4767037257065263</v>
      </c>
      <c r="I157">
        <v>0.27</v>
      </c>
    </row>
    <row r="158" spans="2:9">
      <c r="B158">
        <v>14001102</v>
      </c>
      <c r="C158">
        <v>27880</v>
      </c>
      <c r="D158">
        <v>12360000</v>
      </c>
      <c r="E158">
        <v>1213400</v>
      </c>
      <c r="F158">
        <f t="shared" si="6"/>
        <v>-0.14326647564469913</v>
      </c>
      <c r="G158">
        <f t="shared" si="9"/>
        <v>0.28397565922920892</v>
      </c>
      <c r="H158">
        <f t="shared" si="12"/>
        <v>1.480304424186669</v>
      </c>
      <c r="I158">
        <v>0.19</v>
      </c>
    </row>
    <row r="159" spans="2:9">
      <c r="B159">
        <v>14001103</v>
      </c>
      <c r="C159">
        <v>27950</v>
      </c>
      <c r="D159">
        <v>12520000</v>
      </c>
      <c r="E159">
        <v>1214600</v>
      </c>
      <c r="F159">
        <f t="shared" si="6"/>
        <v>0.25107604017216645</v>
      </c>
      <c r="G159">
        <f t="shared" si="9"/>
        <v>1.2944983818770226</v>
      </c>
      <c r="H159">
        <f t="shared" si="12"/>
        <v>9.8895665073347613E-2</v>
      </c>
      <c r="I159">
        <v>-1.97</v>
      </c>
    </row>
    <row r="160" spans="2:9">
      <c r="B160">
        <v>14001104</v>
      </c>
      <c r="C160">
        <v>28200</v>
      </c>
      <c r="D160">
        <v>12580000</v>
      </c>
      <c r="E160">
        <v>1239100</v>
      </c>
      <c r="F160">
        <f t="shared" si="6"/>
        <v>0.89445438282647582</v>
      </c>
      <c r="G160">
        <f t="shared" si="9"/>
        <v>0.47923322683706071</v>
      </c>
      <c r="H160">
        <f t="shared" si="12"/>
        <v>2.0171249794170922</v>
      </c>
      <c r="I160">
        <v>-1.74</v>
      </c>
    </row>
    <row r="161" spans="2:9">
      <c r="B161">
        <v>14001105</v>
      </c>
      <c r="C161">
        <v>28100</v>
      </c>
      <c r="D161">
        <v>12445000</v>
      </c>
      <c r="E161">
        <v>1241800</v>
      </c>
      <c r="F161">
        <f t="shared" si="6"/>
        <v>-0.3546099290780142</v>
      </c>
      <c r="G161">
        <f t="shared" si="9"/>
        <v>-1.0731319554848966</v>
      </c>
      <c r="H161">
        <f t="shared" si="12"/>
        <v>0.21790008877411024</v>
      </c>
      <c r="I161">
        <v>-2.16</v>
      </c>
    </row>
    <row r="162" spans="2:9">
      <c r="B162">
        <v>14001106</v>
      </c>
      <c r="C162">
        <v>28150</v>
      </c>
      <c r="D162">
        <v>12580000</v>
      </c>
      <c r="E162">
        <v>1276500</v>
      </c>
      <c r="F162">
        <f t="shared" si="6"/>
        <v>0.17793594306049823</v>
      </c>
      <c r="G162">
        <f t="shared" ref="G162:G175" si="13">(D162-D161)*100/D161</f>
        <v>1.0847730012053034</v>
      </c>
      <c r="H162">
        <f t="shared" si="12"/>
        <v>2.7943308101143502</v>
      </c>
      <c r="I162">
        <v>1.78</v>
      </c>
    </row>
    <row r="163" spans="2:9">
      <c r="B163">
        <v>14001109</v>
      </c>
      <c r="C163" s="136">
        <v>28230</v>
      </c>
      <c r="D163">
        <v>12455000</v>
      </c>
      <c r="E163">
        <v>1245100</v>
      </c>
      <c r="F163">
        <f t="shared" si="6"/>
        <v>0.28419182948490229</v>
      </c>
      <c r="G163">
        <f t="shared" si="13"/>
        <v>-0.99364069952305245</v>
      </c>
      <c r="H163">
        <f t="shared" si="12"/>
        <v>-2.4598511555033293</v>
      </c>
      <c r="I163">
        <v>2.41</v>
      </c>
    </row>
    <row r="164" spans="2:9">
      <c r="B164">
        <v>14001110</v>
      </c>
      <c r="C164">
        <v>28120</v>
      </c>
      <c r="D164">
        <v>12360000</v>
      </c>
      <c r="E164">
        <v>1223400</v>
      </c>
      <c r="F164">
        <f t="shared" si="6"/>
        <v>-0.38965639390719092</v>
      </c>
      <c r="G164">
        <f t="shared" si="13"/>
        <v>-0.76274588518667197</v>
      </c>
      <c r="H164">
        <f t="shared" si="12"/>
        <v>-1.7428319010521243</v>
      </c>
      <c r="I164">
        <v>2.0299999999999998</v>
      </c>
    </row>
    <row r="165" spans="2:9">
      <c r="B165">
        <v>14001111</v>
      </c>
      <c r="C165">
        <v>27970</v>
      </c>
      <c r="D165">
        <v>12235000</v>
      </c>
      <c r="E165">
        <v>1225700</v>
      </c>
      <c r="F165">
        <f t="shared" si="6"/>
        <v>-0.53342816500711232</v>
      </c>
      <c r="G165">
        <f t="shared" si="13"/>
        <v>-1.0113268608414239</v>
      </c>
      <c r="H165">
        <f t="shared" si="12"/>
        <v>0.18800065391531798</v>
      </c>
      <c r="I165">
        <v>0.78</v>
      </c>
    </row>
    <row r="166" spans="2:9">
      <c r="B166">
        <v>14001112</v>
      </c>
      <c r="C166">
        <v>27790</v>
      </c>
      <c r="D166">
        <v>12240000</v>
      </c>
      <c r="E166">
        <v>1217600</v>
      </c>
      <c r="F166">
        <f t="shared" si="6"/>
        <v>-0.64354665713264214</v>
      </c>
      <c r="G166">
        <f t="shared" si="13"/>
        <v>4.0866366979975477E-2</v>
      </c>
      <c r="H166">
        <f t="shared" si="12"/>
        <v>-0.66084686301705153</v>
      </c>
      <c r="I166">
        <v>0.52</v>
      </c>
    </row>
    <row r="167" spans="2:9">
      <c r="B167">
        <v>14001113</v>
      </c>
      <c r="C167">
        <v>27520</v>
      </c>
      <c r="D167">
        <v>12180000</v>
      </c>
      <c r="E167">
        <v>1207900</v>
      </c>
      <c r="F167">
        <f t="shared" si="6"/>
        <v>-0.97157250809643758</v>
      </c>
      <c r="G167">
        <f t="shared" si="13"/>
        <v>-0.49019607843137253</v>
      </c>
      <c r="H167">
        <f t="shared" si="12"/>
        <v>-0.79664914586070956</v>
      </c>
      <c r="I167">
        <v>0</v>
      </c>
    </row>
    <row r="168" spans="2:9">
      <c r="B168">
        <v>14001116</v>
      </c>
      <c r="C168">
        <v>26880</v>
      </c>
      <c r="D168">
        <v>11885000</v>
      </c>
      <c r="E168">
        <v>1196600</v>
      </c>
      <c r="F168">
        <f t="shared" si="6"/>
        <v>-2.3255813953488373</v>
      </c>
      <c r="G168">
        <f t="shared" si="13"/>
        <v>-2.4220032840722494</v>
      </c>
      <c r="H168">
        <f t="shared" si="12"/>
        <v>-0.93550790628363278</v>
      </c>
      <c r="I168">
        <v>0.25</v>
      </c>
    </row>
    <row r="169" spans="2:9">
      <c r="B169">
        <v>14001117</v>
      </c>
      <c r="C169">
        <v>26650</v>
      </c>
      <c r="D169">
        <v>11980000</v>
      </c>
      <c r="E169">
        <v>1165400</v>
      </c>
      <c r="F169">
        <f t="shared" si="6"/>
        <v>-0.85565476190476186</v>
      </c>
      <c r="G169">
        <f t="shared" si="13"/>
        <v>0.79932688262515772</v>
      </c>
      <c r="H169">
        <f t="shared" si="12"/>
        <v>-2.6073875981948853</v>
      </c>
      <c r="I169">
        <v>-1.72</v>
      </c>
    </row>
    <row r="170" spans="2:9">
      <c r="B170">
        <v>14001118</v>
      </c>
      <c r="C170">
        <v>26760</v>
      </c>
      <c r="D170">
        <v>11905000</v>
      </c>
      <c r="E170">
        <v>1179700</v>
      </c>
      <c r="F170">
        <f t="shared" si="6"/>
        <v>0.41275797373358347</v>
      </c>
      <c r="G170">
        <f t="shared" si="13"/>
        <v>-0.62604340567612693</v>
      </c>
      <c r="H170">
        <f t="shared" si="12"/>
        <v>1.2270465076368628</v>
      </c>
      <c r="I170">
        <v>-0.59</v>
      </c>
    </row>
    <row r="171" spans="2:9">
      <c r="B171">
        <v>14001119</v>
      </c>
      <c r="C171">
        <v>26250</v>
      </c>
      <c r="D171">
        <v>11780000</v>
      </c>
      <c r="E171">
        <v>1162200</v>
      </c>
      <c r="F171">
        <f t="shared" si="6"/>
        <v>-1.905829596412556</v>
      </c>
      <c r="G171">
        <f t="shared" si="13"/>
        <v>-1.0499790004199916</v>
      </c>
      <c r="H171">
        <f t="shared" si="12"/>
        <v>-1.4834279901669916</v>
      </c>
      <c r="I171">
        <v>0.53</v>
      </c>
    </row>
    <row r="172" spans="2:9">
      <c r="B172">
        <v>14001120</v>
      </c>
      <c r="C172">
        <v>26550</v>
      </c>
      <c r="D172">
        <v>11770000</v>
      </c>
      <c r="E172">
        <v>1156200</v>
      </c>
      <c r="F172">
        <f t="shared" si="6"/>
        <v>1.1428571428571428</v>
      </c>
      <c r="G172">
        <f t="shared" si="13"/>
        <v>-8.4889643463497449E-2</v>
      </c>
      <c r="H172">
        <f t="shared" si="12"/>
        <v>-0.51626226122870422</v>
      </c>
      <c r="I172">
        <v>0.24</v>
      </c>
    </row>
    <row r="173" spans="2:9">
      <c r="B173">
        <v>14001123</v>
      </c>
      <c r="C173">
        <v>26670</v>
      </c>
      <c r="D173">
        <v>12045000</v>
      </c>
      <c r="E173">
        <v>1201200</v>
      </c>
      <c r="F173">
        <f t="shared" si="6"/>
        <v>0.4519774011299435</v>
      </c>
      <c r="G173">
        <f t="shared" si="13"/>
        <v>2.3364485981308412</v>
      </c>
      <c r="H173">
        <f t="shared" si="12"/>
        <v>3.8920601971977167</v>
      </c>
      <c r="I173">
        <v>0</v>
      </c>
    </row>
    <row r="174" spans="2:9">
      <c r="B174">
        <v>14001124</v>
      </c>
      <c r="C174">
        <v>26970</v>
      </c>
      <c r="D174">
        <v>12095000</v>
      </c>
      <c r="E174">
        <v>1203300</v>
      </c>
      <c r="F174">
        <f t="shared" si="6"/>
        <v>1.124859392575928</v>
      </c>
      <c r="G174">
        <f t="shared" si="13"/>
        <v>0.41511000415110005</v>
      </c>
      <c r="H174">
        <f t="shared" si="12"/>
        <v>0.17482517482517482</v>
      </c>
      <c r="I174">
        <v>-0.62</v>
      </c>
    </row>
    <row r="175" spans="2:9">
      <c r="B175">
        <v>14001125</v>
      </c>
      <c r="C175">
        <v>27270</v>
      </c>
      <c r="D175">
        <v>12090000</v>
      </c>
      <c r="E175">
        <v>1214600</v>
      </c>
      <c r="F175">
        <f t="shared" si="6"/>
        <v>1.1123470522803114</v>
      </c>
      <c r="G175">
        <f t="shared" si="13"/>
        <v>-4.1339396444811903E-2</v>
      </c>
      <c r="H175">
        <f t="shared" si="12"/>
        <v>0.9390841851574836</v>
      </c>
      <c r="I175">
        <v>0.57999999999999996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2022-02-14T13:18:35Z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