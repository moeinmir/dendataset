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minimized="1" xWindow="0" yWindow="0" windowWidth="10215" windowHeight="7380" tabRatio="500" firstSheet="4" activeTab="4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set'!$A$1:$BN$245</definedName>
    <definedName name="_xlnm._FilterDatabase" localSheetId="1" hidden="1">weekly!$A$1:$K$57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177" i="3" l="1"/>
  <c r="X248" i="1"/>
  <c r="H165" i="5" l="1"/>
  <c r="G165" i="5"/>
  <c r="F165" i="5"/>
  <c r="Y248" i="1"/>
  <c r="Y243" i="1"/>
  <c r="O245" i="1"/>
  <c r="E245" i="1"/>
  <c r="Y245" i="1" l="1"/>
  <c r="X245" i="1" l="1"/>
  <c r="H164" i="5" l="1"/>
  <c r="G164" i="5"/>
  <c r="F164" i="5"/>
  <c r="W253" i="1"/>
  <c r="W254" i="1"/>
  <c r="D2162" i="3"/>
  <c r="H163" i="5" l="1"/>
  <c r="G163" i="5"/>
  <c r="F163" i="5"/>
  <c r="D2152" i="3"/>
  <c r="D2149" i="3"/>
  <c r="W244" i="1"/>
  <c r="A47" i="2" l="1"/>
  <c r="B45" i="2"/>
  <c r="D2135" i="3"/>
  <c r="H162" i="5" l="1"/>
  <c r="G162" i="5"/>
  <c r="F162" i="5"/>
  <c r="E251" i="1"/>
  <c r="F249" i="1"/>
  <c r="E248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5" i="2"/>
  <c r="C47" i="2"/>
  <c r="H46" i="2"/>
  <c r="B48" i="2"/>
  <c r="D2061" i="3"/>
  <c r="H157" i="5" l="1"/>
  <c r="G157" i="5"/>
  <c r="F157" i="5"/>
  <c r="H156" i="5" l="1"/>
  <c r="G156" i="5"/>
  <c r="F156" i="5"/>
  <c r="H155" i="5" l="1"/>
  <c r="G155" i="5"/>
  <c r="F155" i="5"/>
  <c r="V253" i="1"/>
  <c r="P246" i="1"/>
  <c r="H154" i="5" l="1"/>
  <c r="G154" i="5"/>
  <c r="F154" i="5"/>
  <c r="Y254" i="1"/>
  <c r="Y256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43" i="1" l="1"/>
  <c r="M216" i="1"/>
  <c r="L216" i="1"/>
  <c r="D1850" i="3" l="1"/>
  <c r="M215" i="1"/>
  <c r="L215" i="1"/>
  <c r="Y253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5" i="2" l="1"/>
  <c r="E47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49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50" i="1"/>
  <c r="N251" i="1"/>
  <c r="N252" i="1"/>
  <c r="N253" i="1"/>
  <c r="N254" i="1"/>
  <c r="N255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8" i="2" l="1"/>
  <c r="J47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6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6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7" i="2"/>
  <c r="G56" i="2"/>
  <c r="G55" i="2"/>
  <c r="G54" i="2"/>
  <c r="G53" i="2"/>
  <c r="G52" i="2"/>
  <c r="G51" i="2"/>
  <c r="G50" i="2"/>
  <c r="G49" i="2"/>
  <c r="C45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9" i="2" s="1"/>
  <c r="G16" i="2"/>
  <c r="E16" i="2"/>
  <c r="C51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43" i="1" l="1"/>
  <c r="S1" i="1" s="1"/>
  <c r="M243" i="1"/>
  <c r="U1" i="1" s="1"/>
</calcChain>
</file>

<file path=xl/sharedStrings.xml><?xml version="1.0" encoding="utf-8"?>
<sst xmlns="http://schemas.openxmlformats.org/spreadsheetml/2006/main" count="2174" uniqueCount="612">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</sst>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406632144"/>
        <c:axId val="1406627792"/>
      </c:lineChart>
      <c:catAx>
        <c:axId val="140663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06627792"/>
        <c:crosses val="autoZero"/>
        <c:auto val="1"/>
        <c:lblAlgn val="ctr"/>
        <c:lblOffset val="100"/>
        <c:noMultiLvlLbl val="0"/>
      </c:catAx>
      <c:valAx>
        <c:axId val="14066277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0663214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17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weekly!$B$27:$B$44</c15:sqref>
                  </c15:fullRef>
                </c:ext>
              </c:extLst>
              <c:f>weekly!$B$28:$B$44</c:f>
              <c:numCache>
                <c:formatCode>General</c:formatCode>
                <c:ptCount val="17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weekly!$H$27:$H$44</c15:sqref>
                  </c15:fullRef>
                </c:ext>
              </c:extLst>
              <c:f>weekly!$H$28:$H$44</c:f>
              <c:numCache>
                <c:formatCode>General</c:formatCode>
                <c:ptCount val="17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406629424"/>
        <c:axId val="140663268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weekly!$A$27:$A$44</c15:sqref>
                        </c15:fullRef>
                        <c15:formulaRef>
                          <c15:sqref>weekly!$A$28:$A$44</c15:sqref>
                        </c15:formulaRef>
                      </c:ext>
                    </c:extLst>
                    <c:strCache>
                      <c:ptCount val="17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140662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06632688"/>
        <c:crosses val="autoZero"/>
        <c:auto val="1"/>
        <c:lblAlgn val="ctr"/>
        <c:lblOffset val="100"/>
        <c:noMultiLvlLbl val="0"/>
      </c:catAx>
      <c:valAx>
        <c:axId val="140663268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0662942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406633232"/>
        <c:axId val="1406633776"/>
      </c:lineChart>
      <c:catAx>
        <c:axId val="140663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06633776"/>
        <c:crosses val="autoZero"/>
        <c:auto val="1"/>
        <c:lblAlgn val="ctr"/>
        <c:lblOffset val="100"/>
        <c:noMultiLvlLbl val="0"/>
      </c:catAx>
      <c:valAx>
        <c:axId val="14066337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066332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406627248"/>
        <c:axId val="1406634320"/>
      </c:lineChart>
      <c:catAx>
        <c:axId val="140662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06634320"/>
        <c:crosses val="autoZero"/>
        <c:auto val="1"/>
        <c:lblAlgn val="ctr"/>
        <c:lblOffset val="100"/>
        <c:noMultiLvlLbl val="0"/>
      </c:catAx>
      <c:valAx>
        <c:axId val="14066343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0662724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406628336"/>
        <c:axId val="1470642336"/>
      </c:lineChart>
      <c:catAx>
        <c:axId val="1406628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70642336"/>
        <c:crosses val="autoZero"/>
        <c:auto val="1"/>
        <c:lblAlgn val="ctr"/>
        <c:lblOffset val="100"/>
        <c:noMultiLvlLbl val="0"/>
      </c:catAx>
      <c:valAx>
        <c:axId val="14706423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0662833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17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weekly!$C$27:$C$44</c15:sqref>
                  </c15:fullRef>
                </c:ext>
              </c:extLst>
              <c:f>weekly!$C$28:$C$44</c:f>
              <c:numCache>
                <c:formatCode>General</c:formatCode>
                <c:ptCount val="17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weekly!$A$27:$A$44</c15:sqref>
                  </c15:fullRef>
                </c:ext>
              </c:extLst>
              <c:f>weekly!$A$28:$A$44</c:f>
              <c:strCache>
                <c:ptCount val="17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weekly!$I$27:$I$44</c15:sqref>
                  </c15:fullRef>
                </c:ext>
              </c:extLst>
              <c:f>weekly!$I$28:$I$44</c:f>
              <c:numCache>
                <c:formatCode>General</c:formatCode>
                <c:ptCount val="17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470643424"/>
        <c:axId val="1470645600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weekly!$A$27:$A$44</c15:sqref>
                        </c15:fullRef>
                        <c15:formulaRef>
                          <c15:sqref>weekly!$A$28:$A$44</c15:sqref>
                        </c15:formulaRef>
                      </c:ext>
                    </c:extLst>
                    <c:strCache>
                      <c:ptCount val="17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147064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70645600"/>
        <c:crosses val="autoZero"/>
        <c:auto val="1"/>
        <c:lblAlgn val="ctr"/>
        <c:lblOffset val="100"/>
        <c:noMultiLvlLbl val="0"/>
      </c:catAx>
      <c:valAx>
        <c:axId val="1470645600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7064342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0642880"/>
        <c:axId val="1470644512"/>
      </c:barChart>
      <c:catAx>
        <c:axId val="147064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70644512"/>
        <c:crosses val="autoZero"/>
        <c:auto val="1"/>
        <c:lblAlgn val="ctr"/>
        <c:lblOffset val="100"/>
        <c:noMultiLvlLbl val="0"/>
      </c:catAx>
      <c:valAx>
        <c:axId val="14706445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7064288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دوشنبه 11 بهمن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83"/>
          <c:order val="8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change'!$F$165:$I$165</c:f>
              <c:numCache>
                <c:formatCode>General</c:formatCode>
                <c:ptCount val="4"/>
                <c:pt idx="0">
                  <c:v>-0.53342816500711232</c:v>
                </c:pt>
                <c:pt idx="1">
                  <c:v>-1.0113268608414239</c:v>
                </c:pt>
                <c:pt idx="2">
                  <c:v>0.18800065391531798</c:v>
                </c:pt>
                <c:pt idx="3">
                  <c:v>0.78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70643968"/>
        <c:axId val="147064505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470643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70645056"/>
        <c:crosses val="autoZero"/>
        <c:auto val="1"/>
        <c:lblAlgn val="ctr"/>
        <c:lblOffset val="100"/>
        <c:noMultiLvlLbl val="0"/>
      </c:catAx>
      <c:valAx>
        <c:axId val="14706450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47064396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599</xdr:row>
      <xdr:rowOff>102960</xdr:rowOff>
    </xdr:from>
    <xdr:to>
      <xdr:col>11</xdr:col>
      <xdr:colOff>279360</xdr:colOff>
      <xdr:row>629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179</xdr:row>
      <xdr:rowOff>27711</xdr:rowOff>
    </xdr:from>
    <xdr:to>
      <xdr:col>53</xdr:col>
      <xdr:colOff>335280</xdr:colOff>
      <xdr:row>284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315</xdr:row>
      <xdr:rowOff>0</xdr:rowOff>
    </xdr:from>
    <xdr:to>
      <xdr:col>82</xdr:col>
      <xdr:colOff>0</xdr:colOff>
      <xdr:row>391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634</xdr:row>
      <xdr:rowOff>0</xdr:rowOff>
    </xdr:from>
    <xdr:to>
      <xdr:col>13</xdr:col>
      <xdr:colOff>354240</xdr:colOff>
      <xdr:row>664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414</xdr:row>
      <xdr:rowOff>0</xdr:rowOff>
    </xdr:from>
    <xdr:to>
      <xdr:col>83</xdr:col>
      <xdr:colOff>533400</xdr:colOff>
      <xdr:row>513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62</xdr:row>
      <xdr:rowOff>76321</xdr:rowOff>
    </xdr:from>
    <xdr:to>
      <xdr:col>44</xdr:col>
      <xdr:colOff>533400</xdr:colOff>
      <xdr:row>161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58"/>
  <sheetViews>
    <sheetView topLeftCell="W1" zoomScaleNormal="100" workbookViewId="0">
      <pane ySplit="1" topLeftCell="A234" activePane="bottomLeft" state="frozen"/>
      <selection activeCell="B1" sqref="B1"/>
      <selection pane="bottomLeft" activeCell="Y242" sqref="Y242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L243/G243</f>
        <v>#DIV/0!</v>
      </c>
      <c r="T1" s="3" t="s">
        <v>15</v>
      </c>
      <c r="U1" s="3">
        <f>M243/K243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36" customFormat="1" ht="18">
      <c r="B242" s="131" t="s">
        <v>611</v>
      </c>
      <c r="C242" s="104">
        <v>11</v>
      </c>
      <c r="D242" s="137">
        <v>25053</v>
      </c>
      <c r="H242" s="136">
        <v>28390</v>
      </c>
      <c r="L242" s="208"/>
      <c r="M242" s="208"/>
      <c r="P242" s="136">
        <v>25303</v>
      </c>
      <c r="Q242" s="136">
        <v>28674</v>
      </c>
      <c r="V242" s="136">
        <v>28100</v>
      </c>
      <c r="X242" s="136">
        <v>27970</v>
      </c>
      <c r="Y242" s="136">
        <v>31197</v>
      </c>
      <c r="Z242" s="138"/>
      <c r="AB242" s="137"/>
      <c r="AS242" s="137"/>
      <c r="AW242" s="137"/>
      <c r="BI242" s="177"/>
      <c r="BO242" s="151"/>
      <c r="BP242" s="151"/>
      <c r="BQ242" s="151"/>
      <c r="BR242" s="151"/>
    </row>
    <row r="243" spans="2:70" ht="18">
      <c r="D243" s="26"/>
      <c r="K243">
        <f>SUM(K2:K216)</f>
        <v>210358000</v>
      </c>
      <c r="L243" s="142">
        <f>SUM(L2:L216)</f>
        <v>38488576407409</v>
      </c>
      <c r="M243" s="142">
        <f>SUM(M2:M216)</f>
        <v>6182194847600</v>
      </c>
      <c r="V243" s="144">
        <v>28080</v>
      </c>
      <c r="Y243">
        <f>(38179-36734)/36734</f>
        <v>3.9336854140578213E-2</v>
      </c>
      <c r="Z243" s="25"/>
      <c r="AS243" s="26"/>
      <c r="AW243" s="30"/>
    </row>
    <row r="244" spans="2:70" ht="18">
      <c r="W244">
        <f>V240-X239</f>
        <v>380</v>
      </c>
      <c r="Z244" s="25"/>
      <c r="AS244" s="26"/>
      <c r="AW244" s="30"/>
    </row>
    <row r="245" spans="2:70" ht="18">
      <c r="E245">
        <f>D242-F241</f>
        <v>101</v>
      </c>
      <c r="O245">
        <f>P242-N241</f>
        <v>249</v>
      </c>
      <c r="W245" s="152"/>
      <c r="X245">
        <f>X241-X240</f>
        <v>-110</v>
      </c>
      <c r="Y245">
        <f>Y241-Y240</f>
        <v>-570</v>
      </c>
      <c r="Z245" s="25"/>
      <c r="AS245" s="26"/>
      <c r="AW245" s="30"/>
    </row>
    <row r="246" spans="2:70" ht="18">
      <c r="D246" s="93"/>
      <c r="P246">
        <f>P230-N229</f>
        <v>24</v>
      </c>
      <c r="W246" s="152"/>
      <c r="Z246" s="25"/>
      <c r="AW246" s="30"/>
    </row>
    <row r="247" spans="2:70" ht="17.25" customHeight="1">
      <c r="D247" s="93"/>
      <c r="P247" t="s">
        <v>523</v>
      </c>
      <c r="Q247" t="s">
        <v>524</v>
      </c>
      <c r="W247" s="152"/>
      <c r="Z247" s="25"/>
    </row>
    <row r="248" spans="2:70" ht="18">
      <c r="D248" s="93"/>
      <c r="E248">
        <f>(28300-25088)/25088</f>
        <v>0.12802933673469388</v>
      </c>
      <c r="O248" s="126" t="s">
        <v>503</v>
      </c>
      <c r="P248">
        <v>-178</v>
      </c>
      <c r="Q248">
        <v>-180</v>
      </c>
      <c r="V248" s="25"/>
      <c r="W248" s="152"/>
      <c r="X248">
        <f>X242-X241</f>
        <v>-150</v>
      </c>
      <c r="Y248">
        <f>(2631-2489)/2489</f>
        <v>5.7051024507834475E-2</v>
      </c>
      <c r="Z248" s="25"/>
    </row>
    <row r="249" spans="2:70" ht="18">
      <c r="D249" s="93"/>
      <c r="F249">
        <f>(37881-36136)/37136</f>
        <v>4.6989444205084017E-2</v>
      </c>
      <c r="H249">
        <f>(27376-26532)/26532</f>
        <v>3.1810643750942259E-2</v>
      </c>
      <c r="O249" s="132" t="s">
        <v>505</v>
      </c>
      <c r="P249">
        <v>59</v>
      </c>
      <c r="Q249">
        <v>59</v>
      </c>
      <c r="V249" s="25"/>
      <c r="W249" s="152"/>
    </row>
    <row r="250" spans="2:70" ht="18">
      <c r="D250" s="93"/>
      <c r="N250">
        <f t="shared" ref="N250:N254" si="42">N199-N198</f>
        <v>-15</v>
      </c>
      <c r="O250" s="132" t="s">
        <v>507</v>
      </c>
      <c r="P250">
        <v>-17</v>
      </c>
      <c r="Q250">
        <v>-16</v>
      </c>
      <c r="V250" s="25"/>
      <c r="W250" s="152"/>
    </row>
    <row r="251" spans="2:70" ht="18">
      <c r="D251" s="107"/>
      <c r="E251">
        <f>(2499-2381)/2381</f>
        <v>4.9559008819823606E-2</v>
      </c>
      <c r="N251">
        <f t="shared" si="42"/>
        <v>-12</v>
      </c>
      <c r="O251" s="132" t="s">
        <v>509</v>
      </c>
      <c r="P251">
        <v>-163</v>
      </c>
      <c r="Q251">
        <v>-165</v>
      </c>
      <c r="W251" s="144"/>
    </row>
    <row r="252" spans="2:70" ht="18">
      <c r="D252" s="107"/>
      <c r="N252">
        <f t="shared" si="42"/>
        <v>-137</v>
      </c>
      <c r="O252" s="132" t="s">
        <v>511</v>
      </c>
      <c r="P252">
        <v>50</v>
      </c>
      <c r="Q252">
        <v>50</v>
      </c>
      <c r="W252" s="144"/>
      <c r="X252" s="109"/>
    </row>
    <row r="253" spans="2:70" ht="18">
      <c r="D253" s="113"/>
      <c r="N253">
        <f t="shared" si="42"/>
        <v>-138</v>
      </c>
      <c r="O253" s="145" t="s">
        <v>513</v>
      </c>
      <c r="P253">
        <v>-15</v>
      </c>
      <c r="Q253">
        <v>-15</v>
      </c>
      <c r="V253">
        <f>(3376-3251)/3251</f>
        <v>3.8449707782220857E-2</v>
      </c>
      <c r="W253" s="144">
        <f>(2628-2533)/2533</f>
        <v>3.750493485984998E-2</v>
      </c>
      <c r="X253" s="109"/>
      <c r="Y253">
        <f>(W251-X215)/X215</f>
        <v>-1</v>
      </c>
    </row>
    <row r="254" spans="2:70" ht="18">
      <c r="D254" s="107"/>
      <c r="G254" s="9"/>
      <c r="N254">
        <f t="shared" si="42"/>
        <v>-43</v>
      </c>
      <c r="O254" s="145" t="s">
        <v>515</v>
      </c>
      <c r="P254">
        <v>-12</v>
      </c>
      <c r="Q254">
        <v>-12</v>
      </c>
      <c r="W254">
        <f>(38576-37406)/37406</f>
        <v>3.1278404534031974E-2</v>
      </c>
      <c r="X254" s="109"/>
      <c r="Y254">
        <f>(43725-42669)/42669</f>
        <v>2.4748646558391339E-2</v>
      </c>
    </row>
    <row r="255" spans="2:70" ht="18">
      <c r="D255" s="103"/>
      <c r="G255" s="9"/>
      <c r="N255">
        <f>N243-N203</f>
        <v>-27379</v>
      </c>
      <c r="O255" s="148" t="s">
        <v>517</v>
      </c>
      <c r="P255">
        <v>-136</v>
      </c>
      <c r="Q255">
        <v>-137</v>
      </c>
      <c r="X255" s="109"/>
    </row>
    <row r="256" spans="2:70" ht="18">
      <c r="G256" s="9"/>
      <c r="O256" s="145" t="s">
        <v>519</v>
      </c>
      <c r="P256">
        <v>-137</v>
      </c>
      <c r="Q256">
        <v>-138</v>
      </c>
      <c r="X256" s="109"/>
      <c r="Y256">
        <f>(3365-3279)/3279</f>
        <v>2.6227508386703263E-2</v>
      </c>
    </row>
    <row r="257" spans="7:24" ht="18">
      <c r="G257" s="9"/>
      <c r="O257" s="131" t="s">
        <v>521</v>
      </c>
      <c r="P257">
        <v>-42</v>
      </c>
      <c r="Q257">
        <v>-43</v>
      </c>
      <c r="X257" s="109"/>
    </row>
    <row r="258" spans="7:24" ht="18">
      <c r="G258" s="9"/>
    </row>
  </sheetData>
  <autoFilter ref="A1:BN245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topLeftCell="A31" zoomScale="70" zoomScaleNormal="70" workbookViewId="0">
      <selection activeCell="C50" sqref="C50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>
      <c r="B45">
        <f>(B2-B8)/B2</f>
        <v>0.15346494762288476</v>
      </c>
      <c r="C45">
        <f>(C2-C8)/C2</f>
        <v>0.1154959674639829</v>
      </c>
      <c r="D45">
        <f>SUM(D2:D39)/38</f>
        <v>37702089.447368421</v>
      </c>
      <c r="I45">
        <f>I43-I42</f>
        <v>-332</v>
      </c>
    </row>
    <row r="46" spans="1:11">
      <c r="H46">
        <f>(H43-H42)/H42</f>
        <v>-1.9771428571428572E-2</v>
      </c>
    </row>
    <row r="47" spans="1:11">
      <c r="A47">
        <f>(B44-B43)</f>
        <v>-250</v>
      </c>
      <c r="C47">
        <f>(C43-C42)/C42</f>
        <v>-1.2137997059527473E-2</v>
      </c>
      <c r="E47">
        <f>(D39-D45)/D45</f>
        <v>0.21324840799221964</v>
      </c>
      <c r="J47">
        <f>(D36-D35)/D35</f>
        <v>-0.50773339408667473</v>
      </c>
    </row>
    <row r="48" spans="1:11">
      <c r="B48">
        <f>(B43-B42)/B42</f>
        <v>-1.4413787773398253E-2</v>
      </c>
      <c r="F48">
        <f>(F36-F35)/F35</f>
        <v>-0.62892307692307692</v>
      </c>
    </row>
    <row r="49" spans="3:10">
      <c r="D49">
        <v>5375132</v>
      </c>
      <c r="E49">
        <f>(E17-D49)/D49</f>
        <v>4.5958809321644006E-2</v>
      </c>
      <c r="G49">
        <f t="shared" ref="G49:G57" si="2">B3-B2</f>
        <v>-554</v>
      </c>
    </row>
    <row r="50" spans="3:10">
      <c r="G50">
        <f t="shared" si="2"/>
        <v>-302</v>
      </c>
    </row>
    <row r="51" spans="3:10">
      <c r="C51">
        <f>(D49-E16)/E16</f>
        <v>0.17110375179746395</v>
      </c>
      <c r="G51">
        <f t="shared" si="2"/>
        <v>-511</v>
      </c>
    </row>
    <row r="52" spans="3:10">
      <c r="G52">
        <f t="shared" si="2"/>
        <v>-362</v>
      </c>
    </row>
    <row r="53" spans="3:10">
      <c r="G53">
        <f t="shared" si="2"/>
        <v>-1699</v>
      </c>
    </row>
    <row r="54" spans="3:10">
      <c r="G54">
        <f t="shared" si="2"/>
        <v>-381</v>
      </c>
    </row>
    <row r="55" spans="3:10">
      <c r="G55">
        <f t="shared" si="2"/>
        <v>1075</v>
      </c>
    </row>
    <row r="56" spans="3:10">
      <c r="F56">
        <f>(F33-F32)/F32</f>
        <v>0.23948268173034043</v>
      </c>
      <c r="G56">
        <f t="shared" si="2"/>
        <v>151</v>
      </c>
      <c r="J56">
        <f>(F34-F35)/F34</f>
        <v>0.13877341459779063</v>
      </c>
    </row>
    <row r="57" spans="3:10">
      <c r="G57">
        <f t="shared" si="2"/>
        <v>1043</v>
      </c>
    </row>
  </sheetData>
  <autoFilter ref="A1:K57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77"/>
  <sheetViews>
    <sheetView topLeftCell="A2159" zoomScaleNormal="100" workbookViewId="0">
      <selection activeCell="B2175" sqref="B2175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606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3" t="s">
        <v>608</v>
      </c>
      <c r="B2154" s="213"/>
      <c r="C2154" s="213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3" t="s">
        <v>609</v>
      </c>
      <c r="B2167" s="213"/>
      <c r="C2167" s="213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4:4">
      <c r="D2177">
        <f>B2175-B2162</f>
        <v>-125000</v>
      </c>
    </row>
  </sheetData>
  <mergeCells count="186">
    <mergeCell ref="A2141:C2141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742:C1742"/>
    <mergeCell ref="A1754:C1754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1854:C1854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716:C1716"/>
    <mergeCell ref="A1729:C1729"/>
    <mergeCell ref="A2167:C2167"/>
    <mergeCell ref="A2154:C2154"/>
    <mergeCell ref="A2129:C2129"/>
    <mergeCell ref="A2117:C2117"/>
    <mergeCell ref="A2081:C208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D18" sqref="D18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65"/>
  <sheetViews>
    <sheetView tabSelected="1" topLeftCell="A4" zoomScale="85" zoomScaleNormal="85" workbookViewId="0">
      <selection activeCell="B8" sqref="B8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65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65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>(D163-D162)*100/D162</f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>(D164-D163)*100/D163</f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>(D165-D164)*100/D164</f>
        <v>-1.0113268608414239</v>
      </c>
      <c r="H165">
        <f t="shared" si="12"/>
        <v>0.18800065391531798</v>
      </c>
      <c r="I165">
        <v>0.78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2022-01-31T13:14:11Z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