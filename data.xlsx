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set'!$A$1:$BN$223</definedName>
    <definedName name="_xlnm._FilterDatabase" localSheetId="1" hidden="1">weekly!$A$1:$K$53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01" i="3" l="1"/>
  <c r="Y225" i="1"/>
  <c r="X221" i="1"/>
  <c r="H146" i="5" l="1"/>
  <c r="G146" i="5"/>
  <c r="F146" i="5"/>
  <c r="X223" i="1" l="1"/>
  <c r="H145" i="5" l="1"/>
  <c r="G145" i="5"/>
  <c r="F145" i="5"/>
  <c r="H144" i="5" l="1"/>
  <c r="G144" i="5"/>
  <c r="F144" i="5"/>
  <c r="H143" i="5" l="1"/>
  <c r="G143" i="5"/>
  <c r="F143" i="5"/>
  <c r="E224" i="1"/>
  <c r="G40" i="2" l="1"/>
  <c r="E40" i="2"/>
  <c r="G221" i="1" l="1"/>
  <c r="K221" i="1"/>
  <c r="M216" i="1"/>
  <c r="L216" i="1"/>
  <c r="D1850" i="3" l="1"/>
  <c r="M215" i="1"/>
  <c r="L215" i="1"/>
  <c r="Y231" i="1"/>
  <c r="Y223" i="1"/>
  <c r="H142" i="5" l="1"/>
  <c r="G142" i="5"/>
  <c r="F142" i="5"/>
  <c r="M214" i="1" l="1"/>
  <c r="L214" i="1"/>
  <c r="I223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1" i="2" l="1"/>
  <c r="E43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7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3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8" i="1"/>
  <c r="N229" i="1"/>
  <c r="N230" i="1"/>
  <c r="N231" i="1"/>
  <c r="N232" i="1"/>
  <c r="N233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4" i="2" l="1"/>
  <c r="J43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2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2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3" i="2"/>
  <c r="G52" i="2"/>
  <c r="G51" i="2"/>
  <c r="G50" i="2"/>
  <c r="G49" i="2"/>
  <c r="G48" i="2"/>
  <c r="G47" i="2"/>
  <c r="G46" i="2"/>
  <c r="G45" i="2"/>
  <c r="C41" i="2"/>
  <c r="B4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5" i="2" s="1"/>
  <c r="G16" i="2"/>
  <c r="E16" i="2"/>
  <c r="C4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1" i="1" l="1"/>
  <c r="S1" i="1" s="1"/>
  <c r="M221" i="1"/>
  <c r="U1" i="1" s="1"/>
</calcChain>
</file>

<file path=xl/sharedStrings.xml><?xml version="1.0" encoding="utf-8"?>
<sst xmlns="http://schemas.openxmlformats.org/spreadsheetml/2006/main" count="1971" uniqueCount="563">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</sst>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40289856"/>
        <c:axId val="-440283872"/>
      </c:lineChart>
      <c:catAx>
        <c:axId val="-44028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3872"/>
        <c:crosses val="autoZero"/>
        <c:auto val="1"/>
        <c:lblAlgn val="ctr"/>
        <c:lblOffset val="100"/>
        <c:noMultiLvlLbl val="0"/>
      </c:catAx>
      <c:valAx>
        <c:axId val="-4402838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98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13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weekly!$B$27:$B$40</c15:sqref>
                  </c15:fullRef>
                </c:ext>
              </c:extLst>
              <c:f>weekly!$B$28:$B$40</c:f>
              <c:numCache>
                <c:formatCode>General</c:formatCode>
                <c:ptCount val="13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weekly!$H$27:$H$40</c15:sqref>
                  </c15:fullRef>
                </c:ext>
              </c:extLst>
              <c:f>weekly!$H$28:$H$40</c:f>
              <c:numCache>
                <c:formatCode>General</c:formatCode>
                <c:ptCount val="13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40287136"/>
        <c:axId val="-44028115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44028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1152"/>
        <c:crosses val="autoZero"/>
        <c:auto val="1"/>
        <c:lblAlgn val="ctr"/>
        <c:lblOffset val="100"/>
        <c:noMultiLvlLbl val="0"/>
      </c:catAx>
      <c:valAx>
        <c:axId val="-44028115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71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40292576"/>
        <c:axId val="-440289312"/>
      </c:lineChart>
      <c:catAx>
        <c:axId val="-44029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9312"/>
        <c:crosses val="autoZero"/>
        <c:auto val="1"/>
        <c:lblAlgn val="ctr"/>
        <c:lblOffset val="100"/>
        <c:noMultiLvlLbl val="0"/>
      </c:catAx>
      <c:valAx>
        <c:axId val="-440289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925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40284960"/>
        <c:axId val="-440288768"/>
      </c:lineChart>
      <c:catAx>
        <c:axId val="-4402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8768"/>
        <c:crosses val="autoZero"/>
        <c:auto val="1"/>
        <c:lblAlgn val="ctr"/>
        <c:lblOffset val="100"/>
        <c:noMultiLvlLbl val="0"/>
      </c:catAx>
      <c:valAx>
        <c:axId val="-4402887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49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40286048"/>
        <c:axId val="-440285504"/>
      </c:lineChart>
      <c:catAx>
        <c:axId val="-44028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5504"/>
        <c:crosses val="autoZero"/>
        <c:auto val="1"/>
        <c:lblAlgn val="ctr"/>
        <c:lblOffset val="100"/>
        <c:noMultiLvlLbl val="0"/>
      </c:catAx>
      <c:valAx>
        <c:axId val="-4402855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02860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13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weekly!$C$27:$C$40</c15:sqref>
                  </c15:fullRef>
                </c:ext>
              </c:extLst>
              <c:f>weekly!$C$28:$C$40</c:f>
              <c:numCache>
                <c:formatCode>General</c:formatCode>
                <c:ptCount val="13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weekly!$I$27:$I$40</c15:sqref>
                  </c15:fullRef>
                </c:ext>
              </c:extLst>
              <c:f>weekly!$I$28:$I$40</c:f>
              <c:numCache>
                <c:formatCode>General</c:formatCode>
                <c:ptCount val="13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645352928"/>
        <c:axId val="-35457411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64535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54574112"/>
        <c:crosses val="autoZero"/>
        <c:auto val="1"/>
        <c:lblAlgn val="ctr"/>
        <c:lblOffset val="100"/>
        <c:noMultiLvlLbl val="0"/>
      </c:catAx>
      <c:valAx>
        <c:axId val="-35457411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6453529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354577920"/>
        <c:axId val="-354573568"/>
      </c:barChart>
      <c:catAx>
        <c:axId val="-35457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54573568"/>
        <c:crosses val="autoZero"/>
        <c:auto val="1"/>
        <c:lblAlgn val="ctr"/>
        <c:lblOffset val="100"/>
        <c:noMultiLvlLbl val="0"/>
      </c:catAx>
      <c:valAx>
        <c:axId val="-3545735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5457792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سه‌شنبه 14 دی ماه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4"/>
          <c:order val="64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change'!$F$146:$I$146</c:f>
              <c:numCache>
                <c:formatCode>General</c:formatCode>
                <c:ptCount val="4"/>
                <c:pt idx="0">
                  <c:v>-0.68027210884353739</c:v>
                </c:pt>
                <c:pt idx="1">
                  <c:v>-1.338432122370937</c:v>
                </c:pt>
                <c:pt idx="2">
                  <c:v>-0.44326930554475463</c:v>
                </c:pt>
                <c:pt idx="3">
                  <c:v>-0.96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354575200"/>
        <c:axId val="-35457302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35457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54573024"/>
        <c:crosses val="autoZero"/>
        <c:auto val="1"/>
        <c:lblAlgn val="ctr"/>
        <c:lblOffset val="100"/>
        <c:noMultiLvlLbl val="0"/>
      </c:catAx>
      <c:valAx>
        <c:axId val="-3545730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3545752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595</xdr:row>
      <xdr:rowOff>102960</xdr:rowOff>
    </xdr:from>
    <xdr:to>
      <xdr:col>11</xdr:col>
      <xdr:colOff>279360</xdr:colOff>
      <xdr:row>625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175</xdr:row>
      <xdr:rowOff>27711</xdr:rowOff>
    </xdr:from>
    <xdr:to>
      <xdr:col>41</xdr:col>
      <xdr:colOff>533400</xdr:colOff>
      <xdr:row>280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311</xdr:row>
      <xdr:rowOff>0</xdr:rowOff>
    </xdr:from>
    <xdr:to>
      <xdr:col>82</xdr:col>
      <xdr:colOff>0</xdr:colOff>
      <xdr:row>387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630</xdr:row>
      <xdr:rowOff>0</xdr:rowOff>
    </xdr:from>
    <xdr:to>
      <xdr:col>13</xdr:col>
      <xdr:colOff>354240</xdr:colOff>
      <xdr:row>660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410</xdr:row>
      <xdr:rowOff>0</xdr:rowOff>
    </xdr:from>
    <xdr:to>
      <xdr:col>83</xdr:col>
      <xdr:colOff>533400</xdr:colOff>
      <xdr:row>509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58</xdr:row>
      <xdr:rowOff>76321</xdr:rowOff>
    </xdr:from>
    <xdr:to>
      <xdr:col>44</xdr:col>
      <xdr:colOff>533400</xdr:colOff>
      <xdr:row>157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6"/>
  <sheetViews>
    <sheetView tabSelected="1" topLeftCell="B217" zoomScaleNormal="100" workbookViewId="0">
      <selection activeCell="B224" sqref="B224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L221/G221</f>
        <v>25525.574323740966</v>
      </c>
      <c r="T1" s="3" t="s">
        <v>15</v>
      </c>
      <c r="U1" s="3">
        <f>M221/K221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6" customFormat="1" ht="18">
      <c r="B220" s="131" t="s">
        <v>561</v>
      </c>
      <c r="C220" s="104">
        <v>14</v>
      </c>
      <c r="D220" s="137">
        <v>27033</v>
      </c>
      <c r="H220" s="136">
        <v>30699</v>
      </c>
      <c r="L220" s="208"/>
      <c r="M220" s="208"/>
      <c r="V220" s="136">
        <v>29310</v>
      </c>
      <c r="X220" s="136">
        <v>29200</v>
      </c>
      <c r="Y220" s="136">
        <v>33146</v>
      </c>
      <c r="Z220" s="138"/>
      <c r="AB220" s="137"/>
      <c r="AS220" s="137"/>
      <c r="AW220" s="137"/>
      <c r="BI220" s="177"/>
      <c r="BO220" s="151"/>
      <c r="BP220" s="151"/>
      <c r="BQ220" s="151"/>
    </row>
    <row r="221" spans="2:69" ht="18">
      <c r="D221" s="26"/>
      <c r="G221">
        <f>SUM(G2:G216)</f>
        <v>1507843699</v>
      </c>
      <c r="K221">
        <f>SUM(K2:K216)</f>
        <v>210358000</v>
      </c>
      <c r="L221" s="142">
        <f>SUM(L2:L216)</f>
        <v>38488576407409</v>
      </c>
      <c r="M221" s="142">
        <f>SUM(M2:M216)</f>
        <v>6182194847600</v>
      </c>
      <c r="V221" s="144">
        <v>29300</v>
      </c>
      <c r="X221">
        <f>SUM(X12:X220)/209</f>
        <v>26435.78947368421</v>
      </c>
      <c r="Z221" s="25"/>
      <c r="AS221" s="26"/>
      <c r="AW221" s="30"/>
    </row>
    <row r="222" spans="2:69" ht="18">
      <c r="V222" s="144">
        <v>29330</v>
      </c>
      <c r="Z222" s="25"/>
      <c r="AS222" s="26"/>
      <c r="AW222" s="30"/>
    </row>
    <row r="223" spans="2:69" ht="18">
      <c r="I223">
        <f>(G214-G221)/G214</f>
        <v>-187.200514110261</v>
      </c>
      <c r="J223">
        <f>J206-J205</f>
        <v>-347</v>
      </c>
      <c r="V223" s="144">
        <v>29320</v>
      </c>
      <c r="W223" s="152"/>
      <c r="X223">
        <f>(V220-X216)/X216</f>
        <v>-2.038770053475936E-2</v>
      </c>
      <c r="Y223">
        <f>X215-X214</f>
        <v>170</v>
      </c>
      <c r="Z223" s="25"/>
      <c r="AS223" s="26"/>
      <c r="AW223" s="30"/>
    </row>
    <row r="224" spans="2:69" ht="18">
      <c r="D224" s="93"/>
      <c r="E224">
        <f>D217-F216</f>
        <v>54</v>
      </c>
      <c r="V224" s="129"/>
      <c r="W224" s="152"/>
      <c r="Z224" s="25"/>
      <c r="AW224" s="30"/>
    </row>
    <row r="225" spans="4:26" ht="17.25" customHeight="1">
      <c r="D225" s="93"/>
      <c r="P225" t="s">
        <v>523</v>
      </c>
      <c r="Q225" t="s">
        <v>524</v>
      </c>
      <c r="V225" s="25"/>
      <c r="W225" s="152"/>
      <c r="Y225">
        <f>(X221-X220)/X221</f>
        <v>-0.10456319184518598</v>
      </c>
      <c r="Z225" s="25"/>
    </row>
    <row r="226" spans="4:26" ht="18">
      <c r="D226" s="93"/>
      <c r="O226" s="126" t="s">
        <v>503</v>
      </c>
      <c r="P226">
        <v>-178</v>
      </c>
      <c r="Q226">
        <v>-180</v>
      </c>
      <c r="V226" s="25"/>
      <c r="W226" s="152"/>
      <c r="Z226" s="25"/>
    </row>
    <row r="227" spans="4:26" ht="18">
      <c r="D227" s="93"/>
      <c r="H227">
        <f>(27376-26532)/26532</f>
        <v>3.1810643750942259E-2</v>
      </c>
      <c r="O227" s="132" t="s">
        <v>505</v>
      </c>
      <c r="P227">
        <v>59</v>
      </c>
      <c r="Q227">
        <v>59</v>
      </c>
      <c r="V227" s="25"/>
      <c r="W227" s="152"/>
    </row>
    <row r="228" spans="4:26" ht="18">
      <c r="D228" s="93"/>
      <c r="N228">
        <f t="shared" ref="N228:N232" si="38">N199-N198</f>
        <v>-15</v>
      </c>
      <c r="O228" s="132" t="s">
        <v>507</v>
      </c>
      <c r="P228">
        <v>-17</v>
      </c>
      <c r="Q228">
        <v>-16</v>
      </c>
      <c r="V228" s="25"/>
      <c r="W228" s="152"/>
    </row>
    <row r="229" spans="4:26" ht="18">
      <c r="D229" s="107"/>
      <c r="N229">
        <f t="shared" si="38"/>
        <v>-12</v>
      </c>
      <c r="O229" s="132" t="s">
        <v>509</v>
      </c>
      <c r="P229">
        <v>-163</v>
      </c>
      <c r="Q229">
        <v>-165</v>
      </c>
      <c r="W229" s="144"/>
    </row>
    <row r="230" spans="4:26" ht="18">
      <c r="D230" s="107"/>
      <c r="N230">
        <f t="shared" si="38"/>
        <v>-137</v>
      </c>
      <c r="O230" s="132" t="s">
        <v>511</v>
      </c>
      <c r="P230">
        <v>50</v>
      </c>
      <c r="Q230">
        <v>50</v>
      </c>
      <c r="W230" s="144"/>
      <c r="X230" s="109"/>
    </row>
    <row r="231" spans="4:26" ht="18">
      <c r="D231" s="113"/>
      <c r="N231">
        <f t="shared" si="38"/>
        <v>-138</v>
      </c>
      <c r="O231" s="145" t="s">
        <v>513</v>
      </c>
      <c r="P231">
        <v>-15</v>
      </c>
      <c r="Q231">
        <v>-15</v>
      </c>
      <c r="W231" s="144"/>
      <c r="X231" s="109"/>
      <c r="Y231">
        <f>(W229-X215)/X215</f>
        <v>-1</v>
      </c>
    </row>
    <row r="232" spans="4:26" ht="18">
      <c r="D232" s="107"/>
      <c r="G232" s="9"/>
      <c r="N232">
        <f t="shared" si="38"/>
        <v>-43</v>
      </c>
      <c r="O232" s="145" t="s">
        <v>515</v>
      </c>
      <c r="P232">
        <v>-12</v>
      </c>
      <c r="Q232">
        <v>-12</v>
      </c>
      <c r="X232" s="109"/>
    </row>
    <row r="233" spans="4:26" ht="18">
      <c r="D233" s="103"/>
      <c r="G233" s="9"/>
      <c r="N233">
        <f>N221-N203</f>
        <v>-27379</v>
      </c>
      <c r="O233" s="148" t="s">
        <v>517</v>
      </c>
      <c r="P233">
        <v>-136</v>
      </c>
      <c r="Q233">
        <v>-137</v>
      </c>
      <c r="X233" s="109"/>
    </row>
    <row r="234" spans="4:26" ht="18">
      <c r="G234" s="9"/>
      <c r="O234" s="145" t="s">
        <v>519</v>
      </c>
      <c r="P234">
        <v>-137</v>
      </c>
      <c r="Q234">
        <v>-138</v>
      </c>
      <c r="X234" s="109"/>
    </row>
    <row r="235" spans="4:26" ht="18">
      <c r="G235" s="9"/>
      <c r="O235" s="131" t="s">
        <v>521</v>
      </c>
      <c r="P235">
        <v>-42</v>
      </c>
      <c r="Q235">
        <v>-43</v>
      </c>
      <c r="X235" s="109"/>
    </row>
    <row r="236" spans="4:26" ht="18">
      <c r="G236" s="9"/>
    </row>
  </sheetData>
  <autoFilter ref="A1:BN22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"/>
  <sheetViews>
    <sheetView topLeftCell="B1" zoomScale="85" zoomScaleNormal="85" workbookViewId="0">
      <selection activeCell="D12" sqref="D1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>
      <c r="B41">
        <f>(B2-B8)/B2</f>
        <v>0.15346494762288476</v>
      </c>
      <c r="C41">
        <f>(C2-C8)/C2</f>
        <v>0.1154959674639829</v>
      </c>
      <c r="D41">
        <f>SUM(D2:D39)/38</f>
        <v>37702089.447368421</v>
      </c>
    </row>
    <row r="43" spans="1:11">
      <c r="E43">
        <f>(D39-D41)/D41</f>
        <v>0.21324840799221964</v>
      </c>
      <c r="J43">
        <f>(D36-D35)/D35</f>
        <v>-0.50773339408667473</v>
      </c>
    </row>
    <row r="44" spans="1:11">
      <c r="F44">
        <f>(F36-F35)/F35</f>
        <v>-0.62892307692307692</v>
      </c>
    </row>
    <row r="45" spans="1:11">
      <c r="D45">
        <v>5375132</v>
      </c>
      <c r="E45">
        <f>(E17-D45)/D45</f>
        <v>4.5958809321644006E-2</v>
      </c>
      <c r="G45">
        <f t="shared" ref="G45:G53" si="2">B3-B2</f>
        <v>-554</v>
      </c>
    </row>
    <row r="46" spans="1:11">
      <c r="G46">
        <f t="shared" si="2"/>
        <v>-302</v>
      </c>
    </row>
    <row r="47" spans="1:11">
      <c r="C47">
        <f>(D45-E16)/E16</f>
        <v>0.17110375179746395</v>
      </c>
      <c r="G47">
        <f t="shared" si="2"/>
        <v>-511</v>
      </c>
    </row>
    <row r="48" spans="1:11">
      <c r="G48">
        <f t="shared" si="2"/>
        <v>-362</v>
      </c>
    </row>
    <row r="49" spans="6:10">
      <c r="G49">
        <f t="shared" si="2"/>
        <v>-1699</v>
      </c>
    </row>
    <row r="50" spans="6:10">
      <c r="G50">
        <f t="shared" si="2"/>
        <v>-381</v>
      </c>
    </row>
    <row r="51" spans="6:10">
      <c r="G51">
        <f t="shared" si="2"/>
        <v>1075</v>
      </c>
    </row>
    <row r="52" spans="6:10">
      <c r="F52">
        <f>(F33-F32)/F32</f>
        <v>0.23948268173034043</v>
      </c>
      <c r="G52">
        <f t="shared" si="2"/>
        <v>151</v>
      </c>
      <c r="J52">
        <f>(F34-F35)/F34</f>
        <v>0.13877341459779063</v>
      </c>
    </row>
    <row r="53" spans="6:10">
      <c r="G53">
        <f t="shared" si="2"/>
        <v>1043</v>
      </c>
    </row>
  </sheetData>
  <autoFilter ref="A1:K5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01"/>
  <sheetViews>
    <sheetView topLeftCell="A1884" zoomScaleNormal="100" workbookViewId="0">
      <selection activeCell="D1902" sqref="D190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2" t="s">
        <v>246</v>
      </c>
      <c r="B1" s="212"/>
      <c r="C1" s="212"/>
      <c r="D1" s="212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2" t="s">
        <v>256</v>
      </c>
      <c r="B11" s="212"/>
      <c r="C11" s="212"/>
      <c r="D11" s="212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2" t="s">
        <v>258</v>
      </c>
      <c r="B21" s="212"/>
      <c r="C21" s="212"/>
      <c r="D21" s="212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2" t="s">
        <v>259</v>
      </c>
      <c r="B31" s="212"/>
      <c r="C31" s="212"/>
      <c r="D31" s="212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2" t="s">
        <v>260</v>
      </c>
      <c r="B41" s="212"/>
      <c r="C41" s="212"/>
      <c r="D41" s="212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2" t="s">
        <v>262</v>
      </c>
      <c r="B51" s="212"/>
      <c r="C51" s="212"/>
      <c r="D51" s="212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2" t="s">
        <v>263</v>
      </c>
      <c r="B61" s="212"/>
      <c r="C61" s="212"/>
      <c r="D61" s="212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2" t="s">
        <v>264</v>
      </c>
      <c r="B71" s="212"/>
      <c r="C71" s="212"/>
      <c r="D71" s="212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2" t="s">
        <v>265</v>
      </c>
      <c r="B81" s="212"/>
      <c r="C81" s="212"/>
      <c r="D81" s="212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2" t="s">
        <v>269</v>
      </c>
      <c r="B93" s="212"/>
      <c r="C93" s="212"/>
      <c r="D93" s="212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2" t="s">
        <v>270</v>
      </c>
      <c r="B103" s="212"/>
      <c r="C103" s="212"/>
      <c r="D103" s="212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2" t="s">
        <v>272</v>
      </c>
      <c r="B113" s="212"/>
      <c r="C113" s="212"/>
      <c r="D113" s="212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2" t="s">
        <v>273</v>
      </c>
      <c r="B123" s="212"/>
      <c r="C123" s="212"/>
      <c r="D123" s="212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2" t="s">
        <v>274</v>
      </c>
      <c r="B133" s="212"/>
      <c r="C133" s="212"/>
      <c r="D133" s="212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2" t="s">
        <v>275</v>
      </c>
      <c r="B143" s="212"/>
      <c r="C143" s="212"/>
      <c r="D143" s="212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2" t="s">
        <v>277</v>
      </c>
      <c r="B153" s="212"/>
      <c r="C153" s="212"/>
      <c r="D153" s="212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2" t="s">
        <v>278</v>
      </c>
      <c r="B163" s="212"/>
      <c r="C163" s="212"/>
      <c r="D163" s="212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2" t="s">
        <v>279</v>
      </c>
      <c r="B173" s="212"/>
      <c r="C173" s="212"/>
      <c r="D173" s="212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2" t="s">
        <v>280</v>
      </c>
      <c r="B183" s="212"/>
      <c r="C183" s="212"/>
      <c r="D183" s="212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2" t="s">
        <v>281</v>
      </c>
      <c r="B193" s="212"/>
      <c r="C193" s="212"/>
      <c r="D193" s="212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2" t="s">
        <v>282</v>
      </c>
      <c r="B203" s="212"/>
      <c r="C203" s="212"/>
      <c r="D203" s="212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2" t="s">
        <v>283</v>
      </c>
      <c r="B213" s="212"/>
      <c r="C213" s="212"/>
      <c r="D213" s="212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2" t="s">
        <v>284</v>
      </c>
      <c r="B223" s="212"/>
      <c r="C223" s="212"/>
      <c r="D223" s="212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2" t="s">
        <v>285</v>
      </c>
      <c r="B233" s="212"/>
      <c r="C233" s="212"/>
      <c r="D233" s="212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2" t="s">
        <v>286</v>
      </c>
      <c r="B243" s="212"/>
      <c r="C243" s="212"/>
      <c r="D243" s="212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2" t="s">
        <v>287</v>
      </c>
      <c r="B253" s="212"/>
      <c r="C253" s="212"/>
      <c r="D253" s="212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2" t="s">
        <v>288</v>
      </c>
      <c r="B263" s="212"/>
      <c r="C263" s="212"/>
      <c r="D263" s="212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2" t="s">
        <v>289</v>
      </c>
      <c r="B273" s="212"/>
      <c r="C273" s="212"/>
      <c r="D273" s="212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2" t="s">
        <v>290</v>
      </c>
      <c r="B283" s="212"/>
      <c r="C283" s="212"/>
      <c r="D283" s="212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2" t="s">
        <v>291</v>
      </c>
      <c r="B293" s="212"/>
      <c r="C293" s="212"/>
      <c r="D293" s="212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2" t="s">
        <v>292</v>
      </c>
      <c r="B303" s="212"/>
      <c r="C303" s="212"/>
      <c r="D303" s="212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2" t="s">
        <v>296</v>
      </c>
      <c r="B313" s="212"/>
      <c r="C313" s="212"/>
      <c r="D313" s="212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2" t="s">
        <v>300</v>
      </c>
      <c r="B324" s="212"/>
      <c r="C324" s="212"/>
      <c r="D324" s="212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2" t="s">
        <v>303</v>
      </c>
      <c r="B335" s="212"/>
      <c r="C335" s="212"/>
      <c r="D335" s="212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2" t="s">
        <v>304</v>
      </c>
      <c r="B346" s="212"/>
      <c r="C346" s="212"/>
      <c r="D346" s="212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2" t="s">
        <v>305</v>
      </c>
      <c r="B357" s="212"/>
      <c r="C357" s="212"/>
      <c r="D357" s="212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2" t="s">
        <v>306</v>
      </c>
      <c r="B368" s="212"/>
      <c r="C368" s="212"/>
      <c r="D368" s="212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2" t="s">
        <v>307</v>
      </c>
      <c r="B379" s="212"/>
      <c r="C379" s="212"/>
      <c r="D379" s="212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2" t="s">
        <v>308</v>
      </c>
      <c r="B390" s="212"/>
      <c r="C390" s="212"/>
      <c r="D390" s="212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2" t="s">
        <v>309</v>
      </c>
      <c r="B401" s="212"/>
      <c r="C401" s="212"/>
      <c r="D401" s="212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2" t="s">
        <v>310</v>
      </c>
      <c r="B412" s="212"/>
      <c r="C412" s="212"/>
      <c r="D412" s="212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2" t="s">
        <v>311</v>
      </c>
      <c r="B423" s="212"/>
      <c r="C423" s="212"/>
      <c r="D423" s="212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2" t="s">
        <v>315</v>
      </c>
      <c r="B434" s="212"/>
      <c r="C434" s="212"/>
      <c r="D434" s="212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2" t="s">
        <v>316</v>
      </c>
      <c r="B445" s="212"/>
      <c r="C445" s="212"/>
      <c r="D445" s="212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2" t="s">
        <v>317</v>
      </c>
      <c r="B456" s="212"/>
      <c r="C456" s="212"/>
      <c r="D456" s="212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2" t="s">
        <v>318</v>
      </c>
      <c r="B467" s="212"/>
      <c r="C467" s="212"/>
      <c r="D467" s="212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2" t="s">
        <v>319</v>
      </c>
      <c r="B478" s="212"/>
      <c r="C478" s="212"/>
      <c r="D478" s="212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2" t="s">
        <v>320</v>
      </c>
      <c r="B489" s="212"/>
      <c r="C489" s="212"/>
      <c r="D489" s="212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2" t="s">
        <v>323</v>
      </c>
      <c r="B500" s="212"/>
      <c r="C500" s="212"/>
      <c r="D500" s="212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2" t="s">
        <v>324</v>
      </c>
      <c r="B511" s="212"/>
      <c r="C511" s="212"/>
      <c r="D511" s="212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2" t="s">
        <v>325</v>
      </c>
      <c r="B522" s="212"/>
      <c r="C522" s="212"/>
      <c r="D522" s="212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2" t="s">
        <v>326</v>
      </c>
      <c r="B533" s="212"/>
      <c r="C533" s="212"/>
      <c r="D533" s="212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2" t="s">
        <v>327</v>
      </c>
      <c r="B544" s="212"/>
      <c r="C544" s="212"/>
      <c r="D544" s="212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2" t="s">
        <v>328</v>
      </c>
      <c r="B555" s="212"/>
      <c r="C555" s="212"/>
      <c r="D555" s="212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2" t="s">
        <v>328</v>
      </c>
      <c r="B567" s="212"/>
      <c r="C567" s="212"/>
      <c r="D567" s="212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2" t="s">
        <v>333</v>
      </c>
      <c r="B579" s="212"/>
      <c r="C579" s="212"/>
      <c r="D579" s="212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2" t="s">
        <v>334</v>
      </c>
      <c r="B590" s="212"/>
      <c r="C590" s="212"/>
      <c r="D590" s="212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2" t="s">
        <v>335</v>
      </c>
      <c r="B601" s="212"/>
      <c r="C601" s="212"/>
      <c r="D601" s="212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2" t="s">
        <v>336</v>
      </c>
      <c r="B612" s="212"/>
      <c r="C612" s="212"/>
      <c r="D612" s="212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2" t="s">
        <v>337</v>
      </c>
      <c r="B623" s="212"/>
      <c r="C623" s="212"/>
      <c r="D623" s="212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2" t="s">
        <v>338</v>
      </c>
      <c r="B635" s="212"/>
      <c r="C635" s="212"/>
      <c r="D635" s="212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2" t="s">
        <v>340</v>
      </c>
      <c r="B647" s="212"/>
      <c r="C647" s="212"/>
      <c r="D647" s="212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2" t="s">
        <v>341</v>
      </c>
      <c r="B658" s="212"/>
      <c r="C658" s="212"/>
      <c r="D658" s="212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2" t="s">
        <v>342</v>
      </c>
      <c r="B670" s="212"/>
      <c r="C670" s="212"/>
      <c r="D670" s="212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2" t="s">
        <v>343</v>
      </c>
      <c r="B681" s="212"/>
      <c r="C681" s="212"/>
      <c r="D681" s="212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2" t="s">
        <v>344</v>
      </c>
      <c r="B692" s="212"/>
      <c r="C692" s="212"/>
      <c r="D692" s="212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2" t="s">
        <v>345</v>
      </c>
      <c r="B703" s="212"/>
      <c r="C703" s="212"/>
      <c r="D703" s="212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2" t="s">
        <v>348</v>
      </c>
      <c r="B715" s="212"/>
      <c r="C715" s="212"/>
      <c r="D715" s="212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2" t="s">
        <v>349</v>
      </c>
      <c r="B726" s="212"/>
      <c r="C726" s="212"/>
      <c r="D726" s="212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2" t="s">
        <v>350</v>
      </c>
      <c r="B738" s="212"/>
      <c r="C738" s="212"/>
      <c r="D738" s="212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2" t="s">
        <v>351</v>
      </c>
      <c r="B749" s="212"/>
      <c r="C749" s="212"/>
      <c r="D749" s="212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2" t="s">
        <v>352</v>
      </c>
      <c r="B760" s="212"/>
      <c r="C760" s="212"/>
      <c r="D760" s="212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2" t="s">
        <v>353</v>
      </c>
      <c r="B772" s="212"/>
      <c r="C772" s="212"/>
      <c r="D772" s="212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2" t="s">
        <v>355</v>
      </c>
      <c r="B784" s="212"/>
      <c r="C784" s="212"/>
      <c r="D784" s="212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2" t="s">
        <v>356</v>
      </c>
      <c r="B796" s="212"/>
      <c r="C796" s="212"/>
      <c r="D796" s="212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2" t="s">
        <v>357</v>
      </c>
      <c r="B809" s="212"/>
      <c r="C809" s="212"/>
      <c r="D809" s="212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2" t="s">
        <v>358</v>
      </c>
      <c r="B820" s="212"/>
      <c r="C820" s="212"/>
      <c r="D820" s="212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2" t="s">
        <v>359</v>
      </c>
      <c r="B831" s="212"/>
      <c r="C831" s="212"/>
      <c r="D831" s="212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2" t="s">
        <v>360</v>
      </c>
      <c r="B842" s="212"/>
      <c r="C842" s="212"/>
      <c r="D842" s="212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2" t="s">
        <v>361</v>
      </c>
      <c r="B854" s="212"/>
      <c r="C854" s="212"/>
      <c r="D854" s="212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2" t="s">
        <v>363</v>
      </c>
      <c r="B865" s="212"/>
      <c r="C865" s="212"/>
      <c r="D865" s="212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2" t="s">
        <v>364</v>
      </c>
      <c r="B876" s="212"/>
      <c r="C876" s="212"/>
      <c r="D876" s="212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2" t="s">
        <v>367</v>
      </c>
      <c r="B888" s="212"/>
      <c r="C888" s="212"/>
      <c r="D888" s="212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2" t="s">
        <v>368</v>
      </c>
      <c r="B901" s="212"/>
      <c r="C901" s="212"/>
      <c r="D901" s="212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2" t="s">
        <v>369</v>
      </c>
      <c r="B913" s="212"/>
      <c r="C913" s="212"/>
      <c r="D913" s="212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2" t="s">
        <v>370</v>
      </c>
      <c r="B925" s="212"/>
      <c r="C925" s="212"/>
      <c r="D925" s="212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2" t="s">
        <v>371</v>
      </c>
      <c r="B937" s="212"/>
      <c r="C937" s="212"/>
      <c r="D937" s="212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2" t="s">
        <v>372</v>
      </c>
      <c r="B949" s="212"/>
      <c r="C949" s="212"/>
      <c r="D949" s="212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2" t="s">
        <v>400</v>
      </c>
      <c r="B961" s="212"/>
      <c r="C961" s="212"/>
      <c r="D961" s="212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2" t="s">
        <v>402</v>
      </c>
      <c r="B974" s="212"/>
      <c r="C974" s="212"/>
      <c r="D974" s="212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2" t="s">
        <v>404</v>
      </c>
      <c r="B987" s="212"/>
      <c r="C987" s="212"/>
      <c r="D987" s="212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2" t="s">
        <v>405</v>
      </c>
      <c r="B1000" s="212"/>
      <c r="C1000" s="212"/>
      <c r="D1000" s="212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2" t="s">
        <v>408</v>
      </c>
      <c r="B1012" s="212"/>
      <c r="C1012" s="212"/>
      <c r="D1012" s="212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2" t="s">
        <v>410</v>
      </c>
      <c r="B1025" s="212"/>
      <c r="C1025" s="212"/>
      <c r="D1025" s="212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2" t="s">
        <v>413</v>
      </c>
      <c r="B1037" s="212"/>
      <c r="C1037" s="212"/>
      <c r="D1037" s="212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2" t="s">
        <v>415</v>
      </c>
      <c r="B1049" s="212"/>
      <c r="C1049" s="212"/>
      <c r="D1049" s="212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2" t="s">
        <v>417</v>
      </c>
      <c r="B1061" s="212"/>
      <c r="C1061" s="212"/>
      <c r="D1061" s="212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2" t="s">
        <v>419</v>
      </c>
      <c r="B1073" s="212"/>
      <c r="C1073" s="212"/>
      <c r="D1073" s="212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2" t="s">
        <v>421</v>
      </c>
      <c r="B1085" s="212"/>
      <c r="C1085" s="212"/>
      <c r="D1085" s="212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2" t="s">
        <v>423</v>
      </c>
      <c r="B1098" s="212"/>
      <c r="C1098" s="212"/>
      <c r="D1098" s="212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2" t="s">
        <v>426</v>
      </c>
      <c r="B1110" s="212"/>
      <c r="C1110" s="212"/>
      <c r="D1110" s="212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2" t="s">
        <v>428</v>
      </c>
      <c r="B1123" s="212"/>
      <c r="C1123" s="212"/>
      <c r="D1123" s="212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2" t="s">
        <v>430</v>
      </c>
      <c r="B1136" s="212"/>
      <c r="C1136" s="212"/>
      <c r="D1136" s="212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2" t="s">
        <v>432</v>
      </c>
      <c r="B1149" s="212"/>
      <c r="C1149" s="212"/>
      <c r="D1149" s="212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2" t="s">
        <v>434</v>
      </c>
      <c r="B1162" s="212"/>
      <c r="C1162" s="212"/>
      <c r="D1162" s="212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2" t="s">
        <v>437</v>
      </c>
      <c r="B1173" s="212"/>
      <c r="C1173" s="212"/>
      <c r="D1173" s="212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2" t="s">
        <v>439</v>
      </c>
      <c r="B1185" s="212"/>
      <c r="C1185" s="212"/>
      <c r="D1185" s="212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2" t="s">
        <v>441</v>
      </c>
      <c r="B1197" s="212"/>
      <c r="C1197" s="212"/>
      <c r="D1197" s="212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2" t="s">
        <v>443</v>
      </c>
      <c r="B1209" s="212"/>
      <c r="C1209" s="212"/>
      <c r="D1209" s="212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2" t="s">
        <v>445</v>
      </c>
      <c r="B1222" s="212"/>
      <c r="C1222" s="212"/>
      <c r="D1222" s="212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2" t="s">
        <v>447</v>
      </c>
      <c r="B1234" s="212"/>
      <c r="C1234" s="212"/>
      <c r="D1234" s="212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2" t="s">
        <v>449</v>
      </c>
      <c r="B1246" s="212"/>
      <c r="C1246" s="212"/>
      <c r="D1246" s="212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2" t="s">
        <v>452</v>
      </c>
      <c r="B1258" s="212"/>
      <c r="C1258" s="212"/>
      <c r="D1258" s="212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2" t="s">
        <v>454</v>
      </c>
      <c r="B1270" s="212"/>
      <c r="C1270" s="212"/>
      <c r="D1270" s="212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2" t="s">
        <v>456</v>
      </c>
      <c r="B1282" s="212"/>
      <c r="C1282" s="212"/>
      <c r="D1282" s="212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2" t="s">
        <v>458</v>
      </c>
      <c r="B1294" s="212"/>
      <c r="C1294" s="212"/>
      <c r="D1294" s="212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2" t="s">
        <v>460</v>
      </c>
      <c r="B1306" s="212"/>
      <c r="C1306" s="212"/>
      <c r="D1306" s="212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2" t="s">
        <v>462</v>
      </c>
      <c r="B1318" s="212"/>
      <c r="C1318" s="212"/>
      <c r="D1318" s="212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2" t="s">
        <v>464</v>
      </c>
      <c r="B1330" s="212"/>
      <c r="C1330" s="212"/>
      <c r="D1330" s="212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2" t="s">
        <v>467</v>
      </c>
      <c r="B1343" s="212"/>
      <c r="C1343" s="212"/>
      <c r="D1343" s="212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2" t="s">
        <v>469</v>
      </c>
      <c r="B1355" s="212"/>
      <c r="C1355" s="212"/>
      <c r="D1355" s="212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2" t="s">
        <v>471</v>
      </c>
      <c r="B1368" s="212"/>
      <c r="C1368" s="212"/>
      <c r="D1368" s="212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2" t="s">
        <v>473</v>
      </c>
      <c r="B1380" s="212"/>
      <c r="C1380" s="212"/>
      <c r="D1380" s="212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2" t="s">
        <v>476</v>
      </c>
      <c r="B1392" s="212"/>
      <c r="C1392" s="212"/>
      <c r="D1392" s="212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2" t="s">
        <v>478</v>
      </c>
      <c r="B1404" s="212"/>
      <c r="C1404" s="212"/>
      <c r="D1404" s="212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2" t="s">
        <v>479</v>
      </c>
      <c r="B1416" s="212"/>
      <c r="C1416" s="212"/>
      <c r="D1416" s="212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2" t="s">
        <v>480</v>
      </c>
      <c r="B1428" s="212"/>
      <c r="C1428" s="212"/>
      <c r="D1428" s="212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2" t="s">
        <v>481</v>
      </c>
      <c r="B1441" s="212"/>
      <c r="C1441" s="212"/>
      <c r="D1441" s="212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2" t="s">
        <v>482</v>
      </c>
      <c r="B1453" s="212"/>
      <c r="C1453" s="212"/>
      <c r="D1453" s="212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2" t="s">
        <v>489</v>
      </c>
      <c r="B1465" s="212"/>
      <c r="C1465" s="212"/>
      <c r="D1465" s="212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2" t="s">
        <v>491</v>
      </c>
      <c r="B1477" s="212"/>
      <c r="C1477" s="212"/>
      <c r="D1477" s="212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2" t="s">
        <v>493</v>
      </c>
      <c r="B1490" s="212"/>
      <c r="C1490" s="212"/>
      <c r="D1490" s="212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2" t="s">
        <v>495</v>
      </c>
      <c r="B1502" s="212"/>
      <c r="C1502" s="212"/>
      <c r="D1502" s="212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2" t="s">
        <v>497</v>
      </c>
      <c r="B1514" s="212"/>
      <c r="C1514" s="212"/>
      <c r="D1514" s="212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2" t="s">
        <v>499</v>
      </c>
      <c r="B1526" s="212"/>
      <c r="C1526" s="212"/>
      <c r="D1526" s="212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2" t="s">
        <v>502</v>
      </c>
      <c r="B1539" s="212"/>
      <c r="C1539" s="212"/>
      <c r="D1539" s="212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2" t="s">
        <v>504</v>
      </c>
      <c r="B1551" s="212"/>
      <c r="C1551" s="212"/>
      <c r="D1551" s="212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2" t="s">
        <v>506</v>
      </c>
      <c r="B1563" s="212"/>
      <c r="C1563" s="212"/>
      <c r="D1563" s="212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2" t="s">
        <v>508</v>
      </c>
      <c r="B1576" s="212"/>
      <c r="C1576" s="212"/>
      <c r="D1576" s="212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2" t="s">
        <v>510</v>
      </c>
      <c r="B1589" s="212"/>
      <c r="C1589" s="212"/>
      <c r="D1589" s="212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4">
      <c r="A1890" s="213" t="s">
        <v>562</v>
      </c>
      <c r="B1890" s="213"/>
      <c r="C1890" s="213"/>
    </row>
    <row r="1891" spans="1:4">
      <c r="A1891" s="79" t="s">
        <v>247</v>
      </c>
      <c r="B1891" s="79" t="s">
        <v>250</v>
      </c>
      <c r="C1891" s="79" t="s">
        <v>249</v>
      </c>
    </row>
    <row r="1892" spans="1:4">
      <c r="A1892" s="69">
        <v>0.45833333333333298</v>
      </c>
      <c r="B1892" s="79">
        <v>13030000</v>
      </c>
      <c r="C1892" s="79">
        <v>7980</v>
      </c>
    </row>
    <row r="1893" spans="1:4">
      <c r="A1893" s="70" t="s">
        <v>251</v>
      </c>
      <c r="B1893" s="79">
        <v>13010000</v>
      </c>
      <c r="C1893" s="79">
        <v>7980</v>
      </c>
    </row>
    <row r="1894" spans="1:4">
      <c r="A1894" s="71" t="s">
        <v>252</v>
      </c>
      <c r="B1894" s="79">
        <v>12945000</v>
      </c>
      <c r="C1894" s="79">
        <v>7980</v>
      </c>
    </row>
    <row r="1895" spans="1:4">
      <c r="A1895" s="69" t="s">
        <v>253</v>
      </c>
      <c r="B1895" s="79">
        <v>12915000</v>
      </c>
      <c r="C1895" s="79">
        <v>7970</v>
      </c>
    </row>
    <row r="1896" spans="1:4">
      <c r="A1896" s="77">
        <v>0.625</v>
      </c>
      <c r="B1896" s="79">
        <v>12900000</v>
      </c>
      <c r="C1896" s="79">
        <v>7960</v>
      </c>
    </row>
    <row r="1897" spans="1:4">
      <c r="A1897" s="70" t="s">
        <v>254</v>
      </c>
      <c r="B1897" s="79">
        <v>12900000</v>
      </c>
      <c r="C1897" s="79">
        <v>7950</v>
      </c>
    </row>
    <row r="1898" spans="1:4">
      <c r="A1898" s="80">
        <v>0.70833333333333337</v>
      </c>
      <c r="B1898" s="79">
        <v>12900000</v>
      </c>
      <c r="C1898" s="79">
        <v>7950</v>
      </c>
    </row>
    <row r="1901" spans="1:4">
      <c r="D1901">
        <f>B1898-B1886</f>
        <v>-175000</v>
      </c>
    </row>
  </sheetData>
  <mergeCells count="164">
    <mergeCell ref="A1890:C1890"/>
    <mergeCell ref="A1878:C1878"/>
    <mergeCell ref="A1866:C1866"/>
    <mergeCell ref="A1854:C1854"/>
    <mergeCell ref="A1842:C1842"/>
    <mergeCell ref="A1816:C1816"/>
    <mergeCell ref="A1791:C1791"/>
    <mergeCell ref="A1779:C1779"/>
    <mergeCell ref="A1754:C175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0" sqref="C10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6"/>
  <sheetViews>
    <sheetView zoomScale="85" zoomScaleNormal="85" workbookViewId="0">
      <selection activeCell="B4" sqref="B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6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6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2022-01-04T12:50:02Z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