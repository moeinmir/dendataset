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26A5076D-9A7C-4AFC-9DCF-91C176D5AAD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set'!$A$1:$BL$156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2" i="1"/>
  <c r="F156" i="1" s="1"/>
  <c r="M149" i="1" l="1"/>
  <c r="L149" i="1"/>
  <c r="G156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2" i="2"/>
  <c r="G41" i="2"/>
  <c r="G40" i="2"/>
  <c r="G39" i="2"/>
  <c r="G38" i="2"/>
  <c r="G37" i="2"/>
  <c r="G36" i="2"/>
  <c r="G35" i="2"/>
  <c r="G34" i="2"/>
  <c r="D30" i="2"/>
  <c r="C30" i="2"/>
  <c r="B3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4" i="2" s="1"/>
  <c r="G16" i="2"/>
  <c r="E16" i="2"/>
  <c r="C3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0" i="1"/>
  <c r="AW156" i="1"/>
  <c r="AW159" i="1" s="1"/>
  <c r="AU156" i="1"/>
  <c r="T156" i="1"/>
  <c r="BB155" i="1"/>
  <c r="AY154" i="1"/>
  <c r="BJ152" i="1"/>
  <c r="BI152" i="1"/>
  <c r="K152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2" i="1" l="1"/>
  <c r="U1" i="1" s="1"/>
  <c r="L152" i="1"/>
  <c r="S1" i="1" s="1"/>
</calcChain>
</file>

<file path=xl/sharedStrings.xml><?xml version="1.0" encoding="utf-8"?>
<sst xmlns="http://schemas.openxmlformats.org/spreadsheetml/2006/main" count="1272" uniqueCount="412">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</sst>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7" tint="0.39997558519241921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5200"/>
        <c:axId val="2097515744"/>
      </c:lineChart>
      <c:catAx>
        <c:axId val="209751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5744"/>
        <c:crosses val="autoZero"/>
        <c:auto val="1"/>
        <c:lblAlgn val="ctr"/>
        <c:lblOffset val="100"/>
        <c:noMultiLvlLbl val="0"/>
      </c:catAx>
      <c:valAx>
        <c:axId val="2097515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520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335-4297-AE12-FD7A52582D17}"/>
                </c:ext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weekly!$B$4:$B$29</c:f>
              <c:numCache>
                <c:formatCode>General</c:formatCode>
                <c:ptCount val="26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  <c:pt idx="25">
                  <c:v>26563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dLbl>
              <c:idx val="25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4E4-4CDE-AC2B-CE4146ADFDBD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weekly!$H$4:$H$29</c:f>
              <c:numCache>
                <c:formatCode>General</c:formatCode>
                <c:ptCount val="26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  <c:pt idx="25">
                  <c:v>26765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weekly!$J$4:$J$29</c:f>
              <c:numCache>
                <c:formatCode>General</c:formatCode>
                <c:ptCount val="26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  <c:pt idx="25">
                  <c:v>27350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1392"/>
        <c:axId val="2097517376"/>
      </c:lineChart>
      <c:catAx>
        <c:axId val="209751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7376"/>
        <c:crosses val="autoZero"/>
        <c:auto val="1"/>
        <c:lblAlgn val="ctr"/>
        <c:lblOffset val="100"/>
        <c:noMultiLvlLbl val="0"/>
      </c:catAx>
      <c:valAx>
        <c:axId val="2097517376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weekly!$D$2:$D$29</c:f>
              <c:numCache>
                <c:formatCode>General</c:formatCode>
                <c:ptCount val="2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9552"/>
        <c:axId val="2097508128"/>
      </c:lineChart>
      <c:catAx>
        <c:axId val="209751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8128"/>
        <c:crosses val="autoZero"/>
        <c:auto val="1"/>
        <c:lblAlgn val="ctr"/>
        <c:lblOffset val="100"/>
        <c:noMultiLvlLbl val="0"/>
      </c:catAx>
      <c:valAx>
        <c:axId val="20975081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95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6288"/>
        <c:axId val="2097520096"/>
      </c:lineChart>
      <c:catAx>
        <c:axId val="209751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20096"/>
        <c:crosses val="autoZero"/>
        <c:auto val="1"/>
        <c:lblAlgn val="ctr"/>
        <c:lblOffset val="100"/>
        <c:noMultiLvlLbl val="0"/>
      </c:catAx>
      <c:valAx>
        <c:axId val="20975200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62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weekly!$F$2:$F$29</c:f>
              <c:numCache>
                <c:formatCode>General</c:formatCode>
                <c:ptCount val="2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7920"/>
        <c:axId val="2097516832"/>
      </c:lineChart>
      <c:catAx>
        <c:axId val="209751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6832"/>
        <c:crosses val="autoZero"/>
        <c:auto val="1"/>
        <c:lblAlgn val="ctr"/>
        <c:lblOffset val="100"/>
        <c:noMultiLvlLbl val="0"/>
      </c:catAx>
      <c:valAx>
        <c:axId val="2097516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79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dLbl>
              <c:idx val="20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BBE-4E44-BDAC-CC9F5E863344}"/>
                </c:ext>
              </c:extLst>
            </c:dLbl>
            <c:dLbl>
              <c:idx val="21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BBE-4E44-BDAC-CC9F5E863344}"/>
                </c:ext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CD4-41C5-AD33-00815CF1F5D5}"/>
                </c:ext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FD7-48DC-98FC-C2CFB14183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weekly!$C$4:$C$29</c15:sqref>
                  </c15:fullRef>
                </c:ext>
              </c:extLst>
              <c:f>weekly!$C$6:$C$29</c:f>
              <c:numCache>
                <c:formatCode>General</c:formatCode>
                <c:ptCount val="24"/>
                <c:pt idx="0">
                  <c:v>27709</c:v>
                </c:pt>
                <c:pt idx="1">
                  <c:v>26056</c:v>
                </c:pt>
                <c:pt idx="2">
                  <c:v>25663</c:v>
                </c:pt>
                <c:pt idx="3">
                  <c:v>26443</c:v>
                </c:pt>
                <c:pt idx="4">
                  <c:v>27160</c:v>
                </c:pt>
                <c:pt idx="5">
                  <c:v>28146</c:v>
                </c:pt>
                <c:pt idx="6">
                  <c:v>28503</c:v>
                </c:pt>
                <c:pt idx="7">
                  <c:v>28179</c:v>
                </c:pt>
                <c:pt idx="8">
                  <c:v>28643</c:v>
                </c:pt>
                <c:pt idx="9">
                  <c:v>29419</c:v>
                </c:pt>
                <c:pt idx="10">
                  <c:v>29064</c:v>
                </c:pt>
                <c:pt idx="11">
                  <c:v>28534</c:v>
                </c:pt>
                <c:pt idx="12">
                  <c:v>28463</c:v>
                </c:pt>
                <c:pt idx="13">
                  <c:v>29286</c:v>
                </c:pt>
                <c:pt idx="14">
                  <c:v>29542</c:v>
                </c:pt>
                <c:pt idx="15">
                  <c:v>30113</c:v>
                </c:pt>
                <c:pt idx="16">
                  <c:v>31498</c:v>
                </c:pt>
                <c:pt idx="17">
                  <c:v>31196</c:v>
                </c:pt>
                <c:pt idx="18">
                  <c:v>31125</c:v>
                </c:pt>
                <c:pt idx="19">
                  <c:v>31241</c:v>
                </c:pt>
                <c:pt idx="20">
                  <c:v>31168</c:v>
                </c:pt>
                <c:pt idx="21">
                  <c:v>31502</c:v>
                </c:pt>
                <c:pt idx="22">
                  <c:v>31709</c:v>
                </c:pt>
                <c:pt idx="23">
                  <c:v>30553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dLbl>
              <c:idx val="20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BE-4E44-BDAC-CC9F5E863344}"/>
                </c:ext>
              </c:extLst>
            </c:dLbl>
            <c:dLbl>
              <c:idx val="21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BE-4E44-BDAC-CC9F5E863344}"/>
                </c:ext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CD4-41C5-AD33-00815CF1F5D5}"/>
                </c:ext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FD7-48DC-98FC-C2CFB14183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weekly!$K$4:$K$29</c15:sqref>
                  </c15:fullRef>
                </c:ext>
              </c:extLst>
              <c:f>weekly!$K$6:$K$29</c:f>
              <c:numCache>
                <c:formatCode>General</c:formatCode>
                <c:ptCount val="24"/>
                <c:pt idx="0">
                  <c:v>28702</c:v>
                </c:pt>
                <c:pt idx="1">
                  <c:v>26548</c:v>
                </c:pt>
                <c:pt idx="2">
                  <c:v>26757</c:v>
                </c:pt>
                <c:pt idx="3">
                  <c:v>27886</c:v>
                </c:pt>
                <c:pt idx="4">
                  <c:v>28162</c:v>
                </c:pt>
                <c:pt idx="5">
                  <c:v>29322</c:v>
                </c:pt>
                <c:pt idx="6">
                  <c:v>29211</c:v>
                </c:pt>
                <c:pt idx="7">
                  <c:v>29004</c:v>
                </c:pt>
                <c:pt idx="8">
                  <c:v>29561</c:v>
                </c:pt>
                <c:pt idx="9">
                  <c:v>29729</c:v>
                </c:pt>
                <c:pt idx="10">
                  <c:v>29367</c:v>
                </c:pt>
                <c:pt idx="11">
                  <c:v>28996</c:v>
                </c:pt>
                <c:pt idx="12">
                  <c:v>29540</c:v>
                </c:pt>
                <c:pt idx="13">
                  <c:v>30411</c:v>
                </c:pt>
                <c:pt idx="14">
                  <c:v>30417</c:v>
                </c:pt>
                <c:pt idx="15">
                  <c:v>31126</c:v>
                </c:pt>
                <c:pt idx="16">
                  <c:v>32496</c:v>
                </c:pt>
                <c:pt idx="17">
                  <c:v>32582</c:v>
                </c:pt>
                <c:pt idx="18">
                  <c:v>32374</c:v>
                </c:pt>
                <c:pt idx="19">
                  <c:v>32329</c:v>
                </c:pt>
                <c:pt idx="20">
                  <c:v>32192</c:v>
                </c:pt>
                <c:pt idx="21">
                  <c:v>32547</c:v>
                </c:pt>
                <c:pt idx="22">
                  <c:v>32567</c:v>
                </c:pt>
                <c:pt idx="23">
                  <c:v>31679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20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BBE-4E44-BDAC-CC9F5E863344}"/>
                </c:ext>
              </c:extLst>
            </c:dLbl>
            <c:dLbl>
              <c:idx val="21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BBE-4E44-BDAC-CC9F5E863344}"/>
                </c:ext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D4-41C5-AD33-00815CF1F5D5}"/>
                </c:ext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FD7-48DC-98FC-C2CFB14183FF}"/>
                </c:ext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weekly!$I$4:$I$29</c15:sqref>
                  </c15:fullRef>
                </c:ext>
              </c:extLst>
              <c:f>weekly!$I$6:$I$29</c:f>
              <c:numCache>
                <c:formatCode>General</c:formatCode>
                <c:ptCount val="24"/>
                <c:pt idx="0">
                  <c:v>27942</c:v>
                </c:pt>
                <c:pt idx="1">
                  <c:v>26241</c:v>
                </c:pt>
                <c:pt idx="2">
                  <c:v>25653</c:v>
                </c:pt>
                <c:pt idx="3">
                  <c:v>26751</c:v>
                </c:pt>
                <c:pt idx="4">
                  <c:v>27401</c:v>
                </c:pt>
                <c:pt idx="5">
                  <c:v>28409</c:v>
                </c:pt>
                <c:pt idx="6">
                  <c:v>28777</c:v>
                </c:pt>
                <c:pt idx="7">
                  <c:v>28505</c:v>
                </c:pt>
                <c:pt idx="8">
                  <c:v>29122</c:v>
                </c:pt>
                <c:pt idx="9">
                  <c:v>29654</c:v>
                </c:pt>
                <c:pt idx="10">
                  <c:v>29336</c:v>
                </c:pt>
                <c:pt idx="11">
                  <c:v>28822</c:v>
                </c:pt>
                <c:pt idx="12">
                  <c:v>28734</c:v>
                </c:pt>
                <c:pt idx="13">
                  <c:v>29694</c:v>
                </c:pt>
                <c:pt idx="14">
                  <c:v>29973</c:v>
                </c:pt>
                <c:pt idx="15">
                  <c:v>30500</c:v>
                </c:pt>
                <c:pt idx="16">
                  <c:v>31815</c:v>
                </c:pt>
                <c:pt idx="17">
                  <c:v>31388</c:v>
                </c:pt>
                <c:pt idx="18">
                  <c:v>31482</c:v>
                </c:pt>
                <c:pt idx="19">
                  <c:v>31595</c:v>
                </c:pt>
                <c:pt idx="20">
                  <c:v>31493</c:v>
                </c:pt>
                <c:pt idx="21">
                  <c:v>32099</c:v>
                </c:pt>
                <c:pt idx="22">
                  <c:v>31880</c:v>
                </c:pt>
                <c:pt idx="23">
                  <c:v>30811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097518464"/>
        <c:axId val="2097519008"/>
      </c:lineChart>
      <c:catAx>
        <c:axId val="209751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9008"/>
        <c:crosses val="autoZero"/>
        <c:auto val="1"/>
        <c:lblAlgn val="ctr"/>
        <c:lblOffset val="100"/>
        <c:noMultiLvlLbl val="0"/>
      </c:catAx>
      <c:valAx>
        <c:axId val="209751900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18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7521728"/>
        <c:axId val="2097508672"/>
      </c:barChart>
      <c:catAx>
        <c:axId val="209752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8672"/>
        <c:crosses val="autoZero"/>
        <c:auto val="1"/>
        <c:lblAlgn val="ctr"/>
        <c:lblOffset val="100"/>
        <c:noMultiLvlLbl val="0"/>
      </c:catAx>
      <c:valAx>
        <c:axId val="209750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217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چهارشنبه 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21 مهر 1400)</a:t>
            </a: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6"/>
          <c:order val="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change'!$F$88:$I$88</c:f>
              <c:numCache>
                <c:formatCode>General</c:formatCode>
                <c:ptCount val="4"/>
                <c:pt idx="0">
                  <c:v>0.70318282753515915</c:v>
                </c:pt>
                <c:pt idx="1">
                  <c:v>0.4708904109589041</c:v>
                </c:pt>
                <c:pt idx="2">
                  <c:v>1.3127982100656848</c:v>
                </c:pt>
                <c:pt idx="3">
                  <c:v>-1.5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D-4EBE-BDA5-06439D6646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97509760"/>
        <c:axId val="20975064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</c:ext>
        </c:extLst>
      </c:barChart>
      <c:catAx>
        <c:axId val="209750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6496"/>
        <c:crosses val="autoZero"/>
        <c:auto val="1"/>
        <c:lblAlgn val="ctr"/>
        <c:lblOffset val="100"/>
        <c:noMultiLvlLbl val="0"/>
      </c:catAx>
      <c:valAx>
        <c:axId val="20975064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0975097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584</xdr:row>
      <xdr:rowOff>102960</xdr:rowOff>
    </xdr:from>
    <xdr:to>
      <xdr:col>11</xdr:col>
      <xdr:colOff>279360</xdr:colOff>
      <xdr:row>614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1531079</xdr:colOff>
      <xdr:row>226</xdr:row>
      <xdr:rowOff>27711</xdr:rowOff>
    </xdr:from>
    <xdr:to>
      <xdr:col>87</xdr:col>
      <xdr:colOff>249380</xdr:colOff>
      <xdr:row>403</xdr:row>
      <xdr:rowOff>75961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457200</xdr:colOff>
      <xdr:row>413</xdr:row>
      <xdr:rowOff>76200</xdr:rowOff>
    </xdr:from>
    <xdr:to>
      <xdr:col>83</xdr:col>
      <xdr:colOff>152400</xdr:colOff>
      <xdr:row>490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619</xdr:row>
      <xdr:rowOff>0</xdr:rowOff>
    </xdr:from>
    <xdr:to>
      <xdr:col>13</xdr:col>
      <xdr:colOff>354240</xdr:colOff>
      <xdr:row>649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171360</xdr:colOff>
      <xdr:row>516</xdr:row>
      <xdr:rowOff>0</xdr:rowOff>
    </xdr:from>
    <xdr:to>
      <xdr:col>83</xdr:col>
      <xdr:colOff>381000</xdr:colOff>
      <xdr:row>615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47</xdr:row>
      <xdr:rowOff>76320</xdr:rowOff>
    </xdr:from>
    <xdr:to>
      <xdr:col>83</xdr:col>
      <xdr:colOff>152400</xdr:colOff>
      <xdr:row>217</xdr:row>
      <xdr:rowOff>3166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70"/>
  <sheetViews>
    <sheetView topLeftCell="W1" zoomScaleNormal="100" workbookViewId="0">
      <selection activeCell="X148" sqref="X148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L152/G152</f>
        <v>3581474.6721000345</v>
      </c>
      <c r="T1" s="3" t="s">
        <v>15</v>
      </c>
      <c r="U1" s="3">
        <f>M152/K152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K152/K62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1" si="21">F130*G130</f>
        <v>134799608200</v>
      </c>
      <c r="M130" s="12">
        <f t="shared" ref="M130:M151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8" customFormat="1" ht="21" customHeight="1">
      <c r="A151" s="104"/>
      <c r="B151" s="105" t="s">
        <v>409</v>
      </c>
      <c r="C151" s="106">
        <v>22</v>
      </c>
      <c r="D151" s="107">
        <v>26408</v>
      </c>
      <c r="E151" s="106">
        <v>26233</v>
      </c>
      <c r="F151" s="106">
        <v>26358</v>
      </c>
      <c r="G151" s="106">
        <v>6339700</v>
      </c>
      <c r="H151" s="106">
        <v>30500</v>
      </c>
      <c r="I151" s="106">
        <v>30105</v>
      </c>
      <c r="J151" s="106">
        <v>30157</v>
      </c>
      <c r="K151" s="106">
        <v>1066900</v>
      </c>
      <c r="L151" s="106">
        <f t="shared" si="21"/>
        <v>167101812600</v>
      </c>
      <c r="M151" s="106">
        <f t="shared" si="22"/>
        <v>32174503300</v>
      </c>
      <c r="N151" s="108">
        <v>26496</v>
      </c>
      <c r="O151" s="108">
        <v>30406</v>
      </c>
      <c r="P151" s="108">
        <v>26672</v>
      </c>
      <c r="Q151" s="108">
        <v>30805</v>
      </c>
      <c r="R151" s="106"/>
      <c r="S151" s="106"/>
      <c r="T151" s="106"/>
      <c r="U151" s="106"/>
      <c r="V151" s="108">
        <v>27220</v>
      </c>
      <c r="X151" s="108">
        <v>27100</v>
      </c>
      <c r="Y151" s="108">
        <v>31440</v>
      </c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7"/>
      <c r="AT151" s="107"/>
      <c r="AU151" s="107"/>
      <c r="AV151" s="107"/>
      <c r="AW151" s="107"/>
      <c r="AX151" s="107"/>
      <c r="AY151" s="106"/>
      <c r="AZ151" s="106"/>
      <c r="BA151" s="106"/>
      <c r="BB151" s="106"/>
      <c r="BC151" s="106"/>
      <c r="BE151" s="109"/>
      <c r="BF151" s="109"/>
      <c r="BG151" s="109"/>
      <c r="BH151" s="109"/>
    </row>
    <row r="152" spans="1:62" ht="18">
      <c r="A152" s="7"/>
      <c r="B152" s="8"/>
      <c r="C152" s="8"/>
      <c r="D152" s="26"/>
      <c r="E152" s="8"/>
      <c r="F152" s="8"/>
      <c r="G152" s="8">
        <f>SUM(G2:G149)/148</f>
        <v>6179374.9932432435</v>
      </c>
      <c r="H152" s="8"/>
      <c r="I152" s="8"/>
      <c r="J152" s="8"/>
      <c r="K152" s="8">
        <f>SUM(K2:K126)</f>
        <v>125564600</v>
      </c>
      <c r="L152" s="8">
        <f>SUM(L2:L147)</f>
        <v>22131275027709</v>
      </c>
      <c r="M152" s="9">
        <f>SUM(M2:M147)</f>
        <v>4038177022200</v>
      </c>
      <c r="N152" s="9"/>
      <c r="O152" s="9"/>
      <c r="P152" s="9"/>
      <c r="Q152" s="9"/>
      <c r="R152" s="9"/>
      <c r="S152" s="9"/>
      <c r="T152" s="9"/>
      <c r="U152" s="9"/>
      <c r="V152" s="59">
        <v>27180</v>
      </c>
      <c r="W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Y152" s="9"/>
      <c r="AZ152" s="9"/>
      <c r="BA152" s="9"/>
      <c r="BB152" s="9"/>
      <c r="BC152" s="9"/>
      <c r="BD152" s="9"/>
      <c r="BE152" s="10"/>
      <c r="BF152" s="10"/>
      <c r="BG152" s="10"/>
      <c r="BH152" s="10"/>
      <c r="BI152" t="e">
        <f>#REF!-N152</f>
        <v>#REF!</v>
      </c>
      <c r="BJ152" t="e">
        <f>(Y152-O152)/O152</f>
        <v>#DIV/0!</v>
      </c>
    </row>
    <row r="153" spans="1:62" ht="18">
      <c r="D153" s="26"/>
      <c r="V153" s="74">
        <v>27240</v>
      </c>
      <c r="Z153" s="25"/>
      <c r="AB153" s="25"/>
      <c r="AS153" s="25"/>
      <c r="AW153" s="30"/>
    </row>
    <row r="154" spans="1:62" ht="18">
      <c r="D154" s="26"/>
      <c r="V154">
        <v>27140</v>
      </c>
      <c r="Z154" s="25"/>
      <c r="AS154" s="26"/>
      <c r="AW154" s="30"/>
      <c r="AY154">
        <f>AY51-AY50</f>
        <v>35000</v>
      </c>
    </row>
    <row r="155" spans="1:62" ht="18">
      <c r="V155">
        <v>27120</v>
      </c>
      <c r="Z155" s="25"/>
      <c r="AS155" s="26">
        <v>10290000</v>
      </c>
      <c r="AW155" s="30"/>
      <c r="BB155">
        <f>AY60-AY59</f>
        <v>70000</v>
      </c>
    </row>
    <row r="156" spans="1:62" ht="18">
      <c r="F156">
        <f>(G152-G149)/G152</f>
        <v>4.0113279015155934E-2</v>
      </c>
      <c r="G156">
        <f>(G148-G152)/G152</f>
        <v>0.34049155603234549</v>
      </c>
      <c r="T156">
        <f>V137-X140</f>
        <v>-620</v>
      </c>
      <c r="V156" s="25">
        <v>27100</v>
      </c>
      <c r="Z156" s="25"/>
      <c r="AS156" s="26"/>
      <c r="AU156">
        <f>AS155-AS49</f>
        <v>195000</v>
      </c>
      <c r="AW156" s="30">
        <f>AC52-AY51</f>
        <v>305000</v>
      </c>
    </row>
    <row r="157" spans="1:62" ht="18">
      <c r="V157" s="25"/>
      <c r="Z157" s="25"/>
      <c r="AW157" s="30"/>
    </row>
    <row r="158" spans="1:62" ht="17.25" customHeight="1">
      <c r="V158" s="25"/>
      <c r="Z158" s="25"/>
    </row>
    <row r="159" spans="1:62" ht="18">
      <c r="V159" s="25"/>
      <c r="Z159" s="25"/>
      <c r="AW159">
        <f>AW156/AY51</f>
        <v>2.9539951573849879E-2</v>
      </c>
    </row>
    <row r="160" spans="1:62" ht="18">
      <c r="V160" s="25"/>
    </row>
    <row r="161" spans="7:22" ht="18">
      <c r="V161" s="25"/>
    </row>
    <row r="165" spans="7:22" ht="18">
      <c r="G165" s="9">
        <v>8861800</v>
      </c>
    </row>
    <row r="166" spans="7:22" ht="18">
      <c r="G166" s="9">
        <v>8230700</v>
      </c>
    </row>
    <row r="167" spans="7:22" ht="18">
      <c r="G167" s="9">
        <v>8995300</v>
      </c>
    </row>
    <row r="168" spans="7:22" ht="18">
      <c r="G168" s="9">
        <v>10062100</v>
      </c>
    </row>
    <row r="169" spans="7:22" ht="18">
      <c r="G169" s="9">
        <v>8462400</v>
      </c>
    </row>
    <row r="170" spans="7:22">
      <c r="G170">
        <f>SUM(G165:G169)</f>
        <v>44612300</v>
      </c>
    </row>
  </sheetData>
  <autoFilter ref="A1:BL156" xr:uid="{00000000-0009-0000-00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2"/>
  <sheetViews>
    <sheetView tabSelected="1" topLeftCell="AE493" zoomScale="40" zoomScaleNormal="40" workbookViewId="0">
      <selection activeCell="BZ506" sqref="BZ506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>
      <c r="B30">
        <f>(B2-B8)/B2</f>
        <v>0.15346494762288476</v>
      </c>
      <c r="C30">
        <f>(C2-C8)/C2</f>
        <v>0.1154959674639829</v>
      </c>
      <c r="D30">
        <f>SUM(D2:D16)/15</f>
        <v>29639479.933333334</v>
      </c>
    </row>
    <row r="34" spans="3:7">
      <c r="D34">
        <v>5375132</v>
      </c>
      <c r="E34">
        <f>(E17-D34)/D34</f>
        <v>4.5958809321644006E-2</v>
      </c>
      <c r="G34">
        <f t="shared" ref="G34:G42" si="0">B3-B2</f>
        <v>-554</v>
      </c>
    </row>
    <row r="35" spans="3:7">
      <c r="G35">
        <f t="shared" si="0"/>
        <v>-302</v>
      </c>
    </row>
    <row r="36" spans="3:7">
      <c r="C36">
        <f>(D34-E16)/E16</f>
        <v>0.17110375179746395</v>
      </c>
      <c r="G36">
        <f t="shared" si="0"/>
        <v>-511</v>
      </c>
    </row>
    <row r="37" spans="3:7">
      <c r="G37">
        <f t="shared" si="0"/>
        <v>-362</v>
      </c>
    </row>
    <row r="38" spans="3:7">
      <c r="G38">
        <f t="shared" si="0"/>
        <v>-1699</v>
      </c>
    </row>
    <row r="39" spans="3:7">
      <c r="G39">
        <f t="shared" si="0"/>
        <v>-381</v>
      </c>
    </row>
    <row r="40" spans="3:7">
      <c r="G40">
        <f t="shared" si="0"/>
        <v>1075</v>
      </c>
    </row>
    <row r="41" spans="3:7">
      <c r="G41">
        <f t="shared" si="0"/>
        <v>151</v>
      </c>
    </row>
    <row r="42" spans="3:7">
      <c r="G42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33"/>
  <sheetViews>
    <sheetView topLeftCell="A1007" zoomScale="85" zoomScaleNormal="85" workbookViewId="0">
      <selection activeCell="D1027" sqref="D1027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10" t="s">
        <v>246</v>
      </c>
      <c r="B1" s="110"/>
      <c r="C1" s="110"/>
      <c r="D1" s="110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10" t="s">
        <v>256</v>
      </c>
      <c r="B11" s="110"/>
      <c r="C11" s="110"/>
      <c r="D11" s="110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10" t="s">
        <v>258</v>
      </c>
      <c r="B21" s="110"/>
      <c r="C21" s="110"/>
      <c r="D21" s="110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10" t="s">
        <v>259</v>
      </c>
      <c r="B31" s="110"/>
      <c r="C31" s="110"/>
      <c r="D31" s="110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10" t="s">
        <v>260</v>
      </c>
      <c r="B41" s="110"/>
      <c r="C41" s="110"/>
      <c r="D41" s="110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10" t="s">
        <v>262</v>
      </c>
      <c r="B51" s="110"/>
      <c r="C51" s="110"/>
      <c r="D51" s="110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10" t="s">
        <v>263</v>
      </c>
      <c r="B61" s="110"/>
      <c r="C61" s="110"/>
      <c r="D61" s="110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10" t="s">
        <v>264</v>
      </c>
      <c r="B71" s="110"/>
      <c r="C71" s="110"/>
      <c r="D71" s="110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10" t="s">
        <v>265</v>
      </c>
      <c r="B81" s="110"/>
      <c r="C81" s="110"/>
      <c r="D81" s="110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10" t="s">
        <v>269</v>
      </c>
      <c r="B93" s="110"/>
      <c r="C93" s="110"/>
      <c r="D93" s="110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10" t="s">
        <v>270</v>
      </c>
      <c r="B103" s="110"/>
      <c r="C103" s="110"/>
      <c r="D103" s="110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10" t="s">
        <v>272</v>
      </c>
      <c r="B113" s="110"/>
      <c r="C113" s="110"/>
      <c r="D113" s="110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10" t="s">
        <v>273</v>
      </c>
      <c r="B123" s="110"/>
      <c r="C123" s="110"/>
      <c r="D123" s="110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10" t="s">
        <v>274</v>
      </c>
      <c r="B133" s="110"/>
      <c r="C133" s="110"/>
      <c r="D133" s="110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10" t="s">
        <v>275</v>
      </c>
      <c r="B143" s="110"/>
      <c r="C143" s="110"/>
      <c r="D143" s="110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10" t="s">
        <v>277</v>
      </c>
      <c r="B153" s="110"/>
      <c r="C153" s="110"/>
      <c r="D153" s="110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10" t="s">
        <v>278</v>
      </c>
      <c r="B163" s="110"/>
      <c r="C163" s="110"/>
      <c r="D163" s="110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10" t="s">
        <v>279</v>
      </c>
      <c r="B173" s="110"/>
      <c r="C173" s="110"/>
      <c r="D173" s="110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0" t="s">
        <v>280</v>
      </c>
      <c r="B183" s="110"/>
      <c r="C183" s="110"/>
      <c r="D183" s="110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10" t="s">
        <v>281</v>
      </c>
      <c r="B193" s="110"/>
      <c r="C193" s="110"/>
      <c r="D193" s="110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10" t="s">
        <v>282</v>
      </c>
      <c r="B203" s="110"/>
      <c r="C203" s="110"/>
      <c r="D203" s="110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10" t="s">
        <v>283</v>
      </c>
      <c r="B213" s="110"/>
      <c r="C213" s="110"/>
      <c r="D213" s="110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10" t="s">
        <v>284</v>
      </c>
      <c r="B223" s="110"/>
      <c r="C223" s="110"/>
      <c r="D223" s="110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10" t="s">
        <v>285</v>
      </c>
      <c r="B233" s="110"/>
      <c r="C233" s="110"/>
      <c r="D233" s="110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10" t="s">
        <v>286</v>
      </c>
      <c r="B243" s="110"/>
      <c r="C243" s="110"/>
      <c r="D243" s="110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10" t="s">
        <v>287</v>
      </c>
      <c r="B253" s="110"/>
      <c r="C253" s="110"/>
      <c r="D253" s="110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10" t="s">
        <v>288</v>
      </c>
      <c r="B263" s="110"/>
      <c r="C263" s="110"/>
      <c r="D263" s="110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10" t="s">
        <v>289</v>
      </c>
      <c r="B273" s="110"/>
      <c r="C273" s="110"/>
      <c r="D273" s="110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10" t="s">
        <v>290</v>
      </c>
      <c r="B283" s="110"/>
      <c r="C283" s="110"/>
      <c r="D283" s="110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10" t="s">
        <v>291</v>
      </c>
      <c r="B293" s="110"/>
      <c r="C293" s="110"/>
      <c r="D293" s="110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10" t="s">
        <v>292</v>
      </c>
      <c r="B303" s="110"/>
      <c r="C303" s="110"/>
      <c r="D303" s="110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10" t="s">
        <v>296</v>
      </c>
      <c r="B313" s="110"/>
      <c r="C313" s="110"/>
      <c r="D313" s="110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10" t="s">
        <v>300</v>
      </c>
      <c r="B324" s="110"/>
      <c r="C324" s="110"/>
      <c r="D324" s="110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10" t="s">
        <v>303</v>
      </c>
      <c r="B335" s="110"/>
      <c r="C335" s="110"/>
      <c r="D335" s="110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10" t="s">
        <v>304</v>
      </c>
      <c r="B346" s="110"/>
      <c r="C346" s="110"/>
      <c r="D346" s="110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10" t="s">
        <v>305</v>
      </c>
      <c r="B357" s="110"/>
      <c r="C357" s="110"/>
      <c r="D357" s="110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10" t="s">
        <v>306</v>
      </c>
      <c r="B368" s="110"/>
      <c r="C368" s="110"/>
      <c r="D368" s="110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10" t="s">
        <v>307</v>
      </c>
      <c r="B379" s="110"/>
      <c r="C379" s="110"/>
      <c r="D379" s="110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10" t="s">
        <v>308</v>
      </c>
      <c r="B390" s="110"/>
      <c r="C390" s="110"/>
      <c r="D390" s="110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10" t="s">
        <v>309</v>
      </c>
      <c r="B401" s="110"/>
      <c r="C401" s="110"/>
      <c r="D401" s="110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10" t="s">
        <v>310</v>
      </c>
      <c r="B412" s="110"/>
      <c r="C412" s="110"/>
      <c r="D412" s="110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10" t="s">
        <v>311</v>
      </c>
      <c r="B423" s="110"/>
      <c r="C423" s="110"/>
      <c r="D423" s="110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10" t="s">
        <v>315</v>
      </c>
      <c r="B434" s="110"/>
      <c r="C434" s="110"/>
      <c r="D434" s="110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10" t="s">
        <v>316</v>
      </c>
      <c r="B445" s="110"/>
      <c r="C445" s="110"/>
      <c r="D445" s="110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10" t="s">
        <v>317</v>
      </c>
      <c r="B456" s="110"/>
      <c r="C456" s="110"/>
      <c r="D456" s="110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10" t="s">
        <v>318</v>
      </c>
      <c r="B467" s="110"/>
      <c r="C467" s="110"/>
      <c r="D467" s="110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10" t="s">
        <v>319</v>
      </c>
      <c r="B478" s="110"/>
      <c r="C478" s="110"/>
      <c r="D478" s="110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10" t="s">
        <v>320</v>
      </c>
      <c r="B489" s="110"/>
      <c r="C489" s="110"/>
      <c r="D489" s="110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10" t="s">
        <v>323</v>
      </c>
      <c r="B500" s="110"/>
      <c r="C500" s="110"/>
      <c r="D500" s="110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10" t="s">
        <v>324</v>
      </c>
      <c r="B511" s="110"/>
      <c r="C511" s="110"/>
      <c r="D511" s="110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10" t="s">
        <v>325</v>
      </c>
      <c r="B522" s="110"/>
      <c r="C522" s="110"/>
      <c r="D522" s="110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10" t="s">
        <v>326</v>
      </c>
      <c r="B533" s="110"/>
      <c r="C533" s="110"/>
      <c r="D533" s="110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10" t="s">
        <v>327</v>
      </c>
      <c r="B544" s="110"/>
      <c r="C544" s="110"/>
      <c r="D544" s="110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10" t="s">
        <v>328</v>
      </c>
      <c r="B555" s="110"/>
      <c r="C555" s="110"/>
      <c r="D555" s="110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10" t="s">
        <v>328</v>
      </c>
      <c r="B567" s="110"/>
      <c r="C567" s="110"/>
      <c r="D567" s="110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10" t="s">
        <v>333</v>
      </c>
      <c r="B579" s="110"/>
      <c r="C579" s="110"/>
      <c r="D579" s="110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10" t="s">
        <v>334</v>
      </c>
      <c r="B590" s="110"/>
      <c r="C590" s="110"/>
      <c r="D590" s="110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10" t="s">
        <v>335</v>
      </c>
      <c r="B601" s="110"/>
      <c r="C601" s="110"/>
      <c r="D601" s="110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10" t="s">
        <v>336</v>
      </c>
      <c r="B612" s="110"/>
      <c r="C612" s="110"/>
      <c r="D612" s="110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10" t="s">
        <v>337</v>
      </c>
      <c r="B623" s="110"/>
      <c r="C623" s="110"/>
      <c r="D623" s="110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10" t="s">
        <v>338</v>
      </c>
      <c r="B635" s="110"/>
      <c r="C635" s="110"/>
      <c r="D635" s="110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10" t="s">
        <v>340</v>
      </c>
      <c r="B647" s="110"/>
      <c r="C647" s="110"/>
      <c r="D647" s="110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10" t="s">
        <v>341</v>
      </c>
      <c r="B658" s="110"/>
      <c r="C658" s="110"/>
      <c r="D658" s="110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10" t="s">
        <v>342</v>
      </c>
      <c r="B670" s="110"/>
      <c r="C670" s="110"/>
      <c r="D670" s="110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10" t="s">
        <v>343</v>
      </c>
      <c r="B681" s="110"/>
      <c r="C681" s="110"/>
      <c r="D681" s="110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10" t="s">
        <v>344</v>
      </c>
      <c r="B692" s="110"/>
      <c r="C692" s="110"/>
      <c r="D692" s="110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10" t="s">
        <v>345</v>
      </c>
      <c r="B703" s="110"/>
      <c r="C703" s="110"/>
      <c r="D703" s="110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10" t="s">
        <v>348</v>
      </c>
      <c r="B715" s="110"/>
      <c r="C715" s="110"/>
      <c r="D715" s="110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10" t="s">
        <v>349</v>
      </c>
      <c r="B726" s="110"/>
      <c r="C726" s="110"/>
      <c r="D726" s="110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10" t="s">
        <v>350</v>
      </c>
      <c r="B738" s="110"/>
      <c r="C738" s="110"/>
      <c r="D738" s="110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10" t="s">
        <v>351</v>
      </c>
      <c r="B749" s="110"/>
      <c r="C749" s="110"/>
      <c r="D749" s="110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10" t="s">
        <v>352</v>
      </c>
      <c r="B760" s="110"/>
      <c r="C760" s="110"/>
      <c r="D760" s="110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10" t="s">
        <v>353</v>
      </c>
      <c r="B772" s="110"/>
      <c r="C772" s="110"/>
      <c r="D772" s="110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10" t="s">
        <v>355</v>
      </c>
      <c r="B784" s="110"/>
      <c r="C784" s="110"/>
      <c r="D784" s="110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10" t="s">
        <v>356</v>
      </c>
      <c r="B796" s="110"/>
      <c r="C796" s="110"/>
      <c r="D796" s="110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10" t="s">
        <v>357</v>
      </c>
      <c r="B809" s="110"/>
      <c r="C809" s="110"/>
      <c r="D809" s="110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10" t="s">
        <v>358</v>
      </c>
      <c r="B820" s="110"/>
      <c r="C820" s="110"/>
      <c r="D820" s="110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10" t="s">
        <v>359</v>
      </c>
      <c r="B831" s="110"/>
      <c r="C831" s="110"/>
      <c r="D831" s="110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10" t="s">
        <v>360</v>
      </c>
      <c r="B842" s="110"/>
      <c r="C842" s="110"/>
      <c r="D842" s="110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0" t="s">
        <v>361</v>
      </c>
      <c r="B854" s="110"/>
      <c r="C854" s="110"/>
      <c r="D854" s="110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10" t="s">
        <v>363</v>
      </c>
      <c r="B865" s="110"/>
      <c r="C865" s="110"/>
      <c r="D865" s="110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10" t="s">
        <v>364</v>
      </c>
      <c r="B876" s="110"/>
      <c r="C876" s="110"/>
      <c r="D876" s="110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10" t="s">
        <v>367</v>
      </c>
      <c r="B888" s="110"/>
      <c r="C888" s="110"/>
      <c r="D888" s="110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10" t="s">
        <v>368</v>
      </c>
      <c r="B901" s="110"/>
      <c r="C901" s="110"/>
      <c r="D901" s="110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10" t="s">
        <v>369</v>
      </c>
      <c r="B913" s="110"/>
      <c r="C913" s="110"/>
      <c r="D913" s="110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10" t="s">
        <v>370</v>
      </c>
      <c r="B925" s="110"/>
      <c r="C925" s="110"/>
      <c r="D925" s="110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10" t="s">
        <v>371</v>
      </c>
      <c r="B937" s="110"/>
      <c r="C937" s="110"/>
      <c r="D937" s="110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10" t="s">
        <v>372</v>
      </c>
      <c r="B949" s="110"/>
      <c r="C949" s="110"/>
      <c r="D949" s="110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10" t="s">
        <v>400</v>
      </c>
      <c r="B961" s="110"/>
      <c r="C961" s="110"/>
      <c r="D961" s="110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10" t="s">
        <v>402</v>
      </c>
      <c r="B974" s="110"/>
      <c r="C974" s="110"/>
      <c r="D974" s="110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10" t="s">
        <v>404</v>
      </c>
      <c r="B987" s="110"/>
      <c r="C987" s="110"/>
      <c r="D987" s="110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10" t="s">
        <v>405</v>
      </c>
      <c r="B1000" s="110"/>
      <c r="C1000" s="110"/>
      <c r="D1000" s="110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10" t="s">
        <v>408</v>
      </c>
      <c r="B1012" s="110"/>
      <c r="C1012" s="110"/>
      <c r="D1012" s="110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10" t="s">
        <v>410</v>
      </c>
      <c r="B1025" s="110"/>
      <c r="C1025" s="110"/>
      <c r="D1025" s="110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</sheetData>
  <mergeCells count="94"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865:D865"/>
    <mergeCell ref="A876:D876"/>
    <mergeCell ref="A888:D888"/>
    <mergeCell ref="A901:D901"/>
    <mergeCell ref="A913:D913"/>
    <mergeCell ref="A1025:D1025"/>
    <mergeCell ref="A1000:D1000"/>
    <mergeCell ref="A987:D987"/>
    <mergeCell ref="A961:D961"/>
    <mergeCell ref="A925:D925"/>
    <mergeCell ref="A937:D937"/>
    <mergeCell ref="A949:D949"/>
    <mergeCell ref="A974:D974"/>
    <mergeCell ref="A1012:D101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topLeftCell="B1" zoomScale="70" zoomScaleNormal="70" workbookViewId="0">
      <selection activeCell="F14" sqref="F14"/>
    </sheetView>
  </sheetViews>
  <sheetFormatPr defaultColWidth="8.5546875" defaultRowHeight="14.4"/>
  <cols>
    <col min="1" max="1" width="23.6640625" style="89" customWidth="1"/>
    <col min="2" max="2" width="22.109375" style="89" customWidth="1"/>
    <col min="3" max="3" width="22.5546875" style="89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11" t="s">
        <v>373</v>
      </c>
      <c r="B1" s="111"/>
      <c r="C1" s="111"/>
    </row>
    <row r="2" spans="1:6" ht="24.9" customHeight="1">
      <c r="A2" s="90"/>
      <c r="B2" s="90" t="s">
        <v>374</v>
      </c>
      <c r="C2" s="90" t="s">
        <v>375</v>
      </c>
    </row>
    <row r="3" spans="1:6" ht="24.9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88"/>
  <sheetViews>
    <sheetView zoomScale="85" zoomScaleNormal="85" workbookViewId="0">
      <selection activeCell="M8" sqref="M8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88" si="6">(C67-C66)*100/C66</f>
        <v>-1.1857707509881423</v>
      </c>
      <c r="G67">
        <f t="shared" ref="G67:G85" si="7">(D67-D66)*100/D66</f>
        <v>-0.24958402662229617</v>
      </c>
      <c r="H67">
        <f t="shared" ref="H67:H88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>(D87-D86)*100/D86</f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>(D88-D87)*100/D87</f>
        <v>0.4708904109589041</v>
      </c>
      <c r="H88">
        <f t="shared" si="8"/>
        <v>1.3127982100656848</v>
      </c>
      <c r="I88">
        <v>-1.5</v>
      </c>
      <c r="J88">
        <v>0.7</v>
      </c>
      <c r="K88">
        <v>0.47</v>
      </c>
      <c r="L88">
        <v>1.31</v>
      </c>
      <c r="M88">
        <v>-1.5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2021-10-14T14:50:49Z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