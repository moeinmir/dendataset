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set'!$A$1:$BN$211</definedName>
    <definedName name="_xlnm._FilterDatabase" localSheetId="1" hidden="1">weekly!$A$1:$K$51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52" i="3" l="1"/>
  <c r="H136" i="5" l="1"/>
  <c r="G136" i="5"/>
  <c r="F136" i="5"/>
  <c r="H215" i="1"/>
  <c r="N210" i="1"/>
  <c r="BI207" i="1" l="1"/>
  <c r="X213" i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G209" i="1" l="1"/>
  <c r="J211" i="1"/>
  <c r="H134" i="5" l="1"/>
  <c r="G134" i="5"/>
  <c r="F134" i="5"/>
  <c r="W220" i="1" l="1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Q15" i="1" s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Q27" i="1" s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Q39" i="1" s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Q51" i="1" s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Q63" i="1" s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Q75" i="1" s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Q87" i="1" s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Q99" i="1" s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Q111" i="1" s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Q123" i="1" s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Q135" i="1" s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Q147" i="1" s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Q159" i="1" s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Q171" i="1" s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Q183" i="1" s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Q195" i="1" s="1"/>
  <c r="BO196" i="1"/>
  <c r="BO197" i="1"/>
  <c r="BO198" i="1"/>
  <c r="BO199" i="1"/>
  <c r="BO200" i="1"/>
  <c r="BO201" i="1"/>
  <c r="BO202" i="1"/>
  <c r="BO203" i="1"/>
  <c r="BP13" i="1"/>
  <c r="BO13" i="1"/>
  <c r="N212" i="1"/>
  <c r="N213" i="1"/>
  <c r="N214" i="1"/>
  <c r="N215" i="1"/>
  <c r="N216" i="1"/>
  <c r="N217" i="1"/>
  <c r="N218" i="1"/>
  <c r="N219" i="1"/>
  <c r="N220" i="1"/>
  <c r="N221" i="1"/>
  <c r="N211" i="1"/>
  <c r="BQ203" i="1" l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K209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2" i="2" l="1"/>
  <c r="J41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0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0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1" i="2"/>
  <c r="G50" i="2"/>
  <c r="G49" i="2"/>
  <c r="G48" i="2"/>
  <c r="G47" i="2"/>
  <c r="G46" i="2"/>
  <c r="G45" i="2"/>
  <c r="G44" i="2"/>
  <c r="G43" i="2"/>
  <c r="D39" i="2"/>
  <c r="C39" i="2"/>
  <c r="B3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3" i="2" s="1"/>
  <c r="G16" i="2"/>
  <c r="E16" i="2"/>
  <c r="C4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9" i="1" l="1"/>
  <c r="U1" i="1" s="1"/>
  <c r="L209" i="1"/>
  <c r="S1" i="1" s="1"/>
</calcChain>
</file>

<file path=xl/sharedStrings.xml><?xml version="1.0" encoding="utf-8"?>
<sst xmlns="http://schemas.openxmlformats.org/spreadsheetml/2006/main" count="1861" uniqueCount="537">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</sst>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1" fillId="8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10" borderId="3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36808432"/>
        <c:axId val="836802992"/>
      </c:lineChart>
      <c:catAx>
        <c:axId val="83680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36802992"/>
        <c:crosses val="autoZero"/>
        <c:auto val="1"/>
        <c:lblAlgn val="ctr"/>
        <c:lblOffset val="100"/>
        <c:noMultiLvlLbl val="0"/>
      </c:catAx>
      <c:valAx>
        <c:axId val="8368029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368084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11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weekly!$B$27:$B$38</c15:sqref>
                  </c15:fullRef>
                </c:ext>
              </c:extLst>
              <c:f>weekly!$B$28:$B$38</c:f>
              <c:numCache>
                <c:formatCode>General</c:formatCode>
                <c:ptCount val="11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weekly!$H$27:$H$38</c15:sqref>
                  </c15:fullRef>
                </c:ext>
              </c:extLst>
              <c:f>weekly!$H$28:$H$38</c:f>
              <c:numCache>
                <c:formatCode>General</c:formatCode>
                <c:ptCount val="11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60016288"/>
        <c:axId val="66001737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66001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60017376"/>
        <c:crosses val="autoZero"/>
        <c:auto val="1"/>
        <c:lblAlgn val="ctr"/>
        <c:lblOffset val="100"/>
        <c:noMultiLvlLbl val="0"/>
      </c:catAx>
      <c:valAx>
        <c:axId val="66001737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600162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9945128987453443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weekly!$D$2:$D$38</c:f>
              <c:numCache>
                <c:formatCode>General</c:formatCode>
                <c:ptCount val="3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101920"/>
        <c:axId val="903094304"/>
      </c:lineChart>
      <c:catAx>
        <c:axId val="9031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4304"/>
        <c:crosses val="autoZero"/>
        <c:auto val="1"/>
        <c:lblAlgn val="ctr"/>
        <c:lblOffset val="100"/>
        <c:noMultiLvlLbl val="0"/>
      </c:catAx>
      <c:valAx>
        <c:axId val="903094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1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102464"/>
        <c:axId val="903101376"/>
      </c:lineChart>
      <c:catAx>
        <c:axId val="90310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1376"/>
        <c:crosses val="autoZero"/>
        <c:auto val="1"/>
        <c:lblAlgn val="ctr"/>
        <c:lblOffset val="100"/>
        <c:noMultiLvlLbl val="0"/>
      </c:catAx>
      <c:valAx>
        <c:axId val="903101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24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5.7244528219706093E-3"/>
                  <c:y val="8.512883109065784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weekly!$F$2:$F$38</c:f>
              <c:numCache>
                <c:formatCode>General</c:formatCode>
                <c:ptCount val="3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099744"/>
        <c:axId val="903103008"/>
      </c:lineChart>
      <c:catAx>
        <c:axId val="90309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3008"/>
        <c:crosses val="autoZero"/>
        <c:auto val="1"/>
        <c:lblAlgn val="ctr"/>
        <c:lblOffset val="100"/>
        <c:noMultiLvlLbl val="0"/>
      </c:catAx>
      <c:valAx>
        <c:axId val="903103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9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11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weekly!$C$27:$C$38</c15:sqref>
                  </c15:fullRef>
                </c:ext>
              </c:extLst>
              <c:f>weekly!$C$28:$C$38</c:f>
              <c:numCache>
                <c:formatCode>General</c:formatCode>
                <c:ptCount val="11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weekly!$I$27:$I$38</c15:sqref>
                  </c15:fullRef>
                </c:ext>
              </c:extLst>
              <c:f>weekly!$I$28:$I$38</c:f>
              <c:numCache>
                <c:formatCode>General</c:formatCode>
                <c:ptCount val="11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103552"/>
        <c:axId val="90309484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90310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4848"/>
        <c:crosses val="autoZero"/>
        <c:auto val="1"/>
        <c:lblAlgn val="ctr"/>
        <c:lblOffset val="100"/>
        <c:noMultiLvlLbl val="0"/>
      </c:catAx>
      <c:valAx>
        <c:axId val="90309484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35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3095392"/>
        <c:axId val="903097568"/>
      </c:barChart>
      <c:catAx>
        <c:axId val="90309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7568"/>
        <c:crosses val="autoZero"/>
        <c:auto val="1"/>
        <c:lblAlgn val="ctr"/>
        <c:lblOffset val="100"/>
        <c:noMultiLvlLbl val="0"/>
      </c:catAx>
      <c:valAx>
        <c:axId val="903097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53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30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4"/>
          <c:order val="5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change'!$F$136:$I$136</c:f>
              <c:numCache>
                <c:formatCode>General</c:formatCode>
                <c:ptCount val="4"/>
                <c:pt idx="0">
                  <c:v>0.33167495854063017</c:v>
                </c:pt>
                <c:pt idx="1">
                  <c:v>1.069110347460863</c:v>
                </c:pt>
                <c:pt idx="2">
                  <c:v>0.46820132657042529</c:v>
                </c:pt>
                <c:pt idx="3">
                  <c:v>1.3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3100832"/>
        <c:axId val="90310409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90310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4096"/>
        <c:crosses val="autoZero"/>
        <c:auto val="1"/>
        <c:lblAlgn val="ctr"/>
        <c:lblOffset val="100"/>
        <c:noMultiLvlLbl val="0"/>
      </c:catAx>
      <c:valAx>
        <c:axId val="903104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08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593</xdr:row>
      <xdr:rowOff>102960</xdr:rowOff>
    </xdr:from>
    <xdr:to>
      <xdr:col>11</xdr:col>
      <xdr:colOff>279360</xdr:colOff>
      <xdr:row>623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173</xdr:row>
      <xdr:rowOff>27711</xdr:rowOff>
    </xdr:from>
    <xdr:to>
      <xdr:col>41</xdr:col>
      <xdr:colOff>533400</xdr:colOff>
      <xdr:row>278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309</xdr:row>
      <xdr:rowOff>0</xdr:rowOff>
    </xdr:from>
    <xdr:to>
      <xdr:col>82</xdr:col>
      <xdr:colOff>0</xdr:colOff>
      <xdr:row>385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628</xdr:row>
      <xdr:rowOff>0</xdr:rowOff>
    </xdr:from>
    <xdr:to>
      <xdr:col>13</xdr:col>
      <xdr:colOff>354240</xdr:colOff>
      <xdr:row>658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408</xdr:row>
      <xdr:rowOff>0</xdr:rowOff>
    </xdr:from>
    <xdr:to>
      <xdr:col>83</xdr:col>
      <xdr:colOff>533400</xdr:colOff>
      <xdr:row>507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56</xdr:row>
      <xdr:rowOff>76321</xdr:rowOff>
    </xdr:from>
    <xdr:to>
      <xdr:col>44</xdr:col>
      <xdr:colOff>533400</xdr:colOff>
      <xdr:row>155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4"/>
  <sheetViews>
    <sheetView tabSelected="1" topLeftCell="W1" zoomScaleNormal="100" workbookViewId="0">
      <selection activeCell="W209" sqref="W20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9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L209/G209</f>
        <v>5010465.6043626536</v>
      </c>
      <c r="T1" s="3" t="s">
        <v>15</v>
      </c>
      <c r="U1" s="3">
        <f>M209/K209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9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9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9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9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9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9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9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9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9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60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60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60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60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60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60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61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61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61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61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61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61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2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2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2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2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2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2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3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3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3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3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3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4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4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4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4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4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2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2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2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2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2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2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5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5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5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5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5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5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3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3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2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3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3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3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4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4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4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4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3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3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3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3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3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3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4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4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4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4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4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4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3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3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3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3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3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3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4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4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4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4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4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3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2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3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3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3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60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60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60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3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3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3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60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60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60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60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60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3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3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3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3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3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4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4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3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3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3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3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200" customFormat="1" ht="21" hidden="1" customHeight="1">
      <c r="A112" s="197"/>
      <c r="B112" s="198" t="s">
        <v>176</v>
      </c>
      <c r="C112" s="198">
        <v>4</v>
      </c>
      <c r="D112" s="199">
        <v>27030</v>
      </c>
      <c r="E112" s="198">
        <v>27490</v>
      </c>
      <c r="F112" s="198">
        <v>27299</v>
      </c>
      <c r="G112" s="198">
        <v>3900800</v>
      </c>
      <c r="H112" s="198">
        <v>31739</v>
      </c>
      <c r="I112" s="198">
        <v>31798</v>
      </c>
      <c r="J112" s="198">
        <v>31665</v>
      </c>
      <c r="K112" s="198">
        <v>1037800</v>
      </c>
      <c r="L112" s="198">
        <f t="shared" si="27"/>
        <v>106487939200</v>
      </c>
      <c r="M112" s="198">
        <f t="shared" si="28"/>
        <v>32861937000</v>
      </c>
      <c r="N112" s="200">
        <v>27765</v>
      </c>
      <c r="O112" s="200">
        <v>32116</v>
      </c>
      <c r="P112" s="198">
        <v>27300</v>
      </c>
      <c r="Q112" s="200">
        <v>32056</v>
      </c>
      <c r="R112" s="198"/>
      <c r="S112" s="198"/>
      <c r="T112" s="198"/>
      <c r="U112" s="198"/>
      <c r="X112" s="200">
        <v>27920</v>
      </c>
      <c r="Y112" s="200">
        <v>32700</v>
      </c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  <c r="AL112" s="198"/>
      <c r="AM112" s="198"/>
      <c r="AN112" s="198"/>
      <c r="AO112" s="198"/>
      <c r="AP112" s="198"/>
      <c r="AQ112" s="198"/>
      <c r="AR112" s="198"/>
      <c r="AS112" s="199"/>
      <c r="AT112" s="199"/>
      <c r="AU112" s="199"/>
      <c r="AV112" s="199"/>
      <c r="AW112" s="199"/>
      <c r="AX112" s="199"/>
      <c r="AY112" s="198"/>
      <c r="AZ112" s="198"/>
      <c r="BA112" s="198"/>
      <c r="BB112" s="198"/>
      <c r="BC112" s="198"/>
      <c r="BE112" s="201"/>
      <c r="BF112" s="201"/>
      <c r="BG112" s="201"/>
      <c r="BH112" s="201"/>
      <c r="BI112" s="202"/>
      <c r="BN112" s="151">
        <f t="shared" si="23"/>
        <v>2.2748086010476576</v>
      </c>
      <c r="BO112" s="151">
        <f t="shared" si="24"/>
        <v>628</v>
      </c>
      <c r="BP112" s="151">
        <f t="shared" si="25"/>
        <v>635</v>
      </c>
      <c r="BQ112" s="151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60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60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60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60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60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2" customFormat="1" ht="21" hidden="1" customHeight="1">
      <c r="A118" s="189"/>
      <c r="B118" s="190" t="s">
        <v>182</v>
      </c>
      <c r="C118" s="190">
        <v>11</v>
      </c>
      <c r="D118" s="191">
        <v>26261</v>
      </c>
      <c r="E118" s="190">
        <v>26408</v>
      </c>
      <c r="F118" s="190">
        <v>26353</v>
      </c>
      <c r="G118" s="190">
        <v>5094700</v>
      </c>
      <c r="H118" s="190">
        <v>30797</v>
      </c>
      <c r="I118" s="190">
        <v>31052</v>
      </c>
      <c r="J118" s="190">
        <v>30846</v>
      </c>
      <c r="K118" s="190">
        <v>577000</v>
      </c>
      <c r="L118" s="190">
        <f t="shared" si="27"/>
        <v>134260629100</v>
      </c>
      <c r="M118" s="190">
        <f t="shared" si="28"/>
        <v>17798142000</v>
      </c>
      <c r="N118" s="192">
        <v>26672</v>
      </c>
      <c r="O118" s="192">
        <v>31362</v>
      </c>
      <c r="P118" s="190">
        <v>26523</v>
      </c>
      <c r="Q118" s="192">
        <v>31105</v>
      </c>
      <c r="R118" s="190"/>
      <c r="S118" s="190"/>
      <c r="T118" s="190"/>
      <c r="U118" s="190"/>
      <c r="V118" s="193"/>
      <c r="X118" s="192">
        <v>27190</v>
      </c>
      <c r="Y118" s="192">
        <v>32300</v>
      </c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1"/>
      <c r="AT118" s="191"/>
      <c r="AU118" s="191"/>
      <c r="AV118" s="191"/>
      <c r="AW118" s="191"/>
      <c r="AX118" s="191"/>
      <c r="AY118" s="190"/>
      <c r="AZ118" s="190"/>
      <c r="BA118" s="190"/>
      <c r="BB118" s="190"/>
      <c r="BC118" s="190"/>
      <c r="BE118" s="194"/>
      <c r="BF118" s="194"/>
      <c r="BG118" s="194"/>
      <c r="BH118" s="194"/>
      <c r="BI118" s="195"/>
      <c r="BN118" s="196">
        <f t="shared" si="23"/>
        <v>3.1761089818995938</v>
      </c>
      <c r="BO118" s="196">
        <f t="shared" si="24"/>
        <v>101</v>
      </c>
      <c r="BP118" s="196">
        <f t="shared" si="25"/>
        <v>102</v>
      </c>
      <c r="BQ118" s="196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3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6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7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7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7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6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8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8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8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8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8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8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9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9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9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5" customFormat="1" ht="21" hidden="1" customHeight="1">
      <c r="A134" s="181"/>
      <c r="B134" s="182" t="s">
        <v>198</v>
      </c>
      <c r="C134" s="183">
        <v>30</v>
      </c>
      <c r="D134" s="184">
        <v>26270</v>
      </c>
      <c r="E134" s="183">
        <v>26232</v>
      </c>
      <c r="F134" s="183">
        <v>26287</v>
      </c>
      <c r="G134" s="183">
        <v>10062100</v>
      </c>
      <c r="H134" s="183">
        <v>31447</v>
      </c>
      <c r="I134" s="183">
        <v>31280</v>
      </c>
      <c r="J134" s="183">
        <v>31273</v>
      </c>
      <c r="K134" s="183">
        <v>878800</v>
      </c>
      <c r="L134" s="183">
        <f t="shared" si="29"/>
        <v>264502422700</v>
      </c>
      <c r="M134" s="183">
        <f t="shared" si="30"/>
        <v>27482712400</v>
      </c>
      <c r="N134" s="185">
        <v>26494</v>
      </c>
      <c r="O134" s="185">
        <v>31593</v>
      </c>
      <c r="P134" s="185">
        <v>26532</v>
      </c>
      <c r="Q134" s="185">
        <v>31761</v>
      </c>
      <c r="R134" s="183"/>
      <c r="S134" s="183"/>
      <c r="T134" s="183"/>
      <c r="U134" s="183"/>
      <c r="V134" s="185">
        <v>27400</v>
      </c>
      <c r="X134" s="185">
        <v>27350</v>
      </c>
      <c r="Y134" s="185">
        <v>32181</v>
      </c>
      <c r="Z134" s="183"/>
      <c r="AA134" s="183"/>
      <c r="AB134" s="183"/>
      <c r="AC134" s="183"/>
      <c r="AD134" s="183"/>
      <c r="AE134" s="183"/>
      <c r="AF134" s="183"/>
      <c r="AG134" s="183"/>
      <c r="AH134" s="183"/>
      <c r="AI134" s="183"/>
      <c r="AJ134" s="183"/>
      <c r="AK134" s="183"/>
      <c r="AL134" s="183"/>
      <c r="AM134" s="183"/>
      <c r="AN134" s="183"/>
      <c r="AO134" s="183"/>
      <c r="AP134" s="183"/>
      <c r="AQ134" s="183"/>
      <c r="AR134" s="183"/>
      <c r="AS134" s="184"/>
      <c r="AT134" s="184"/>
      <c r="AU134" s="184"/>
      <c r="AV134" s="184"/>
      <c r="AW134" s="184"/>
      <c r="AX134" s="184"/>
      <c r="AY134" s="183"/>
      <c r="AZ134" s="183"/>
      <c r="BA134" s="183"/>
      <c r="BB134" s="183"/>
      <c r="BC134" s="183"/>
      <c r="BE134" s="186"/>
      <c r="BF134" s="186"/>
      <c r="BG134" s="186"/>
      <c r="BH134" s="186"/>
      <c r="BI134" s="187"/>
      <c r="BN134" s="188">
        <f t="shared" si="23"/>
        <v>4.0438239433940728</v>
      </c>
      <c r="BO134" s="188">
        <f t="shared" si="24"/>
        <v>0</v>
      </c>
      <c r="BP134" s="188">
        <f t="shared" si="25"/>
        <v>0</v>
      </c>
      <c r="BQ134" s="188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9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70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71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71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71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71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71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9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9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9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2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3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3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3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3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3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3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2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2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2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2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2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2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3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3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3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3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3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4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02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5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6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5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5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6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7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7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7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7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7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7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6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5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5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5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5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5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7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7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7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7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7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7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5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5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5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5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5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5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8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02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8">
        <f t="shared" ref="BI194:BI207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8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8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8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8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8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8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8">
        <f t="shared" si="37"/>
        <v>8.6686628204191916</v>
      </c>
      <c r="BO201" s="151">
        <f t="shared" si="32"/>
        <v>-136</v>
      </c>
      <c r="BP201" s="151">
        <f t="shared" si="33"/>
        <v>-137</v>
      </c>
      <c r="BQ201" s="151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8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2"/>
      <c r="M203" s="142"/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8">
        <f t="shared" si="37"/>
        <v>11.507352941176471</v>
      </c>
      <c r="BO203" s="151">
        <f t="shared" si="32"/>
        <v>-42</v>
      </c>
      <c r="BP203" s="151">
        <f t="shared" si="33"/>
        <v>-43</v>
      </c>
      <c r="BQ203" s="151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2"/>
      <c r="M204" s="142"/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8">
        <f t="shared" si="37"/>
        <v>10.947724432027057</v>
      </c>
      <c r="BO204" s="151"/>
      <c r="BP204" s="151"/>
      <c r="BQ204" s="151"/>
    </row>
    <row r="205" spans="1:69" s="153" customFormat="1" ht="18">
      <c r="B205" s="154" t="s">
        <v>528</v>
      </c>
      <c r="C205" s="121">
        <v>27</v>
      </c>
      <c r="D205" s="155">
        <v>27250</v>
      </c>
      <c r="E205" s="153">
        <v>27038</v>
      </c>
      <c r="F205" s="153">
        <v>27202</v>
      </c>
      <c r="G205" s="153">
        <v>7557900</v>
      </c>
      <c r="H205" s="153">
        <v>30899</v>
      </c>
      <c r="I205" s="153">
        <v>30807</v>
      </c>
      <c r="J205" s="153">
        <v>30669</v>
      </c>
      <c r="K205" s="153">
        <v>628800</v>
      </c>
      <c r="L205" s="156"/>
      <c r="M205" s="156"/>
      <c r="N205" s="153">
        <v>27309</v>
      </c>
      <c r="O205" s="153">
        <v>31115</v>
      </c>
      <c r="P205" s="153">
        <v>27520</v>
      </c>
      <c r="Q205" s="153">
        <v>31188</v>
      </c>
      <c r="V205" s="153">
        <v>30320</v>
      </c>
      <c r="X205" s="153">
        <v>30120</v>
      </c>
      <c r="Y205" s="153">
        <v>33943</v>
      </c>
      <c r="Z205" s="157"/>
      <c r="AB205" s="155"/>
      <c r="AS205" s="155"/>
      <c r="AW205" s="155"/>
      <c r="BI205" s="178">
        <f t="shared" si="37"/>
        <v>10.727152415263584</v>
      </c>
      <c r="BO205" s="158"/>
      <c r="BP205" s="158"/>
      <c r="BQ205" s="158"/>
    </row>
    <row r="206" spans="1:69" s="153" customFormat="1" ht="18">
      <c r="B206" s="154" t="s">
        <v>530</v>
      </c>
      <c r="C206" s="121">
        <v>28</v>
      </c>
      <c r="D206" s="155">
        <v>27067</v>
      </c>
      <c r="E206" s="153">
        <v>27117</v>
      </c>
      <c r="F206" s="153">
        <v>27083</v>
      </c>
      <c r="G206" s="153">
        <v>7252600</v>
      </c>
      <c r="H206" s="153">
        <v>30849</v>
      </c>
      <c r="I206" s="153">
        <v>30500</v>
      </c>
      <c r="J206" s="153">
        <v>30322</v>
      </c>
      <c r="K206" s="153">
        <v>850500</v>
      </c>
      <c r="L206" s="156"/>
      <c r="M206" s="156"/>
      <c r="N206" s="153">
        <v>27389</v>
      </c>
      <c r="O206" s="153">
        <v>30805</v>
      </c>
      <c r="P206" s="153">
        <v>27338</v>
      </c>
      <c r="Q206" s="153">
        <v>31157</v>
      </c>
      <c r="V206" s="153">
        <v>29770</v>
      </c>
      <c r="X206" s="153">
        <v>29920</v>
      </c>
      <c r="Y206" s="153">
        <v>33459</v>
      </c>
      <c r="Z206" s="157"/>
      <c r="AB206" s="155"/>
      <c r="AS206" s="155"/>
      <c r="AW206" s="155"/>
      <c r="BI206" s="178">
        <f t="shared" si="37"/>
        <v>10.475205848687368</v>
      </c>
      <c r="BO206" s="158"/>
      <c r="BP206" s="158"/>
      <c r="BQ206" s="158"/>
    </row>
    <row r="207" spans="1:69" s="153" customFormat="1" ht="18">
      <c r="B207" s="154" t="s">
        <v>532</v>
      </c>
      <c r="C207" s="121">
        <v>29</v>
      </c>
      <c r="D207" s="155">
        <v>27119</v>
      </c>
      <c r="E207" s="153">
        <v>27054</v>
      </c>
      <c r="F207" s="153">
        <v>27118</v>
      </c>
      <c r="G207" s="153">
        <v>8967800</v>
      </c>
      <c r="H207" s="153">
        <v>30626</v>
      </c>
      <c r="I207" s="153">
        <v>30250</v>
      </c>
      <c r="J207" s="153">
        <v>30317</v>
      </c>
      <c r="K207" s="153">
        <v>586500</v>
      </c>
      <c r="L207" s="156"/>
      <c r="M207" s="156"/>
      <c r="N207" s="153">
        <v>27324</v>
      </c>
      <c r="O207" s="153">
        <v>30552</v>
      </c>
      <c r="P207" s="153">
        <v>27391</v>
      </c>
      <c r="Q207" s="153">
        <v>30932</v>
      </c>
      <c r="V207" s="153">
        <v>30020</v>
      </c>
      <c r="X207" s="153">
        <v>30150</v>
      </c>
      <c r="Y207" s="153">
        <v>33662</v>
      </c>
      <c r="Z207" s="157"/>
      <c r="AB207" s="155"/>
      <c r="AS207" s="155"/>
      <c r="AW207" s="155"/>
      <c r="BI207" s="180">
        <f t="shared" si="37"/>
        <v>11.18076554318165</v>
      </c>
      <c r="BO207" s="158"/>
      <c r="BP207" s="158"/>
      <c r="BQ207" s="158"/>
    </row>
    <row r="208" spans="1:69" s="136" customFormat="1" ht="18">
      <c r="B208" s="131" t="s">
        <v>535</v>
      </c>
      <c r="C208" s="104">
        <v>30</v>
      </c>
      <c r="D208" s="137">
        <v>27105</v>
      </c>
      <c r="H208" s="136">
        <v>31016</v>
      </c>
      <c r="L208" s="150"/>
      <c r="M208" s="150"/>
      <c r="P208" s="136">
        <v>27376</v>
      </c>
      <c r="Q208" s="136">
        <v>31326</v>
      </c>
      <c r="V208" s="136">
        <v>30180</v>
      </c>
      <c r="X208" s="136">
        <v>30250</v>
      </c>
      <c r="Y208" s="136">
        <v>34000</v>
      </c>
      <c r="Z208" s="138"/>
      <c r="AB208" s="137"/>
      <c r="AS208" s="137"/>
      <c r="AW208" s="137"/>
      <c r="BI208" s="179"/>
      <c r="BO208" s="152"/>
      <c r="BP208" s="152"/>
      <c r="BQ208" s="152"/>
    </row>
    <row r="209" spans="4:49" ht="18">
      <c r="D209" s="26"/>
      <c r="G209">
        <f>SUM(G2:G206)/205</f>
        <v>6972810.726829268</v>
      </c>
      <c r="K209">
        <f>SUM(K2:K199)</f>
        <v>199066300</v>
      </c>
      <c r="L209" s="142">
        <f>SUM(L2:L199)</f>
        <v>34937028312509</v>
      </c>
      <c r="M209" s="142">
        <f>SUM(M2:M199)</f>
        <v>5837557134600</v>
      </c>
      <c r="V209" s="144"/>
      <c r="Z209" s="25"/>
      <c r="AS209" s="26"/>
      <c r="AW209" s="30"/>
    </row>
    <row r="210" spans="4:49" ht="18">
      <c r="N210">
        <f>P208-N207</f>
        <v>52</v>
      </c>
      <c r="V210" s="144"/>
      <c r="Z210" s="25"/>
      <c r="AS210" s="26"/>
      <c r="AW210" s="30"/>
    </row>
    <row r="211" spans="4:49" ht="18">
      <c r="J211">
        <f>J206-J205</f>
        <v>-347</v>
      </c>
      <c r="N211">
        <f t="shared" ref="N211:N220" si="38">N194-N193</f>
        <v>-180</v>
      </c>
      <c r="V211" s="144"/>
      <c r="Z211" s="25"/>
      <c r="AS211" s="26"/>
      <c r="AW211" s="30"/>
    </row>
    <row r="212" spans="4:49" ht="18">
      <c r="D212" s="93"/>
      <c r="N212">
        <f t="shared" si="38"/>
        <v>59</v>
      </c>
      <c r="V212" s="129"/>
      <c r="Z212" s="25"/>
      <c r="AW212" s="30"/>
    </row>
    <row r="213" spans="4:49" ht="17.25" customHeight="1">
      <c r="D213" s="93"/>
      <c r="N213">
        <f t="shared" si="38"/>
        <v>-16</v>
      </c>
      <c r="P213" t="s">
        <v>523</v>
      </c>
      <c r="Q213" t="s">
        <v>524</v>
      </c>
      <c r="V213" s="25"/>
      <c r="X213">
        <f>X207-X206</f>
        <v>230</v>
      </c>
      <c r="Z213" s="25"/>
    </row>
    <row r="214" spans="4:49" ht="18">
      <c r="D214" s="93"/>
      <c r="N214">
        <f t="shared" si="38"/>
        <v>-165</v>
      </c>
      <c r="O214" s="126" t="s">
        <v>503</v>
      </c>
      <c r="P214">
        <v>-178</v>
      </c>
      <c r="Q214">
        <v>-180</v>
      </c>
      <c r="V214" s="25"/>
      <c r="W214" s="144">
        <v>30700</v>
      </c>
      <c r="Z214" s="25"/>
    </row>
    <row r="215" spans="4:49" ht="18">
      <c r="D215" s="93"/>
      <c r="H215">
        <f>(27376-26532)/26532</f>
        <v>3.1810643750942259E-2</v>
      </c>
      <c r="N215">
        <f t="shared" si="38"/>
        <v>50</v>
      </c>
      <c r="O215" s="132" t="s">
        <v>505</v>
      </c>
      <c r="P215">
        <v>59</v>
      </c>
      <c r="Q215">
        <v>59</v>
      </c>
      <c r="V215" s="25"/>
      <c r="W215" s="144">
        <v>30280</v>
      </c>
    </row>
    <row r="216" spans="4:49" ht="18">
      <c r="D216" s="93"/>
      <c r="N216">
        <f t="shared" si="38"/>
        <v>-15</v>
      </c>
      <c r="O216" s="132" t="s">
        <v>507</v>
      </c>
      <c r="P216">
        <v>-17</v>
      </c>
      <c r="Q216">
        <v>-16</v>
      </c>
      <c r="V216" s="25"/>
      <c r="W216" s="144">
        <v>29760</v>
      </c>
    </row>
    <row r="217" spans="4:49" ht="18">
      <c r="D217" s="107"/>
      <c r="N217">
        <f t="shared" si="38"/>
        <v>-12</v>
      </c>
      <c r="O217" s="132" t="s">
        <v>509</v>
      </c>
      <c r="P217">
        <v>-163</v>
      </c>
      <c r="Q217">
        <v>-165</v>
      </c>
      <c r="W217" s="144">
        <v>29580</v>
      </c>
    </row>
    <row r="218" spans="4:49" ht="18">
      <c r="D218" s="107"/>
      <c r="N218">
        <f t="shared" si="38"/>
        <v>-137</v>
      </c>
      <c r="O218" s="132" t="s">
        <v>511</v>
      </c>
      <c r="P218">
        <v>50</v>
      </c>
      <c r="Q218">
        <v>50</v>
      </c>
      <c r="W218" s="144">
        <v>30330</v>
      </c>
      <c r="X218" s="109">
        <v>29150</v>
      </c>
    </row>
    <row r="219" spans="4:49" ht="18">
      <c r="D219" s="113"/>
      <c r="N219">
        <f t="shared" si="38"/>
        <v>-138</v>
      </c>
      <c r="O219" s="145" t="s">
        <v>513</v>
      </c>
      <c r="P219">
        <v>-15</v>
      </c>
      <c r="Q219">
        <v>-15</v>
      </c>
      <c r="W219" s="144">
        <v>30180</v>
      </c>
      <c r="X219" s="109">
        <v>29250</v>
      </c>
    </row>
    <row r="220" spans="4:49" ht="18">
      <c r="D220" s="107"/>
      <c r="G220" s="9"/>
      <c r="N220">
        <f t="shared" si="38"/>
        <v>-43</v>
      </c>
      <c r="O220" s="145" t="s">
        <v>515</v>
      </c>
      <c r="P220">
        <v>-12</v>
      </c>
      <c r="Q220">
        <v>-12</v>
      </c>
      <c r="W220">
        <f>SUM(W214:W219)/6</f>
        <v>30138.333333333332</v>
      </c>
      <c r="X220" s="109">
        <v>29500</v>
      </c>
    </row>
    <row r="221" spans="4:49" ht="18">
      <c r="D221" s="103"/>
      <c r="G221" s="9"/>
      <c r="N221">
        <f>N209-N203</f>
        <v>-27379</v>
      </c>
      <c r="O221" s="148" t="s">
        <v>517</v>
      </c>
      <c r="P221">
        <v>-136</v>
      </c>
      <c r="Q221">
        <v>-137</v>
      </c>
      <c r="X221" s="109">
        <v>29110</v>
      </c>
    </row>
    <row r="222" spans="4:49" ht="18">
      <c r="G222" s="9"/>
      <c r="O222" s="145" t="s">
        <v>519</v>
      </c>
      <c r="P222">
        <v>-137</v>
      </c>
      <c r="Q222">
        <v>-138</v>
      </c>
      <c r="X222" s="109">
        <v>29270</v>
      </c>
    </row>
    <row r="223" spans="4:49" ht="18">
      <c r="G223" s="9"/>
      <c r="O223" s="131" t="s">
        <v>521</v>
      </c>
      <c r="P223">
        <v>-42</v>
      </c>
      <c r="Q223">
        <v>-43</v>
      </c>
      <c r="X223" s="109">
        <v>29360</v>
      </c>
    </row>
    <row r="224" spans="4:49" ht="18">
      <c r="G224" s="9"/>
    </row>
  </sheetData>
  <autoFilter ref="A1:BN21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opLeftCell="A14" zoomScale="85" zoomScaleNormal="85" workbookViewId="0">
      <selection activeCell="C38" sqref="C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8" si="0">D29/6</f>
        <v>7281166.666666667</v>
      </c>
      <c r="F29" s="67">
        <v>5993000</v>
      </c>
      <c r="G29" s="67">
        <f t="shared" ref="G29:G38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>
      <c r="B39">
        <f>(B2-B8)/B2</f>
        <v>0.15346494762288476</v>
      </c>
      <c r="C39">
        <f>(C2-C8)/C2</f>
        <v>0.1154959674639829</v>
      </c>
      <c r="D39">
        <f>SUM(D2:D16)/15</f>
        <v>29639479.933333334</v>
      </c>
    </row>
    <row r="41" spans="1:11">
      <c r="J41">
        <f>(D36-D35)/D35</f>
        <v>-0.50773339408667473</v>
      </c>
    </row>
    <row r="42" spans="1:11">
      <c r="F42">
        <f>(F36-F35)/F35</f>
        <v>-0.62892307692307692</v>
      </c>
    </row>
    <row r="43" spans="1:11">
      <c r="D43">
        <v>5375132</v>
      </c>
      <c r="E43">
        <f>(E17-D43)/D43</f>
        <v>4.5958809321644006E-2</v>
      </c>
      <c r="G43">
        <f t="shared" ref="G43:G51" si="2">B3-B2</f>
        <v>-554</v>
      </c>
    </row>
    <row r="44" spans="1:11">
      <c r="G44">
        <f t="shared" si="2"/>
        <v>-302</v>
      </c>
    </row>
    <row r="45" spans="1:11">
      <c r="C45">
        <f>(D43-E16)/E16</f>
        <v>0.17110375179746395</v>
      </c>
      <c r="G45">
        <f t="shared" si="2"/>
        <v>-511</v>
      </c>
    </row>
    <row r="46" spans="1:11">
      <c r="G46">
        <f t="shared" si="2"/>
        <v>-362</v>
      </c>
    </row>
    <row r="47" spans="1:11">
      <c r="G47">
        <f t="shared" si="2"/>
        <v>-1699</v>
      </c>
    </row>
    <row r="48" spans="1:11">
      <c r="G48">
        <f t="shared" si="2"/>
        <v>-381</v>
      </c>
    </row>
    <row r="49" spans="6:10">
      <c r="G49">
        <f t="shared" si="2"/>
        <v>1075</v>
      </c>
    </row>
    <row r="50" spans="6:10">
      <c r="F50">
        <f>(F33-F32)/F32</f>
        <v>0.23948268173034043</v>
      </c>
      <c r="G50">
        <f t="shared" si="2"/>
        <v>151</v>
      </c>
      <c r="J50">
        <f>(F34-F35)/F34</f>
        <v>0.13877341459779063</v>
      </c>
    </row>
    <row r="51" spans="6:10">
      <c r="G51">
        <f t="shared" si="2"/>
        <v>1043</v>
      </c>
    </row>
  </sheetData>
  <autoFilter ref="A1:K51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52"/>
  <sheetViews>
    <sheetView topLeftCell="A1733" zoomScaleNormal="100" workbookViewId="0">
      <selection activeCell="B1747" sqref="B174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04" t="s">
        <v>246</v>
      </c>
      <c r="B1" s="204"/>
      <c r="C1" s="204"/>
      <c r="D1" s="20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4" t="s">
        <v>256</v>
      </c>
      <c r="B11" s="204"/>
      <c r="C11" s="204"/>
      <c r="D11" s="20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4" t="s">
        <v>258</v>
      </c>
      <c r="B21" s="204"/>
      <c r="C21" s="204"/>
      <c r="D21" s="20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4" t="s">
        <v>259</v>
      </c>
      <c r="B31" s="204"/>
      <c r="C31" s="204"/>
      <c r="D31" s="20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4" t="s">
        <v>260</v>
      </c>
      <c r="B41" s="204"/>
      <c r="C41" s="204"/>
      <c r="D41" s="20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4" t="s">
        <v>262</v>
      </c>
      <c r="B51" s="204"/>
      <c r="C51" s="204"/>
      <c r="D51" s="20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4" t="s">
        <v>263</v>
      </c>
      <c r="B61" s="204"/>
      <c r="C61" s="204"/>
      <c r="D61" s="20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4" t="s">
        <v>264</v>
      </c>
      <c r="B71" s="204"/>
      <c r="C71" s="204"/>
      <c r="D71" s="20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4" t="s">
        <v>265</v>
      </c>
      <c r="B81" s="204"/>
      <c r="C81" s="204"/>
      <c r="D81" s="20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4" t="s">
        <v>269</v>
      </c>
      <c r="B93" s="204"/>
      <c r="C93" s="204"/>
      <c r="D93" s="20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4" t="s">
        <v>270</v>
      </c>
      <c r="B103" s="204"/>
      <c r="C103" s="204"/>
      <c r="D103" s="20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4" t="s">
        <v>272</v>
      </c>
      <c r="B113" s="204"/>
      <c r="C113" s="204"/>
      <c r="D113" s="20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4" t="s">
        <v>273</v>
      </c>
      <c r="B123" s="204"/>
      <c r="C123" s="204"/>
      <c r="D123" s="20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4" t="s">
        <v>274</v>
      </c>
      <c r="B133" s="204"/>
      <c r="C133" s="204"/>
      <c r="D133" s="20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4" t="s">
        <v>275</v>
      </c>
      <c r="B143" s="204"/>
      <c r="C143" s="204"/>
      <c r="D143" s="20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4" t="s">
        <v>277</v>
      </c>
      <c r="B153" s="204"/>
      <c r="C153" s="204"/>
      <c r="D153" s="20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4" t="s">
        <v>278</v>
      </c>
      <c r="B163" s="204"/>
      <c r="C163" s="204"/>
      <c r="D163" s="20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4" t="s">
        <v>279</v>
      </c>
      <c r="B173" s="204"/>
      <c r="C173" s="204"/>
      <c r="D173" s="20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4" t="s">
        <v>280</v>
      </c>
      <c r="B183" s="204"/>
      <c r="C183" s="204"/>
      <c r="D183" s="20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4" t="s">
        <v>281</v>
      </c>
      <c r="B193" s="204"/>
      <c r="C193" s="204"/>
      <c r="D193" s="20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4" t="s">
        <v>282</v>
      </c>
      <c r="B203" s="204"/>
      <c r="C203" s="204"/>
      <c r="D203" s="20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4" t="s">
        <v>283</v>
      </c>
      <c r="B213" s="204"/>
      <c r="C213" s="204"/>
      <c r="D213" s="20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4" t="s">
        <v>284</v>
      </c>
      <c r="B223" s="204"/>
      <c r="C223" s="204"/>
      <c r="D223" s="20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4" t="s">
        <v>285</v>
      </c>
      <c r="B233" s="204"/>
      <c r="C233" s="204"/>
      <c r="D233" s="20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4" t="s">
        <v>286</v>
      </c>
      <c r="B243" s="204"/>
      <c r="C243" s="204"/>
      <c r="D243" s="20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4" t="s">
        <v>287</v>
      </c>
      <c r="B253" s="204"/>
      <c r="C253" s="204"/>
      <c r="D253" s="20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4" t="s">
        <v>288</v>
      </c>
      <c r="B263" s="204"/>
      <c r="C263" s="204"/>
      <c r="D263" s="20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4" t="s">
        <v>289</v>
      </c>
      <c r="B273" s="204"/>
      <c r="C273" s="204"/>
      <c r="D273" s="20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4" t="s">
        <v>290</v>
      </c>
      <c r="B283" s="204"/>
      <c r="C283" s="204"/>
      <c r="D283" s="20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4" t="s">
        <v>291</v>
      </c>
      <c r="B293" s="204"/>
      <c r="C293" s="204"/>
      <c r="D293" s="20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4" t="s">
        <v>292</v>
      </c>
      <c r="B303" s="204"/>
      <c r="C303" s="204"/>
      <c r="D303" s="20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4" t="s">
        <v>296</v>
      </c>
      <c r="B313" s="204"/>
      <c r="C313" s="204"/>
      <c r="D313" s="20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4" t="s">
        <v>300</v>
      </c>
      <c r="B324" s="204"/>
      <c r="C324" s="204"/>
      <c r="D324" s="20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4" t="s">
        <v>303</v>
      </c>
      <c r="B335" s="204"/>
      <c r="C335" s="204"/>
      <c r="D335" s="20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4" t="s">
        <v>304</v>
      </c>
      <c r="B346" s="204"/>
      <c r="C346" s="204"/>
      <c r="D346" s="20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4" t="s">
        <v>305</v>
      </c>
      <c r="B357" s="204"/>
      <c r="C357" s="204"/>
      <c r="D357" s="20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4" t="s">
        <v>306</v>
      </c>
      <c r="B368" s="204"/>
      <c r="C368" s="204"/>
      <c r="D368" s="20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4" t="s">
        <v>307</v>
      </c>
      <c r="B379" s="204"/>
      <c r="C379" s="204"/>
      <c r="D379" s="20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4" t="s">
        <v>308</v>
      </c>
      <c r="B390" s="204"/>
      <c r="C390" s="204"/>
      <c r="D390" s="20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4" t="s">
        <v>309</v>
      </c>
      <c r="B401" s="204"/>
      <c r="C401" s="204"/>
      <c r="D401" s="20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4" t="s">
        <v>310</v>
      </c>
      <c r="B412" s="204"/>
      <c r="C412" s="204"/>
      <c r="D412" s="20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4" t="s">
        <v>311</v>
      </c>
      <c r="B423" s="204"/>
      <c r="C423" s="204"/>
      <c r="D423" s="20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4" t="s">
        <v>315</v>
      </c>
      <c r="B434" s="204"/>
      <c r="C434" s="204"/>
      <c r="D434" s="20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4" t="s">
        <v>316</v>
      </c>
      <c r="B445" s="204"/>
      <c r="C445" s="204"/>
      <c r="D445" s="20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4" t="s">
        <v>317</v>
      </c>
      <c r="B456" s="204"/>
      <c r="C456" s="204"/>
      <c r="D456" s="20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4" t="s">
        <v>318</v>
      </c>
      <c r="B467" s="204"/>
      <c r="C467" s="204"/>
      <c r="D467" s="20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4" t="s">
        <v>319</v>
      </c>
      <c r="B478" s="204"/>
      <c r="C478" s="204"/>
      <c r="D478" s="20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4" t="s">
        <v>320</v>
      </c>
      <c r="B489" s="204"/>
      <c r="C489" s="204"/>
      <c r="D489" s="20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4" t="s">
        <v>323</v>
      </c>
      <c r="B500" s="204"/>
      <c r="C500" s="204"/>
      <c r="D500" s="20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4" t="s">
        <v>324</v>
      </c>
      <c r="B511" s="204"/>
      <c r="C511" s="204"/>
      <c r="D511" s="20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4" t="s">
        <v>325</v>
      </c>
      <c r="B522" s="204"/>
      <c r="C522" s="204"/>
      <c r="D522" s="20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4" t="s">
        <v>326</v>
      </c>
      <c r="B533" s="204"/>
      <c r="C533" s="204"/>
      <c r="D533" s="20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4" t="s">
        <v>327</v>
      </c>
      <c r="B544" s="204"/>
      <c r="C544" s="204"/>
      <c r="D544" s="20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4" t="s">
        <v>328</v>
      </c>
      <c r="B555" s="204"/>
      <c r="C555" s="204"/>
      <c r="D555" s="20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4" t="s">
        <v>328</v>
      </c>
      <c r="B567" s="204"/>
      <c r="C567" s="204"/>
      <c r="D567" s="20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4" t="s">
        <v>333</v>
      </c>
      <c r="B579" s="204"/>
      <c r="C579" s="204"/>
      <c r="D579" s="20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4" t="s">
        <v>334</v>
      </c>
      <c r="B590" s="204"/>
      <c r="C590" s="204"/>
      <c r="D590" s="20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4" t="s">
        <v>335</v>
      </c>
      <c r="B601" s="204"/>
      <c r="C601" s="204"/>
      <c r="D601" s="20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4" t="s">
        <v>336</v>
      </c>
      <c r="B612" s="204"/>
      <c r="C612" s="204"/>
      <c r="D612" s="20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4" t="s">
        <v>337</v>
      </c>
      <c r="B623" s="204"/>
      <c r="C623" s="204"/>
      <c r="D623" s="20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4" t="s">
        <v>338</v>
      </c>
      <c r="B635" s="204"/>
      <c r="C635" s="204"/>
      <c r="D635" s="20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4" t="s">
        <v>340</v>
      </c>
      <c r="B647" s="204"/>
      <c r="C647" s="204"/>
      <c r="D647" s="20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4" t="s">
        <v>341</v>
      </c>
      <c r="B658" s="204"/>
      <c r="C658" s="204"/>
      <c r="D658" s="20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4" t="s">
        <v>342</v>
      </c>
      <c r="B670" s="204"/>
      <c r="C670" s="204"/>
      <c r="D670" s="20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4" t="s">
        <v>343</v>
      </c>
      <c r="B681" s="204"/>
      <c r="C681" s="204"/>
      <c r="D681" s="20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4" t="s">
        <v>344</v>
      </c>
      <c r="B692" s="204"/>
      <c r="C692" s="204"/>
      <c r="D692" s="20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4" t="s">
        <v>345</v>
      </c>
      <c r="B703" s="204"/>
      <c r="C703" s="204"/>
      <c r="D703" s="20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4" t="s">
        <v>348</v>
      </c>
      <c r="B715" s="204"/>
      <c r="C715" s="204"/>
      <c r="D715" s="20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4" t="s">
        <v>349</v>
      </c>
      <c r="B726" s="204"/>
      <c r="C726" s="204"/>
      <c r="D726" s="20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4" t="s">
        <v>350</v>
      </c>
      <c r="B738" s="204"/>
      <c r="C738" s="204"/>
      <c r="D738" s="20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4" t="s">
        <v>351</v>
      </c>
      <c r="B749" s="204"/>
      <c r="C749" s="204"/>
      <c r="D749" s="20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4" t="s">
        <v>352</v>
      </c>
      <c r="B760" s="204"/>
      <c r="C760" s="204"/>
      <c r="D760" s="20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4" t="s">
        <v>353</v>
      </c>
      <c r="B772" s="204"/>
      <c r="C772" s="204"/>
      <c r="D772" s="20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4" t="s">
        <v>355</v>
      </c>
      <c r="B784" s="204"/>
      <c r="C784" s="204"/>
      <c r="D784" s="20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4" t="s">
        <v>356</v>
      </c>
      <c r="B796" s="204"/>
      <c r="C796" s="204"/>
      <c r="D796" s="20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4" t="s">
        <v>357</v>
      </c>
      <c r="B809" s="204"/>
      <c r="C809" s="204"/>
      <c r="D809" s="20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4" t="s">
        <v>358</v>
      </c>
      <c r="B820" s="204"/>
      <c r="C820" s="204"/>
      <c r="D820" s="20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4" t="s">
        <v>359</v>
      </c>
      <c r="B831" s="204"/>
      <c r="C831" s="204"/>
      <c r="D831" s="20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4" t="s">
        <v>360</v>
      </c>
      <c r="B842" s="204"/>
      <c r="C842" s="204"/>
      <c r="D842" s="20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4" t="s">
        <v>361</v>
      </c>
      <c r="B854" s="204"/>
      <c r="C854" s="204"/>
      <c r="D854" s="20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4" t="s">
        <v>363</v>
      </c>
      <c r="B865" s="204"/>
      <c r="C865" s="204"/>
      <c r="D865" s="20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4" t="s">
        <v>364</v>
      </c>
      <c r="B876" s="204"/>
      <c r="C876" s="204"/>
      <c r="D876" s="20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4" t="s">
        <v>367</v>
      </c>
      <c r="B888" s="204"/>
      <c r="C888" s="204"/>
      <c r="D888" s="20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4" t="s">
        <v>368</v>
      </c>
      <c r="B901" s="204"/>
      <c r="C901" s="204"/>
      <c r="D901" s="20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4" t="s">
        <v>369</v>
      </c>
      <c r="B913" s="204"/>
      <c r="C913" s="204"/>
      <c r="D913" s="20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4" t="s">
        <v>370</v>
      </c>
      <c r="B925" s="204"/>
      <c r="C925" s="204"/>
      <c r="D925" s="20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4" t="s">
        <v>371</v>
      </c>
      <c r="B937" s="204"/>
      <c r="C937" s="204"/>
      <c r="D937" s="20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4" t="s">
        <v>372</v>
      </c>
      <c r="B949" s="204"/>
      <c r="C949" s="204"/>
      <c r="D949" s="20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4" t="s">
        <v>400</v>
      </c>
      <c r="B961" s="204"/>
      <c r="C961" s="204"/>
      <c r="D961" s="20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4" t="s">
        <v>402</v>
      </c>
      <c r="B974" s="204"/>
      <c r="C974" s="204"/>
      <c r="D974" s="20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4" t="s">
        <v>404</v>
      </c>
      <c r="B987" s="204"/>
      <c r="C987" s="204"/>
      <c r="D987" s="20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4" t="s">
        <v>405</v>
      </c>
      <c r="B1000" s="204"/>
      <c r="C1000" s="204"/>
      <c r="D1000" s="20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4" t="s">
        <v>408</v>
      </c>
      <c r="B1012" s="204"/>
      <c r="C1012" s="204"/>
      <c r="D1012" s="20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4" t="s">
        <v>410</v>
      </c>
      <c r="B1025" s="204"/>
      <c r="C1025" s="204"/>
      <c r="D1025" s="20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4" t="s">
        <v>413</v>
      </c>
      <c r="B1037" s="204"/>
      <c r="C1037" s="204"/>
      <c r="D1037" s="20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4" t="s">
        <v>415</v>
      </c>
      <c r="B1049" s="204"/>
      <c r="C1049" s="204"/>
      <c r="D1049" s="20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4" t="s">
        <v>417</v>
      </c>
      <c r="B1061" s="204"/>
      <c r="C1061" s="204"/>
      <c r="D1061" s="20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4" t="s">
        <v>419</v>
      </c>
      <c r="B1073" s="204"/>
      <c r="C1073" s="204"/>
      <c r="D1073" s="20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4" t="s">
        <v>421</v>
      </c>
      <c r="B1085" s="204"/>
      <c r="C1085" s="204"/>
      <c r="D1085" s="20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4" t="s">
        <v>423</v>
      </c>
      <c r="B1098" s="204"/>
      <c r="C1098" s="204"/>
      <c r="D1098" s="20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4" t="s">
        <v>426</v>
      </c>
      <c r="B1110" s="204"/>
      <c r="C1110" s="204"/>
      <c r="D1110" s="20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4" t="s">
        <v>428</v>
      </c>
      <c r="B1123" s="204"/>
      <c r="C1123" s="204"/>
      <c r="D1123" s="20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4" t="s">
        <v>430</v>
      </c>
      <c r="B1136" s="204"/>
      <c r="C1136" s="204"/>
      <c r="D1136" s="20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4" t="s">
        <v>432</v>
      </c>
      <c r="B1149" s="204"/>
      <c r="C1149" s="204"/>
      <c r="D1149" s="20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4" t="s">
        <v>434</v>
      </c>
      <c r="B1162" s="204"/>
      <c r="C1162" s="204"/>
      <c r="D1162" s="20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4" t="s">
        <v>437</v>
      </c>
      <c r="B1173" s="204"/>
      <c r="C1173" s="204"/>
      <c r="D1173" s="20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4" t="s">
        <v>439</v>
      </c>
      <c r="B1185" s="204"/>
      <c r="C1185" s="204"/>
      <c r="D1185" s="20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4" t="s">
        <v>441</v>
      </c>
      <c r="B1197" s="204"/>
      <c r="C1197" s="204"/>
      <c r="D1197" s="20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4" t="s">
        <v>443</v>
      </c>
      <c r="B1209" s="204"/>
      <c r="C1209" s="204"/>
      <c r="D1209" s="20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4" t="s">
        <v>445</v>
      </c>
      <c r="B1222" s="204"/>
      <c r="C1222" s="204"/>
      <c r="D1222" s="20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4" t="s">
        <v>447</v>
      </c>
      <c r="B1234" s="204"/>
      <c r="C1234" s="204"/>
      <c r="D1234" s="20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4" t="s">
        <v>449</v>
      </c>
      <c r="B1246" s="204"/>
      <c r="C1246" s="204"/>
      <c r="D1246" s="20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4" t="s">
        <v>452</v>
      </c>
      <c r="B1258" s="204"/>
      <c r="C1258" s="204"/>
      <c r="D1258" s="20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4" t="s">
        <v>454</v>
      </c>
      <c r="B1270" s="204"/>
      <c r="C1270" s="204"/>
      <c r="D1270" s="20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4" t="s">
        <v>456</v>
      </c>
      <c r="B1282" s="204"/>
      <c r="C1282" s="204"/>
      <c r="D1282" s="20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4" t="s">
        <v>458</v>
      </c>
      <c r="B1294" s="204"/>
      <c r="C1294" s="204"/>
      <c r="D1294" s="20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4" t="s">
        <v>460</v>
      </c>
      <c r="B1306" s="204"/>
      <c r="C1306" s="204"/>
      <c r="D1306" s="20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4" t="s">
        <v>462</v>
      </c>
      <c r="B1318" s="204"/>
      <c r="C1318" s="204"/>
      <c r="D1318" s="20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4" t="s">
        <v>464</v>
      </c>
      <c r="B1330" s="204"/>
      <c r="C1330" s="204"/>
      <c r="D1330" s="20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4" t="s">
        <v>467</v>
      </c>
      <c r="B1343" s="204"/>
      <c r="C1343" s="204"/>
      <c r="D1343" s="20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4" t="s">
        <v>469</v>
      </c>
      <c r="B1355" s="204"/>
      <c r="C1355" s="204"/>
      <c r="D1355" s="20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4" t="s">
        <v>471</v>
      </c>
      <c r="B1368" s="204"/>
      <c r="C1368" s="204"/>
      <c r="D1368" s="20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4" t="s">
        <v>473</v>
      </c>
      <c r="B1380" s="204"/>
      <c r="C1380" s="204"/>
      <c r="D1380" s="20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4" t="s">
        <v>476</v>
      </c>
      <c r="B1392" s="204"/>
      <c r="C1392" s="204"/>
      <c r="D1392" s="20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4" t="s">
        <v>478</v>
      </c>
      <c r="B1404" s="204"/>
      <c r="C1404" s="204"/>
      <c r="D1404" s="20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4" t="s">
        <v>479</v>
      </c>
      <c r="B1416" s="204"/>
      <c r="C1416" s="204"/>
      <c r="D1416" s="20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4" t="s">
        <v>480</v>
      </c>
      <c r="B1428" s="204"/>
      <c r="C1428" s="204"/>
      <c r="D1428" s="20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4" t="s">
        <v>481</v>
      </c>
      <c r="B1441" s="204"/>
      <c r="C1441" s="204"/>
      <c r="D1441" s="20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4" t="s">
        <v>482</v>
      </c>
      <c r="B1453" s="204"/>
      <c r="C1453" s="204"/>
      <c r="D1453" s="20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4" t="s">
        <v>489</v>
      </c>
      <c r="B1465" s="204"/>
      <c r="C1465" s="204"/>
      <c r="D1465" s="20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4" t="s">
        <v>491</v>
      </c>
      <c r="B1477" s="204"/>
      <c r="C1477" s="204"/>
      <c r="D1477" s="20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4" t="s">
        <v>493</v>
      </c>
      <c r="B1490" s="204"/>
      <c r="C1490" s="204"/>
      <c r="D1490" s="20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4" t="s">
        <v>495</v>
      </c>
      <c r="B1502" s="204"/>
      <c r="C1502" s="204"/>
      <c r="D1502" s="20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4" t="s">
        <v>497</v>
      </c>
      <c r="B1514" s="204"/>
      <c r="C1514" s="204"/>
      <c r="D1514" s="20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4" t="s">
        <v>499</v>
      </c>
      <c r="B1526" s="204"/>
      <c r="C1526" s="204"/>
      <c r="D1526" s="20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4" t="s">
        <v>502</v>
      </c>
      <c r="B1539" s="204"/>
      <c r="C1539" s="204"/>
      <c r="D1539" s="20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4" t="s">
        <v>504</v>
      </c>
      <c r="B1551" s="204"/>
      <c r="C1551" s="204"/>
      <c r="D1551" s="20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4" t="s">
        <v>506</v>
      </c>
      <c r="B1563" s="204"/>
      <c r="C1563" s="204"/>
      <c r="D1563" s="20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4" t="s">
        <v>508</v>
      </c>
      <c r="B1576" s="204"/>
      <c r="C1576" s="204"/>
      <c r="D1576" s="20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4" t="s">
        <v>510</v>
      </c>
      <c r="B1589" s="204"/>
      <c r="C1589" s="204"/>
      <c r="D1589" s="20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3" t="s">
        <v>510</v>
      </c>
      <c r="B1601" s="203"/>
      <c r="C1601" s="20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3" t="s">
        <v>510</v>
      </c>
      <c r="B1613" s="203"/>
      <c r="C1613" s="20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3" t="s">
        <v>514</v>
      </c>
      <c r="B1629" s="203"/>
      <c r="C1629" s="20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3" t="s">
        <v>516</v>
      </c>
      <c r="B1640" s="203"/>
      <c r="C1640" s="20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3" t="s">
        <v>518</v>
      </c>
      <c r="B1653" s="203"/>
      <c r="C1653" s="20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3" t="s">
        <v>520</v>
      </c>
      <c r="B1665" s="203"/>
      <c r="C1665" s="20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3" t="s">
        <v>522</v>
      </c>
      <c r="B1677" s="203"/>
      <c r="C1677" s="20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3" t="s">
        <v>526</v>
      </c>
      <c r="B1690" s="203"/>
      <c r="C1690" s="20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3" t="s">
        <v>529</v>
      </c>
      <c r="B1703" s="203"/>
      <c r="C1703" s="20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3" t="s">
        <v>531</v>
      </c>
      <c r="B1716" s="203"/>
      <c r="C1716" s="20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3" t="s">
        <v>533</v>
      </c>
      <c r="B1729" s="203"/>
      <c r="C1729" s="20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3" t="s">
        <v>536</v>
      </c>
      <c r="B1742" s="203"/>
      <c r="C1742" s="20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4">
      <c r="A1745" s="70" t="s">
        <v>251</v>
      </c>
      <c r="B1745" s="79">
        <v>13180000</v>
      </c>
      <c r="C1745" s="79">
        <v>8280</v>
      </c>
    </row>
    <row r="1746" spans="1:4">
      <c r="A1746" s="71" t="s">
        <v>252</v>
      </c>
      <c r="B1746" s="79">
        <v>13195000</v>
      </c>
      <c r="C1746" s="79">
        <v>8310</v>
      </c>
    </row>
    <row r="1747" spans="1:4">
      <c r="A1747" s="69" t="s">
        <v>253</v>
      </c>
      <c r="B1747" s="79">
        <v>13240000</v>
      </c>
      <c r="C1747" s="79">
        <v>8310</v>
      </c>
    </row>
    <row r="1748" spans="1:4">
      <c r="A1748" s="77">
        <v>0.625</v>
      </c>
      <c r="B1748" s="79">
        <v>13235000</v>
      </c>
      <c r="C1748" s="79">
        <v>8300</v>
      </c>
    </row>
    <row r="1749" spans="1:4">
      <c r="A1749" s="70" t="s">
        <v>254</v>
      </c>
      <c r="B1749" s="79">
        <v>13235000</v>
      </c>
      <c r="C1749" s="79">
        <v>8300</v>
      </c>
    </row>
    <row r="1750" spans="1:4">
      <c r="A1750" s="80">
        <v>0.70833333333333337</v>
      </c>
      <c r="B1750" s="79">
        <v>13235000</v>
      </c>
      <c r="C1750" s="79">
        <v>8300</v>
      </c>
    </row>
    <row r="1752" spans="1:4">
      <c r="D1752">
        <f>B1750-B1737</f>
        <v>140000</v>
      </c>
    </row>
  </sheetData>
  <mergeCells count="152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742:C1742"/>
    <mergeCell ref="A1729:C1729"/>
    <mergeCell ref="A1716:C1716"/>
    <mergeCell ref="A1703:C1703"/>
    <mergeCell ref="A1453:D1453"/>
    <mergeCell ref="A1318:D1318"/>
    <mergeCell ref="A1563:D1563"/>
    <mergeCell ref="A1222:D1222"/>
    <mergeCell ref="A1441:D1441"/>
    <mergeCell ref="A1234:D1234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05" t="s">
        <v>373</v>
      </c>
      <c r="B1" s="205"/>
      <c r="C1" s="20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6"/>
  <sheetViews>
    <sheetView zoomScale="85" zoomScaleNormal="85" workbookViewId="0">
      <selection activeCell="E3" sqref="E3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36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6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>(E135-E134)*100/E134</f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>(E136-E135)*100/E135</f>
        <v>0.46820132657042529</v>
      </c>
      <c r="I136">
        <v>1.3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2021-12-21T12:51:34Z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