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set'!$A$1:$BL$190</definedName>
    <definedName name="_xlnm._FilterDatabase" localSheetId="1" hidden="1">weekly!$A$1:$K$47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5" i="1" l="1"/>
  <c r="M186" i="1"/>
  <c r="L185" i="1"/>
  <c r="L186" i="1"/>
  <c r="E1452" i="3" l="1"/>
  <c r="H117" i="5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86" i="1" l="1"/>
  <c r="F188" i="1" s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H189" i="1"/>
  <c r="M176" i="1" l="1"/>
  <c r="L176" i="1"/>
  <c r="H109" i="5" l="1"/>
  <c r="G109" i="5"/>
  <c r="F109" i="5"/>
  <c r="M175" i="1" l="1"/>
  <c r="L175" i="1"/>
  <c r="H108" i="5" l="1"/>
  <c r="G108" i="5"/>
  <c r="F108" i="5"/>
  <c r="F4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201" i="1"/>
  <c r="H102" i="5" l="1"/>
  <c r="G102" i="5"/>
  <c r="F102" i="5"/>
  <c r="I190" i="1" l="1"/>
  <c r="H101" i="5" l="1"/>
  <c r="G101" i="5"/>
  <c r="F101" i="5"/>
  <c r="G191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7" i="2"/>
  <c r="G46" i="2"/>
  <c r="G45" i="2"/>
  <c r="G44" i="2"/>
  <c r="G43" i="2"/>
  <c r="G42" i="2"/>
  <c r="G41" i="2"/>
  <c r="G40" i="2"/>
  <c r="G39" i="2"/>
  <c r="D35" i="2"/>
  <c r="C35" i="2"/>
  <c r="B3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9" i="2" s="1"/>
  <c r="G16" i="2"/>
  <c r="E16" i="2"/>
  <c r="C4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90" i="1"/>
  <c r="AW193" i="1" s="1"/>
  <c r="AU190" i="1"/>
  <c r="T190" i="1"/>
  <c r="BB189" i="1"/>
  <c r="AY188" i="1"/>
  <c r="BJ186" i="1"/>
  <c r="BI186" i="1"/>
  <c r="K186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<sst xmlns="http://schemas.openxmlformats.org/spreadsheetml/2006/main" count="1617" uniqueCount="483">
  <si>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</si>
  <si>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</si>
  <si>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</si>
  <si>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</si>
  <si>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</si>
  <si>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</si>
  <si>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</si>
  <si>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</si>
  <si>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</si>
  <si>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</si>
  <si>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</si>
  <si>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</si>
  <si>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</si>
  <si>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</si>
  <si>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</si>
  <si>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</si>
  <si>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</si>
  <si>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</si>
  <si>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</si>
  <si>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</si>
  <si>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</si>
  <si>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</si>
  <si>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</si>
  <si>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</si>
  <si>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</si>
  <si>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</si>
  <si>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</si>
  <si>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</si>
  <si>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</si>
  <si>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</si>
  <si>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</si>
  <si>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</si>
  <si>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</si>
  <si>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</si>
  <si>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</si>
  <si>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</si>
  <si>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</si>
  <si>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</si>
  <si>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</si>
  <si>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</si>
  <si>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</si>
  <si>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</si>
  <si>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</si>
  <si>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</si>
  <si>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</si>
  <si>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</si>
  <si>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</si>
  <si>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</si>
  <si>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</si>
  <si>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</si>
  <si>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</si>
  <si>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</si>
  <si>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</si>
  <si>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</si>
  <si>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</si>
  <si>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</si>
  <si>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</si>
  <si>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</si>
  <si>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</si>
  <si>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</si>
  <si>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</si>
  <si>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</si>
  <si>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</si>
  <si>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</si>
  <si>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</si>
  <si>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</si>
  <si>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</si>
  <si>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</si>
  <si>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</si>
  <si>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</si>
  <si>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</si>
  <si>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</si>
  <si>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</si>
  <si>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</si>
  <si>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</si>
  <si>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</si>
  <si>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</si>
  <si>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</si>
  <si>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</si>
  <si>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</si>
  <si>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</si>
  <si>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</si>
  <si>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</si>
  <si>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</si>
  <si>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</si>
  <si>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</si>
  <si>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</si>
  <si>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</si>
  <si>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</si>
  <si>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</si>
  <si>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</si>
  <si>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</si>
  <si>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</si>
  <si>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</si>
  <si>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</si>
  <si>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</si>
  <si>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</si>
  <si>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</si>
  <si>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</si>
  <si>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</si>
  <si>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</si>
  <si>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</si>
  <si>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</si>
  <si>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</si>
  <si>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</si>
  <si>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</si>
  <si>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</si>
  <si>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</si>
  <si>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</si>
  <si>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</si>
  <si>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</si>
  <si>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</si>
  <si>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</si>
  <si>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</si>
  <si>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</si>
  <si>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</si>
  <si>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</si>
  <si>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</si>
  <si>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</si>
  <si>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</si>
  <si>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</si>
  <si>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</si>
  <si>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</si>
  <si>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</si>
  <si>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</si>
  <si>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</si>
  <si>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</si>
  <si>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</si>
  <si>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</si>
  <si>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</si>
  <si>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</si>
  <si>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</si>
  <si>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</si>
  <si>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</si>
  <si>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</si>
  <si>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</si>
  <si>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</si>
  <si>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</si>
  <si>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</si>
  <si>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</si>
  <si>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</si>
  <si>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</si>
  <si>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</si>
  <si>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</si>
  <si>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</si>
  <si>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</si>
  <si>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</si>
  <si>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</si>
  <si>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</si>
  <si>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</si>
  <si>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</si>
  <si>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</si>
  <si>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</si>
  <si>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</si>
  <si>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</si>
  <si>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</si>
  <si>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</si>
  <si>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</si>
  <si>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</si>
  <si>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</si>
  <si>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</si>
  <si>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</si>
  <si>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</si>
  <si>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</si>
  <si>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</si>
  <si>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</si>
  <si>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</si>
  <si>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</si>
  <si>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</si>
  <si>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</si>
  <si>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</si>
  <si>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</si>
  <si>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</si>
  <si>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</si>
  <si>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</si>
  <si>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</si>
  <si>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</si>
  <si>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</si>
  <si>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</si>
  <si>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</si>
  <si>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</si>
  <si>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</si>
  <si>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</si>
  <si>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</si>
  <si>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</si>
  <si>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</si>
  <si>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</si>
  <si>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</si>
  <si>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</si>
  <si>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</si>
  <si>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</si>
  <si>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</si>
  <si>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</si>
  <si>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</si>
  <si>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</si>
  <si>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</si>
  <si>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</si>
  <si>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</si>
  <si>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</si>
  <si>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</si>
  <si>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</si>
  <si>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</si>
  <si>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</si>
  <si>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</si>
  <si>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</si>
  <si>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</si>
  <si>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</si>
  <si>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</si>
  <si>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</si>
  <si>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</si>
  <si>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</si>
  <si>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</si>
  <si>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</si>
  <si>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</si>
  <si>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</si>
  <si>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</si>
  <si>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</si>
  <si>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</si>
  <si>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</si>
  <si>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</si>
  <si>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</si>
  <si>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</si>
  <si>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</si>
  <si>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</si>
  <si>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</si>
  <si>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</si>
  <si>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</si>
  <si>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</si>
  <si>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</si>
  <si>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</si>
  <si>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</si>
  <si>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</si>
  <si>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</si>
  <si>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</si>
  <si>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</si>
  <si>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</si>
  <si>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</si>
  <si>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</si>
  <si>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</si>
  <si>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</si>
  <si>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</si>
  <si>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</si>
  <si>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</si>
  <si>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</si>
  <si>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</si>
  <si>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</si>
  <si>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</si>
  <si>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</si>
  <si>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</si>
  <si>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</si>
  <si>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</si>
  <si>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</si>
  <si>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</si>
  <si>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</si>
  <si>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</si>
  <si>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</si>
  <si>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</si>
  <si>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</si>
  <si>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</si>
  <si>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</si>
  <si>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</si>
  <si>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</si>
  <si>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</si>
  <si>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</si>
  <si>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</si>
  <si>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</si>
  <si>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</si>
  <si>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</si>
  <si>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</si>
  <si>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</si>
  <si>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</si>
  <si>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</si>
  <si>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</si>
  <si>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</si>
  <si>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</si>
  <si>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</si>
  <si>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</si>
  <si>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</si>
  <si>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</si>
  <si>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</si>
  <si>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</si>
  <si>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</si>
  <si>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</si>
  <si>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</si>
  <si>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</si>
  <si>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</si>
  <si>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</si>
  <si>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</si>
  <si>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</si>
  <si>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</si>
  <si>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</si>
  <si>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</si>
  <si>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</si>
  <si>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</si>
  <si>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</si>
  <si>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</si>
  <si>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</si>
  <si>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</si>
  <si>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</si>
  <si>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</si>
  <si>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</si>
  <si>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</si>
  <si>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</si>
  <si>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</si>
  <si>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</si>
  <si>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</si>
  <si>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</si>
  <si>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</si>
  <si>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</si>
  <si>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</si>
  <si>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</si>
  <si>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</si>
  <si>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</si>
  <si>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</si>
  <si>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</si>
  <si>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</si>
  <si>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</si>
  <si>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</si>
  <si>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</si>
  <si>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</si>
  <si>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</si>
  <si>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</si>
  <si>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</si>
  <si>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</si>
  <si>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</si>
  <si>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</si>
  <si>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</si>
  <si>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</si>
  <si>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</si>
  <si>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</si>
  <si>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</si>
  <si>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</si>
  <si>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</si>
  <si>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</si>
  <si>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</si>
  <si>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</si>
  <si>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</si>
  <si>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</si>
  <si>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</si>
  <si>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</si>
  <si>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</si>
  <si>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</si>
  <si>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</si>
  <si>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</si>
  <si>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</si>
  <si>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</si>
  <si>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</si>
  <si>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</si>
  <si>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</si>
  <si>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</si>
  <si>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</si>
  <si>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</si>
  <si>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</si>
  <si>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</si>
  <si>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</si>
  <si>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</si>
  <si>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</si>
  <si>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</si>
  <si>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</si>
  <si>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</si>
  <si>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</si>
  <si>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</si>
  <si>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</si>
  <si>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</si>
  <si>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</si>
  <si>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</si>
  <si>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</si>
  <si>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</si>
  <si>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</si>
  <si>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</si>
  <si>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</si>
  <si>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</si>
  <si>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</si>
  <si>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</si>
  <si>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</si>
  <si>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</si>
  <si>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</si>
  <si>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</si>
  <si>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</si>
  <si>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</si>
  <si>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</si>
  <si>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</si>
  <si>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</si>
  <si>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</si>
  <si>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</si>
  <si>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</si>
  <si>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</si>
  <si>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</si>
  <si>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</si>
  <si>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</si>
  <si>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</si>
  <si>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</si>
  <si>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</si>
  <si>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</si>
  <si>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</si>
  <si>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</si>
  <si>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</si>
  <si>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</si>
  <si>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</si>
  <si>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</si>
  <si>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</si>
  <si>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</si>
  <si>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</si>
  <si>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</si>
  <si>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</si>
  <si>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</si>
  <si>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</si>
  <si>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</si>
  <si>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</si>
  <si>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</si>
  <si>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</si>
  <si>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</si>
  <si>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</si>
  <si>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</si>
  <si>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</si>
  <si>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</si>
  <si>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</si>
  <si>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</si>
  <si>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</si>
  <si>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</si>
  <si>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</si>
  <si>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</si>
  <si>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</si>
  <si>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</si>
  <si>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</si>
  <si>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</si>
  <si>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</si>
  <si>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</si>
  <si>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</si>
  <si>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</si>
  <si>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</si>
  <si>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</si>
  <si>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</si>
  <si>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</si>
  <si>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</si>
  <si>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</si>
  <si>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</si>
  <si>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</si>
  <si>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</si>
  <si>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</si>
  <si>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</si>
  <si>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</si>
  <si>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</si>
  <si>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</si>
  <si>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</si>
  <si>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</si>
  <si>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</si>
  <si>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</si>
  <si>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</si>
  <si>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</si>
  <si>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</si>
  <si>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</si>
  <si>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</si>
  <si>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</si>
  <si>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</si>
  <si>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</si>
  <si>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</si>
  <si>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</si>
  <si>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</si>
  <si>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</si>
  <si>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</si>
  <si>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</si>
  <si>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</si>
  <si>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</si>
  <si>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</si>
  <si>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</si>
  <si>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</si>
  <si>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</si>
  <si>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</si>
  <si>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</si>
  <si>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</si>
  <si>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</si>
  <si>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</si>
  <si>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</si>
  <si>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</si>
  <si>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</si>
  <si>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</si>
  <si>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</si>
  <si>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</si>
  <si>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</si>
  <si>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02آبان1400</t>
  </si>
  <si>
    <t>روند روزانه بهای سکه و ارز  (سه‌شنبه 02 آبان 1400)</t>
  </si>
  <si>
    <t>روند روزانه بهای سکه و ارز  چهارشنبه (03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</si>
</sst>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58492640"/>
        <c:axId val="958495904"/>
      </c:lineChart>
      <c:catAx>
        <c:axId val="95849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5904"/>
        <c:crosses val="autoZero"/>
        <c:auto val="1"/>
        <c:lblAlgn val="ctr"/>
        <c:lblOffset val="100"/>
        <c:noMultiLvlLbl val="0"/>
      </c:catAx>
      <c:valAx>
        <c:axId val="958495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26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weekly!$B$27:$B$34</c15:sqref>
                  </c15:fullRef>
                </c:ext>
              </c:extLst>
              <c:f>weekly!$B$28:$B$34</c:f>
              <c:numCache>
                <c:formatCode>General</c:formatCode>
                <c:ptCount val="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weekly!$H$27:$H$34</c15:sqref>
                  </c15:fullRef>
                </c:ext>
              </c:extLst>
              <c:f>weekly!$H$28:$H$34</c:f>
              <c:numCache>
                <c:formatCode>General</c:formatCode>
                <c:ptCount val="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weekly!$J$27:$J$34</c15:sqref>
                  </c15:fullRef>
                </c:ext>
              </c:extLst>
              <c:f>weekly!$J$28:$J$34</c:f>
              <c:numCache>
                <c:formatCode>General</c:formatCode>
                <c:ptCount val="7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58493728"/>
        <c:axId val="958495360"/>
      </c:lineChart>
      <c:catAx>
        <c:axId val="95849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5360"/>
        <c:crosses val="autoZero"/>
        <c:auto val="1"/>
        <c:lblAlgn val="ctr"/>
        <c:lblOffset val="100"/>
        <c:noMultiLvlLbl val="0"/>
      </c:catAx>
      <c:valAx>
        <c:axId val="958495360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584937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چهارم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2.6689312186129344E-3"/>
                  <c:y val="-2.8445604843368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weekly!$D$2:$D$34</c:f>
              <c:numCache>
                <c:formatCode>General</c:formatCode>
                <c:ptCount val="33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60064944"/>
        <c:axId val="1257611312"/>
      </c:lineChart>
      <c:catAx>
        <c:axId val="96006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1312"/>
        <c:crosses val="autoZero"/>
        <c:auto val="1"/>
        <c:lblAlgn val="ctr"/>
        <c:lblOffset val="100"/>
        <c:noMultiLvlLbl val="0"/>
      </c:catAx>
      <c:valAx>
        <c:axId val="1257611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600649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57615664"/>
        <c:axId val="1257605872"/>
      </c:lineChart>
      <c:catAx>
        <c:axId val="125761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5872"/>
        <c:crosses val="autoZero"/>
        <c:auto val="1"/>
        <c:lblAlgn val="ctr"/>
        <c:lblOffset val="100"/>
        <c:noMultiLvlLbl val="0"/>
      </c:catAx>
      <c:valAx>
        <c:axId val="12576058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56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چهارم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weekly!$F$2:$F$34</c:f>
              <c:numCache>
                <c:formatCode>General</c:formatCode>
                <c:ptCount val="33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57608048"/>
        <c:axId val="1257602608"/>
      </c:lineChart>
      <c:catAx>
        <c:axId val="125760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2608"/>
        <c:crosses val="autoZero"/>
        <c:auto val="1"/>
        <c:lblAlgn val="ctr"/>
        <c:lblOffset val="100"/>
        <c:noMultiLvlLbl val="0"/>
      </c:catAx>
      <c:valAx>
        <c:axId val="1257602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80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weekly!$C$27:$C$34</c15:sqref>
                  </c15:fullRef>
                </c:ext>
              </c:extLst>
              <c:f>weekly!$C$28:$C$34</c:f>
              <c:numCache>
                <c:formatCode>General</c:formatCode>
                <c:ptCount val="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weekly!$K$27:$K$34</c15:sqref>
                  </c15:fullRef>
                </c:ext>
              </c:extLst>
              <c:f>weekly!$K$28:$K$34</c:f>
              <c:numCache>
                <c:formatCode>General</c:formatCode>
                <c:ptCount val="7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weekly!$I$27:$I$34</c15:sqref>
                  </c15:fullRef>
                </c:ext>
              </c:extLst>
              <c:f>weekly!$I$28:$I$34</c:f>
              <c:numCache>
                <c:formatCode>General</c:formatCode>
                <c:ptCount val="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57611856"/>
        <c:axId val="1257614032"/>
      </c:lineChart>
      <c:catAx>
        <c:axId val="125761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4032"/>
        <c:crosses val="autoZero"/>
        <c:auto val="1"/>
        <c:lblAlgn val="ctr"/>
        <c:lblOffset val="100"/>
        <c:noMultiLvlLbl val="0"/>
      </c:catAx>
      <c:valAx>
        <c:axId val="125761403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1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7610768"/>
        <c:axId val="1257603696"/>
      </c:barChart>
      <c:catAx>
        <c:axId val="125761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3696"/>
        <c:crosses val="autoZero"/>
        <c:auto val="1"/>
        <c:lblAlgn val="ctr"/>
        <c:lblOffset val="100"/>
        <c:noMultiLvlLbl val="0"/>
      </c:catAx>
      <c:valAx>
        <c:axId val="12576036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07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1400" b="1" strike="noStrike" spc="-1" baseline="0">
                <a:solidFill>
                  <a:srgbClr val="595959"/>
                </a:solidFill>
                <a:latin typeface="Calibri"/>
              </a:rPr>
              <a:t>چهارشنبه 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1400/09/03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35"/>
          <c:order val="3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change'!$F$117:$I$117</c:f>
              <c:numCache>
                <c:formatCode>General</c:formatCode>
                <c:ptCount val="4"/>
                <c:pt idx="0">
                  <c:v>1.6800840042002101</c:v>
                </c:pt>
                <c:pt idx="1">
                  <c:v>1.5618742490989188</c:v>
                </c:pt>
                <c:pt idx="2">
                  <c:v>0.3539253539253539</c:v>
                </c:pt>
                <c:pt idx="3">
                  <c:v>-0.74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7612944"/>
        <c:axId val="125760641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2576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06416"/>
        <c:crosses val="autoZero"/>
        <c:auto val="1"/>
        <c:lblAlgn val="ctr"/>
        <c:lblOffset val="100"/>
        <c:noMultiLvlLbl val="0"/>
      </c:catAx>
      <c:valAx>
        <c:axId val="12576064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576129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589</xdr:row>
      <xdr:rowOff>102960</xdr:rowOff>
    </xdr:from>
    <xdr:to>
      <xdr:col>11</xdr:col>
      <xdr:colOff>279360</xdr:colOff>
      <xdr:row>619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169</xdr:row>
      <xdr:rowOff>27711</xdr:rowOff>
    </xdr:from>
    <xdr:to>
      <xdr:col>41</xdr:col>
      <xdr:colOff>533400</xdr:colOff>
      <xdr:row>274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305</xdr:row>
      <xdr:rowOff>0</xdr:rowOff>
    </xdr:from>
    <xdr:to>
      <xdr:col>82</xdr:col>
      <xdr:colOff>0</xdr:colOff>
      <xdr:row>381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624</xdr:row>
      <xdr:rowOff>0</xdr:rowOff>
    </xdr:from>
    <xdr:to>
      <xdr:col>13</xdr:col>
      <xdr:colOff>354240</xdr:colOff>
      <xdr:row>654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404</xdr:row>
      <xdr:rowOff>0</xdr:rowOff>
    </xdr:from>
    <xdr:to>
      <xdr:col>83</xdr:col>
      <xdr:colOff>533400</xdr:colOff>
      <xdr:row>503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52</xdr:row>
      <xdr:rowOff>76321</xdr:rowOff>
    </xdr:from>
    <xdr:to>
      <xdr:col>44</xdr:col>
      <xdr:colOff>533400</xdr:colOff>
      <xdr:row>151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3"/>
  <sheetViews>
    <sheetView tabSelected="1" topLeftCell="T1" zoomScaleNormal="100" workbookViewId="0">
      <selection activeCell="U177" sqref="U177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L186/G186</f>
        <v>4713757.7438657973</v>
      </c>
      <c r="T1" s="3" t="s">
        <v>15</v>
      </c>
      <c r="U1" s="3">
        <f>M186/K186</f>
        <v>44790.941336969176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K186/K62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5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5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425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480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13" customFormat="1" ht="21" customHeight="1">
      <c r="A185" s="109"/>
      <c r="B185" s="110" t="s">
        <v>427</v>
      </c>
      <c r="C185" s="111">
        <v>3</v>
      </c>
      <c r="D185" s="112">
        <v>27064</v>
      </c>
      <c r="E185" s="111">
        <v>27750</v>
      </c>
      <c r="F185" s="111">
        <v>27384</v>
      </c>
      <c r="G185" s="111">
        <v>12359200</v>
      </c>
      <c r="H185" s="111">
        <v>30399</v>
      </c>
      <c r="I185" s="111">
        <v>31492</v>
      </c>
      <c r="J185" s="113">
        <v>31335</v>
      </c>
      <c r="K185" s="111">
        <v>1055500</v>
      </c>
      <c r="L185" s="137">
        <f t="shared" si="23"/>
        <v>338444332800</v>
      </c>
      <c r="M185" s="137">
        <f t="shared" si="22"/>
        <v>33074092500</v>
      </c>
      <c r="N185" s="113">
        <v>28028</v>
      </c>
      <c r="O185" s="113">
        <v>31807</v>
      </c>
      <c r="P185" s="113">
        <v>27335</v>
      </c>
      <c r="Q185" s="113">
        <v>30703</v>
      </c>
      <c r="R185" s="111"/>
      <c r="S185" s="111"/>
      <c r="T185" s="111"/>
      <c r="U185" s="111"/>
      <c r="V185" s="113">
        <v>28850</v>
      </c>
      <c r="X185" s="113">
        <v>29050</v>
      </c>
      <c r="Y185" s="113">
        <v>32426</v>
      </c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2"/>
      <c r="AT185" s="112"/>
      <c r="AU185" s="112"/>
      <c r="AV185" s="112"/>
      <c r="AW185" s="112"/>
      <c r="AX185" s="112"/>
      <c r="AY185" s="111"/>
      <c r="AZ185" s="111"/>
      <c r="BA185" s="111"/>
      <c r="BB185" s="111"/>
      <c r="BC185" s="111"/>
      <c r="BE185" s="114"/>
      <c r="BF185" s="114"/>
      <c r="BG185" s="114"/>
      <c r="BH185" s="114"/>
    </row>
    <row r="186" spans="1:62" ht="18">
      <c r="A186" s="7"/>
      <c r="B186" s="8"/>
      <c r="C186" s="8"/>
      <c r="D186" s="26"/>
      <c r="E186" s="8"/>
      <c r="F186" s="8"/>
      <c r="G186" s="8">
        <f>SUM(G2:G182)/181</f>
        <v>6809377.3425414367</v>
      </c>
      <c r="H186" s="8"/>
      <c r="I186" s="8"/>
      <c r="J186" s="8"/>
      <c r="K186" s="8">
        <f>SUM(K2:K126)</f>
        <v>125564600</v>
      </c>
      <c r="L186" s="8">
        <f>SUM(L2:L185)</f>
        <v>32097755179309</v>
      </c>
      <c r="M186" s="9">
        <f>SUM(M2:M185)</f>
        <v>5624156632600</v>
      </c>
      <c r="N186" s="9"/>
      <c r="O186" s="9"/>
      <c r="P186" s="9"/>
      <c r="Q186" s="9"/>
      <c r="R186" s="9"/>
      <c r="S186" s="9"/>
      <c r="T186" s="9"/>
      <c r="U186" s="9"/>
      <c r="V186" s="119"/>
      <c r="W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Y186" s="9"/>
      <c r="AZ186" s="9"/>
      <c r="BA186" s="9"/>
      <c r="BB186" s="9"/>
      <c r="BC186" s="9"/>
      <c r="BD186" s="9"/>
      <c r="BE186" s="10"/>
      <c r="BF186" s="10"/>
      <c r="BG186" s="10"/>
      <c r="BH186" s="10"/>
      <c r="BI186" t="e">
        <f>#REF!-N186</f>
        <v>#REF!</v>
      </c>
      <c r="BJ186" t="e">
        <f>(Y186-O186)/O186</f>
        <v>#DIV/0!</v>
      </c>
    </row>
    <row r="187" spans="1:62" ht="18">
      <c r="D187" s="26"/>
      <c r="V187" s="135"/>
      <c r="Z187" s="25"/>
      <c r="AB187" s="25"/>
      <c r="AS187" s="25"/>
      <c r="AW187" s="30"/>
    </row>
    <row r="188" spans="1:62" ht="18">
      <c r="D188" s="26"/>
      <c r="F188">
        <f>(G182-G186)/G186</f>
        <v>0.67541016250129726</v>
      </c>
      <c r="V188" s="135"/>
      <c r="Z188" s="25"/>
      <c r="AS188" s="26"/>
      <c r="AW188" s="30"/>
      <c r="AY188">
        <f>AY51-AY50</f>
        <v>35000</v>
      </c>
    </row>
    <row r="189" spans="1:62" ht="18">
      <c r="H189">
        <f>(G176-G186)/G186</f>
        <v>0.72509165068766612</v>
      </c>
      <c r="V189" s="134"/>
      <c r="Z189" s="25"/>
      <c r="AS189" s="26">
        <v>10290000</v>
      </c>
      <c r="AW189" s="30"/>
      <c r="BB189">
        <f>AY60-AY59</f>
        <v>70000</v>
      </c>
    </row>
    <row r="190" spans="1:62" ht="18">
      <c r="I190">
        <f>(G166-G186)/G186</f>
        <v>0.53925968157436099</v>
      </c>
      <c r="T190">
        <f>V137-X140</f>
        <v>-620</v>
      </c>
      <c r="V190" s="25"/>
      <c r="Z190" s="25"/>
      <c r="AS190" s="26"/>
      <c r="AU190">
        <f>AS189-AS49</f>
        <v>195000</v>
      </c>
      <c r="AW190" s="30">
        <f>AC52-AY51</f>
        <v>305000</v>
      </c>
    </row>
    <row r="191" spans="1:62" ht="18">
      <c r="D191" s="99">
        <v>9387100</v>
      </c>
      <c r="G191">
        <f>(G165-G186)/G186</f>
        <v>0.64878511429500496</v>
      </c>
      <c r="V191" s="25"/>
      <c r="Z191" s="25"/>
      <c r="AW191" s="30"/>
    </row>
    <row r="192" spans="1:62" ht="17.25" customHeight="1">
      <c r="D192" s="99">
        <v>7622400</v>
      </c>
      <c r="V192" s="25"/>
      <c r="Z192" s="25"/>
    </row>
    <row r="193" spans="4:49" ht="18">
      <c r="D193" s="99">
        <v>9805000</v>
      </c>
      <c r="V193" s="25"/>
      <c r="Z193" s="25"/>
      <c r="AW193">
        <f>AW190/AY51</f>
        <v>2.9539951573849879E-2</v>
      </c>
    </row>
    <row r="194" spans="4:49" ht="18">
      <c r="D194" s="99">
        <v>12098700</v>
      </c>
      <c r="V194" s="25"/>
    </row>
    <row r="195" spans="4:49" ht="18">
      <c r="D195" s="99">
        <v>8231300</v>
      </c>
      <c r="V195" s="25"/>
    </row>
    <row r="196" spans="4:49" ht="18">
      <c r="D196" s="117">
        <v>8525400</v>
      </c>
    </row>
    <row r="197" spans="4:49" ht="18">
      <c r="D197" s="117">
        <v>8525400</v>
      </c>
    </row>
    <row r="198" spans="4:49" ht="18">
      <c r="D198" s="123">
        <v>11227200</v>
      </c>
    </row>
    <row r="199" spans="4:49" ht="18">
      <c r="D199" s="117">
        <v>10481400</v>
      </c>
      <c r="G199" s="9">
        <v>8861800</v>
      </c>
    </row>
    <row r="200" spans="4:49" ht="18">
      <c r="D200" s="111">
        <v>10300800</v>
      </c>
      <c r="G200" s="9">
        <v>8230700</v>
      </c>
    </row>
    <row r="201" spans="4:49" ht="18">
      <c r="D201">
        <f>SUM(D191:D200)/10</f>
        <v>9620470</v>
      </c>
      <c r="G201" s="9">
        <v>8995300</v>
      </c>
    </row>
    <row r="202" spans="4:49" ht="18">
      <c r="G202" s="9"/>
    </row>
    <row r="203" spans="4:49" ht="18">
      <c r="G203" s="9"/>
    </row>
  </sheetData>
  <autoFilter ref="A1:BL19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topLeftCell="X388" zoomScale="55" zoomScaleNormal="55" workbookViewId="0">
      <selection activeCell="AX400" sqref="AX40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4" si="0">D29/6</f>
        <v>7281166.666666667</v>
      </c>
      <c r="F29" s="73">
        <v>5993000</v>
      </c>
      <c r="G29" s="73">
        <f t="shared" ref="G29:G34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>
      <c r="B35">
        <f>(B2-B8)/B2</f>
        <v>0.15346494762288476</v>
      </c>
      <c r="C35">
        <f>(C2-C8)/C2</f>
        <v>0.1154959674639829</v>
      </c>
      <c r="D35">
        <f>SUM(D2:D16)/15</f>
        <v>29639479.933333334</v>
      </c>
    </row>
    <row r="39" spans="1:11">
      <c r="D39">
        <v>5375132</v>
      </c>
      <c r="E39">
        <f>(E17-D39)/D39</f>
        <v>4.5958809321644006E-2</v>
      </c>
      <c r="G39">
        <f t="shared" ref="G39:G47" si="2">B3-B2</f>
        <v>-554</v>
      </c>
    </row>
    <row r="40" spans="1:11">
      <c r="G40">
        <f t="shared" si="2"/>
        <v>-302</v>
      </c>
    </row>
    <row r="41" spans="1:11">
      <c r="C41">
        <f>(D39-E16)/E16</f>
        <v>0.17110375179746395</v>
      </c>
      <c r="G41">
        <f t="shared" si="2"/>
        <v>-511</v>
      </c>
    </row>
    <row r="42" spans="1:11">
      <c r="G42">
        <f t="shared" si="2"/>
        <v>-362</v>
      </c>
    </row>
    <row r="43" spans="1:11">
      <c r="G43">
        <f t="shared" si="2"/>
        <v>-1699</v>
      </c>
    </row>
    <row r="44" spans="1:11">
      <c r="G44">
        <f t="shared" si="2"/>
        <v>-381</v>
      </c>
    </row>
    <row r="45" spans="1:11">
      <c r="G45">
        <f t="shared" si="2"/>
        <v>1075</v>
      </c>
    </row>
    <row r="46" spans="1:11">
      <c r="F46">
        <f>(F33-F32)/F32</f>
        <v>0.23948268173034043</v>
      </c>
      <c r="G46">
        <f t="shared" si="2"/>
        <v>151</v>
      </c>
    </row>
    <row r="47" spans="1:11">
      <c r="G47">
        <f t="shared" si="2"/>
        <v>1043</v>
      </c>
    </row>
  </sheetData>
  <autoFilter ref="A1:K4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52"/>
  <sheetViews>
    <sheetView topLeftCell="A1432" zoomScale="85" zoomScaleNormal="85" workbookViewId="0">
      <selection activeCell="C1449" sqref="C144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481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5">
      <c r="A1441" s="138" t="s">
        <v>482</v>
      </c>
      <c r="B1441" s="138"/>
      <c r="C1441" s="138"/>
      <c r="D1441" s="138"/>
    </row>
    <row r="1442" spans="1:5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5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5">
      <c r="A1444" s="76" t="s">
        <v>251</v>
      </c>
      <c r="B1444" s="85">
        <v>28940</v>
      </c>
      <c r="C1444" s="85">
        <v>7880</v>
      </c>
      <c r="D1444">
        <v>12615000</v>
      </c>
    </row>
    <row r="1445" spans="1:5">
      <c r="A1445" s="77" t="s">
        <v>252</v>
      </c>
      <c r="B1445" s="85">
        <v>28980</v>
      </c>
      <c r="C1445" s="85">
        <v>7890</v>
      </c>
      <c r="D1445">
        <v>12645000</v>
      </c>
    </row>
    <row r="1446" spans="1:5">
      <c r="A1446" s="75" t="s">
        <v>253</v>
      </c>
      <c r="B1446" s="85">
        <v>29050</v>
      </c>
      <c r="C1446" s="85">
        <v>7900</v>
      </c>
      <c r="D1446">
        <v>12655000</v>
      </c>
    </row>
    <row r="1447" spans="1:5">
      <c r="A1447" s="83">
        <v>0.625</v>
      </c>
      <c r="B1447" s="85">
        <v>29050</v>
      </c>
      <c r="C1447" s="85">
        <v>7940</v>
      </c>
      <c r="D1447">
        <v>12680000</v>
      </c>
    </row>
    <row r="1448" spans="1:5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5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2" spans="1:5">
      <c r="E1452">
        <f>D1449-D1436</f>
        <v>195000</v>
      </c>
    </row>
  </sheetData>
  <mergeCells count="128">
    <mergeCell ref="A974:D974"/>
    <mergeCell ref="A796:D796"/>
    <mergeCell ref="A390:D390"/>
    <mergeCell ref="A401:D401"/>
    <mergeCell ref="A1441:D1441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025:D1025"/>
    <mergeCell ref="A949:D949"/>
    <mergeCell ref="A738:D738"/>
    <mergeCell ref="A692:D692"/>
    <mergeCell ref="A703:D703"/>
    <mergeCell ref="A715:D715"/>
    <mergeCell ref="A726:D726"/>
    <mergeCell ref="A635:D635"/>
    <mergeCell ref="A647:D647"/>
    <mergeCell ref="A842:D842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681:D681"/>
    <mergeCell ref="A500:D500"/>
    <mergeCell ref="A478:D478"/>
    <mergeCell ref="A489:D489"/>
    <mergeCell ref="A511:D511"/>
    <mergeCell ref="A445:D445"/>
    <mergeCell ref="A456:D45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428:D1428"/>
    <mergeCell ref="A1392:D1392"/>
    <mergeCell ref="A1380:D1380"/>
    <mergeCell ref="A1355:D1355"/>
    <mergeCell ref="A1318:D1318"/>
    <mergeCell ref="A1294:D1294"/>
    <mergeCell ref="A1110:D1110"/>
    <mergeCell ref="A1222:D1222"/>
    <mergeCell ref="A1049:D1049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17"/>
  <sheetViews>
    <sheetView topLeftCell="A4" zoomScale="85" zoomScaleNormal="85" workbookViewId="0">
      <selection activeCell="L18" sqref="L1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13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13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13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13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13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  <c r="J117">
        <v>1.68</v>
      </c>
      <c r="K117">
        <v>1.56</v>
      </c>
      <c r="L117">
        <v>0.35</v>
      </c>
      <c r="M117">
        <v>-0.74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2021-11-24T13:25:26Z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