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set'!$BN$1:$BN$212</definedName>
    <definedName name="_xlnm._FilterDatabase" localSheetId="1" hidden="1">weekly!$A$1:$K$49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95" i="1" l="1"/>
  <c r="H124" i="5" l="1"/>
  <c r="G124" i="5"/>
  <c r="F124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2" i="1"/>
  <c r="BJ61" i="1"/>
  <c r="H123" i="5" l="1"/>
  <c r="G123" i="5"/>
  <c r="F123" i="5"/>
  <c r="F40" i="2" l="1"/>
  <c r="J39" i="2"/>
  <c r="G36" i="2"/>
  <c r="E36" i="2"/>
  <c r="M190" i="1" l="1"/>
  <c r="H122" i="5" l="1"/>
  <c r="G122" i="5"/>
  <c r="F122" i="5"/>
  <c r="H121" i="5" l="1"/>
  <c r="G121" i="5"/>
  <c r="F121" i="5"/>
  <c r="L190" i="1"/>
  <c r="T199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9" i="2"/>
  <c r="G48" i="2"/>
  <c r="G47" i="2"/>
  <c r="G46" i="2"/>
  <c r="G45" i="2"/>
  <c r="G44" i="2"/>
  <c r="G43" i="2"/>
  <c r="G42" i="2"/>
  <c r="G41" i="2"/>
  <c r="D37" i="2"/>
  <c r="C37" i="2"/>
  <c r="B3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1" i="2" s="1"/>
  <c r="G16" i="2"/>
  <c r="E16" i="2"/>
  <c r="C4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5" i="1"/>
  <c r="BI195" i="1"/>
  <c r="K195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95" i="1" l="1"/>
  <c r="U1" i="1" s="1"/>
  <c r="L195" i="1"/>
  <c r="S1" i="1" s="1"/>
</calcChain>
</file>

<file path=xl/sharedStrings.xml><?xml version="1.0" encoding="utf-8"?>
<sst xmlns="http://schemas.openxmlformats.org/spreadsheetml/2006/main" count="1709" uniqueCount="505">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</sst>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1" fillId="14" borderId="2" xfId="0" applyFont="1" applyFill="1" applyBorder="1"/>
    <xf numFmtId="0" fontId="7" fillId="14" borderId="2" xfId="0" applyFont="1" applyFill="1" applyBorder="1"/>
    <xf numFmtId="0" fontId="0" fillId="15" borderId="0" xfId="0" applyFill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22139856"/>
        <c:axId val="1022141488"/>
      </c:lineChart>
      <c:catAx>
        <c:axId val="102213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22141488"/>
        <c:crosses val="autoZero"/>
        <c:auto val="1"/>
        <c:lblAlgn val="ctr"/>
        <c:lblOffset val="100"/>
        <c:noMultiLvlLbl val="0"/>
      </c:catAx>
      <c:valAx>
        <c:axId val="10221414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221398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weekly!$B$27:$B$36</c15:sqref>
                  </c15:fullRef>
                </c:ext>
              </c:extLst>
              <c:f>weekly!$B$28:$B$36</c:f>
              <c:numCache>
                <c:formatCode>General</c:formatCode>
                <c:ptCount val="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weekly!$H$27:$H$36</c15:sqref>
                  </c15:fullRef>
                </c:ext>
              </c:extLst>
              <c:f>weekly!$H$28:$H$36</c:f>
              <c:numCache>
                <c:formatCode>General</c:formatCode>
                <c:ptCount val="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weekly!$J$27:$J$36</c15:sqref>
                  </c15:fullRef>
                </c:ext>
              </c:extLst>
              <c:f>weekly!$J$28:$J$36</c:f>
              <c:numCache>
                <c:formatCode>General</c:formatCode>
                <c:ptCount val="9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  <c:pt idx="8">
                  <c:v>29273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22140400"/>
        <c:axId val="1022140944"/>
      </c:lineChart>
      <c:catAx>
        <c:axId val="102214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22140944"/>
        <c:crosses val="autoZero"/>
        <c:auto val="1"/>
        <c:lblAlgn val="ctr"/>
        <c:lblOffset val="100"/>
        <c:noMultiLvlLbl val="0"/>
      </c:catAx>
      <c:valAx>
        <c:axId val="102214094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221404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ششم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weekly!$D$2:$D$36</c:f>
              <c:numCache>
                <c:formatCode>General</c:formatCode>
                <c:ptCount val="3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22138768"/>
        <c:axId val="1162908736"/>
      </c:lineChart>
      <c:catAx>
        <c:axId val="102213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8736"/>
        <c:crosses val="autoZero"/>
        <c:auto val="1"/>
        <c:lblAlgn val="ctr"/>
        <c:lblOffset val="100"/>
        <c:noMultiLvlLbl val="0"/>
      </c:catAx>
      <c:valAx>
        <c:axId val="11629087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221387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62909280"/>
        <c:axId val="1162909824"/>
      </c:lineChart>
      <c:catAx>
        <c:axId val="116290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9824"/>
        <c:crosses val="autoZero"/>
        <c:auto val="1"/>
        <c:lblAlgn val="ctr"/>
        <c:lblOffset val="100"/>
        <c:noMultiLvlLbl val="0"/>
      </c:catAx>
      <c:valAx>
        <c:axId val="1162909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928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ششم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weekly!$F$2:$F$36</c:f>
              <c:numCache>
                <c:formatCode>General</c:formatCode>
                <c:ptCount val="3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62910912"/>
        <c:axId val="1162910368"/>
      </c:lineChart>
      <c:catAx>
        <c:axId val="116291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10368"/>
        <c:crosses val="autoZero"/>
        <c:auto val="1"/>
        <c:lblAlgn val="ctr"/>
        <c:lblOffset val="100"/>
        <c:noMultiLvlLbl val="0"/>
      </c:catAx>
      <c:valAx>
        <c:axId val="1162910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109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weekly!$C$27:$C$36</c15:sqref>
                  </c15:fullRef>
                </c:ext>
              </c:extLst>
              <c:f>weekly!$C$28:$C$36</c:f>
              <c:numCache>
                <c:formatCode>General</c:formatCode>
                <c:ptCount val="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weekly!$K$27:$K$36</c15:sqref>
                  </c15:fullRef>
                </c:ext>
              </c:extLst>
              <c:f>weekly!$K$28:$K$36</c:f>
              <c:numCache>
                <c:formatCode>General</c:formatCode>
                <c:ptCount val="9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  <c:pt idx="8">
                  <c:v>33079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weekly!$I$27:$I$36</c15:sqref>
                  </c15:fullRef>
                </c:ext>
              </c:extLst>
              <c:f>weekly!$I$28:$I$36</c:f>
              <c:numCache>
                <c:formatCode>General</c:formatCode>
                <c:ptCount val="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62911456"/>
        <c:axId val="1162912000"/>
      </c:lineChart>
      <c:catAx>
        <c:axId val="116291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12000"/>
        <c:crosses val="autoZero"/>
        <c:auto val="1"/>
        <c:lblAlgn val="ctr"/>
        <c:lblOffset val="100"/>
        <c:noMultiLvlLbl val="0"/>
      </c:catAx>
      <c:valAx>
        <c:axId val="11629120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11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912544"/>
        <c:axId val="1162908192"/>
      </c:barChart>
      <c:catAx>
        <c:axId val="116291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8192"/>
        <c:crosses val="autoZero"/>
        <c:auto val="1"/>
        <c:lblAlgn val="ctr"/>
        <c:lblOffset val="100"/>
        <c:noMultiLvlLbl val="0"/>
      </c:catAx>
      <c:valAx>
        <c:axId val="1162908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125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(یکشنبه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14 آذر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2"/>
          <c:order val="4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change'!$F$124:$I$124</c:f>
              <c:numCache>
                <c:formatCode>General</c:formatCode>
                <c:ptCount val="4"/>
                <c:pt idx="0">
                  <c:v>0.46388336646785949</c:v>
                </c:pt>
                <c:pt idx="1">
                  <c:v>0.19208605455243949</c:v>
                </c:pt>
                <c:pt idx="2">
                  <c:v>0.37820314912009878</c:v>
                </c:pt>
                <c:pt idx="3">
                  <c:v>0.64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2905472"/>
        <c:axId val="11629065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16290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6560"/>
        <c:crosses val="autoZero"/>
        <c:auto val="1"/>
        <c:lblAlgn val="ctr"/>
        <c:lblOffset val="100"/>
        <c:noMultiLvlLbl val="0"/>
      </c:catAx>
      <c:valAx>
        <c:axId val="1162906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629054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591</xdr:row>
      <xdr:rowOff>102960</xdr:rowOff>
    </xdr:from>
    <xdr:to>
      <xdr:col>11</xdr:col>
      <xdr:colOff>279360</xdr:colOff>
      <xdr:row>621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171</xdr:row>
      <xdr:rowOff>27711</xdr:rowOff>
    </xdr:from>
    <xdr:to>
      <xdr:col>41</xdr:col>
      <xdr:colOff>533400</xdr:colOff>
      <xdr:row>276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307</xdr:row>
      <xdr:rowOff>0</xdr:rowOff>
    </xdr:from>
    <xdr:to>
      <xdr:col>82</xdr:col>
      <xdr:colOff>0</xdr:colOff>
      <xdr:row>383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626</xdr:row>
      <xdr:rowOff>0</xdr:rowOff>
    </xdr:from>
    <xdr:to>
      <xdr:col>13</xdr:col>
      <xdr:colOff>354240</xdr:colOff>
      <xdr:row>656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406</xdr:row>
      <xdr:rowOff>0</xdr:rowOff>
    </xdr:from>
    <xdr:to>
      <xdr:col>83</xdr:col>
      <xdr:colOff>533400</xdr:colOff>
      <xdr:row>505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54</xdr:row>
      <xdr:rowOff>76321</xdr:rowOff>
    </xdr:from>
    <xdr:to>
      <xdr:col>44</xdr:col>
      <xdr:colOff>533400</xdr:colOff>
      <xdr:row>153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12"/>
  <sheetViews>
    <sheetView tabSelected="1" topLeftCell="B184" zoomScale="85" zoomScaleNormal="85" workbookViewId="0">
      <selection activeCell="F197" sqref="F19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5" width="8.570312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L195/G195</f>
        <v>4752113.1328051807</v>
      </c>
      <c r="T1" s="3" t="s">
        <v>15</v>
      </c>
      <c r="U1" s="3">
        <f>M195/K195</f>
        <v>45234.698912750886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(X12-F12)/F12</f>
        <v>2.9069767441860465E-2</v>
      </c>
    </row>
    <row r="13" spans="1:66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(X13-F13)/F13</f>
        <v>3.8155869013439855E-2</v>
      </c>
    </row>
    <row r="14" spans="1:66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3.8793819571357371E-2</v>
      </c>
    </row>
    <row r="15" spans="1:66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4.0587940537831969E-2</v>
      </c>
    </row>
    <row r="16" spans="1:66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4.0890637425187296E-2</v>
      </c>
    </row>
    <row r="17" spans="1:66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4.7434981723456997E-2</v>
      </c>
    </row>
    <row r="18" spans="1:66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4.2683953527529885E-2</v>
      </c>
    </row>
    <row r="19" spans="1:66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3.4759810554803788E-2</v>
      </c>
    </row>
    <row r="20" spans="1:66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2.3275497249259414E-2</v>
      </c>
    </row>
    <row r="21" spans="1:66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2.4634367315242246E-2</v>
      </c>
    </row>
    <row r="22" spans="1:66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3.8086190517315828E-2</v>
      </c>
    </row>
    <row r="23" spans="1:66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3.0562400034582632E-2</v>
      </c>
    </row>
    <row r="24" spans="1:66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2.9875913355527691E-2</v>
      </c>
    </row>
    <row r="25" spans="1:66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3.1770045385779121E-2</v>
      </c>
    </row>
    <row r="26" spans="1:66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2.1317075279975787E-2</v>
      </c>
    </row>
    <row r="27" spans="1:66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2.3455080491604639E-2</v>
      </c>
    </row>
    <row r="28" spans="1:66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2.7278255581617582E-2</v>
      </c>
    </row>
    <row r="29" spans="1:66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2.0408163265306121E-2</v>
      </c>
    </row>
    <row r="30" spans="1:66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8.2042732417847587E-3</v>
      </c>
    </row>
    <row r="31" spans="1:66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-1.31824173826083E-3</v>
      </c>
    </row>
    <row r="32" spans="1:66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1.0709815012286152E-2</v>
      </c>
    </row>
    <row r="33" spans="1:66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-3.4018494561832207E-3</v>
      </c>
    </row>
    <row r="34" spans="1:66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3.1613976705490848E-2</v>
      </c>
    </row>
    <row r="35" spans="1:66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4.9956007429856293E-2</v>
      </c>
    </row>
    <row r="36" spans="1:66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3.4848923641278118E-2</v>
      </c>
    </row>
    <row r="37" spans="1:66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3.7240335021057114E-2</v>
      </c>
    </row>
    <row r="38" spans="1:66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2.4148437855291281E-2</v>
      </c>
    </row>
    <row r="39" spans="1:66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2.9209779324237708E-2</v>
      </c>
    </row>
    <row r="40" spans="1:66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4.7719266138994375E-2</v>
      </c>
    </row>
    <row r="41" spans="1:66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5.3013140009062078E-2</v>
      </c>
    </row>
    <row r="42" spans="1:66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3.1090654753846848E-2</v>
      </c>
    </row>
    <row r="43" spans="1:66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3.9036880643277483E-2</v>
      </c>
    </row>
    <row r="44" spans="1:66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2.4153713690125526E-2</v>
      </c>
    </row>
    <row r="45" spans="1:66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3.7727313851443046E-2</v>
      </c>
    </row>
    <row r="46" spans="1:66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3.3190336419056221E-2</v>
      </c>
    </row>
    <row r="47" spans="1:66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3.3549783549783552E-2</v>
      </c>
    </row>
    <row r="48" spans="1:66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4.2443296653941164E-2</v>
      </c>
    </row>
    <row r="49" spans="1:66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3.7237643872714964E-2</v>
      </c>
    </row>
    <row r="50" spans="1:66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4.7597665020206556E-2</v>
      </c>
    </row>
    <row r="51" spans="1:66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3.5575592554568582E-2</v>
      </c>
    </row>
    <row r="52" spans="1:66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3.4423184900444867E-2</v>
      </c>
    </row>
    <row r="53" spans="1:66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2.4963289280469897E-2</v>
      </c>
    </row>
    <row r="54" spans="1:66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2.7960526315789474E-2</v>
      </c>
    </row>
    <row r="55" spans="1:66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2.9891771173337914E-2</v>
      </c>
    </row>
    <row r="56" spans="1:66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3.5108174634019954E-2</v>
      </c>
    </row>
    <row r="57" spans="1:66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2.9507063550352097E-2</v>
      </c>
    </row>
    <row r="58" spans="1:66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2.6409279630184478E-2</v>
      </c>
    </row>
    <row r="59" spans="1:66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2.5596976464524995E-2</v>
      </c>
    </row>
    <row r="60" spans="1:66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3.4925526450950178E-2</v>
      </c>
    </row>
    <row r="61" spans="1:66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2.8077384009587401E-2</v>
      </c>
    </row>
    <row r="62" spans="1:66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>
        <f>K195/K62</f>
        <v>144.72637159981559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2.5018427784763472E-2</v>
      </c>
    </row>
    <row r="63" spans="1:66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2.9639175257731958E-2</v>
      </c>
    </row>
    <row r="64" spans="1:66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2.3928770172509738E-2</v>
      </c>
    </row>
    <row r="65" spans="1:66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2.9726719780690483E-2</v>
      </c>
    </row>
    <row r="66" spans="1:66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3.1002779559546719E-2</v>
      </c>
    </row>
    <row r="67" spans="1:66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3.9060832443970114E-2</v>
      </c>
    </row>
    <row r="68" spans="1:66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2.2693656763723959E-2</v>
      </c>
    </row>
    <row r="69" spans="1:66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2.2130371135796089E-2</v>
      </c>
    </row>
    <row r="70" spans="1:66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2.4225303886320836E-2</v>
      </c>
    </row>
    <row r="71" spans="1:66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2.5836509953409571E-2</v>
      </c>
    </row>
    <row r="72" spans="1:66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2.2500953430230095E-2</v>
      </c>
    </row>
    <row r="73" spans="1:66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2.0667457225139758E-2</v>
      </c>
    </row>
    <row r="74" spans="1:66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2.7095148078134845E-2</v>
      </c>
    </row>
    <row r="75" spans="1:66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2.5813503741696796E-2</v>
      </c>
    </row>
    <row r="76" spans="1:66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2.64282454466249E-2</v>
      </c>
    </row>
    <row r="77" spans="1:66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(X77-F77)/F77</f>
        <v>2.2875284923477696E-2</v>
      </c>
    </row>
    <row r="78" spans="1:66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1.9815166068041488E-2</v>
      </c>
    </row>
    <row r="79" spans="1:66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1.7407811300941073E-2</v>
      </c>
    </row>
    <row r="80" spans="1:66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2.0375096204480091E-2</v>
      </c>
    </row>
    <row r="81" spans="1:66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1.5486368769156315E-2</v>
      </c>
    </row>
    <row r="82" spans="1:66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1.6693811074918567E-2</v>
      </c>
    </row>
    <row r="83" spans="1:66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2.6532030579289483E-2</v>
      </c>
    </row>
    <row r="84" spans="1:66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2.7142975002062537E-2</v>
      </c>
    </row>
    <row r="85" spans="1:66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2.6402640264026403E-2</v>
      </c>
    </row>
    <row r="86" spans="1:66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2.3784050695416014E-2</v>
      </c>
    </row>
    <row r="87" spans="1:66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2.0851255581500142E-2</v>
      </c>
    </row>
    <row r="88" spans="1:66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1.5634617752062045E-2</v>
      </c>
    </row>
    <row r="89" spans="1:66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2.1453863778379503E-2</v>
      </c>
    </row>
    <row r="90" spans="1:66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2.2039937028751348E-2</v>
      </c>
    </row>
    <row r="91" spans="1:66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2.8840936600025041E-2</v>
      </c>
    </row>
    <row r="92" spans="1:66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2.3489932885906041E-2</v>
      </c>
    </row>
    <row r="93" spans="1:66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2.7518407305335033E-2</v>
      </c>
    </row>
    <row r="94" spans="1:66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3.6004454159277437E-2</v>
      </c>
    </row>
    <row r="95" spans="1:66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4.3445971036019312E-2</v>
      </c>
    </row>
    <row r="96" spans="1:66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3.3906399235912127E-2</v>
      </c>
    </row>
    <row r="97" spans="1:66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2.2713664125184625E-2</v>
      </c>
    </row>
    <row r="98" spans="1:66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2.0874233743339077E-2</v>
      </c>
    </row>
    <row r="99" spans="1:66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2.8161103979460846E-2</v>
      </c>
    </row>
    <row r="100" spans="1:66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1.9462094872717099E-2</v>
      </c>
    </row>
    <row r="101" spans="1:66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3.0699100407438784E-2</v>
      </c>
    </row>
    <row r="102" spans="1:66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2.9335254332252772E-2</v>
      </c>
    </row>
    <row r="103" spans="1:66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2.9676079402484325E-2</v>
      </c>
    </row>
    <row r="104" spans="1:66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3.0434782608695653E-2</v>
      </c>
    </row>
    <row r="105" spans="1:66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3.1224481860248086E-2</v>
      </c>
    </row>
    <row r="106" spans="1:66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3.195247893776449E-2</v>
      </c>
    </row>
    <row r="107" spans="1:66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3.9862703799048285E-2</v>
      </c>
    </row>
    <row r="108" spans="1:66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2.7420383360216061E-2</v>
      </c>
    </row>
    <row r="109" spans="1:66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3.7596825996599283E-2</v>
      </c>
    </row>
    <row r="110" spans="1:66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3.9589112993926673E-2</v>
      </c>
    </row>
    <row r="111" spans="1:66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3.6312014345487149E-2</v>
      </c>
    </row>
    <row r="112" spans="1:66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2.2748086010476575E-2</v>
      </c>
    </row>
    <row r="113" spans="1:66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2.1581173408524022E-2</v>
      </c>
    </row>
    <row r="114" spans="1:66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2.5121555915721232E-2</v>
      </c>
    </row>
    <row r="115" spans="1:66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2.6795938621268799E-2</v>
      </c>
    </row>
    <row r="116" spans="1:66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3.7502379592613745E-2</v>
      </c>
    </row>
    <row r="117" spans="1:66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3.2147612706867036E-2</v>
      </c>
    </row>
    <row r="118" spans="1:66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3.176108981899594E-2</v>
      </c>
    </row>
    <row r="119" spans="1:66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2.3690584317287315E-2</v>
      </c>
    </row>
    <row r="120" spans="1:66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2.786073413223453E-2</v>
      </c>
    </row>
    <row r="121" spans="1:66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2.4697446792366934E-2</v>
      </c>
    </row>
    <row r="122" spans="1:66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2.7895694360218316E-2</v>
      </c>
    </row>
    <row r="123" spans="1:66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3.8319378441578032E-2</v>
      </c>
    </row>
    <row r="124" spans="1:66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4.6297341005679039E-2</v>
      </c>
    </row>
    <row r="125" spans="1:66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4.0685064692244408E-2</v>
      </c>
    </row>
    <row r="126" spans="1:66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3.4612490594431902E-2</v>
      </c>
    </row>
    <row r="127" spans="1:66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3.4193252938482674E-2</v>
      </c>
    </row>
    <row r="128" spans="1:66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3.7567762235111261E-2</v>
      </c>
    </row>
    <row r="129" spans="1:66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3.5947216745032609E-2</v>
      </c>
    </row>
    <row r="130" spans="1:66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0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3.133406585079377E-2</v>
      </c>
    </row>
    <row r="131" spans="1:66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3.9117503106057751E-2</v>
      </c>
    </row>
    <row r="132" spans="1:66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3.5959228524875902E-2</v>
      </c>
    </row>
    <row r="133" spans="1:66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4.2015527477546048E-2</v>
      </c>
    </row>
    <row r="134" spans="1:66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4.0438239433940731E-2</v>
      </c>
    </row>
    <row r="135" spans="1:66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4.7981721249047982E-2</v>
      </c>
    </row>
    <row r="136" spans="1:66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4.2663022849768466E-2</v>
      </c>
    </row>
    <row r="137" spans="1:66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3.6429324100556978E-2</v>
      </c>
    </row>
    <row r="138" spans="1:66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3.7873953680417405E-2</v>
      </c>
    </row>
    <row r="139" spans="1:66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2.6905664544149582E-2</v>
      </c>
    </row>
    <row r="140" spans="1:66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3.1002950927174033E-2</v>
      </c>
    </row>
    <row r="141" spans="1:66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3" si="25">(X141-F141)/F141</f>
        <v>2.7171750063316329E-2</v>
      </c>
    </row>
    <row r="142" spans="1:66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2.0667611056627073E-2</v>
      </c>
    </row>
    <row r="143" spans="1:66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2.8256880733944955E-2</v>
      </c>
    </row>
    <row r="144" spans="1:66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3.2355209519262552E-2</v>
      </c>
    </row>
    <row r="145" spans="1:66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2.2063120981881939E-2</v>
      </c>
    </row>
    <row r="146" spans="1:66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2.8272872123615074E-2</v>
      </c>
    </row>
    <row r="147" spans="1:66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3.3771106941838651E-2</v>
      </c>
    </row>
    <row r="148" spans="1:66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3.0769230769230771E-2</v>
      </c>
    </row>
    <row r="149" spans="1:66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2.3097311624384703E-2</v>
      </c>
    </row>
    <row r="150" spans="1:66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3.5348731022411629E-2</v>
      </c>
    </row>
    <row r="151" spans="1:66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2.8150846042947111E-2</v>
      </c>
    </row>
    <row r="152" spans="1:66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3.4626775001898397E-2</v>
      </c>
    </row>
    <row r="153" spans="1:66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3.1809371793410104E-2</v>
      </c>
    </row>
    <row r="154" spans="1:66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3.1029887683228632E-2</v>
      </c>
    </row>
    <row r="155" spans="1:66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3.394886900041539E-2</v>
      </c>
    </row>
    <row r="156" spans="1:66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3.1605180681946912E-2</v>
      </c>
    </row>
    <row r="157" spans="1:66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3.4026964764530383E-2</v>
      </c>
    </row>
    <row r="158" spans="1:66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3.7778446718844068E-2</v>
      </c>
    </row>
    <row r="159" spans="1:66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2.5888645396129704E-2</v>
      </c>
    </row>
    <row r="160" spans="1:66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2.8524307507777652E-2</v>
      </c>
    </row>
    <row r="161" spans="1:66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3.9585367685720727E-2</v>
      </c>
    </row>
    <row r="162" spans="1:66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3.5257971448911539E-2</v>
      </c>
    </row>
    <row r="163" spans="1:66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3.9098540421991984E-2</v>
      </c>
    </row>
    <row r="164" spans="1:66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90" si="26">F164*G164</f>
        <v>225462728400</v>
      </c>
      <c r="M164" s="99">
        <f t="shared" si="24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  <c r="BN164" s="14">
        <f t="shared" si="25"/>
        <v>4.1367314527716859E-2</v>
      </c>
    </row>
    <row r="165" spans="1:66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6"/>
        <v>297576936000</v>
      </c>
      <c r="M165" s="99">
        <f t="shared" si="24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  <c r="BN165" s="14">
        <f t="shared" si="25"/>
        <v>4.0558385210337673E-2</v>
      </c>
    </row>
    <row r="166" spans="1:66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6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  <c r="BN166" s="14">
        <f t="shared" si="25"/>
        <v>3.7092826209753342E-2</v>
      </c>
    </row>
    <row r="167" spans="1:66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6"/>
        <v>275474294400</v>
      </c>
      <c r="M167" s="99">
        <f t="shared" si="24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  <c r="BN167" s="14">
        <f t="shared" si="25"/>
        <v>3.9524361515162844E-2</v>
      </c>
    </row>
    <row r="168" spans="1:66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6"/>
        <v>180565344100</v>
      </c>
      <c r="M168" s="127">
        <f t="shared" si="24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  <c r="BN168" s="14">
        <f t="shared" si="25"/>
        <v>3.6337155021100201E-2</v>
      </c>
    </row>
    <row r="169" spans="1:66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6"/>
        <v>264826042800</v>
      </c>
      <c r="M169" s="99">
        <f t="shared" si="24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  <c r="BN169" s="14">
        <f t="shared" si="25"/>
        <v>3.7950169453651636E-2</v>
      </c>
    </row>
    <row r="170" spans="1:66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6"/>
        <v>269550278000</v>
      </c>
      <c r="M170" s="99">
        <f t="shared" si="24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  <c r="BN170" s="14">
        <f t="shared" si="25"/>
        <v>3.9880730525531122E-2</v>
      </c>
    </row>
    <row r="171" spans="1:66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6"/>
        <v>231825209400</v>
      </c>
      <c r="M171" s="99">
        <f t="shared" si="24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  <c r="BN171" s="14">
        <f t="shared" si="25"/>
        <v>2.907785834615103E-2</v>
      </c>
    </row>
    <row r="172" spans="1:66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6"/>
        <v>280842822000</v>
      </c>
      <c r="M172" s="99">
        <f t="shared" si="24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  <c r="BN172" s="14">
        <f t="shared" si="25"/>
        <v>3.1903190319031903E-2</v>
      </c>
    </row>
    <row r="173" spans="1:66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6"/>
        <v>298348060000</v>
      </c>
      <c r="M173" s="99">
        <f t="shared" si="24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  <c r="BN173" s="14">
        <f t="shared" si="25"/>
        <v>3.4040995607613471E-2</v>
      </c>
    </row>
    <row r="174" spans="1:66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6"/>
        <v>194293123200</v>
      </c>
      <c r="M174" s="99">
        <f t="shared" si="24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  <c r="BN174" s="14">
        <f t="shared" si="25"/>
        <v>2.9241039036424322E-2</v>
      </c>
    </row>
    <row r="175" spans="1:66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6"/>
        <v>361436777500</v>
      </c>
      <c r="M175" s="127">
        <f t="shared" si="24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  <c r="BN175" s="14">
        <f t="shared" si="25"/>
        <v>3.7160088115272112E-2</v>
      </c>
    </row>
    <row r="176" spans="1:66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6"/>
        <v>321145765200</v>
      </c>
      <c r="M176" s="93">
        <f t="shared" si="24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  <c r="BN176" s="14">
        <f t="shared" si="25"/>
        <v>4.5393028274625991E-2</v>
      </c>
    </row>
    <row r="177" spans="1:66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6"/>
        <v>311738532300</v>
      </c>
      <c r="M177" s="93">
        <f t="shared" si="24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  <c r="BN177" s="14">
        <f t="shared" si="25"/>
        <v>4.9086375646607866E-2</v>
      </c>
    </row>
    <row r="178" spans="1:66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6"/>
        <v>340417605000</v>
      </c>
      <c r="M178" s="93">
        <f t="shared" si="24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  <c r="BN178" s="14">
        <f t="shared" si="25"/>
        <v>5.5826152116897718E-2</v>
      </c>
    </row>
    <row r="179" spans="1:66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6"/>
        <v>259574211400</v>
      </c>
      <c r="M179" s="93">
        <f t="shared" si="24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  <c r="BN179" s="14">
        <f t="shared" si="25"/>
        <v>5.8739577856230754E-2</v>
      </c>
    </row>
    <row r="180" spans="1:66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6"/>
        <v>232541672000</v>
      </c>
      <c r="M180" s="93">
        <f t="shared" si="24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  <c r="BN180" s="14">
        <f t="shared" si="25"/>
        <v>5.7475582268970697E-2</v>
      </c>
    </row>
    <row r="181" spans="1:66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6"/>
        <v>311949927000</v>
      </c>
      <c r="M181" s="93">
        <f t="shared" si="24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  <c r="BN181" s="14">
        <f t="shared" si="25"/>
        <v>5.9358670726664411E-2</v>
      </c>
    </row>
    <row r="182" spans="1:66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6"/>
        <v>303066802500</v>
      </c>
      <c r="M182" s="99">
        <f t="shared" si="24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  <c r="BN182" s="14">
        <f t="shared" si="25"/>
        <v>6.4935064935064929E-2</v>
      </c>
    </row>
    <row r="183" spans="1:66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6"/>
        <v>329025981000</v>
      </c>
      <c r="M183" s="99">
        <f t="shared" si="24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  <c r="BN183" s="14">
        <f t="shared" si="25"/>
        <v>6.8713780386844281E-2</v>
      </c>
    </row>
    <row r="184" spans="1:66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6"/>
        <v>417184732800</v>
      </c>
      <c r="M184" s="99">
        <f t="shared" si="24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  <c r="BN184" s="14">
        <f t="shared" si="25"/>
        <v>7.5030102347983144E-2</v>
      </c>
    </row>
    <row r="185" spans="1:66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6"/>
        <v>338444332800</v>
      </c>
      <c r="M185" s="99">
        <f t="shared" si="24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  <c r="BN185" s="14">
        <f t="shared" si="25"/>
        <v>6.0838445807770959E-2</v>
      </c>
    </row>
    <row r="186" spans="1:66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6"/>
        <v>209181897600</v>
      </c>
      <c r="M186" s="99">
        <f t="shared" si="24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  <c r="BN186" s="14">
        <f t="shared" si="25"/>
        <v>4.6168251224431002E-2</v>
      </c>
    </row>
    <row r="187" spans="1:66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6"/>
        <v>103472865300</v>
      </c>
      <c r="M187" s="93">
        <f t="shared" si="24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  <c r="BN187" s="14">
        <f t="shared" si="25"/>
        <v>7.4100003684734142E-2</v>
      </c>
    </row>
    <row r="188" spans="1:66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6"/>
        <v>102815271600</v>
      </c>
      <c r="M188" s="93">
        <f t="shared" si="24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  <c r="BN188" s="14">
        <f t="shared" si="25"/>
        <v>0.11850407250200758</v>
      </c>
    </row>
    <row r="189" spans="1:66" s="119" customFormat="1" ht="21" customHeight="1">
      <c r="A189" s="115"/>
      <c r="B189" s="116" t="s">
        <v>492</v>
      </c>
      <c r="C189" s="117">
        <v>8</v>
      </c>
      <c r="D189" s="118">
        <v>26850</v>
      </c>
      <c r="E189" s="117">
        <v>26196</v>
      </c>
      <c r="F189" s="117">
        <v>26428</v>
      </c>
      <c r="G189" s="117">
        <v>6785800</v>
      </c>
      <c r="H189" s="117">
        <v>30555</v>
      </c>
      <c r="I189" s="117">
        <v>30649</v>
      </c>
      <c r="J189" s="119">
        <v>30420</v>
      </c>
      <c r="K189" s="117">
        <v>469600</v>
      </c>
      <c r="L189" s="93">
        <f t="shared" si="26"/>
        <v>179335122400</v>
      </c>
      <c r="M189" s="93">
        <f t="shared" si="24"/>
        <v>14285232000</v>
      </c>
      <c r="N189" s="119">
        <v>26458</v>
      </c>
      <c r="O189" s="119">
        <v>30955</v>
      </c>
      <c r="P189" s="119">
        <v>27118</v>
      </c>
      <c r="Q189" s="119">
        <v>30860</v>
      </c>
      <c r="R189" s="117"/>
      <c r="S189" s="117"/>
      <c r="T189" s="117"/>
      <c r="U189" s="117"/>
      <c r="V189" s="119">
        <v>29540</v>
      </c>
      <c r="X189" s="119">
        <v>29500</v>
      </c>
      <c r="Y189" s="119">
        <v>33180</v>
      </c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8"/>
      <c r="AT189" s="118"/>
      <c r="AU189" s="118"/>
      <c r="AV189" s="118"/>
      <c r="AW189" s="118"/>
      <c r="AX189" s="118"/>
      <c r="AY189" s="117"/>
      <c r="AZ189" s="117"/>
      <c r="BA189" s="117"/>
      <c r="BB189" s="117"/>
      <c r="BC189" s="117"/>
      <c r="BE189" s="120"/>
      <c r="BF189" s="120"/>
      <c r="BG189" s="120"/>
      <c r="BH189" s="120"/>
      <c r="BN189" s="14">
        <f t="shared" si="25"/>
        <v>0.1162403511427274</v>
      </c>
    </row>
    <row r="190" spans="1:66" s="119" customFormat="1" ht="21" customHeight="1">
      <c r="A190" s="115"/>
      <c r="B190" s="116" t="s">
        <v>494</v>
      </c>
      <c r="C190" s="117">
        <v>9</v>
      </c>
      <c r="D190" s="118">
        <v>26196</v>
      </c>
      <c r="E190" s="117">
        <v>26218</v>
      </c>
      <c r="F190" s="117">
        <v>26243</v>
      </c>
      <c r="G190" s="117">
        <v>6483300</v>
      </c>
      <c r="H190" s="117">
        <v>30649</v>
      </c>
      <c r="I190" s="117">
        <v>30582</v>
      </c>
      <c r="J190" s="119">
        <v>30477</v>
      </c>
      <c r="K190" s="117">
        <v>324600</v>
      </c>
      <c r="L190" s="93">
        <f t="shared" si="26"/>
        <v>170141241900</v>
      </c>
      <c r="M190" s="93">
        <f t="shared" si="24"/>
        <v>9892834200</v>
      </c>
      <c r="N190" s="119">
        <v>26480</v>
      </c>
      <c r="O190" s="119">
        <v>30888</v>
      </c>
      <c r="P190" s="119">
        <v>26458</v>
      </c>
      <c r="Q190" s="119">
        <v>30955</v>
      </c>
      <c r="R190" s="117"/>
      <c r="S190" s="117"/>
      <c r="T190" s="117"/>
      <c r="U190" s="117"/>
      <c r="V190" s="119">
        <v>29140</v>
      </c>
      <c r="X190" s="119">
        <v>29110</v>
      </c>
      <c r="Y190" s="119">
        <v>33057</v>
      </c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8"/>
      <c r="AT190" s="118"/>
      <c r="AU190" s="118"/>
      <c r="AV190" s="118"/>
      <c r="AW190" s="118"/>
      <c r="AX190" s="118"/>
      <c r="AY190" s="117"/>
      <c r="AZ190" s="117"/>
      <c r="BA190" s="117"/>
      <c r="BB190" s="117"/>
      <c r="BC190" s="117"/>
      <c r="BE190" s="120"/>
      <c r="BF190" s="120"/>
      <c r="BG190" s="120"/>
      <c r="BH190" s="120"/>
      <c r="BN190" s="14">
        <f t="shared" si="25"/>
        <v>0.1092481804671722</v>
      </c>
    </row>
    <row r="191" spans="1:66" s="119" customFormat="1" ht="21" customHeight="1">
      <c r="A191" s="115"/>
      <c r="B191" s="116" t="s">
        <v>496</v>
      </c>
      <c r="C191" s="117">
        <v>10</v>
      </c>
      <c r="D191" s="118">
        <v>26232</v>
      </c>
      <c r="E191" s="117">
        <v>26361</v>
      </c>
      <c r="F191" s="117">
        <v>26418</v>
      </c>
      <c r="G191" s="117">
        <v>8065200</v>
      </c>
      <c r="H191" s="117">
        <v>30582</v>
      </c>
      <c r="I191" s="117">
        <v>30349</v>
      </c>
      <c r="J191" s="119">
        <v>30400</v>
      </c>
      <c r="K191" s="117">
        <v>384900</v>
      </c>
      <c r="L191" s="93"/>
      <c r="M191" s="93"/>
      <c r="N191" s="119">
        <v>26624</v>
      </c>
      <c r="O191" s="119">
        <v>30652</v>
      </c>
      <c r="P191" s="119">
        <v>26494</v>
      </c>
      <c r="Q191" s="119">
        <v>30888</v>
      </c>
      <c r="R191" s="117"/>
      <c r="S191" s="117"/>
      <c r="T191" s="117"/>
      <c r="U191" s="117"/>
      <c r="V191" s="119">
        <v>29220</v>
      </c>
      <c r="X191" s="119">
        <v>29270</v>
      </c>
      <c r="Y191" s="119">
        <v>33055</v>
      </c>
      <c r="Z191" s="117"/>
      <c r="AA191" s="117"/>
      <c r="AB191" s="117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8"/>
      <c r="AT191" s="118"/>
      <c r="AU191" s="118"/>
      <c r="AV191" s="118"/>
      <c r="AW191" s="118"/>
      <c r="AX191" s="118"/>
      <c r="AY191" s="117"/>
      <c r="AZ191" s="117"/>
      <c r="BA191" s="117"/>
      <c r="BB191" s="117"/>
      <c r="BC191" s="117"/>
      <c r="BE191" s="120"/>
      <c r="BF191" s="120"/>
      <c r="BG191" s="120"/>
      <c r="BH191" s="120"/>
      <c r="BN191" s="14">
        <f t="shared" si="25"/>
        <v>0.1079566961919903</v>
      </c>
    </row>
    <row r="192" spans="1:66" s="119" customFormat="1" ht="21" customHeight="1">
      <c r="A192" s="115"/>
      <c r="B192" s="116" t="s">
        <v>498</v>
      </c>
      <c r="C192" s="117">
        <v>11</v>
      </c>
      <c r="D192" s="118">
        <v>26407</v>
      </c>
      <c r="E192" s="117">
        <v>27059</v>
      </c>
      <c r="F192" s="117">
        <v>26673</v>
      </c>
      <c r="G192" s="117">
        <v>5925100</v>
      </c>
      <c r="H192" s="117">
        <v>30349</v>
      </c>
      <c r="I192" s="117">
        <v>31287</v>
      </c>
      <c r="J192" s="119">
        <v>31272</v>
      </c>
      <c r="K192" s="117">
        <v>177600</v>
      </c>
      <c r="L192" s="93"/>
      <c r="M192" s="93"/>
      <c r="N192" s="119">
        <v>27329</v>
      </c>
      <c r="O192" s="119">
        <v>31599</v>
      </c>
      <c r="P192" s="119">
        <v>26671</v>
      </c>
      <c r="Q192" s="119">
        <v>30652</v>
      </c>
      <c r="R192" s="117"/>
      <c r="S192" s="117"/>
      <c r="T192" s="117"/>
      <c r="U192" s="117"/>
      <c r="V192" s="119">
        <v>29300</v>
      </c>
      <c r="X192" s="119">
        <v>29360</v>
      </c>
      <c r="Y192" s="119">
        <v>33098</v>
      </c>
      <c r="Z192" s="117"/>
      <c r="AA192" s="117"/>
      <c r="AB192" s="117"/>
      <c r="AC192" s="117"/>
      <c r="AD192" s="117"/>
      <c r="AE192" s="117"/>
      <c r="AF192" s="117"/>
      <c r="AG192" s="117"/>
      <c r="AH192" s="117"/>
      <c r="AI192" s="117"/>
      <c r="AJ192" s="117"/>
      <c r="AK192" s="117"/>
      <c r="AL192" s="117"/>
      <c r="AM192" s="117"/>
      <c r="AN192" s="117"/>
      <c r="AO192" s="117"/>
      <c r="AP192" s="117"/>
      <c r="AQ192" s="117"/>
      <c r="AR192" s="117"/>
      <c r="AS192" s="118"/>
      <c r="AT192" s="118"/>
      <c r="AU192" s="118"/>
      <c r="AV192" s="118"/>
      <c r="AW192" s="118"/>
      <c r="AX192" s="118"/>
      <c r="AY192" s="117"/>
      <c r="AZ192" s="117"/>
      <c r="BA192" s="117"/>
      <c r="BB192" s="117"/>
      <c r="BC192" s="117"/>
      <c r="BE192" s="120"/>
      <c r="BF192" s="120"/>
      <c r="BG192" s="120"/>
      <c r="BH192" s="120"/>
      <c r="BN192" s="14">
        <f t="shared" si="25"/>
        <v>0.10073857458853522</v>
      </c>
    </row>
    <row r="193" spans="1:66" s="142" customFormat="1" ht="21" customHeight="1">
      <c r="A193" s="138"/>
      <c r="B193" s="139" t="s">
        <v>501</v>
      </c>
      <c r="C193" s="140">
        <v>13</v>
      </c>
      <c r="D193" s="141">
        <v>27796</v>
      </c>
      <c r="E193" s="140">
        <v>27699</v>
      </c>
      <c r="F193" s="140">
        <v>27715</v>
      </c>
      <c r="G193" s="140">
        <v>10546800</v>
      </c>
      <c r="H193" s="140">
        <v>31287</v>
      </c>
      <c r="I193" s="140">
        <v>32270</v>
      </c>
      <c r="J193" s="142">
        <v>31905</v>
      </c>
      <c r="K193" s="140">
        <v>581800</v>
      </c>
      <c r="L193" s="143"/>
      <c r="M193" s="143"/>
      <c r="N193" s="142">
        <v>27976</v>
      </c>
      <c r="O193" s="142">
        <v>32593</v>
      </c>
      <c r="P193" s="142">
        <v>28073</v>
      </c>
      <c r="Q193" s="142">
        <v>31599</v>
      </c>
      <c r="R193" s="140"/>
      <c r="S193" s="140"/>
      <c r="T193" s="140"/>
      <c r="U193" s="140"/>
      <c r="V193" s="142">
        <v>29850</v>
      </c>
      <c r="X193" s="142">
        <v>30180</v>
      </c>
      <c r="Y193" s="142">
        <v>33906</v>
      </c>
      <c r="Z193" s="140"/>
      <c r="AA193" s="140"/>
      <c r="AB193" s="140"/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140"/>
      <c r="AQ193" s="140"/>
      <c r="AR193" s="140"/>
      <c r="AS193" s="141"/>
      <c r="AT193" s="141"/>
      <c r="AU193" s="141"/>
      <c r="AV193" s="141"/>
      <c r="AW193" s="141"/>
      <c r="AX193" s="141"/>
      <c r="AY193" s="140"/>
      <c r="AZ193" s="140"/>
      <c r="BA193" s="140"/>
      <c r="BB193" s="140"/>
      <c r="BC193" s="140"/>
      <c r="BE193" s="144"/>
      <c r="BF193" s="144"/>
      <c r="BG193" s="144"/>
      <c r="BH193" s="144"/>
      <c r="BN193" s="145">
        <f t="shared" si="25"/>
        <v>8.8941006675085699E-2</v>
      </c>
    </row>
    <row r="194" spans="1:66" s="113" customFormat="1" ht="21" customHeight="1">
      <c r="A194" s="109"/>
      <c r="B194" s="110" t="s">
        <v>503</v>
      </c>
      <c r="C194" s="111">
        <v>14</v>
      </c>
      <c r="D194" s="112">
        <v>27606</v>
      </c>
      <c r="E194" s="111"/>
      <c r="F194" s="111"/>
      <c r="G194" s="111">
        <v>8650200</v>
      </c>
      <c r="H194" s="111">
        <v>31849</v>
      </c>
      <c r="I194" s="111"/>
      <c r="K194" s="111"/>
      <c r="L194" s="137"/>
      <c r="M194" s="137"/>
      <c r="N194" s="113">
        <v>27796</v>
      </c>
      <c r="O194" s="113">
        <v>32167</v>
      </c>
      <c r="P194" s="113">
        <v>27882</v>
      </c>
      <c r="Q194" s="113">
        <v>32168</v>
      </c>
      <c r="R194" s="111"/>
      <c r="S194" s="111"/>
      <c r="T194" s="111"/>
      <c r="U194" s="111"/>
      <c r="V194" s="113">
        <v>30540</v>
      </c>
      <c r="X194" s="113">
        <v>30320</v>
      </c>
      <c r="Y194" s="113">
        <v>34030</v>
      </c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/>
      <c r="AP194" s="111"/>
      <c r="AQ194" s="111"/>
      <c r="AR194" s="111"/>
      <c r="AS194" s="112"/>
      <c r="AT194" s="112"/>
      <c r="AU194" s="112"/>
      <c r="AV194" s="112"/>
      <c r="AW194" s="112"/>
      <c r="AX194" s="112"/>
      <c r="AY194" s="111"/>
      <c r="AZ194" s="111"/>
      <c r="BA194" s="111"/>
      <c r="BB194" s="111"/>
      <c r="BC194" s="111"/>
      <c r="BE194" s="114"/>
      <c r="BF194" s="114"/>
      <c r="BG194" s="114"/>
      <c r="BH194" s="114"/>
      <c r="BN194" s="14"/>
    </row>
    <row r="195" spans="1:66" ht="18">
      <c r="A195" s="7"/>
      <c r="B195" s="8"/>
      <c r="C195" s="8"/>
      <c r="D195" s="26"/>
      <c r="E195" s="8"/>
      <c r="F195" s="8"/>
      <c r="G195" s="8">
        <f>SUM(G2:G194)/193</f>
        <v>6915387.0414507771</v>
      </c>
      <c r="H195" s="8"/>
      <c r="I195" s="8"/>
      <c r="J195" s="8"/>
      <c r="K195" s="8">
        <f>SUM(K2:K126)</f>
        <v>125564600</v>
      </c>
      <c r="L195" s="8">
        <f>SUM(L2:L190)</f>
        <v>32862701578109</v>
      </c>
      <c r="M195" s="9">
        <f>SUM(M2:M190)</f>
        <v>5679876875100</v>
      </c>
      <c r="N195" s="9"/>
      <c r="O195" s="9"/>
      <c r="P195" s="9"/>
      <c r="Q195" s="9"/>
      <c r="R195" s="9"/>
      <c r="S195" s="9"/>
      <c r="T195" s="9"/>
      <c r="U195" s="9"/>
      <c r="V195" s="119">
        <v>30550</v>
      </c>
      <c r="W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Y195" s="9"/>
      <c r="AZ195" s="9"/>
      <c r="BA195" s="9"/>
      <c r="BB195" s="9"/>
      <c r="BC195" s="9"/>
      <c r="BD195" s="9"/>
      <c r="BE195" s="10"/>
      <c r="BF195" s="10"/>
      <c r="BG195" s="10"/>
      <c r="BH195" s="10"/>
      <c r="BI195" t="e">
        <f>#REF!-N195</f>
        <v>#REF!</v>
      </c>
      <c r="BJ195" t="e">
        <f>(Y195-O195)/O195</f>
        <v>#DIV/0!</v>
      </c>
    </row>
    <row r="196" spans="1:66" ht="18">
      <c r="D196" s="26"/>
      <c r="V196" s="135">
        <v>30480</v>
      </c>
      <c r="Z196" s="25"/>
      <c r="AB196" s="25"/>
      <c r="AS196" s="25"/>
      <c r="AW196" s="30"/>
    </row>
    <row r="197" spans="1:66" ht="18">
      <c r="D197" s="26"/>
      <c r="V197" s="135">
        <v>30470</v>
      </c>
      <c r="Z197" s="25"/>
      <c r="AS197" s="26"/>
      <c r="AW197" s="30"/>
    </row>
    <row r="198" spans="1:66" ht="18">
      <c r="V198" s="134">
        <v>30460</v>
      </c>
      <c r="Z198" s="25"/>
      <c r="AS198" s="26"/>
      <c r="AW198" s="30"/>
    </row>
    <row r="199" spans="1:66" ht="18">
      <c r="T199">
        <f>3.673*7960</f>
        <v>29237.08</v>
      </c>
      <c r="V199" s="25">
        <v>30420</v>
      </c>
      <c r="Z199" s="25"/>
      <c r="AS199" s="26"/>
      <c r="AW199" s="30"/>
    </row>
    <row r="200" spans="1:66" ht="18">
      <c r="D200" s="99"/>
      <c r="V200" s="25"/>
      <c r="Z200" s="25"/>
      <c r="AW200" s="30"/>
    </row>
    <row r="201" spans="1:66" ht="17.25" customHeight="1">
      <c r="D201" s="99"/>
      <c r="V201" s="25"/>
      <c r="Z201" s="25"/>
    </row>
    <row r="202" spans="1:66" ht="18">
      <c r="D202" s="99"/>
      <c r="V202" s="25"/>
      <c r="Z202" s="25"/>
    </row>
    <row r="203" spans="1:66" ht="18">
      <c r="D203" s="99"/>
      <c r="V203" s="25"/>
    </row>
    <row r="204" spans="1:66" ht="18">
      <c r="D204" s="99"/>
      <c r="V204" s="25"/>
    </row>
    <row r="205" spans="1:66" ht="18">
      <c r="D205" s="117"/>
    </row>
    <row r="206" spans="1:66" ht="18">
      <c r="D206" s="117"/>
    </row>
    <row r="207" spans="1:66" ht="18">
      <c r="D207" s="123"/>
    </row>
    <row r="208" spans="1:66" ht="18">
      <c r="D208" s="117"/>
      <c r="G208" s="9"/>
    </row>
    <row r="209" spans="4:7" ht="18">
      <c r="D209" s="111"/>
      <c r="G209" s="9"/>
    </row>
    <row r="210" spans="4:7" ht="18">
      <c r="G210" s="9"/>
    </row>
    <row r="211" spans="4:7" ht="18">
      <c r="G211" s="9"/>
    </row>
    <row r="212" spans="4:7" ht="18">
      <c r="G212" s="9"/>
    </row>
  </sheetData>
  <autoFilter ref="BN1:BN21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topLeftCell="A16" zoomScale="70" zoomScaleNormal="70" workbookViewId="0">
      <selection activeCell="C16" sqref="C1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6" si="0">D29/6</f>
        <v>7281166.666666667</v>
      </c>
      <c r="F29" s="73">
        <v>5993000</v>
      </c>
      <c r="G29" s="73">
        <f t="shared" ref="G29:G36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>
      <c r="B37">
        <f>(B2-B8)/B2</f>
        <v>0.15346494762288476</v>
      </c>
      <c r="C37">
        <f>(C2-C8)/C2</f>
        <v>0.1154959674639829</v>
      </c>
      <c r="D37">
        <f>SUM(D2:D16)/15</f>
        <v>29639479.933333334</v>
      </c>
    </row>
    <row r="39" spans="1:11">
      <c r="J39">
        <f>(D36-D35)/D35</f>
        <v>-0.50773339408667473</v>
      </c>
    </row>
    <row r="40" spans="1:11">
      <c r="F40">
        <f>(F36-F35)/F35</f>
        <v>-0.62892307692307692</v>
      </c>
    </row>
    <row r="41" spans="1:11">
      <c r="D41">
        <v>5375132</v>
      </c>
      <c r="E41">
        <f>(E17-D41)/D41</f>
        <v>4.5958809321644006E-2</v>
      </c>
      <c r="G41">
        <f t="shared" ref="G41:G49" si="2">B3-B2</f>
        <v>-554</v>
      </c>
    </row>
    <row r="42" spans="1:11">
      <c r="G42">
        <f t="shared" si="2"/>
        <v>-302</v>
      </c>
    </row>
    <row r="43" spans="1:11">
      <c r="C43">
        <f>(D41-E16)/E16</f>
        <v>0.17110375179746395</v>
      </c>
      <c r="G43">
        <f t="shared" si="2"/>
        <v>-511</v>
      </c>
    </row>
    <row r="44" spans="1:11">
      <c r="G44">
        <f t="shared" si="2"/>
        <v>-362</v>
      </c>
    </row>
    <row r="45" spans="1:11">
      <c r="G45">
        <f t="shared" si="2"/>
        <v>-1699</v>
      </c>
    </row>
    <row r="46" spans="1:11">
      <c r="G46">
        <f t="shared" si="2"/>
        <v>-381</v>
      </c>
    </row>
    <row r="47" spans="1:11">
      <c r="G47">
        <f t="shared" si="2"/>
        <v>1075</v>
      </c>
    </row>
    <row r="48" spans="1:11">
      <c r="F48">
        <f>(F33-F32)/F32</f>
        <v>0.23948268173034043</v>
      </c>
      <c r="G48">
        <f t="shared" si="2"/>
        <v>151</v>
      </c>
      <c r="J48">
        <f>(F34-F35)/F34</f>
        <v>0.13877341459779063</v>
      </c>
    </row>
    <row r="49" spans="7:7">
      <c r="G49">
        <f t="shared" si="2"/>
        <v>1043</v>
      </c>
    </row>
  </sheetData>
  <autoFilter ref="A1:K4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59"/>
  <sheetViews>
    <sheetView topLeftCell="A1540" zoomScale="85" zoomScaleNormal="85" workbookViewId="0">
      <selection activeCell="B1559" sqref="B155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46" t="s">
        <v>246</v>
      </c>
      <c r="B1" s="146"/>
      <c r="C1" s="146"/>
      <c r="D1" s="14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46" t="s">
        <v>256</v>
      </c>
      <c r="B11" s="146"/>
      <c r="C11" s="146"/>
      <c r="D11" s="14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46" t="s">
        <v>258</v>
      </c>
      <c r="B21" s="146"/>
      <c r="C21" s="146"/>
      <c r="D21" s="14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46" t="s">
        <v>259</v>
      </c>
      <c r="B31" s="146"/>
      <c r="C31" s="146"/>
      <c r="D31" s="14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46" t="s">
        <v>260</v>
      </c>
      <c r="B41" s="146"/>
      <c r="C41" s="146"/>
      <c r="D41" s="14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46" t="s">
        <v>262</v>
      </c>
      <c r="B51" s="146"/>
      <c r="C51" s="146"/>
      <c r="D51" s="14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46" t="s">
        <v>263</v>
      </c>
      <c r="B61" s="146"/>
      <c r="C61" s="146"/>
      <c r="D61" s="14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46" t="s">
        <v>264</v>
      </c>
      <c r="B71" s="146"/>
      <c r="C71" s="146"/>
      <c r="D71" s="14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46" t="s">
        <v>265</v>
      </c>
      <c r="B81" s="146"/>
      <c r="C81" s="146"/>
      <c r="D81" s="14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46" t="s">
        <v>269</v>
      </c>
      <c r="B93" s="146"/>
      <c r="C93" s="146"/>
      <c r="D93" s="14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46" t="s">
        <v>270</v>
      </c>
      <c r="B103" s="146"/>
      <c r="C103" s="146"/>
      <c r="D103" s="14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46" t="s">
        <v>272</v>
      </c>
      <c r="B113" s="146"/>
      <c r="C113" s="146"/>
      <c r="D113" s="14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46" t="s">
        <v>273</v>
      </c>
      <c r="B123" s="146"/>
      <c r="C123" s="146"/>
      <c r="D123" s="14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46" t="s">
        <v>274</v>
      </c>
      <c r="B133" s="146"/>
      <c r="C133" s="146"/>
      <c r="D133" s="14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46" t="s">
        <v>275</v>
      </c>
      <c r="B143" s="146"/>
      <c r="C143" s="146"/>
      <c r="D143" s="14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46" t="s">
        <v>277</v>
      </c>
      <c r="B153" s="146"/>
      <c r="C153" s="146"/>
      <c r="D153" s="14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46" t="s">
        <v>278</v>
      </c>
      <c r="B163" s="146"/>
      <c r="C163" s="146"/>
      <c r="D163" s="14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46" t="s">
        <v>279</v>
      </c>
      <c r="B173" s="146"/>
      <c r="C173" s="146"/>
      <c r="D173" s="14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46" t="s">
        <v>280</v>
      </c>
      <c r="B183" s="146"/>
      <c r="C183" s="146"/>
      <c r="D183" s="14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46" t="s">
        <v>281</v>
      </c>
      <c r="B193" s="146"/>
      <c r="C193" s="146"/>
      <c r="D193" s="14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46" t="s">
        <v>282</v>
      </c>
      <c r="B203" s="146"/>
      <c r="C203" s="146"/>
      <c r="D203" s="14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46" t="s">
        <v>283</v>
      </c>
      <c r="B213" s="146"/>
      <c r="C213" s="146"/>
      <c r="D213" s="14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46" t="s">
        <v>284</v>
      </c>
      <c r="B223" s="146"/>
      <c r="C223" s="146"/>
      <c r="D223" s="14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46" t="s">
        <v>285</v>
      </c>
      <c r="B233" s="146"/>
      <c r="C233" s="146"/>
      <c r="D233" s="14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46" t="s">
        <v>286</v>
      </c>
      <c r="B243" s="146"/>
      <c r="C243" s="146"/>
      <c r="D243" s="14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46" t="s">
        <v>287</v>
      </c>
      <c r="B253" s="146"/>
      <c r="C253" s="146"/>
      <c r="D253" s="14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46" t="s">
        <v>288</v>
      </c>
      <c r="B263" s="146"/>
      <c r="C263" s="146"/>
      <c r="D263" s="14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46" t="s">
        <v>289</v>
      </c>
      <c r="B273" s="146"/>
      <c r="C273" s="146"/>
      <c r="D273" s="14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46" t="s">
        <v>290</v>
      </c>
      <c r="B283" s="146"/>
      <c r="C283" s="146"/>
      <c r="D283" s="14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46" t="s">
        <v>291</v>
      </c>
      <c r="B293" s="146"/>
      <c r="C293" s="146"/>
      <c r="D293" s="14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46" t="s">
        <v>292</v>
      </c>
      <c r="B303" s="146"/>
      <c r="C303" s="146"/>
      <c r="D303" s="14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46" t="s">
        <v>296</v>
      </c>
      <c r="B313" s="146"/>
      <c r="C313" s="146"/>
      <c r="D313" s="14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46" t="s">
        <v>300</v>
      </c>
      <c r="B324" s="146"/>
      <c r="C324" s="146"/>
      <c r="D324" s="14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46" t="s">
        <v>303</v>
      </c>
      <c r="B335" s="146"/>
      <c r="C335" s="146"/>
      <c r="D335" s="14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46" t="s">
        <v>304</v>
      </c>
      <c r="B346" s="146"/>
      <c r="C346" s="146"/>
      <c r="D346" s="14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46" t="s">
        <v>305</v>
      </c>
      <c r="B357" s="146"/>
      <c r="C357" s="146"/>
      <c r="D357" s="14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46" t="s">
        <v>306</v>
      </c>
      <c r="B368" s="146"/>
      <c r="C368" s="146"/>
      <c r="D368" s="14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46" t="s">
        <v>307</v>
      </c>
      <c r="B379" s="146"/>
      <c r="C379" s="146"/>
      <c r="D379" s="14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46" t="s">
        <v>308</v>
      </c>
      <c r="B390" s="146"/>
      <c r="C390" s="146"/>
      <c r="D390" s="14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46" t="s">
        <v>309</v>
      </c>
      <c r="B401" s="146"/>
      <c r="C401" s="146"/>
      <c r="D401" s="14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46" t="s">
        <v>310</v>
      </c>
      <c r="B412" s="146"/>
      <c r="C412" s="146"/>
      <c r="D412" s="14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46" t="s">
        <v>311</v>
      </c>
      <c r="B423" s="146"/>
      <c r="C423" s="146"/>
      <c r="D423" s="14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46" t="s">
        <v>315</v>
      </c>
      <c r="B434" s="146"/>
      <c r="C434" s="146"/>
      <c r="D434" s="14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46" t="s">
        <v>316</v>
      </c>
      <c r="B445" s="146"/>
      <c r="C445" s="146"/>
      <c r="D445" s="14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46" t="s">
        <v>317</v>
      </c>
      <c r="B456" s="146"/>
      <c r="C456" s="146"/>
      <c r="D456" s="14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46" t="s">
        <v>318</v>
      </c>
      <c r="B467" s="146"/>
      <c r="C467" s="146"/>
      <c r="D467" s="14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46" t="s">
        <v>319</v>
      </c>
      <c r="B478" s="146"/>
      <c r="C478" s="146"/>
      <c r="D478" s="14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46" t="s">
        <v>320</v>
      </c>
      <c r="B489" s="146"/>
      <c r="C489" s="146"/>
      <c r="D489" s="14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46" t="s">
        <v>323</v>
      </c>
      <c r="B500" s="146"/>
      <c r="C500" s="146"/>
      <c r="D500" s="14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46" t="s">
        <v>324</v>
      </c>
      <c r="B511" s="146"/>
      <c r="C511" s="146"/>
      <c r="D511" s="14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46" t="s">
        <v>325</v>
      </c>
      <c r="B522" s="146"/>
      <c r="C522" s="146"/>
      <c r="D522" s="14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46" t="s">
        <v>326</v>
      </c>
      <c r="B533" s="146"/>
      <c r="C533" s="146"/>
      <c r="D533" s="14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46" t="s">
        <v>327</v>
      </c>
      <c r="B544" s="146"/>
      <c r="C544" s="146"/>
      <c r="D544" s="14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46" t="s">
        <v>328</v>
      </c>
      <c r="B555" s="146"/>
      <c r="C555" s="146"/>
      <c r="D555" s="14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46" t="s">
        <v>328</v>
      </c>
      <c r="B567" s="146"/>
      <c r="C567" s="146"/>
      <c r="D567" s="14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46" t="s">
        <v>333</v>
      </c>
      <c r="B579" s="146"/>
      <c r="C579" s="146"/>
      <c r="D579" s="14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46" t="s">
        <v>334</v>
      </c>
      <c r="B590" s="146"/>
      <c r="C590" s="146"/>
      <c r="D590" s="14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46" t="s">
        <v>335</v>
      </c>
      <c r="B601" s="146"/>
      <c r="C601" s="146"/>
      <c r="D601" s="14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46" t="s">
        <v>336</v>
      </c>
      <c r="B612" s="146"/>
      <c r="C612" s="146"/>
      <c r="D612" s="14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46" t="s">
        <v>337</v>
      </c>
      <c r="B623" s="146"/>
      <c r="C623" s="146"/>
      <c r="D623" s="14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46" t="s">
        <v>338</v>
      </c>
      <c r="B635" s="146"/>
      <c r="C635" s="146"/>
      <c r="D635" s="14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46" t="s">
        <v>340</v>
      </c>
      <c r="B647" s="146"/>
      <c r="C647" s="146"/>
      <c r="D647" s="14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46" t="s">
        <v>341</v>
      </c>
      <c r="B658" s="146"/>
      <c r="C658" s="146"/>
      <c r="D658" s="14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46" t="s">
        <v>342</v>
      </c>
      <c r="B670" s="146"/>
      <c r="C670" s="146"/>
      <c r="D670" s="14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46" t="s">
        <v>343</v>
      </c>
      <c r="B681" s="146"/>
      <c r="C681" s="146"/>
      <c r="D681" s="14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46" t="s">
        <v>344</v>
      </c>
      <c r="B692" s="146"/>
      <c r="C692" s="146"/>
      <c r="D692" s="14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46" t="s">
        <v>345</v>
      </c>
      <c r="B703" s="146"/>
      <c r="C703" s="146"/>
      <c r="D703" s="14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46" t="s">
        <v>348</v>
      </c>
      <c r="B715" s="146"/>
      <c r="C715" s="146"/>
      <c r="D715" s="14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46" t="s">
        <v>349</v>
      </c>
      <c r="B726" s="146"/>
      <c r="C726" s="146"/>
      <c r="D726" s="14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46" t="s">
        <v>350</v>
      </c>
      <c r="B738" s="146"/>
      <c r="C738" s="146"/>
      <c r="D738" s="14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46" t="s">
        <v>351</v>
      </c>
      <c r="B749" s="146"/>
      <c r="C749" s="146"/>
      <c r="D749" s="14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46" t="s">
        <v>352</v>
      </c>
      <c r="B760" s="146"/>
      <c r="C760" s="146"/>
      <c r="D760" s="14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46" t="s">
        <v>353</v>
      </c>
      <c r="B772" s="146"/>
      <c r="C772" s="146"/>
      <c r="D772" s="14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46" t="s">
        <v>355</v>
      </c>
      <c r="B784" s="146"/>
      <c r="C784" s="146"/>
      <c r="D784" s="14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46" t="s">
        <v>356</v>
      </c>
      <c r="B796" s="146"/>
      <c r="C796" s="146"/>
      <c r="D796" s="14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46" t="s">
        <v>357</v>
      </c>
      <c r="B809" s="146"/>
      <c r="C809" s="146"/>
      <c r="D809" s="14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46" t="s">
        <v>358</v>
      </c>
      <c r="B820" s="146"/>
      <c r="C820" s="146"/>
      <c r="D820" s="14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46" t="s">
        <v>359</v>
      </c>
      <c r="B831" s="146"/>
      <c r="C831" s="146"/>
      <c r="D831" s="14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46" t="s">
        <v>360</v>
      </c>
      <c r="B842" s="146"/>
      <c r="C842" s="146"/>
      <c r="D842" s="14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46" t="s">
        <v>361</v>
      </c>
      <c r="B854" s="146"/>
      <c r="C854" s="146"/>
      <c r="D854" s="14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46" t="s">
        <v>363</v>
      </c>
      <c r="B865" s="146"/>
      <c r="C865" s="146"/>
      <c r="D865" s="14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46" t="s">
        <v>364</v>
      </c>
      <c r="B876" s="146"/>
      <c r="C876" s="146"/>
      <c r="D876" s="14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46" t="s">
        <v>367</v>
      </c>
      <c r="B888" s="146"/>
      <c r="C888" s="146"/>
      <c r="D888" s="14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46" t="s">
        <v>368</v>
      </c>
      <c r="B901" s="146"/>
      <c r="C901" s="146"/>
      <c r="D901" s="14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46" t="s">
        <v>369</v>
      </c>
      <c r="B913" s="146"/>
      <c r="C913" s="146"/>
      <c r="D913" s="14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46" t="s">
        <v>370</v>
      </c>
      <c r="B925" s="146"/>
      <c r="C925" s="146"/>
      <c r="D925" s="14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46" t="s">
        <v>371</v>
      </c>
      <c r="B937" s="146"/>
      <c r="C937" s="146"/>
      <c r="D937" s="14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46" t="s">
        <v>372</v>
      </c>
      <c r="B949" s="146"/>
      <c r="C949" s="146"/>
      <c r="D949" s="14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46" t="s">
        <v>400</v>
      </c>
      <c r="B961" s="146"/>
      <c r="C961" s="146"/>
      <c r="D961" s="14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46" t="s">
        <v>402</v>
      </c>
      <c r="B974" s="146"/>
      <c r="C974" s="146"/>
      <c r="D974" s="14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46" t="s">
        <v>404</v>
      </c>
      <c r="B987" s="146"/>
      <c r="C987" s="146"/>
      <c r="D987" s="14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46" t="s">
        <v>405</v>
      </c>
      <c r="B1000" s="146"/>
      <c r="C1000" s="146"/>
      <c r="D1000" s="14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46" t="s">
        <v>408</v>
      </c>
      <c r="B1012" s="146"/>
      <c r="C1012" s="146"/>
      <c r="D1012" s="14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46" t="s">
        <v>410</v>
      </c>
      <c r="B1025" s="146"/>
      <c r="C1025" s="146"/>
      <c r="D1025" s="14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46" t="s">
        <v>413</v>
      </c>
      <c r="B1037" s="146"/>
      <c r="C1037" s="146"/>
      <c r="D1037" s="14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46" t="s">
        <v>415</v>
      </c>
      <c r="B1049" s="146"/>
      <c r="C1049" s="146"/>
      <c r="D1049" s="14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46" t="s">
        <v>417</v>
      </c>
      <c r="B1061" s="146"/>
      <c r="C1061" s="146"/>
      <c r="D1061" s="14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46" t="s">
        <v>419</v>
      </c>
      <c r="B1073" s="146"/>
      <c r="C1073" s="146"/>
      <c r="D1073" s="14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46" t="s">
        <v>421</v>
      </c>
      <c r="B1085" s="146"/>
      <c r="C1085" s="146"/>
      <c r="D1085" s="14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46" t="s">
        <v>423</v>
      </c>
      <c r="B1098" s="146"/>
      <c r="C1098" s="146"/>
      <c r="D1098" s="14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46" t="s">
        <v>426</v>
      </c>
      <c r="B1110" s="146"/>
      <c r="C1110" s="146"/>
      <c r="D1110" s="14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46" t="s">
        <v>428</v>
      </c>
      <c r="B1123" s="146"/>
      <c r="C1123" s="146"/>
      <c r="D1123" s="14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46" t="s">
        <v>430</v>
      </c>
      <c r="B1136" s="146"/>
      <c r="C1136" s="146"/>
      <c r="D1136" s="14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46" t="s">
        <v>432</v>
      </c>
      <c r="B1149" s="146"/>
      <c r="C1149" s="146"/>
      <c r="D1149" s="14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46" t="s">
        <v>434</v>
      </c>
      <c r="B1162" s="146"/>
      <c r="C1162" s="146"/>
      <c r="D1162" s="14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46" t="s">
        <v>437</v>
      </c>
      <c r="B1173" s="146"/>
      <c r="C1173" s="146"/>
      <c r="D1173" s="14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46" t="s">
        <v>439</v>
      </c>
      <c r="B1185" s="146"/>
      <c r="C1185" s="146"/>
      <c r="D1185" s="14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46" t="s">
        <v>441</v>
      </c>
      <c r="B1197" s="146"/>
      <c r="C1197" s="146"/>
      <c r="D1197" s="14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46" t="s">
        <v>443</v>
      </c>
      <c r="B1209" s="146"/>
      <c r="C1209" s="146"/>
      <c r="D1209" s="14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46" t="s">
        <v>445</v>
      </c>
      <c r="B1222" s="146"/>
      <c r="C1222" s="146"/>
      <c r="D1222" s="14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46" t="s">
        <v>447</v>
      </c>
      <c r="B1234" s="146"/>
      <c r="C1234" s="146"/>
      <c r="D1234" s="14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46" t="s">
        <v>449</v>
      </c>
      <c r="B1246" s="146"/>
      <c r="C1246" s="146"/>
      <c r="D1246" s="14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46" t="s">
        <v>452</v>
      </c>
      <c r="B1258" s="146"/>
      <c r="C1258" s="146"/>
      <c r="D1258" s="14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46" t="s">
        <v>454</v>
      </c>
      <c r="B1270" s="146"/>
      <c r="C1270" s="146"/>
      <c r="D1270" s="14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46" t="s">
        <v>456</v>
      </c>
      <c r="B1282" s="146"/>
      <c r="C1282" s="146"/>
      <c r="D1282" s="14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46" t="s">
        <v>458</v>
      </c>
      <c r="B1294" s="146"/>
      <c r="C1294" s="146"/>
      <c r="D1294" s="14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46" t="s">
        <v>460</v>
      </c>
      <c r="B1306" s="146"/>
      <c r="C1306" s="146"/>
      <c r="D1306" s="14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46" t="s">
        <v>462</v>
      </c>
      <c r="B1318" s="146"/>
      <c r="C1318" s="146"/>
      <c r="D1318" s="14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46" t="s">
        <v>464</v>
      </c>
      <c r="B1330" s="146"/>
      <c r="C1330" s="146"/>
      <c r="D1330" s="14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46" t="s">
        <v>467</v>
      </c>
      <c r="B1343" s="146"/>
      <c r="C1343" s="146"/>
      <c r="D1343" s="14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46" t="s">
        <v>469</v>
      </c>
      <c r="B1355" s="146"/>
      <c r="C1355" s="146"/>
      <c r="D1355" s="14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46" t="s">
        <v>471</v>
      </c>
      <c r="B1368" s="146"/>
      <c r="C1368" s="146"/>
      <c r="D1368" s="14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46" t="s">
        <v>473</v>
      </c>
      <c r="B1380" s="146"/>
      <c r="C1380" s="146"/>
      <c r="D1380" s="146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46" t="s">
        <v>476</v>
      </c>
      <c r="B1392" s="146"/>
      <c r="C1392" s="146"/>
      <c r="D1392" s="146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46" t="s">
        <v>478</v>
      </c>
      <c r="B1404" s="146"/>
      <c r="C1404" s="146"/>
      <c r="D1404" s="146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46" t="s">
        <v>479</v>
      </c>
      <c r="B1416" s="146"/>
      <c r="C1416" s="146"/>
      <c r="D1416" s="146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46" t="s">
        <v>480</v>
      </c>
      <c r="B1428" s="146"/>
      <c r="C1428" s="146"/>
      <c r="D1428" s="146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46" t="s">
        <v>481</v>
      </c>
      <c r="B1441" s="146"/>
      <c r="C1441" s="146"/>
      <c r="D1441" s="146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46" t="s">
        <v>482</v>
      </c>
      <c r="B1453" s="146"/>
      <c r="C1453" s="146"/>
      <c r="D1453" s="146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46" t="s">
        <v>489</v>
      </c>
      <c r="B1465" s="146"/>
      <c r="C1465" s="146"/>
      <c r="D1465" s="146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46" t="s">
        <v>491</v>
      </c>
      <c r="B1477" s="146"/>
      <c r="C1477" s="146"/>
      <c r="D1477" s="146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46" t="s">
        <v>493</v>
      </c>
      <c r="B1490" s="146"/>
      <c r="C1490" s="146"/>
      <c r="D1490" s="146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  <row r="1502" spans="1:4">
      <c r="A1502" s="146" t="s">
        <v>495</v>
      </c>
      <c r="B1502" s="146"/>
      <c r="C1502" s="146"/>
      <c r="D1502" s="146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6">
        <v>12555000</v>
      </c>
    </row>
    <row r="1514" spans="1:4">
      <c r="A1514" s="146" t="s">
        <v>497</v>
      </c>
      <c r="B1514" s="146"/>
      <c r="C1514" s="146"/>
      <c r="D1514" s="146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6">
        <v>12630000</v>
      </c>
    </row>
    <row r="1526" spans="1:5">
      <c r="A1526" s="146" t="s">
        <v>499</v>
      </c>
      <c r="B1526" s="146"/>
      <c r="C1526" s="146"/>
      <c r="D1526" s="146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6"/>
    </row>
    <row r="1539" spans="1:4">
      <c r="A1539" s="146" t="s">
        <v>502</v>
      </c>
      <c r="B1539" s="146"/>
      <c r="C1539" s="146"/>
      <c r="D1539" s="146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6">
        <v>13015000</v>
      </c>
    </row>
    <row r="1551" spans="1:4">
      <c r="A1551" s="146" t="s">
        <v>504</v>
      </c>
      <c r="B1551" s="146"/>
      <c r="C1551" s="146"/>
      <c r="D1551" s="146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6">
        <v>13040000</v>
      </c>
    </row>
  </sheetData>
  <mergeCells count="137"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355:D1355"/>
    <mergeCell ref="A1453:D1453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1551:D1551"/>
    <mergeCell ref="A1539:D1539"/>
    <mergeCell ref="A1526:D1526"/>
    <mergeCell ref="A1514:D1514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4" sqref="C24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47" t="s">
        <v>373</v>
      </c>
      <c r="B1" s="147"/>
      <c r="C1" s="14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4"/>
  <sheetViews>
    <sheetView topLeftCell="A13" zoomScale="85" zoomScaleNormal="85" workbookViewId="0">
      <selection activeCell="B125" sqref="B12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4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2021-12-05T13:19:34Z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