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 firstSheet="1" activeTab="2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set'!$A$1:$BN$227</definedName>
    <definedName name="_xlnm._FilterDatabase" localSheetId="1" hidden="1">weekly!$A$1:$K$54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46" i="3" l="1"/>
  <c r="H150" i="5" l="1"/>
  <c r="G150" i="5"/>
  <c r="F150" i="5"/>
  <c r="V233" i="1"/>
  <c r="W236" i="1"/>
  <c r="D1927" i="3" l="1"/>
  <c r="D1934" i="3"/>
  <c r="H149" i="5" l="1"/>
  <c r="G149" i="5"/>
  <c r="F149" i="5"/>
  <c r="Y231" i="1" l="1"/>
  <c r="H148" i="5" l="1"/>
  <c r="G148" i="5"/>
  <c r="F148" i="5"/>
  <c r="W234" i="1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E228" i="1"/>
  <c r="G40" i="2" l="1"/>
  <c r="E40" i="2"/>
  <c r="G225" i="1" l="1"/>
  <c r="K225" i="1"/>
  <c r="M216" i="1"/>
  <c r="L216" i="1"/>
  <c r="D1850" i="3" l="1"/>
  <c r="M215" i="1"/>
  <c r="L215" i="1"/>
  <c r="Y235" i="1"/>
  <c r="H142" i="5" l="1"/>
  <c r="G142" i="5"/>
  <c r="F142" i="5"/>
  <c r="M214" i="1" l="1"/>
  <c r="L214" i="1"/>
  <c r="I227" i="1" l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2" i="2" l="1"/>
  <c r="E44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31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J227" i="1" l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32" i="1"/>
  <c r="N233" i="1"/>
  <c r="N234" i="1"/>
  <c r="N235" i="1"/>
  <c r="N236" i="1"/>
  <c r="N237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5" i="2" l="1"/>
  <c r="J44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3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3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4" i="2"/>
  <c r="G53" i="2"/>
  <c r="G52" i="2"/>
  <c r="G51" i="2"/>
  <c r="G50" i="2"/>
  <c r="G49" i="2"/>
  <c r="G48" i="2"/>
  <c r="G47" i="2"/>
  <c r="G46" i="2"/>
  <c r="C42" i="2"/>
  <c r="B42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6" i="2" s="1"/>
  <c r="G16" i="2"/>
  <c r="E16" i="2"/>
  <c r="C48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25" i="1" l="1"/>
  <c r="S1" i="1" s="1"/>
  <c r="M225" i="1"/>
  <c r="U1" i="1" s="1"/>
</calcChain>
</file>

<file path=xl/sharedStrings.xml><?xml version="1.0" encoding="utf-8"?>
<sst xmlns="http://schemas.openxmlformats.org/spreadsheetml/2006/main" count="2009" uniqueCount="573">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</sst>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10832672"/>
        <c:axId val="-710828864"/>
      </c:lineChart>
      <c:catAx>
        <c:axId val="-710832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28864"/>
        <c:crosses val="autoZero"/>
        <c:auto val="1"/>
        <c:lblAlgn val="ctr"/>
        <c:lblOffset val="100"/>
        <c:noMultiLvlLbl val="0"/>
      </c:catAx>
      <c:valAx>
        <c:axId val="-71082886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3267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14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weekly!$B$27:$B$41</c15:sqref>
                  </c15:fullRef>
                </c:ext>
              </c:extLst>
              <c:f>weekly!$B$28:$B$41</c:f>
              <c:numCache>
                <c:formatCode>General</c:formatCode>
                <c:ptCount val="14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weekly!$H$27:$H$41</c15:sqref>
                  </c15:fullRef>
                </c:ext>
              </c:extLst>
              <c:f>weekly!$H$28:$H$41</c:f>
              <c:numCache>
                <c:formatCode>General</c:formatCode>
                <c:ptCount val="14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10826144"/>
        <c:axId val="-710827776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weekly!$A$27:$A$41</c15:sqref>
                        </c15:fullRef>
                        <c15:formulaRef>
                          <c15:sqref>weekly!$A$28:$A$41</c15:sqref>
                        </c15:formulaRef>
                      </c:ext>
                    </c:extLst>
                    <c:strCache>
                      <c:ptCount val="14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71082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27776"/>
        <c:crosses val="autoZero"/>
        <c:auto val="1"/>
        <c:lblAlgn val="ctr"/>
        <c:lblOffset val="100"/>
        <c:noMultiLvlLbl val="0"/>
      </c:catAx>
      <c:valAx>
        <c:axId val="-710827776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2614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layout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10827232"/>
        <c:axId val="-710825600"/>
      </c:lineChart>
      <c:catAx>
        <c:axId val="-71082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25600"/>
        <c:crosses val="autoZero"/>
        <c:auto val="1"/>
        <c:lblAlgn val="ctr"/>
        <c:lblOffset val="100"/>
        <c:noMultiLvlLbl val="0"/>
      </c:catAx>
      <c:valAx>
        <c:axId val="-7108256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2723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10823968"/>
        <c:axId val="-710822880"/>
      </c:lineChart>
      <c:catAx>
        <c:axId val="-710823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22880"/>
        <c:crosses val="autoZero"/>
        <c:auto val="1"/>
        <c:lblAlgn val="ctr"/>
        <c:lblOffset val="100"/>
        <c:noMultiLvlLbl val="0"/>
      </c:catAx>
      <c:valAx>
        <c:axId val="-7108228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23968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10825056"/>
        <c:axId val="-710823424"/>
      </c:lineChart>
      <c:catAx>
        <c:axId val="-71082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23424"/>
        <c:crosses val="autoZero"/>
        <c:auto val="1"/>
        <c:lblAlgn val="ctr"/>
        <c:lblOffset val="100"/>
        <c:noMultiLvlLbl val="0"/>
      </c:catAx>
      <c:valAx>
        <c:axId val="-7108234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2505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14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936485417291895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weekly!$C$27:$C$41</c15:sqref>
                  </c15:fullRef>
                </c:ext>
              </c:extLst>
              <c:f>weekly!$C$28:$C$41</c:f>
              <c:numCache>
                <c:formatCode>General</c:formatCode>
                <c:ptCount val="14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weekly!$A$27:$A$41</c15:sqref>
                  </c15:fullRef>
                </c:ext>
              </c:extLst>
              <c:f>weekly!$A$28:$A$41</c:f>
              <c:strCache>
                <c:ptCount val="14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weekly!$I$27:$I$41</c15:sqref>
                  </c15:fullRef>
                </c:ext>
              </c:extLst>
              <c:f>weekly!$I$28:$I$41</c:f>
              <c:numCache>
                <c:formatCode>General</c:formatCode>
                <c:ptCount val="14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710839824"/>
        <c:axId val="-710847984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weekly!$A$27:$A$41</c15:sqref>
                        </c15:fullRef>
                        <c15:formulaRef>
                          <c15:sqref>weekly!$A$28:$A$41</c15:sqref>
                        </c15:formulaRef>
                      </c:ext>
                    </c:extLst>
                    <c:strCache>
                      <c:ptCount val="14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710839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47984"/>
        <c:crosses val="autoZero"/>
        <c:auto val="1"/>
        <c:lblAlgn val="ctr"/>
        <c:lblOffset val="100"/>
        <c:noMultiLvlLbl val="0"/>
      </c:catAx>
      <c:valAx>
        <c:axId val="-710847984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39824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710852880"/>
        <c:axId val="-710839280"/>
      </c:barChart>
      <c:catAx>
        <c:axId val="-71085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39280"/>
        <c:crosses val="autoZero"/>
        <c:auto val="1"/>
        <c:lblAlgn val="ctr"/>
        <c:lblOffset val="100"/>
        <c:noMultiLvlLbl val="0"/>
      </c:catAx>
      <c:valAx>
        <c:axId val="-71083928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52880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دوشنبه20 دی ماه سال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68"/>
          <c:order val="68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change'!$F$150:$I$150</c:f>
              <c:numCache>
                <c:formatCode>General</c:formatCode>
                <c:ptCount val="4"/>
                <c:pt idx="0">
                  <c:v>-0.6491164803461954</c:v>
                </c:pt>
                <c:pt idx="1">
                  <c:v>0.64412238325281801</c:v>
                </c:pt>
                <c:pt idx="2">
                  <c:v>-3.0534979423868314</c:v>
                </c:pt>
                <c:pt idx="3">
                  <c:v>-0.31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710854512"/>
        <c:axId val="-71084091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71085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40912"/>
        <c:crosses val="autoZero"/>
        <c:auto val="1"/>
        <c:lblAlgn val="ctr"/>
        <c:lblOffset val="100"/>
        <c:noMultiLvlLbl val="0"/>
      </c:catAx>
      <c:valAx>
        <c:axId val="-7108409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71085451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596</xdr:row>
      <xdr:rowOff>102960</xdr:rowOff>
    </xdr:from>
    <xdr:to>
      <xdr:col>11</xdr:col>
      <xdr:colOff>279360</xdr:colOff>
      <xdr:row>626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176</xdr:row>
      <xdr:rowOff>27711</xdr:rowOff>
    </xdr:from>
    <xdr:to>
      <xdr:col>41</xdr:col>
      <xdr:colOff>533400</xdr:colOff>
      <xdr:row>281</xdr:row>
      <xdr:rowOff>91438</xdr:rowOff>
    </xdr:to>
    <xdr:graphicFrame macro="">
      <xdr:nvGraphicFramePr>
        <xdr:cNvPr id="3" name="Chart 4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312</xdr:row>
      <xdr:rowOff>0</xdr:rowOff>
    </xdr:from>
    <xdr:to>
      <xdr:col>82</xdr:col>
      <xdr:colOff>0</xdr:colOff>
      <xdr:row>388</xdr:row>
      <xdr:rowOff>152160</xdr:rowOff>
    </xdr:to>
    <xdr:graphicFrame macro="">
      <xdr:nvGraphicFramePr>
        <xdr:cNvPr id="4" name="Chart 6">
          <a:extLst>
            <a:ext uri="{FF2B5EF4-FFF2-40B4-BE49-F238E27FC236}">
              <a16:creationId xmlns=""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631</xdr:row>
      <xdr:rowOff>0</xdr:rowOff>
    </xdr:from>
    <xdr:to>
      <xdr:col>13</xdr:col>
      <xdr:colOff>354240</xdr:colOff>
      <xdr:row>661</xdr:row>
      <xdr:rowOff>53643</xdr:rowOff>
    </xdr:to>
    <xdr:graphicFrame macro="">
      <xdr:nvGraphicFramePr>
        <xdr:cNvPr id="5" name="Chart 7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411</xdr:row>
      <xdr:rowOff>0</xdr:rowOff>
    </xdr:from>
    <xdr:to>
      <xdr:col>83</xdr:col>
      <xdr:colOff>533400</xdr:colOff>
      <xdr:row>510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59</xdr:row>
      <xdr:rowOff>76321</xdr:rowOff>
    </xdr:from>
    <xdr:to>
      <xdr:col>44</xdr:col>
      <xdr:colOff>533400</xdr:colOff>
      <xdr:row>158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=""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=""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240"/>
  <sheetViews>
    <sheetView topLeftCell="V1" zoomScaleNormal="100" workbookViewId="0">
      <pane ySplit="1" topLeftCell="A215" activePane="bottomLeft" state="frozen"/>
      <selection activeCell="B1" sqref="B1"/>
      <selection pane="bottomLeft" activeCell="W228" sqref="W228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6" width="8.5703125" customWidth="1"/>
  </cols>
  <sheetData>
    <row r="1" spans="1:69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>
        <f>L225/G225</f>
        <v>25525.574323740966</v>
      </c>
      <c r="T1" s="3" t="s">
        <v>15</v>
      </c>
      <c r="U1" s="3">
        <f>M225/K225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69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69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69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9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69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9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9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9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9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9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9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</row>
    <row r="13" spans="1:69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</row>
    <row r="14" spans="1:69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</row>
    <row r="15" spans="1:69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</row>
    <row r="16" spans="1:69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</row>
    <row r="17" spans="1:69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</row>
    <row r="18" spans="1:69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</row>
    <row r="19" spans="1:69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</row>
    <row r="20" spans="1:69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</row>
    <row r="21" spans="1:69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</row>
    <row r="22" spans="1:69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</row>
    <row r="23" spans="1:69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</row>
    <row r="24" spans="1:69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</row>
    <row r="25" spans="1:69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</row>
    <row r="26" spans="1:69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</row>
    <row r="27" spans="1:69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</row>
    <row r="28" spans="1:69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</row>
    <row r="29" spans="1:69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</row>
    <row r="30" spans="1:69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</row>
    <row r="31" spans="1:69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</row>
    <row r="32" spans="1:69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</row>
    <row r="33" spans="1:69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</row>
    <row r="34" spans="1:69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2">F34*G34</f>
        <v>99936563800</v>
      </c>
      <c r="M34" s="17">
        <f t="shared" ref="M34:M65" si="13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4">X34-N34</f>
        <v>414</v>
      </c>
      <c r="BJ34" s="28">
        <f t="shared" ref="BJ34:BJ65" si="15">(Y34-O34)/O34</f>
        <v>-5.6385129880230211E-3</v>
      </c>
      <c r="BK34" s="28">
        <f t="shared" ref="BK34:BK61" si="16">K35/K34</f>
        <v>7.9474358974358976</v>
      </c>
      <c r="BL34" s="28">
        <f t="shared" ref="BL34:BL69" si="17">(Y34-O34)/O34</f>
        <v>-5.6385129880230211E-3</v>
      </c>
      <c r="BM34" s="28">
        <f t="shared" ref="BM34:BM65" si="18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</row>
    <row r="35" spans="1:69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2"/>
        <v>228276501400</v>
      </c>
      <c r="M35" s="17">
        <f t="shared" si="13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4"/>
        <v>752</v>
      </c>
      <c r="BJ35" s="34">
        <f t="shared" si="15"/>
        <v>5.3257745129351643E-2</v>
      </c>
      <c r="BK35" s="34">
        <f t="shared" si="16"/>
        <v>1.6778512663332796</v>
      </c>
      <c r="BL35" s="34">
        <f t="shared" si="17"/>
        <v>5.3257745129351643E-2</v>
      </c>
      <c r="BM35" s="34">
        <f t="shared" si="18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</row>
    <row r="36" spans="1:69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2"/>
        <v>188026209000</v>
      </c>
      <c r="M36" s="17">
        <f t="shared" si="13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4"/>
        <v>434</v>
      </c>
      <c r="BJ36" s="34">
        <f t="shared" si="15"/>
        <v>3.2792079207920793E-2</v>
      </c>
      <c r="BK36" s="34">
        <f t="shared" si="16"/>
        <v>1.9736563791943083</v>
      </c>
      <c r="BL36" s="34">
        <f t="shared" si="17"/>
        <v>3.2792079207920793E-2</v>
      </c>
      <c r="BM36" s="34">
        <f t="shared" si="18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</row>
    <row r="37" spans="1:69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2"/>
        <v>184332592500</v>
      </c>
      <c r="M37" s="17">
        <f t="shared" si="13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4"/>
        <v>208</v>
      </c>
      <c r="BJ37" s="34">
        <f t="shared" si="15"/>
        <v>5.292938818814099E-2</v>
      </c>
      <c r="BK37" s="34">
        <f t="shared" si="16"/>
        <v>1.6885717069368666</v>
      </c>
      <c r="BL37" s="34">
        <f t="shared" si="17"/>
        <v>5.292938818814099E-2</v>
      </c>
      <c r="BM37" s="34">
        <f t="shared" si="18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</row>
    <row r="38" spans="1:69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2"/>
        <v>90016369300</v>
      </c>
      <c r="M38" s="17">
        <f t="shared" si="13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4"/>
        <v>388</v>
      </c>
      <c r="BJ38" s="34">
        <f t="shared" si="15"/>
        <v>4.1247714808043873E-2</v>
      </c>
      <c r="BK38" s="34">
        <f t="shared" si="16"/>
        <v>0.74653088307417126</v>
      </c>
      <c r="BL38" s="34">
        <f t="shared" si="17"/>
        <v>4.1247714808043873E-2</v>
      </c>
      <c r="BM38" s="34">
        <f t="shared" si="18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</row>
    <row r="39" spans="1:69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2"/>
        <v>98570761800</v>
      </c>
      <c r="M39" s="17">
        <f t="shared" si="13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4"/>
        <v>184</v>
      </c>
      <c r="BJ39" s="34">
        <f t="shared" si="15"/>
        <v>3.5491241431835491E-2</v>
      </c>
      <c r="BK39" s="34">
        <f t="shared" si="16"/>
        <v>1.1472736406847779</v>
      </c>
      <c r="BL39" s="34">
        <f t="shared" si="17"/>
        <v>3.5491241431835491E-2</v>
      </c>
      <c r="BM39" s="34">
        <f t="shared" si="18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</row>
    <row r="40" spans="1:69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2"/>
        <v>112956976000</v>
      </c>
      <c r="M40" s="17">
        <f t="shared" si="13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4"/>
        <v>552</v>
      </c>
      <c r="BJ40" s="23">
        <f t="shared" si="15"/>
        <v>4.4714828897338403E-2</v>
      </c>
      <c r="BK40" s="23">
        <f t="shared" si="16"/>
        <v>0.87021692266235517</v>
      </c>
      <c r="BL40" s="23">
        <f t="shared" si="17"/>
        <v>4.4714828897338403E-2</v>
      </c>
      <c r="BM40" s="23">
        <f t="shared" si="18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</row>
    <row r="41" spans="1:69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2"/>
        <v>146140919000</v>
      </c>
      <c r="M41" s="17">
        <f t="shared" si="13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4"/>
        <v>807</v>
      </c>
      <c r="BJ41" s="23">
        <f t="shared" si="15"/>
        <v>5.6398478972930238E-2</v>
      </c>
      <c r="BK41" s="23">
        <f t="shared" si="16"/>
        <v>1.2627830462550804</v>
      </c>
      <c r="BL41" s="23">
        <f t="shared" si="17"/>
        <v>5.6398478972930238E-2</v>
      </c>
      <c r="BM41" s="23">
        <f t="shared" si="18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</row>
    <row r="42" spans="1:69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2"/>
        <v>94660711500</v>
      </c>
      <c r="M42" s="17">
        <f t="shared" si="13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4"/>
        <v>630</v>
      </c>
      <c r="BJ42" s="23">
        <f t="shared" si="15"/>
        <v>6.3093391837197865E-2</v>
      </c>
      <c r="BK42" s="23">
        <f t="shared" si="16"/>
        <v>0.9125183913683178</v>
      </c>
      <c r="BL42" s="23">
        <f t="shared" si="17"/>
        <v>6.3093391837197865E-2</v>
      </c>
      <c r="BM42" s="23">
        <f t="shared" si="18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</row>
    <row r="43" spans="1:69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2"/>
        <v>115815078600</v>
      </c>
      <c r="M43" s="17">
        <f t="shared" si="13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4"/>
        <v>545</v>
      </c>
      <c r="BJ43" s="23">
        <f t="shared" si="15"/>
        <v>2.9095066007817687E-2</v>
      </c>
      <c r="BK43" s="23">
        <f t="shared" si="16"/>
        <v>0.44763184413839435</v>
      </c>
      <c r="BL43" s="23">
        <f t="shared" si="17"/>
        <v>2.9095066007817687E-2</v>
      </c>
      <c r="BM43" s="23">
        <f t="shared" si="18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</row>
    <row r="44" spans="1:69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2"/>
        <v>84187811700</v>
      </c>
      <c r="M44" s="17">
        <f t="shared" si="13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4"/>
        <v>426</v>
      </c>
      <c r="BJ44" s="23">
        <f t="shared" si="15"/>
        <v>3.0301905009469346E-2</v>
      </c>
      <c r="BK44" s="23">
        <f t="shared" si="16"/>
        <v>0.3594476962329281</v>
      </c>
      <c r="BL44" s="23">
        <f t="shared" si="17"/>
        <v>3.0301905009469346E-2</v>
      </c>
      <c r="BM44" s="23">
        <f t="shared" si="18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</row>
    <row r="45" spans="1:69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2"/>
        <v>131139423800</v>
      </c>
      <c r="M45" s="17">
        <f t="shared" si="13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4"/>
        <v>644</v>
      </c>
      <c r="BJ45" s="23">
        <f t="shared" si="15"/>
        <v>3.1772328989028792E-2</v>
      </c>
      <c r="BK45" s="23">
        <f t="shared" si="16"/>
        <v>0.97620041753653441</v>
      </c>
      <c r="BL45" s="23">
        <f t="shared" si="17"/>
        <v>3.1772328989028792E-2</v>
      </c>
      <c r="BM45" s="23">
        <f t="shared" si="18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</row>
    <row r="46" spans="1:69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2"/>
        <v>134661530500</v>
      </c>
      <c r="M46" s="37">
        <f t="shared" si="13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4"/>
        <v>508</v>
      </c>
      <c r="BJ46" s="39">
        <f t="shared" si="15"/>
        <v>1.9754619148470022E-2</v>
      </c>
      <c r="BK46" s="39">
        <f t="shared" si="16"/>
        <v>1.3083832335329342</v>
      </c>
      <c r="BL46" s="39">
        <f t="shared" si="17"/>
        <v>1.9754619148470022E-2</v>
      </c>
      <c r="BM46" s="39">
        <f t="shared" si="18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</row>
    <row r="47" spans="1:69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2"/>
        <v>163131091200</v>
      </c>
      <c r="M47" s="37">
        <f t="shared" si="13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4"/>
        <v>512</v>
      </c>
      <c r="BJ47" s="39">
        <f t="shared" si="15"/>
        <v>2.377202300282041E-2</v>
      </c>
      <c r="BK47" s="39">
        <f t="shared" si="16"/>
        <v>1.0933311539718862</v>
      </c>
      <c r="BL47" s="39">
        <f t="shared" si="17"/>
        <v>2.377202300282041E-2</v>
      </c>
      <c r="BM47" s="39">
        <f t="shared" si="18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</row>
    <row r="48" spans="1:69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2"/>
        <v>195647008000</v>
      </c>
      <c r="M48" s="37">
        <f t="shared" si="13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4"/>
        <v>787</v>
      </c>
      <c r="BJ48" s="39">
        <f t="shared" si="15"/>
        <v>3.4446152719818435E-2</v>
      </c>
      <c r="BK48" s="39">
        <f t="shared" si="16"/>
        <v>1.1163103602930184</v>
      </c>
      <c r="BL48" s="39">
        <f t="shared" si="17"/>
        <v>3.4446152719818435E-2</v>
      </c>
      <c r="BM48" s="39">
        <f t="shared" si="18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</row>
    <row r="49" spans="1:69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2"/>
        <v>170682120000</v>
      </c>
      <c r="M49" s="37">
        <f t="shared" si="13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4"/>
        <v>547</v>
      </c>
      <c r="BJ49" s="39">
        <f t="shared" si="15"/>
        <v>2.3426650098676997E-2</v>
      </c>
      <c r="BK49" s="39">
        <f t="shared" si="16"/>
        <v>0.88536226061336543</v>
      </c>
      <c r="BL49" s="39">
        <f t="shared" si="17"/>
        <v>2.3426650098676997E-2</v>
      </c>
      <c r="BM49" s="39">
        <f t="shared" si="18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</row>
    <row r="50" spans="1:69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2"/>
        <v>224641944000</v>
      </c>
      <c r="M50" s="37">
        <f t="shared" si="13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4"/>
        <v>807</v>
      </c>
      <c r="BJ50" s="39">
        <f t="shared" si="15"/>
        <v>3.330182505635134E-2</v>
      </c>
      <c r="BK50" s="39">
        <f t="shared" si="16"/>
        <v>0.62895174708818635</v>
      </c>
      <c r="BL50" s="39">
        <f t="shared" si="17"/>
        <v>3.330182505635134E-2</v>
      </c>
      <c r="BM50" s="39">
        <f t="shared" si="18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</row>
    <row r="51" spans="1:69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2"/>
        <v>145968986800</v>
      </c>
      <c r="M51" s="37">
        <f t="shared" si="13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4"/>
        <v>527</v>
      </c>
      <c r="BJ51" s="39">
        <f t="shared" si="15"/>
        <v>3.1777737425095334E-2</v>
      </c>
      <c r="BK51" s="39">
        <f t="shared" si="16"/>
        <v>2.7195767195767195</v>
      </c>
      <c r="BL51" s="39">
        <f t="shared" si="17"/>
        <v>3.1777737425095334E-2</v>
      </c>
      <c r="BM51" s="39">
        <f t="shared" si="18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</row>
    <row r="52" spans="1:69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2"/>
        <v>241617762100</v>
      </c>
      <c r="M52" s="9">
        <f t="shared" si="13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4"/>
        <v>489</v>
      </c>
      <c r="BJ52" s="28">
        <f t="shared" si="15"/>
        <v>3.1826209819851639E-2</v>
      </c>
      <c r="BK52" s="28">
        <f t="shared" si="16"/>
        <v>0.59789529536611252</v>
      </c>
      <c r="BL52" s="28">
        <f t="shared" si="17"/>
        <v>3.1826209819851639E-2</v>
      </c>
      <c r="BM52" s="28">
        <f t="shared" si="18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</row>
    <row r="53" spans="1:69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2"/>
        <v>170596629000</v>
      </c>
      <c r="M53" s="9">
        <f t="shared" si="13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4"/>
        <v>981</v>
      </c>
      <c r="BJ53" s="28">
        <f t="shared" si="15"/>
        <v>6.2190987427602769E-2</v>
      </c>
      <c r="BK53" s="28">
        <f t="shared" si="16"/>
        <v>0.59784055613074993</v>
      </c>
      <c r="BL53" s="28">
        <f t="shared" si="17"/>
        <v>6.2190987427602769E-2</v>
      </c>
      <c r="BM53" s="28">
        <f t="shared" si="18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</row>
    <row r="54" spans="1:69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2"/>
        <v>144517830400</v>
      </c>
      <c r="M54" s="21">
        <f t="shared" si="13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4"/>
        <v>346</v>
      </c>
      <c r="BJ54" s="23">
        <f t="shared" si="15"/>
        <v>3.0363083020737491E-2</v>
      </c>
      <c r="BK54" s="23">
        <f t="shared" si="16"/>
        <v>1.6110836219693221</v>
      </c>
      <c r="BL54" s="23">
        <f t="shared" si="17"/>
        <v>3.0363083020737491E-2</v>
      </c>
      <c r="BM54" s="23">
        <f t="shared" si="18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</row>
    <row r="55" spans="1:69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2"/>
        <v>173237616800</v>
      </c>
      <c r="M55" s="9">
        <f t="shared" si="13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5"/>
        <v>2.9669635968296276E-2</v>
      </c>
      <c r="BK55" s="28">
        <f t="shared" si="16"/>
        <v>1.6933353808353808</v>
      </c>
      <c r="BL55" s="28">
        <f t="shared" si="17"/>
        <v>2.9669635968296276E-2</v>
      </c>
      <c r="BM55" s="28">
        <f t="shared" si="18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</row>
    <row r="56" spans="1:69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2"/>
        <v>160058868300</v>
      </c>
      <c r="M56" s="9">
        <f t="shared" si="13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5"/>
        <v>2.4687004055722096E-2</v>
      </c>
      <c r="BK56" s="28">
        <f t="shared" si="16"/>
        <v>0.2930987575949941</v>
      </c>
      <c r="BL56" s="28">
        <f t="shared" si="17"/>
        <v>2.4687004055722096E-2</v>
      </c>
      <c r="BM56" s="28">
        <f t="shared" si="18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</row>
    <row r="57" spans="1:69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2"/>
        <v>123449895100</v>
      </c>
      <c r="M57" s="9">
        <f t="shared" si="13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5"/>
        <v>1.4285216542977597E-2</v>
      </c>
      <c r="BK57" s="28">
        <f t="shared" si="16"/>
        <v>0.93440594059405946</v>
      </c>
      <c r="BL57" s="28">
        <f t="shared" si="17"/>
        <v>1.4285216542977597E-2</v>
      </c>
      <c r="BM57" s="28">
        <f t="shared" si="18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</row>
    <row r="58" spans="1:69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2"/>
        <v>168092112400</v>
      </c>
      <c r="M58" s="32">
        <f t="shared" si="13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5"/>
        <v>1.5034453956984757E-2</v>
      </c>
      <c r="BK58" s="34">
        <f t="shared" si="16"/>
        <v>0.74238410596026494</v>
      </c>
      <c r="BL58" s="34">
        <f t="shared" si="17"/>
        <v>1.5034453956984757E-2</v>
      </c>
      <c r="BM58" s="34">
        <f t="shared" si="18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</row>
    <row r="59" spans="1:69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2"/>
        <v>134588505200</v>
      </c>
      <c r="M59" s="32">
        <f t="shared" si="13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5"/>
        <v>1.5932227025519455E-2</v>
      </c>
      <c r="BK59" s="34">
        <f t="shared" si="16"/>
        <v>0.91882247992863519</v>
      </c>
      <c r="BL59" s="34">
        <f t="shared" si="17"/>
        <v>1.5932227025519455E-2</v>
      </c>
      <c r="BM59" s="34">
        <f t="shared" si="18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</row>
    <row r="60" spans="1:69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2"/>
        <v>209969931600</v>
      </c>
      <c r="M60" s="32">
        <f t="shared" si="13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5"/>
        <v>1.994153267905617E-2</v>
      </c>
      <c r="BK60" s="34">
        <f t="shared" si="16"/>
        <v>0.3446601941747573</v>
      </c>
      <c r="BL60" s="34">
        <f t="shared" si="17"/>
        <v>1.994153267905617E-2</v>
      </c>
      <c r="BM60" s="34">
        <f t="shared" si="18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</row>
    <row r="61" spans="1:69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2"/>
        <v>99561013200</v>
      </c>
      <c r="M61" s="32">
        <f t="shared" si="13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6"/>
        <v>12.219718309859156</v>
      </c>
      <c r="BL61" s="34">
        <f t="shared" si="17"/>
        <v>9.4623061781261876E-3</v>
      </c>
      <c r="BM61" s="34">
        <f t="shared" si="18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</row>
    <row r="62" spans="1:69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2"/>
        <v>107593507600</v>
      </c>
      <c r="M62" s="9">
        <f t="shared" si="13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5"/>
        <v>1.6382373845060413E-2</v>
      </c>
      <c r="BK62" s="28" t="e">
        <f>#REF!/K62</f>
        <v>#REF!</v>
      </c>
      <c r="BL62" s="28">
        <f t="shared" si="17"/>
        <v>1.6382373845060413E-2</v>
      </c>
      <c r="BM62" s="28">
        <f t="shared" si="18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</row>
    <row r="63" spans="1:69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2"/>
        <v>204279672000</v>
      </c>
      <c r="M63" s="9">
        <f t="shared" si="13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5"/>
        <v>8.4291187739463595E-3</v>
      </c>
      <c r="BL63" s="28">
        <f t="shared" si="17"/>
        <v>8.4291187739463595E-3</v>
      </c>
      <c r="BM63" s="28">
        <f t="shared" si="18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</row>
    <row r="64" spans="1:69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2"/>
        <v>136724924700</v>
      </c>
      <c r="M64" s="9">
        <f t="shared" si="13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5"/>
        <v>2.4972702617026523E-2</v>
      </c>
      <c r="BL64" s="28">
        <f t="shared" si="17"/>
        <v>2.4972702617026523E-2</v>
      </c>
      <c r="BM64" s="28">
        <f t="shared" si="18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</row>
    <row r="65" spans="1:69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2"/>
        <v>171765860400</v>
      </c>
      <c r="M65" s="9">
        <f t="shared" si="13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5"/>
        <v>2.6497085320614733E-2</v>
      </c>
      <c r="BL65" s="28">
        <f t="shared" si="17"/>
        <v>2.6497085320614733E-2</v>
      </c>
      <c r="BM65" s="28">
        <f t="shared" si="18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</row>
    <row r="66" spans="1:69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19">F66*G66</f>
        <v>207179407500</v>
      </c>
      <c r="M66" s="9">
        <f t="shared" ref="M66:M97" si="20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1">(Y66-O66)/O66</f>
        <v>1.5780469922843279E-2</v>
      </c>
      <c r="BL66" s="28">
        <f t="shared" si="17"/>
        <v>1.5780469922843279E-2</v>
      </c>
      <c r="BM66" s="28">
        <f t="shared" ref="BM66:BM81" si="22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</row>
    <row r="67" spans="1:69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19"/>
        <v>169137870000</v>
      </c>
      <c r="M67" s="9">
        <f t="shared" si="20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1"/>
        <v>1.3209902225920533E-2</v>
      </c>
      <c r="BL67" s="28">
        <f t="shared" si="17"/>
        <v>1.3209902225920533E-2</v>
      </c>
      <c r="BM67" s="28">
        <f t="shared" si="22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</row>
    <row r="68" spans="1:69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19"/>
        <v>90551202100</v>
      </c>
      <c r="M68" s="32">
        <f t="shared" si="20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1"/>
        <v>2.0969624102691042E-2</v>
      </c>
      <c r="BL68" s="34">
        <f t="shared" si="17"/>
        <v>2.0969624102691042E-2</v>
      </c>
      <c r="BM68" s="34">
        <f t="shared" si="22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</row>
    <row r="69" spans="1:69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19"/>
        <v>98062494600</v>
      </c>
      <c r="M69" s="32">
        <f t="shared" si="20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1"/>
        <v>8.953715069680122E-3</v>
      </c>
      <c r="BL69" s="34">
        <f t="shared" si="17"/>
        <v>8.953715069680122E-3</v>
      </c>
      <c r="BM69" s="34">
        <f t="shared" si="22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</row>
    <row r="70" spans="1:69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19"/>
        <v>98453559600</v>
      </c>
      <c r="M70" s="32">
        <f t="shared" si="20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1"/>
        <v>8.6535379794166877E-3</v>
      </c>
      <c r="BM70" s="34">
        <f t="shared" si="22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</row>
    <row r="71" spans="1:69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19"/>
        <v>156673599000</v>
      </c>
      <c r="M71" s="32">
        <f t="shared" si="20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1"/>
        <v>9.962465359385414E-3</v>
      </c>
      <c r="BM71" s="34">
        <f t="shared" si="22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</row>
    <row r="72" spans="1:69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19"/>
        <v>137749722900</v>
      </c>
      <c r="M72" s="32">
        <f t="shared" si="20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1"/>
        <v>2.6355153500961608E-2</v>
      </c>
      <c r="BM72" s="34">
        <f t="shared" si="22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</row>
    <row r="73" spans="1:69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19"/>
        <v>69480671200</v>
      </c>
      <c r="M73" s="32">
        <f t="shared" si="20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1"/>
        <v>1.4811157738829919E-2</v>
      </c>
      <c r="BM73" s="34">
        <f t="shared" si="22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</row>
    <row r="74" spans="1:69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19"/>
        <v>192127774500</v>
      </c>
      <c r="M74" s="9">
        <f t="shared" si="20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1"/>
        <v>3.2049706883841754E-2</v>
      </c>
      <c r="BM74" s="28">
        <f t="shared" si="22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</row>
    <row r="75" spans="1:69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19"/>
        <v>146286278600</v>
      </c>
      <c r="M75" s="9">
        <f t="shared" si="20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1"/>
        <v>2.1276595744680851E-2</v>
      </c>
      <c r="BM75" s="28">
        <f t="shared" si="22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</row>
    <row r="76" spans="1:69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19"/>
        <v>158219322900</v>
      </c>
      <c r="M76" s="9">
        <f t="shared" si="20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1"/>
        <v>1.9152036638678788E-2</v>
      </c>
      <c r="BM76" s="28">
        <f t="shared" si="22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</row>
    <row r="77" spans="1:69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19"/>
        <v>116670975200</v>
      </c>
      <c r="M77" s="9">
        <f t="shared" si="20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2"/>
        <v>3.1143572278527758E-2</v>
      </c>
      <c r="BN77" s="14">
        <f t="shared" ref="BN77:BN140" si="23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</row>
    <row r="78" spans="1:69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19"/>
        <v>121124707800</v>
      </c>
      <c r="M78" s="9">
        <f t="shared" si="20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2"/>
        <v>3.008315669329855E-2</v>
      </c>
      <c r="BN78" s="14">
        <f t="shared" si="23"/>
        <v>1.9815166068041488</v>
      </c>
      <c r="BO78" s="14">
        <f t="shared" ref="BO78:BO141" si="24">E78-E77</f>
        <v>149</v>
      </c>
      <c r="BP78" s="14">
        <f t="shared" ref="BP78:BP141" si="25">N78-N77</f>
        <v>150</v>
      </c>
      <c r="BQ78" s="14">
        <f t="shared" ref="BQ78:BQ141" si="26">BP78-BO78</f>
        <v>1</v>
      </c>
    </row>
    <row r="79" spans="1:69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19"/>
        <v>81103056300</v>
      </c>
      <c r="M79" s="9">
        <f t="shared" si="20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2"/>
        <v>1.8148013419021058E-2</v>
      </c>
      <c r="BN79" s="14">
        <f t="shared" si="23"/>
        <v>1.7407811300941072</v>
      </c>
      <c r="BO79" s="14">
        <f t="shared" si="24"/>
        <v>54</v>
      </c>
      <c r="BP79" s="14">
        <f t="shared" si="25"/>
        <v>55</v>
      </c>
      <c r="BQ79" s="14">
        <f t="shared" si="26"/>
        <v>1</v>
      </c>
    </row>
    <row r="80" spans="1:69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19"/>
        <v>98864028900</v>
      </c>
      <c r="M80" s="32">
        <f t="shared" si="20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2"/>
        <v>1.5234563920683539E-2</v>
      </c>
      <c r="BN80" s="14">
        <f t="shared" si="23"/>
        <v>2.037509620448009</v>
      </c>
      <c r="BO80" s="14">
        <f t="shared" si="24"/>
        <v>-136</v>
      </c>
      <c r="BP80" s="14">
        <f t="shared" si="25"/>
        <v>-138</v>
      </c>
      <c r="BQ80" s="14">
        <f t="shared" si="26"/>
        <v>-2</v>
      </c>
    </row>
    <row r="81" spans="1:69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19"/>
        <v>116578394000</v>
      </c>
      <c r="M81" s="32">
        <f t="shared" si="20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2"/>
        <v>1.6552280985062576E-2</v>
      </c>
      <c r="BN81" s="14">
        <f t="shared" si="23"/>
        <v>1.5486368769156316</v>
      </c>
      <c r="BO81" s="14">
        <f t="shared" si="24"/>
        <v>6</v>
      </c>
      <c r="BP81" s="14">
        <f t="shared" si="25"/>
        <v>7</v>
      </c>
      <c r="BQ81" s="14">
        <f t="shared" si="26"/>
        <v>1</v>
      </c>
    </row>
    <row r="82" spans="1:69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19"/>
        <v>50686928000</v>
      </c>
      <c r="M82" s="32">
        <f t="shared" si="20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3"/>
        <v>1.6693811074918568</v>
      </c>
      <c r="BO82" s="14">
        <f t="shared" si="24"/>
        <v>-177</v>
      </c>
      <c r="BP82" s="14">
        <f t="shared" si="25"/>
        <v>-179</v>
      </c>
      <c r="BQ82" s="14">
        <f t="shared" si="26"/>
        <v>-2</v>
      </c>
    </row>
    <row r="83" spans="1:69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19"/>
        <v>146548297100</v>
      </c>
      <c r="M83" s="32">
        <f t="shared" si="20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3"/>
        <v>2.6532030579289483</v>
      </c>
      <c r="BO83" s="14">
        <f t="shared" si="24"/>
        <v>-146</v>
      </c>
      <c r="BP83" s="14">
        <f t="shared" si="25"/>
        <v>-148</v>
      </c>
      <c r="BQ83" s="14">
        <f t="shared" si="26"/>
        <v>-2</v>
      </c>
    </row>
    <row r="84" spans="1:69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19"/>
        <v>129069256400</v>
      </c>
      <c r="M84" s="32">
        <f t="shared" si="20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3"/>
        <v>2.7142975002062535</v>
      </c>
      <c r="BO84" s="14">
        <f t="shared" si="24"/>
        <v>-250</v>
      </c>
      <c r="BP84" s="14">
        <f t="shared" si="25"/>
        <v>-252</v>
      </c>
      <c r="BQ84" s="14">
        <f t="shared" si="26"/>
        <v>-2</v>
      </c>
    </row>
    <row r="85" spans="1:69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19"/>
        <v>153509496000</v>
      </c>
      <c r="M85" s="9">
        <f t="shared" si="20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3"/>
        <v>2.6402640264026402</v>
      </c>
      <c r="BO85" s="14">
        <f t="shared" si="24"/>
        <v>159</v>
      </c>
      <c r="BP85" s="14">
        <f t="shared" si="25"/>
        <v>160</v>
      </c>
      <c r="BQ85" s="14">
        <f t="shared" si="26"/>
        <v>1</v>
      </c>
    </row>
    <row r="86" spans="1:69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19"/>
        <v>131318287200</v>
      </c>
      <c r="M86" s="21">
        <f t="shared" si="20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3"/>
        <v>2.3784050695416017</v>
      </c>
      <c r="BO86" s="14">
        <f t="shared" si="24"/>
        <v>137</v>
      </c>
      <c r="BP86" s="14">
        <f t="shared" si="25"/>
        <v>139</v>
      </c>
      <c r="BQ86" s="14">
        <f t="shared" si="26"/>
        <v>2</v>
      </c>
    </row>
    <row r="87" spans="1:69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19"/>
        <v>128816847000</v>
      </c>
      <c r="M87" s="9">
        <f t="shared" si="20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3"/>
        <v>2.0851255581500143</v>
      </c>
      <c r="BO87" s="14">
        <f t="shared" si="24"/>
        <v>62</v>
      </c>
      <c r="BP87" s="14">
        <f t="shared" si="25"/>
        <v>63</v>
      </c>
      <c r="BQ87" s="14">
        <f t="shared" si="26"/>
        <v>1</v>
      </c>
    </row>
    <row r="88" spans="1:69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19"/>
        <v>62114144100</v>
      </c>
      <c r="M88" s="9">
        <f t="shared" si="20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3"/>
        <v>1.5634617752062046</v>
      </c>
      <c r="BO88" s="14">
        <f t="shared" si="24"/>
        <v>-149</v>
      </c>
      <c r="BP88" s="14">
        <f t="shared" si="25"/>
        <v>-151</v>
      </c>
      <c r="BQ88" s="14">
        <f t="shared" si="26"/>
        <v>-2</v>
      </c>
    </row>
    <row r="89" spans="1:69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19"/>
        <v>81295333000</v>
      </c>
      <c r="M89" s="9">
        <f t="shared" si="20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3"/>
        <v>2.1453863778379505</v>
      </c>
      <c r="BO89" s="14">
        <f t="shared" si="24"/>
        <v>-303</v>
      </c>
      <c r="BP89" s="14">
        <f t="shared" si="25"/>
        <v>-306</v>
      </c>
      <c r="BQ89" s="14">
        <f t="shared" si="26"/>
        <v>-3</v>
      </c>
    </row>
    <row r="90" spans="1:69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19"/>
        <v>150278360400</v>
      </c>
      <c r="M90" s="12">
        <f t="shared" si="20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3"/>
        <v>2.2039937028751346</v>
      </c>
      <c r="BO90" s="14">
        <f t="shared" si="24"/>
        <v>76</v>
      </c>
      <c r="BP90" s="14">
        <f t="shared" si="25"/>
        <v>77</v>
      </c>
      <c r="BQ90" s="14">
        <f t="shared" si="26"/>
        <v>1</v>
      </c>
    </row>
    <row r="91" spans="1:69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19"/>
        <v>138626774000</v>
      </c>
      <c r="M91" s="12">
        <f t="shared" si="20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3"/>
        <v>2.8840936600025042</v>
      </c>
      <c r="BO91" s="14">
        <f t="shared" si="24"/>
        <v>-192</v>
      </c>
      <c r="BP91" s="14">
        <f t="shared" si="25"/>
        <v>-194</v>
      </c>
      <c r="BQ91" s="14">
        <f t="shared" si="26"/>
        <v>-2</v>
      </c>
    </row>
    <row r="92" spans="1:69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19"/>
        <v>115736048000</v>
      </c>
      <c r="M92" s="12">
        <f t="shared" si="20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3"/>
        <v>2.348993288590604</v>
      </c>
      <c r="BO92" s="14">
        <f t="shared" si="24"/>
        <v>12</v>
      </c>
      <c r="BP92" s="14">
        <f t="shared" si="25"/>
        <v>12</v>
      </c>
      <c r="BQ92" s="14">
        <f t="shared" si="26"/>
        <v>0</v>
      </c>
    </row>
    <row r="93" spans="1:69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19"/>
        <v>189431312000</v>
      </c>
      <c r="M93" s="12">
        <f t="shared" si="20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3"/>
        <v>2.7518407305335035</v>
      </c>
      <c r="BO93" s="14">
        <f t="shared" si="24"/>
        <v>446</v>
      </c>
      <c r="BP93" s="14">
        <f t="shared" si="25"/>
        <v>451</v>
      </c>
      <c r="BQ93" s="14">
        <f t="shared" si="26"/>
        <v>5</v>
      </c>
    </row>
    <row r="94" spans="1:69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19"/>
        <v>219900892400</v>
      </c>
      <c r="M94" s="12">
        <f t="shared" si="20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3"/>
        <v>3.6004454159277435</v>
      </c>
      <c r="BO94" s="14">
        <f t="shared" si="24"/>
        <v>-308</v>
      </c>
      <c r="BP94" s="14">
        <f t="shared" si="25"/>
        <v>-312</v>
      </c>
      <c r="BQ94" s="14">
        <f t="shared" si="26"/>
        <v>-4</v>
      </c>
    </row>
    <row r="95" spans="1:69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19"/>
        <v>191656501200</v>
      </c>
      <c r="M95" s="12">
        <f t="shared" si="20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3"/>
        <v>4.3445971036019309</v>
      </c>
      <c r="BO95" s="14">
        <f t="shared" si="24"/>
        <v>515</v>
      </c>
      <c r="BP95" s="14">
        <f t="shared" si="25"/>
        <v>520</v>
      </c>
      <c r="BQ95" s="14">
        <f t="shared" si="26"/>
        <v>5</v>
      </c>
    </row>
    <row r="96" spans="1:69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19"/>
        <v>175612053600</v>
      </c>
      <c r="M96" s="12">
        <f t="shared" si="20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3"/>
        <v>3.390639923591213</v>
      </c>
      <c r="BO96" s="14">
        <f t="shared" si="24"/>
        <v>546</v>
      </c>
      <c r="BP96" s="14">
        <f t="shared" si="25"/>
        <v>552</v>
      </c>
      <c r="BQ96" s="14">
        <f t="shared" si="26"/>
        <v>6</v>
      </c>
    </row>
    <row r="97" spans="1:69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19"/>
        <v>154492022100</v>
      </c>
      <c r="M97" s="12">
        <f t="shared" si="20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3"/>
        <v>2.2713664125184625</v>
      </c>
      <c r="BO97" s="14">
        <f t="shared" si="24"/>
        <v>-260</v>
      </c>
      <c r="BP97" s="14">
        <f t="shared" si="25"/>
        <v>-263</v>
      </c>
      <c r="BQ97" s="14">
        <f t="shared" si="26"/>
        <v>-3</v>
      </c>
    </row>
    <row r="98" spans="1:69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7">F98*G98</f>
        <v>92308365600</v>
      </c>
      <c r="M98" s="12">
        <f t="shared" ref="M98:M129" si="28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3"/>
        <v>2.0874233743339077</v>
      </c>
      <c r="BO98" s="14">
        <f t="shared" si="24"/>
        <v>100</v>
      </c>
      <c r="BP98" s="14">
        <f t="shared" si="25"/>
        <v>102</v>
      </c>
      <c r="BQ98" s="14">
        <f t="shared" si="26"/>
        <v>2</v>
      </c>
    </row>
    <row r="99" spans="1:69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7"/>
        <v>161276681600</v>
      </c>
      <c r="M99" s="12">
        <f t="shared" si="28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3"/>
        <v>2.8161103979460846</v>
      </c>
      <c r="BO99" s="14">
        <f t="shared" si="24"/>
        <v>50</v>
      </c>
      <c r="BP99" s="14">
        <f t="shared" si="25"/>
        <v>50</v>
      </c>
      <c r="BQ99" s="14">
        <f t="shared" si="26"/>
        <v>0</v>
      </c>
    </row>
    <row r="100" spans="1:69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7"/>
        <v>108209461200</v>
      </c>
      <c r="M100" s="12">
        <f t="shared" si="28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3"/>
        <v>1.9462094872717099</v>
      </c>
      <c r="BO100" s="14">
        <f t="shared" si="24"/>
        <v>20</v>
      </c>
      <c r="BP100" s="14">
        <f t="shared" si="25"/>
        <v>20</v>
      </c>
      <c r="BQ100" s="14">
        <f t="shared" si="26"/>
        <v>0</v>
      </c>
    </row>
    <row r="101" spans="1:69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7"/>
        <v>173032177800</v>
      </c>
      <c r="M101" s="12">
        <f t="shared" si="28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3"/>
        <v>3.0699100407438782</v>
      </c>
      <c r="BO101" s="14">
        <f t="shared" si="24"/>
        <v>-211</v>
      </c>
      <c r="BP101" s="14">
        <f t="shared" si="25"/>
        <v>-213</v>
      </c>
      <c r="BQ101" s="14">
        <f t="shared" si="26"/>
        <v>-2</v>
      </c>
    </row>
    <row r="102" spans="1:69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7"/>
        <v>160986243600</v>
      </c>
      <c r="M102" s="12">
        <f t="shared" si="28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3"/>
        <v>2.9335254332252769</v>
      </c>
      <c r="BO102" s="14">
        <f t="shared" si="24"/>
        <v>204</v>
      </c>
      <c r="BP102" s="14">
        <f t="shared" si="25"/>
        <v>206</v>
      </c>
      <c r="BQ102" s="14">
        <f t="shared" si="26"/>
        <v>2</v>
      </c>
    </row>
    <row r="103" spans="1:69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7"/>
        <v>192982692300</v>
      </c>
      <c r="M103" s="12">
        <f t="shared" si="28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3"/>
        <v>2.9676079402484321</v>
      </c>
      <c r="BO103" s="14">
        <f t="shared" si="24"/>
        <v>107</v>
      </c>
      <c r="BP103" s="14">
        <f t="shared" si="25"/>
        <v>108</v>
      </c>
      <c r="BQ103" s="14">
        <f t="shared" si="26"/>
        <v>1</v>
      </c>
    </row>
    <row r="104" spans="1:69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7"/>
        <v>222103640000</v>
      </c>
      <c r="M104" s="12">
        <f t="shared" si="28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3"/>
        <v>3.0434782608695654</v>
      </c>
      <c r="BO104" s="14">
        <f t="shared" si="24"/>
        <v>160</v>
      </c>
      <c r="BP104" s="14">
        <f t="shared" si="25"/>
        <v>162</v>
      </c>
      <c r="BQ104" s="14">
        <f t="shared" si="26"/>
        <v>2</v>
      </c>
    </row>
    <row r="105" spans="1:69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7"/>
        <v>252384066300</v>
      </c>
      <c r="M105" s="9">
        <f t="shared" si="28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3"/>
        <v>3.1224481860248083</v>
      </c>
      <c r="BO105" s="14">
        <f t="shared" si="24"/>
        <v>535</v>
      </c>
      <c r="BP105" s="14">
        <f t="shared" si="25"/>
        <v>540</v>
      </c>
      <c r="BQ105" s="14">
        <f t="shared" si="26"/>
        <v>5</v>
      </c>
    </row>
    <row r="106" spans="1:69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7"/>
        <v>202671530200</v>
      </c>
      <c r="M106" s="12">
        <f t="shared" si="28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3"/>
        <v>3.195247893776449</v>
      </c>
      <c r="BO106" s="14">
        <f t="shared" si="24"/>
        <v>-168</v>
      </c>
      <c r="BP106" s="14">
        <f t="shared" si="25"/>
        <v>-170</v>
      </c>
      <c r="BQ106" s="14">
        <f t="shared" si="26"/>
        <v>-2</v>
      </c>
    </row>
    <row r="107" spans="1:69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7"/>
        <v>198832945200</v>
      </c>
      <c r="M107" s="32">
        <f t="shared" si="28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3"/>
        <v>3.9862703799048287</v>
      </c>
      <c r="BO107" s="14">
        <f t="shared" si="24"/>
        <v>120</v>
      </c>
      <c r="BP107" s="14">
        <f t="shared" si="25"/>
        <v>121</v>
      </c>
      <c r="BQ107" s="14">
        <f t="shared" si="26"/>
        <v>1</v>
      </c>
    </row>
    <row r="108" spans="1:69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7"/>
        <v>220643213500</v>
      </c>
      <c r="M108" s="9">
        <f t="shared" si="28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3"/>
        <v>2.7420383360216061</v>
      </c>
      <c r="BO108" s="14">
        <f t="shared" si="24"/>
        <v>868</v>
      </c>
      <c r="BP108" s="14">
        <f t="shared" si="25"/>
        <v>877</v>
      </c>
      <c r="BQ108" s="14">
        <f t="shared" si="26"/>
        <v>9</v>
      </c>
    </row>
    <row r="109" spans="1:69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7"/>
        <v>251052283000</v>
      </c>
      <c r="M109" s="9">
        <f t="shared" si="28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3"/>
        <v>3.7596825996599281</v>
      </c>
      <c r="BO109" s="14">
        <f t="shared" si="24"/>
        <v>-203</v>
      </c>
      <c r="BP109" s="14">
        <f t="shared" si="25"/>
        <v>-205</v>
      </c>
      <c r="BQ109" s="14">
        <f t="shared" si="26"/>
        <v>-2</v>
      </c>
    </row>
    <row r="110" spans="1:69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7"/>
        <v>251071692400</v>
      </c>
      <c r="M110" s="9">
        <f t="shared" si="28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3"/>
        <v>3.9589112993926672</v>
      </c>
      <c r="BO110" s="14">
        <f t="shared" si="24"/>
        <v>206</v>
      </c>
      <c r="BP110" s="14">
        <f t="shared" si="25"/>
        <v>208</v>
      </c>
      <c r="BQ110" s="14">
        <f t="shared" si="26"/>
        <v>2</v>
      </c>
    </row>
    <row r="111" spans="1:69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7"/>
        <v>276275204800</v>
      </c>
      <c r="M111" s="9">
        <f t="shared" si="28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3"/>
        <v>3.6312014345487147</v>
      </c>
      <c r="BO111" s="14">
        <f t="shared" si="24"/>
        <v>224</v>
      </c>
      <c r="BP111" s="14">
        <f t="shared" si="25"/>
        <v>226</v>
      </c>
      <c r="BQ111" s="14">
        <f t="shared" si="26"/>
        <v>2</v>
      </c>
    </row>
    <row r="112" spans="1:69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7"/>
        <v>106487939200</v>
      </c>
      <c r="M112" s="196">
        <f t="shared" si="28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3"/>
        <v>2.2748086010476576</v>
      </c>
      <c r="BO112" s="150">
        <f t="shared" si="24"/>
        <v>628</v>
      </c>
      <c r="BP112" s="150">
        <f t="shared" si="25"/>
        <v>635</v>
      </c>
      <c r="BQ112" s="150">
        <f t="shared" si="26"/>
        <v>7</v>
      </c>
    </row>
    <row r="113" spans="1:69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7"/>
        <v>157059448800</v>
      </c>
      <c r="M113" s="12">
        <f t="shared" si="28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3"/>
        <v>2.1581173408524021</v>
      </c>
      <c r="BO113" s="14">
        <f t="shared" si="24"/>
        <v>-48</v>
      </c>
      <c r="BP113" s="14">
        <f t="shared" si="25"/>
        <v>-49</v>
      </c>
      <c r="BQ113" s="14">
        <f t="shared" si="26"/>
        <v>-1</v>
      </c>
    </row>
    <row r="114" spans="1:69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7"/>
        <v>143042812000</v>
      </c>
      <c r="M114" s="12">
        <f t="shared" si="28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3"/>
        <v>2.5121555915721232</v>
      </c>
      <c r="BO114" s="14">
        <f t="shared" si="24"/>
        <v>-477</v>
      </c>
      <c r="BP114" s="14">
        <f t="shared" si="25"/>
        <v>-482</v>
      </c>
      <c r="BQ114" s="14">
        <f t="shared" si="26"/>
        <v>-5</v>
      </c>
    </row>
    <row r="115" spans="1:69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7"/>
        <v>139347162000</v>
      </c>
      <c r="M115" s="12">
        <f t="shared" si="28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3"/>
        <v>2.6795938621268798</v>
      </c>
      <c r="BO115" s="14">
        <f t="shared" si="24"/>
        <v>-1034</v>
      </c>
      <c r="BP115" s="14">
        <f t="shared" si="25"/>
        <v>-1044</v>
      </c>
      <c r="BQ115" s="14">
        <f t="shared" si="26"/>
        <v>-10</v>
      </c>
    </row>
    <row r="116" spans="1:69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7"/>
        <v>215028928500</v>
      </c>
      <c r="M116" s="12">
        <f t="shared" si="28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3"/>
        <v>3.7502379592613746</v>
      </c>
      <c r="BO116" s="14">
        <f t="shared" si="24"/>
        <v>284</v>
      </c>
      <c r="BP116" s="14">
        <f t="shared" si="25"/>
        <v>287</v>
      </c>
      <c r="BQ116" s="14">
        <f t="shared" si="26"/>
        <v>3</v>
      </c>
    </row>
    <row r="117" spans="1:69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7"/>
        <v>186347507500</v>
      </c>
      <c r="M117" s="12">
        <f t="shared" si="28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3"/>
        <v>3.2147612706867035</v>
      </c>
      <c r="BO117" s="14">
        <f t="shared" si="24"/>
        <v>92</v>
      </c>
      <c r="BP117" s="14">
        <f t="shared" si="25"/>
        <v>93</v>
      </c>
      <c r="BQ117" s="14">
        <f t="shared" si="26"/>
        <v>1</v>
      </c>
    </row>
    <row r="118" spans="1:69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7"/>
        <v>134260629100</v>
      </c>
      <c r="M118" s="188">
        <f t="shared" si="28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3"/>
        <v>3.1761089818995938</v>
      </c>
      <c r="BO118" s="194">
        <f t="shared" si="24"/>
        <v>101</v>
      </c>
      <c r="BP118" s="194">
        <f t="shared" si="25"/>
        <v>102</v>
      </c>
      <c r="BQ118" s="194">
        <f t="shared" si="26"/>
        <v>1</v>
      </c>
    </row>
    <row r="119" spans="1:69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7"/>
        <v>160013174400</v>
      </c>
      <c r="M119" s="9">
        <f t="shared" si="28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3"/>
        <v>2.3690584317287313</v>
      </c>
      <c r="BO119" s="14">
        <f t="shared" si="24"/>
        <v>92</v>
      </c>
      <c r="BP119" s="14">
        <f t="shared" si="25"/>
        <v>93</v>
      </c>
      <c r="BQ119" s="14">
        <f t="shared" si="26"/>
        <v>1</v>
      </c>
    </row>
    <row r="120" spans="1:69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7"/>
        <v>183448909700</v>
      </c>
      <c r="M120" s="45">
        <f t="shared" si="28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3"/>
        <v>2.7860734132234528</v>
      </c>
      <c r="BO120" s="14">
        <f t="shared" si="24"/>
        <v>-77</v>
      </c>
      <c r="BP120" s="14">
        <f t="shared" si="25"/>
        <v>-78</v>
      </c>
      <c r="BQ120" s="14">
        <f t="shared" si="26"/>
        <v>-1</v>
      </c>
    </row>
    <row r="121" spans="1:69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7"/>
        <v>149141857900</v>
      </c>
      <c r="M121" s="51">
        <f t="shared" si="28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3"/>
        <v>2.4697446792366935</v>
      </c>
      <c r="BO121" s="14">
        <f t="shared" si="24"/>
        <v>-95</v>
      </c>
      <c r="BP121" s="14">
        <f t="shared" si="25"/>
        <v>-96</v>
      </c>
      <c r="BQ121" s="14">
        <f t="shared" si="26"/>
        <v>-1</v>
      </c>
    </row>
    <row r="122" spans="1:69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7"/>
        <v>205309734400</v>
      </c>
      <c r="M122" s="51">
        <f t="shared" si="28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3"/>
        <v>2.7895694360218313</v>
      </c>
      <c r="BO122" s="14">
        <f t="shared" si="24"/>
        <v>32</v>
      </c>
      <c r="BP122" s="14">
        <f t="shared" si="25"/>
        <v>32</v>
      </c>
      <c r="BQ122" s="14">
        <f t="shared" si="26"/>
        <v>0</v>
      </c>
    </row>
    <row r="123" spans="1:69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7"/>
        <v>266569104600</v>
      </c>
      <c r="M123" s="51">
        <f t="shared" si="28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3"/>
        <v>3.8319378441578036</v>
      </c>
      <c r="BO123" s="14">
        <f t="shared" si="24"/>
        <v>222</v>
      </c>
      <c r="BP123" s="14">
        <f t="shared" si="25"/>
        <v>229</v>
      </c>
      <c r="BQ123" s="14">
        <f t="shared" si="26"/>
        <v>7</v>
      </c>
    </row>
    <row r="124" spans="1:69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7"/>
        <v>172687578300</v>
      </c>
      <c r="M124" s="45">
        <f t="shared" si="28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3"/>
        <v>4.6297341005679042</v>
      </c>
      <c r="BO124" s="14">
        <f t="shared" si="24"/>
        <v>42</v>
      </c>
      <c r="BP124" s="14">
        <f t="shared" si="25"/>
        <v>84</v>
      </c>
      <c r="BQ124" s="14">
        <f t="shared" si="26"/>
        <v>42</v>
      </c>
    </row>
    <row r="125" spans="1:69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7"/>
        <v>242156832600</v>
      </c>
      <c r="M125" s="12">
        <f t="shared" si="28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3"/>
        <v>4.0685064692244408</v>
      </c>
      <c r="BO125" s="14">
        <f t="shared" si="24"/>
        <v>223</v>
      </c>
      <c r="BP125" s="14">
        <f t="shared" si="25"/>
        <v>180</v>
      </c>
      <c r="BQ125" s="14">
        <f t="shared" si="26"/>
        <v>-43</v>
      </c>
    </row>
    <row r="126" spans="1:69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7"/>
        <v>232790298000</v>
      </c>
      <c r="M126" s="12">
        <f t="shared" si="28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3"/>
        <v>3.4612490594431904</v>
      </c>
      <c r="BO126" s="14">
        <f t="shared" si="24"/>
        <v>-345</v>
      </c>
      <c r="BP126" s="14">
        <f t="shared" si="25"/>
        <v>-349</v>
      </c>
      <c r="BQ126" s="14">
        <f t="shared" si="26"/>
        <v>-4</v>
      </c>
    </row>
    <row r="127" spans="1:69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7"/>
        <v>210137737200</v>
      </c>
      <c r="M127" s="12">
        <f t="shared" si="28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3"/>
        <v>3.4193252938482672</v>
      </c>
      <c r="BO127" s="14">
        <f t="shared" si="24"/>
        <v>-189</v>
      </c>
      <c r="BP127" s="14">
        <f t="shared" si="25"/>
        <v>-190</v>
      </c>
      <c r="BQ127" s="14">
        <f t="shared" si="26"/>
        <v>-1</v>
      </c>
    </row>
    <row r="128" spans="1:69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7"/>
        <v>238170715200</v>
      </c>
      <c r="M128" s="12">
        <f t="shared" si="28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3"/>
        <v>3.7567762235111264</v>
      </c>
      <c r="BO128" s="14">
        <f t="shared" si="24"/>
        <v>203</v>
      </c>
      <c r="BP128" s="14">
        <f t="shared" si="25"/>
        <v>204</v>
      </c>
      <c r="BQ128" s="14">
        <f t="shared" si="26"/>
        <v>1</v>
      </c>
    </row>
    <row r="129" spans="1:69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7"/>
        <v>238426614800</v>
      </c>
      <c r="M129" s="12">
        <f t="shared" si="28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3"/>
        <v>3.5947216745032611</v>
      </c>
      <c r="BO129" s="14">
        <f t="shared" si="24"/>
        <v>-144</v>
      </c>
      <c r="BP129" s="14">
        <f t="shared" si="25"/>
        <v>-145</v>
      </c>
      <c r="BQ129" s="14">
        <f t="shared" si="26"/>
        <v>-1</v>
      </c>
    </row>
    <row r="130" spans="1:69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29">F130*G130</f>
        <v>134799608200</v>
      </c>
      <c r="M130" s="12">
        <f t="shared" ref="M130:M193" si="30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3"/>
        <v>3.1334065850793773</v>
      </c>
      <c r="BO130" s="14">
        <f t="shared" si="24"/>
        <v>111</v>
      </c>
      <c r="BP130" s="14">
        <f t="shared" si="25"/>
        <v>112</v>
      </c>
      <c r="BQ130" s="14">
        <f t="shared" si="26"/>
        <v>1</v>
      </c>
    </row>
    <row r="131" spans="1:69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29"/>
        <v>235378269800</v>
      </c>
      <c r="M131" s="9">
        <f t="shared" si="30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3"/>
        <v>3.9117503106057754</v>
      </c>
      <c r="BO131" s="14">
        <f t="shared" si="24"/>
        <v>24</v>
      </c>
      <c r="BP131" s="14">
        <f t="shared" si="25"/>
        <v>24</v>
      </c>
      <c r="BQ131" s="14">
        <f t="shared" si="26"/>
        <v>0</v>
      </c>
    </row>
    <row r="132" spans="1:69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29"/>
        <v>217216403700</v>
      </c>
      <c r="M132" s="9">
        <f t="shared" si="30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3"/>
        <v>3.5959228524875906</v>
      </c>
      <c r="BO132" s="14">
        <f t="shared" si="24"/>
        <v>-112</v>
      </c>
      <c r="BP132" s="14">
        <f t="shared" si="25"/>
        <v>-113</v>
      </c>
      <c r="BQ132" s="14">
        <f t="shared" si="26"/>
        <v>-1</v>
      </c>
    </row>
    <row r="133" spans="1:69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29"/>
        <v>236360502800</v>
      </c>
      <c r="M133" s="9">
        <f t="shared" si="30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3"/>
        <v>4.2015527477546053</v>
      </c>
      <c r="BO133" s="14">
        <f t="shared" si="24"/>
        <v>-163</v>
      </c>
      <c r="BP133" s="14">
        <f t="shared" si="25"/>
        <v>-165</v>
      </c>
      <c r="BQ133" s="14">
        <f t="shared" si="26"/>
        <v>-2</v>
      </c>
    </row>
    <row r="134" spans="1:69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29"/>
        <v>264502422700</v>
      </c>
      <c r="M134" s="181">
        <f t="shared" si="30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3"/>
        <v>4.0438239433940728</v>
      </c>
      <c r="BO134" s="186">
        <f t="shared" si="24"/>
        <v>0</v>
      </c>
      <c r="BP134" s="186">
        <f t="shared" si="25"/>
        <v>0</v>
      </c>
      <c r="BQ134" s="186">
        <f t="shared" si="26"/>
        <v>0</v>
      </c>
    </row>
    <row r="135" spans="1:69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29"/>
        <v>222222624000</v>
      </c>
      <c r="M135" s="9">
        <f t="shared" si="30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3"/>
        <v>4.7981721249047986</v>
      </c>
      <c r="BO135" s="14">
        <f t="shared" si="24"/>
        <v>28</v>
      </c>
      <c r="BP135" s="14">
        <f t="shared" si="25"/>
        <v>29</v>
      </c>
      <c r="BQ135" s="14">
        <f t="shared" si="26"/>
        <v>1</v>
      </c>
    </row>
    <row r="136" spans="1:69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29"/>
        <v>193055584200</v>
      </c>
      <c r="M136" s="21">
        <f t="shared" si="30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3"/>
        <v>4.2663022849768462</v>
      </c>
      <c r="BO136" s="14">
        <f t="shared" si="24"/>
        <v>212</v>
      </c>
      <c r="BP136" s="14">
        <f t="shared" si="25"/>
        <v>213</v>
      </c>
      <c r="BQ136" s="14">
        <f t="shared" si="26"/>
        <v>1</v>
      </c>
    </row>
    <row r="137" spans="1:69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29"/>
        <v>253536738000</v>
      </c>
      <c r="M137" s="32">
        <f t="shared" si="30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3"/>
        <v>3.6429324100556979</v>
      </c>
      <c r="BO137" s="14">
        <f t="shared" si="24"/>
        <v>96</v>
      </c>
      <c r="BP137" s="14">
        <f t="shared" si="25"/>
        <v>98</v>
      </c>
      <c r="BQ137" s="14">
        <f t="shared" si="26"/>
        <v>2</v>
      </c>
    </row>
    <row r="138" spans="1:69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29"/>
        <v>245049246200</v>
      </c>
      <c r="M138" s="32">
        <f t="shared" si="30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3"/>
        <v>3.7873953680417403</v>
      </c>
      <c r="BO138" s="14">
        <f t="shared" si="24"/>
        <v>195</v>
      </c>
      <c r="BP138" s="14">
        <f t="shared" si="25"/>
        <v>196</v>
      </c>
      <c r="BQ138" s="14">
        <f t="shared" si="26"/>
        <v>1</v>
      </c>
    </row>
    <row r="139" spans="1:69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29"/>
        <v>210771668200</v>
      </c>
      <c r="M139" s="32">
        <f t="shared" si="30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3"/>
        <v>2.6905664544149581</v>
      </c>
      <c r="BO139" s="14">
        <f t="shared" si="24"/>
        <v>467</v>
      </c>
      <c r="BP139" s="14">
        <f t="shared" si="25"/>
        <v>472</v>
      </c>
      <c r="BQ139" s="14">
        <f t="shared" si="26"/>
        <v>5</v>
      </c>
    </row>
    <row r="140" spans="1:69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29"/>
        <v>257844926400</v>
      </c>
      <c r="M140" s="32">
        <f t="shared" si="30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3"/>
        <v>3.1002950927174031</v>
      </c>
      <c r="BO140" s="14">
        <f t="shared" si="24"/>
        <v>403</v>
      </c>
      <c r="BP140" s="14">
        <f t="shared" si="25"/>
        <v>407</v>
      </c>
      <c r="BQ140" s="14">
        <f t="shared" si="26"/>
        <v>4</v>
      </c>
    </row>
    <row r="141" spans="1:69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29"/>
        <v>160400172600</v>
      </c>
      <c r="M141" s="32">
        <f t="shared" si="30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1">100*(X141-F141)/F141</f>
        <v>2.7171750063316327</v>
      </c>
      <c r="BO141" s="14">
        <f t="shared" si="24"/>
        <v>199</v>
      </c>
      <c r="BP141" s="14">
        <f t="shared" si="25"/>
        <v>202</v>
      </c>
      <c r="BQ141" s="14">
        <f t="shared" si="26"/>
        <v>3</v>
      </c>
    </row>
    <row r="142" spans="1:69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29"/>
        <v>178610115600</v>
      </c>
      <c r="M142" s="9">
        <f t="shared" si="30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1"/>
        <v>2.0667611056627075</v>
      </c>
      <c r="BO142" s="14">
        <f t="shared" ref="BO142:BO203" si="32">E142-E141</f>
        <v>-359</v>
      </c>
      <c r="BP142" s="14">
        <f t="shared" ref="BP142:BP203" si="33">N142-N141</f>
        <v>-364</v>
      </c>
      <c r="BQ142" s="14">
        <f t="shared" ref="BQ142:BQ203" si="34">BP142-BO142</f>
        <v>-5</v>
      </c>
    </row>
    <row r="143" spans="1:69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29"/>
        <v>185509825000</v>
      </c>
      <c r="M143" s="9">
        <f t="shared" si="30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1"/>
        <v>2.8256880733944953</v>
      </c>
      <c r="BO143" s="14">
        <f t="shared" si="32"/>
        <v>-180</v>
      </c>
      <c r="BP143" s="14">
        <f t="shared" si="33"/>
        <v>-181</v>
      </c>
      <c r="BQ143" s="14">
        <f t="shared" si="34"/>
        <v>-1</v>
      </c>
    </row>
    <row r="144" spans="1:69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29"/>
        <v>214444712400</v>
      </c>
      <c r="M144" s="9">
        <f t="shared" si="30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1"/>
        <v>3.2355209519262549</v>
      </c>
      <c r="BO144" s="14">
        <f t="shared" si="32"/>
        <v>-44</v>
      </c>
      <c r="BP144" s="14">
        <f t="shared" si="33"/>
        <v>-44</v>
      </c>
      <c r="BQ144" s="14">
        <f t="shared" si="34"/>
        <v>0</v>
      </c>
    </row>
    <row r="145" spans="1:69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29"/>
        <v>110853636800</v>
      </c>
      <c r="M145" s="87">
        <f t="shared" si="30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1"/>
        <v>2.2063120981881941</v>
      </c>
      <c r="BO145" s="14">
        <f t="shared" si="32"/>
        <v>22</v>
      </c>
      <c r="BP145" s="14">
        <f t="shared" si="33"/>
        <v>22</v>
      </c>
      <c r="BQ145" s="14">
        <f t="shared" si="34"/>
        <v>0</v>
      </c>
    </row>
    <row r="146" spans="1:69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29"/>
        <v>214041993100</v>
      </c>
      <c r="M146" s="93">
        <f t="shared" si="30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1"/>
        <v>2.8272872123615076</v>
      </c>
      <c r="BO146" s="14">
        <f t="shared" si="32"/>
        <v>-402</v>
      </c>
      <c r="BP146" s="14">
        <f t="shared" si="33"/>
        <v>-406</v>
      </c>
      <c r="BQ146" s="14">
        <f t="shared" si="34"/>
        <v>-4</v>
      </c>
    </row>
    <row r="147" spans="1:69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29"/>
        <v>176486960000</v>
      </c>
      <c r="M147" s="93">
        <f t="shared" si="30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1"/>
        <v>3.3771106941838651</v>
      </c>
      <c r="BO147" s="14">
        <f t="shared" si="32"/>
        <v>-252</v>
      </c>
      <c r="BP147" s="14">
        <f t="shared" si="33"/>
        <v>-255</v>
      </c>
      <c r="BQ147" s="14">
        <f t="shared" si="34"/>
        <v>-3</v>
      </c>
    </row>
    <row r="148" spans="1:69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29"/>
        <v>220752610000</v>
      </c>
      <c r="M148" s="93">
        <f t="shared" si="30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1"/>
        <v>3.0769230769230771</v>
      </c>
      <c r="BO148" s="14">
        <f t="shared" si="32"/>
        <v>-45</v>
      </c>
      <c r="BP148" s="14">
        <f t="shared" si="33"/>
        <v>-45</v>
      </c>
      <c r="BQ148" s="14">
        <f t="shared" si="34"/>
        <v>0</v>
      </c>
    </row>
    <row r="149" spans="1:69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29"/>
        <v>156650915000</v>
      </c>
      <c r="M149" s="93">
        <f t="shared" si="30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1"/>
        <v>2.3097311624384704</v>
      </c>
      <c r="BO149" s="14">
        <f t="shared" si="32"/>
        <v>-170</v>
      </c>
      <c r="BP149" s="14">
        <f t="shared" si="33"/>
        <v>-172</v>
      </c>
      <c r="BQ149" s="14">
        <f t="shared" si="34"/>
        <v>-2</v>
      </c>
    </row>
    <row r="150" spans="1:69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29"/>
        <v>225456814700</v>
      </c>
      <c r="M150" s="93">
        <f t="shared" si="30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1"/>
        <v>3.5348731022411628</v>
      </c>
      <c r="BO150" s="14">
        <f t="shared" si="32"/>
        <v>-96</v>
      </c>
      <c r="BP150" s="14">
        <f t="shared" si="33"/>
        <v>-97</v>
      </c>
      <c r="BQ150" s="14">
        <f t="shared" si="34"/>
        <v>-1</v>
      </c>
    </row>
    <row r="151" spans="1:69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29"/>
        <v>167101812600</v>
      </c>
      <c r="M151" s="93">
        <f t="shared" si="30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1"/>
        <v>2.8150846042947113</v>
      </c>
      <c r="BO151" s="14">
        <f t="shared" si="32"/>
        <v>-73</v>
      </c>
      <c r="BP151" s="14">
        <f t="shared" si="33"/>
        <v>-73</v>
      </c>
      <c r="BQ151" s="14">
        <f t="shared" si="34"/>
        <v>0</v>
      </c>
    </row>
    <row r="152" spans="1:69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29"/>
        <v>239567814200</v>
      </c>
      <c r="M152" s="87">
        <f t="shared" si="30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1"/>
        <v>3.46267750018984</v>
      </c>
      <c r="BO152" s="14">
        <f t="shared" si="32"/>
        <v>67</v>
      </c>
      <c r="BP152" s="14">
        <f t="shared" si="33"/>
        <v>67</v>
      </c>
      <c r="BQ152" s="14">
        <f t="shared" si="34"/>
        <v>0</v>
      </c>
    </row>
    <row r="153" spans="1:69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29"/>
        <v>236480193600</v>
      </c>
      <c r="M153" s="87">
        <f t="shared" si="30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1"/>
        <v>3.1809371793410102</v>
      </c>
      <c r="BO153" s="14">
        <f t="shared" si="32"/>
        <v>-7</v>
      </c>
      <c r="BP153" s="14">
        <f t="shared" si="33"/>
        <v>-7</v>
      </c>
      <c r="BQ153" s="14">
        <f t="shared" si="34"/>
        <v>0</v>
      </c>
    </row>
    <row r="154" spans="1:69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29"/>
        <v>225618976500</v>
      </c>
      <c r="M154" s="87">
        <f t="shared" si="30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1"/>
        <v>3.102988768322863</v>
      </c>
      <c r="BO154" s="14">
        <f t="shared" si="32"/>
        <v>96</v>
      </c>
      <c r="BP154" s="14">
        <f t="shared" si="33"/>
        <v>97</v>
      </c>
      <c r="BQ154" s="14">
        <f t="shared" si="34"/>
        <v>1</v>
      </c>
    </row>
    <row r="155" spans="1:69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29"/>
        <v>247369613400</v>
      </c>
      <c r="M155" s="87">
        <f t="shared" si="30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1"/>
        <v>3.3948869000415391</v>
      </c>
      <c r="BO155" s="14">
        <f t="shared" si="32"/>
        <v>130</v>
      </c>
      <c r="BP155" s="14">
        <f t="shared" si="33"/>
        <v>131</v>
      </c>
      <c r="BQ155" s="14">
        <f t="shared" si="34"/>
        <v>1</v>
      </c>
    </row>
    <row r="156" spans="1:69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29"/>
        <v>255780758900</v>
      </c>
      <c r="M156" s="87">
        <f t="shared" si="30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1"/>
        <v>3.1605180681946909</v>
      </c>
      <c r="BO156" s="14">
        <f t="shared" si="32"/>
        <v>50</v>
      </c>
      <c r="BP156" s="14">
        <f t="shared" si="33"/>
        <v>50</v>
      </c>
      <c r="BQ156" s="14">
        <f t="shared" si="34"/>
        <v>0</v>
      </c>
    </row>
    <row r="157" spans="1:69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29"/>
        <v>184510967800</v>
      </c>
      <c r="M157" s="87">
        <f t="shared" si="30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1"/>
        <v>3.4026964764530381</v>
      </c>
      <c r="BO157" s="14">
        <f t="shared" si="32"/>
        <v>-87</v>
      </c>
      <c r="BP157" s="14">
        <f t="shared" si="33"/>
        <v>-87</v>
      </c>
      <c r="BQ157" s="14">
        <f t="shared" si="34"/>
        <v>0</v>
      </c>
    </row>
    <row r="158" spans="1:69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29"/>
        <v>249471569600</v>
      </c>
      <c r="M158" s="93">
        <f t="shared" si="30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1"/>
        <v>3.7778446718844072</v>
      </c>
      <c r="BO158" s="14">
        <f t="shared" si="32"/>
        <v>298</v>
      </c>
      <c r="BP158" s="14">
        <f t="shared" si="33"/>
        <v>300</v>
      </c>
      <c r="BQ158" s="14">
        <f t="shared" si="34"/>
        <v>2</v>
      </c>
    </row>
    <row r="159" spans="1:69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29"/>
        <v>205217875200</v>
      </c>
      <c r="M159" s="93">
        <f t="shared" si="30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1"/>
        <v>2.5888645396129704</v>
      </c>
      <c r="BO159" s="14">
        <f t="shared" si="32"/>
        <v>229</v>
      </c>
      <c r="BP159" s="14">
        <f t="shared" si="33"/>
        <v>232</v>
      </c>
      <c r="BQ159" s="14">
        <f t="shared" si="34"/>
        <v>3</v>
      </c>
    </row>
    <row r="160" spans="1:69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29"/>
        <v>261587595000</v>
      </c>
      <c r="M160" s="93">
        <f t="shared" si="30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1"/>
        <v>2.8524307507777653</v>
      </c>
      <c r="BO160" s="14">
        <f t="shared" si="32"/>
        <v>-319</v>
      </c>
      <c r="BP160" s="14">
        <f t="shared" si="33"/>
        <v>-322</v>
      </c>
      <c r="BQ160" s="14">
        <f t="shared" si="34"/>
        <v>-3</v>
      </c>
    </row>
    <row r="161" spans="1:69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29"/>
        <v>322139986200</v>
      </c>
      <c r="M161" s="93">
        <f t="shared" si="30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1"/>
        <v>3.9585367685720723</v>
      </c>
      <c r="BO161" s="14">
        <f t="shared" si="32"/>
        <v>-31</v>
      </c>
      <c r="BP161" s="14">
        <f t="shared" si="33"/>
        <v>-32</v>
      </c>
      <c r="BQ161" s="14">
        <f t="shared" si="34"/>
        <v>-1</v>
      </c>
    </row>
    <row r="162" spans="1:69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0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1"/>
        <v>3.5257971448911536</v>
      </c>
      <c r="BO162" s="14">
        <f t="shared" si="32"/>
        <v>42</v>
      </c>
      <c r="BP162" s="14">
        <f t="shared" si="33"/>
        <v>43</v>
      </c>
      <c r="BQ162" s="14">
        <f t="shared" si="34"/>
        <v>1</v>
      </c>
    </row>
    <row r="163" spans="1:69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1"/>
        <v>3.9098540421991985</v>
      </c>
      <c r="BO163" s="14">
        <f t="shared" si="32"/>
        <v>-26701</v>
      </c>
      <c r="BP163" s="14">
        <f t="shared" si="33"/>
        <v>-37</v>
      </c>
      <c r="BQ163" s="14">
        <f t="shared" si="34"/>
        <v>26664</v>
      </c>
    </row>
    <row r="164" spans="1:69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5">F164*G164</f>
        <v>225462728400</v>
      </c>
      <c r="M164" s="93">
        <f t="shared" si="30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1"/>
        <v>4.1367314527716861</v>
      </c>
      <c r="BO164" s="14">
        <f t="shared" si="32"/>
        <v>26393</v>
      </c>
      <c r="BP164" s="14">
        <f t="shared" si="33"/>
        <v>-274</v>
      </c>
      <c r="BQ164" s="14">
        <f t="shared" si="34"/>
        <v>-26667</v>
      </c>
    </row>
    <row r="165" spans="1:69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5"/>
        <v>297576936000</v>
      </c>
      <c r="M165" s="93">
        <f t="shared" si="30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1"/>
        <v>4.0558385210337669</v>
      </c>
      <c r="BO165" s="14">
        <f t="shared" si="32"/>
        <v>64</v>
      </c>
      <c r="BP165" s="14">
        <f t="shared" si="33"/>
        <v>65</v>
      </c>
      <c r="BQ165" s="14">
        <f t="shared" si="34"/>
        <v>1</v>
      </c>
    </row>
    <row r="166" spans="1:69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5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1"/>
        <v>3.7092826209753342</v>
      </c>
      <c r="BO166" s="14">
        <f t="shared" si="32"/>
        <v>102</v>
      </c>
      <c r="BP166" s="14">
        <f t="shared" si="33"/>
        <v>103</v>
      </c>
      <c r="BQ166" s="14">
        <f t="shared" si="34"/>
        <v>1</v>
      </c>
    </row>
    <row r="167" spans="1:69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5"/>
        <v>275474294400</v>
      </c>
      <c r="M167" s="93">
        <f t="shared" si="30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1"/>
        <v>3.9524361515162845</v>
      </c>
      <c r="BO167" s="14">
        <f t="shared" si="32"/>
        <v>185</v>
      </c>
      <c r="BP167" s="14">
        <f t="shared" si="33"/>
        <v>187</v>
      </c>
      <c r="BQ167" s="14">
        <f t="shared" si="34"/>
        <v>2</v>
      </c>
    </row>
    <row r="168" spans="1:69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5"/>
        <v>180565344100</v>
      </c>
      <c r="M168" s="117">
        <f t="shared" si="30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1"/>
        <v>3.6337155021100198</v>
      </c>
      <c r="BO168" s="14">
        <f t="shared" si="32"/>
        <v>61</v>
      </c>
      <c r="BP168" s="14">
        <f t="shared" si="33"/>
        <v>61</v>
      </c>
      <c r="BQ168" s="14">
        <f t="shared" si="34"/>
        <v>0</v>
      </c>
    </row>
    <row r="169" spans="1:69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5"/>
        <v>264826042800</v>
      </c>
      <c r="M169" s="93">
        <f t="shared" si="30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1"/>
        <v>3.7950169453651634</v>
      </c>
      <c r="BO169" s="14">
        <f t="shared" si="32"/>
        <v>-41</v>
      </c>
      <c r="BP169" s="14">
        <f t="shared" si="33"/>
        <v>-41</v>
      </c>
      <c r="BQ169" s="14">
        <f t="shared" si="34"/>
        <v>0</v>
      </c>
    </row>
    <row r="170" spans="1:69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5"/>
        <v>269550278000</v>
      </c>
      <c r="M170" s="93">
        <f t="shared" si="30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1"/>
        <v>3.9880730525531121</v>
      </c>
      <c r="BO170" s="14">
        <f t="shared" si="32"/>
        <v>258</v>
      </c>
      <c r="BP170" s="14">
        <f t="shared" si="33"/>
        <v>260</v>
      </c>
      <c r="BQ170" s="14">
        <f t="shared" si="34"/>
        <v>2</v>
      </c>
    </row>
    <row r="171" spans="1:69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5"/>
        <v>231825209400</v>
      </c>
      <c r="M171" s="93">
        <f t="shared" si="30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1"/>
        <v>2.9077858346151029</v>
      </c>
      <c r="BO171" s="14">
        <f t="shared" si="32"/>
        <v>332</v>
      </c>
      <c r="BP171" s="14">
        <f t="shared" si="33"/>
        <v>335</v>
      </c>
      <c r="BQ171" s="14">
        <f t="shared" si="34"/>
        <v>3</v>
      </c>
    </row>
    <row r="172" spans="1:69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5"/>
        <v>280842822000</v>
      </c>
      <c r="M172" s="93">
        <f t="shared" si="30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1"/>
        <v>3.1903190319031904</v>
      </c>
      <c r="BO172" s="14">
        <f t="shared" si="32"/>
        <v>-127</v>
      </c>
      <c r="BP172" s="14">
        <f t="shared" si="33"/>
        <v>-128</v>
      </c>
      <c r="BQ172" s="14">
        <f t="shared" si="34"/>
        <v>-1</v>
      </c>
    </row>
    <row r="173" spans="1:69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5"/>
        <v>298348060000</v>
      </c>
      <c r="M173" s="93">
        <f t="shared" si="30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1"/>
        <v>3.4040995607613471</v>
      </c>
      <c r="BO173" s="14">
        <f t="shared" si="32"/>
        <v>90</v>
      </c>
      <c r="BP173" s="14">
        <f t="shared" si="33"/>
        <v>91</v>
      </c>
      <c r="BQ173" s="14">
        <f t="shared" si="34"/>
        <v>1</v>
      </c>
    </row>
    <row r="174" spans="1:69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5"/>
        <v>194293123200</v>
      </c>
      <c r="M174" s="93">
        <f t="shared" si="30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1"/>
        <v>2.9241039036424321</v>
      </c>
      <c r="BO174" s="14">
        <f t="shared" si="32"/>
        <v>402</v>
      </c>
      <c r="BP174" s="14">
        <f t="shared" si="33"/>
        <v>406</v>
      </c>
      <c r="BQ174" s="14">
        <f t="shared" si="34"/>
        <v>4</v>
      </c>
    </row>
    <row r="175" spans="1:69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5"/>
        <v>361436777500</v>
      </c>
      <c r="M175" s="117">
        <f t="shared" si="30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1"/>
        <v>3.7160088115272112</v>
      </c>
      <c r="BO175" s="14">
        <f t="shared" si="32"/>
        <v>-134</v>
      </c>
      <c r="BP175" s="14">
        <f t="shared" si="33"/>
        <v>-136</v>
      </c>
      <c r="BQ175" s="14">
        <f t="shared" si="34"/>
        <v>-2</v>
      </c>
    </row>
    <row r="176" spans="1:69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5"/>
        <v>321145765200</v>
      </c>
      <c r="M176" s="87">
        <f t="shared" si="30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1"/>
        <v>4.5393028274625991</v>
      </c>
      <c r="BO176" s="14">
        <f t="shared" si="32"/>
        <v>-703</v>
      </c>
      <c r="BP176" s="14">
        <f t="shared" si="33"/>
        <v>-710</v>
      </c>
      <c r="BQ176" s="14">
        <f t="shared" si="34"/>
        <v>-7</v>
      </c>
    </row>
    <row r="177" spans="1:69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5"/>
        <v>311738532300</v>
      </c>
      <c r="M177" s="87">
        <f t="shared" si="30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1"/>
        <v>4.9086375646607872</v>
      </c>
      <c r="BO177" s="14">
        <f t="shared" si="32"/>
        <v>-8</v>
      </c>
      <c r="BP177" s="14">
        <f t="shared" si="33"/>
        <v>-7</v>
      </c>
      <c r="BQ177" s="14">
        <f t="shared" si="34"/>
        <v>1</v>
      </c>
    </row>
    <row r="178" spans="1:69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5"/>
        <v>340417605000</v>
      </c>
      <c r="M178" s="87">
        <f t="shared" si="30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1"/>
        <v>5.5826152116897712</v>
      </c>
      <c r="BO178" s="14">
        <f t="shared" si="32"/>
        <v>-239</v>
      </c>
      <c r="BP178" s="14">
        <f t="shared" si="33"/>
        <v>-242</v>
      </c>
      <c r="BQ178" s="14">
        <f t="shared" si="34"/>
        <v>-3</v>
      </c>
    </row>
    <row r="179" spans="1:69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5"/>
        <v>259574211400</v>
      </c>
      <c r="M179" s="87">
        <f t="shared" si="30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1"/>
        <v>5.8739577856230749</v>
      </c>
      <c r="BO179" s="14">
        <f t="shared" si="32"/>
        <v>0</v>
      </c>
      <c r="BP179" s="14">
        <f t="shared" si="33"/>
        <v>0</v>
      </c>
      <c r="BQ179" s="14">
        <f t="shared" si="34"/>
        <v>0</v>
      </c>
    </row>
    <row r="180" spans="1:69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5"/>
        <v>232541672000</v>
      </c>
      <c r="M180" s="87">
        <f t="shared" si="30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1"/>
        <v>5.7475582268970697</v>
      </c>
      <c r="BO180" s="14">
        <f t="shared" si="32"/>
        <v>-3</v>
      </c>
      <c r="BP180" s="14">
        <f t="shared" si="33"/>
        <v>-2</v>
      </c>
      <c r="BQ180" s="14">
        <f t="shared" si="34"/>
        <v>1</v>
      </c>
    </row>
    <row r="181" spans="1:69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5"/>
        <v>311949927000</v>
      </c>
      <c r="M181" s="87">
        <f t="shared" si="30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1"/>
        <v>5.9358670726664409</v>
      </c>
      <c r="BO181" s="14">
        <f t="shared" si="32"/>
        <v>-23</v>
      </c>
      <c r="BP181" s="14">
        <f t="shared" si="33"/>
        <v>-24</v>
      </c>
      <c r="BQ181" s="14">
        <f t="shared" si="34"/>
        <v>-1</v>
      </c>
    </row>
    <row r="182" spans="1:69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5"/>
        <v>303066802500</v>
      </c>
      <c r="M182" s="93">
        <f t="shared" si="30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1"/>
        <v>6.4935064935064934</v>
      </c>
      <c r="BO182" s="14">
        <f t="shared" si="32"/>
        <v>-9</v>
      </c>
      <c r="BP182" s="14">
        <f t="shared" si="33"/>
        <v>-10</v>
      </c>
      <c r="BQ182" s="14">
        <f t="shared" si="34"/>
        <v>-1</v>
      </c>
    </row>
    <row r="183" spans="1:69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5"/>
        <v>329025981000</v>
      </c>
      <c r="M183" s="93">
        <f t="shared" si="30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1"/>
        <v>6.8713780386844281</v>
      </c>
      <c r="BO183" s="14">
        <f t="shared" si="32"/>
        <v>-20</v>
      </c>
      <c r="BP183" s="14">
        <f t="shared" si="33"/>
        <v>-19</v>
      </c>
      <c r="BQ183" s="14">
        <f t="shared" si="34"/>
        <v>1</v>
      </c>
    </row>
    <row r="184" spans="1:69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5"/>
        <v>417184732800</v>
      </c>
      <c r="M184" s="93">
        <f t="shared" si="30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1"/>
        <v>7.5030102347983139</v>
      </c>
      <c r="BO184" s="14">
        <f t="shared" si="32"/>
        <v>-1</v>
      </c>
      <c r="BP184" s="14">
        <f t="shared" si="33"/>
        <v>-1</v>
      </c>
      <c r="BQ184" s="14">
        <f t="shared" si="34"/>
        <v>0</v>
      </c>
    </row>
    <row r="185" spans="1:69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5"/>
        <v>338444332800</v>
      </c>
      <c r="M185" s="93">
        <f t="shared" si="30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1"/>
        <v>6.0838445807770958</v>
      </c>
      <c r="BO185" s="14">
        <f t="shared" si="32"/>
        <v>1171</v>
      </c>
      <c r="BP185" s="14">
        <f t="shared" si="33"/>
        <v>1183</v>
      </c>
      <c r="BQ185" s="14">
        <f t="shared" si="34"/>
        <v>12</v>
      </c>
    </row>
    <row r="186" spans="1:69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5"/>
        <v>209181897600</v>
      </c>
      <c r="M186" s="93">
        <f t="shared" si="30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1"/>
        <v>4.6168251224430996</v>
      </c>
      <c r="BO186" s="14">
        <f t="shared" si="32"/>
        <v>-27</v>
      </c>
      <c r="BP186" s="14">
        <f t="shared" si="33"/>
        <v>-27</v>
      </c>
      <c r="BQ186" s="14">
        <f t="shared" si="34"/>
        <v>0</v>
      </c>
    </row>
    <row r="187" spans="1:69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5"/>
        <v>103472865300</v>
      </c>
      <c r="M187" s="87">
        <f t="shared" si="30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1"/>
        <v>7.4100003684734146</v>
      </c>
      <c r="BO187" s="14">
        <f t="shared" si="32"/>
        <v>-1241</v>
      </c>
      <c r="BP187" s="14">
        <f t="shared" si="33"/>
        <v>-1255</v>
      </c>
      <c r="BQ187" s="14">
        <f t="shared" si="34"/>
        <v>-14</v>
      </c>
    </row>
    <row r="188" spans="1:69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5"/>
        <v>102815271600</v>
      </c>
      <c r="M188" s="87">
        <f t="shared" si="30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1"/>
        <v>11.850407250200757</v>
      </c>
      <c r="BO188" s="14">
        <f t="shared" si="32"/>
        <v>-419</v>
      </c>
      <c r="BP188" s="14">
        <f t="shared" si="33"/>
        <v>-423</v>
      </c>
      <c r="BQ188" s="14">
        <f t="shared" si="34"/>
        <v>-4</v>
      </c>
    </row>
    <row r="189" spans="1:69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5"/>
        <v>179335122400</v>
      </c>
      <c r="M189" s="87">
        <f t="shared" si="30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1"/>
        <v>11.624035114272742</v>
      </c>
      <c r="BO189" s="14">
        <f t="shared" si="32"/>
        <v>133</v>
      </c>
      <c r="BP189" s="14">
        <f t="shared" si="33"/>
        <v>135</v>
      </c>
      <c r="BQ189" s="14">
        <f t="shared" si="34"/>
        <v>2</v>
      </c>
    </row>
    <row r="190" spans="1:69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5"/>
        <v>170141241900</v>
      </c>
      <c r="M190" s="87">
        <f t="shared" si="30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1"/>
        <v>10.92481804671722</v>
      </c>
      <c r="BO190" s="14">
        <f t="shared" si="32"/>
        <v>22</v>
      </c>
      <c r="BP190" s="14">
        <f t="shared" si="33"/>
        <v>22</v>
      </c>
      <c r="BQ190" s="14">
        <f t="shared" si="34"/>
        <v>0</v>
      </c>
    </row>
    <row r="191" spans="1:69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5"/>
        <v>213066453600</v>
      </c>
      <c r="M191" s="87">
        <f t="shared" si="30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1"/>
        <v>10.795669619199032</v>
      </c>
      <c r="BO191" s="14">
        <f t="shared" si="32"/>
        <v>143</v>
      </c>
      <c r="BP191" s="14">
        <f t="shared" si="33"/>
        <v>144</v>
      </c>
      <c r="BQ191" s="14">
        <f t="shared" si="34"/>
        <v>1</v>
      </c>
    </row>
    <row r="192" spans="1:69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5"/>
        <v>158040192300</v>
      </c>
      <c r="M192" s="87">
        <f t="shared" si="30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1"/>
        <v>10.073857458853523</v>
      </c>
      <c r="BO192" s="14">
        <f t="shared" si="32"/>
        <v>698</v>
      </c>
      <c r="BP192" s="14">
        <f t="shared" si="33"/>
        <v>705</v>
      </c>
      <c r="BQ192" s="14">
        <f t="shared" si="34"/>
        <v>7</v>
      </c>
    </row>
    <row r="193" spans="1:69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5"/>
        <v>292304562000</v>
      </c>
      <c r="M193" s="87">
        <f t="shared" si="30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1"/>
        <v>8.8941006675085692</v>
      </c>
      <c r="BO193" s="14">
        <f t="shared" si="32"/>
        <v>640</v>
      </c>
      <c r="BP193" s="14">
        <f t="shared" si="33"/>
        <v>647</v>
      </c>
      <c r="BQ193" s="14">
        <f t="shared" si="34"/>
        <v>7</v>
      </c>
    </row>
    <row r="194" spans="1:69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5"/>
        <v>238745520000</v>
      </c>
      <c r="M194" s="87">
        <f t="shared" ref="M194:M216" si="36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37">100*(X194-F194)/F194</f>
        <v>9.8550724637681153</v>
      </c>
      <c r="BN194" s="14">
        <f t="shared" si="31"/>
        <v>9.8550724637681153</v>
      </c>
      <c r="BO194" s="14">
        <f t="shared" si="32"/>
        <v>-178</v>
      </c>
      <c r="BP194" s="14">
        <f t="shared" si="33"/>
        <v>-180</v>
      </c>
      <c r="BQ194" s="14">
        <f t="shared" si="34"/>
        <v>-2</v>
      </c>
    </row>
    <row r="195" spans="1:69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5"/>
        <v>261431313200</v>
      </c>
      <c r="M195" s="87">
        <f t="shared" si="36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37"/>
        <v>10.812869527367695</v>
      </c>
      <c r="BN195" s="135">
        <f t="shared" si="31"/>
        <v>10.812869527367695</v>
      </c>
      <c r="BO195" s="14">
        <f t="shared" si="32"/>
        <v>59</v>
      </c>
      <c r="BP195" s="14">
        <f t="shared" si="33"/>
        <v>59</v>
      </c>
      <c r="BQ195" s="14">
        <f t="shared" si="34"/>
        <v>0</v>
      </c>
    </row>
    <row r="196" spans="1:69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5"/>
        <v>245746021500</v>
      </c>
      <c r="M196" s="87">
        <f t="shared" si="36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37"/>
        <v>12.163093553886894</v>
      </c>
      <c r="BN196" s="135">
        <f t="shared" si="31"/>
        <v>12.163093553886894</v>
      </c>
      <c r="BO196" s="14">
        <f t="shared" si="32"/>
        <v>-17</v>
      </c>
      <c r="BP196" s="14">
        <f t="shared" si="33"/>
        <v>-16</v>
      </c>
      <c r="BQ196" s="14">
        <f t="shared" si="34"/>
        <v>1</v>
      </c>
    </row>
    <row r="197" spans="1:69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5"/>
        <v>265930387800</v>
      </c>
      <c r="M197" s="87">
        <f t="shared" si="36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37"/>
        <v>12.014814276896264</v>
      </c>
      <c r="BN197" s="139">
        <f t="shared" si="31"/>
        <v>12.014814276896264</v>
      </c>
      <c r="BO197" s="14">
        <f t="shared" si="32"/>
        <v>-163</v>
      </c>
      <c r="BP197" s="14">
        <f t="shared" si="33"/>
        <v>-165</v>
      </c>
      <c r="BQ197" s="14">
        <f t="shared" si="34"/>
        <v>-2</v>
      </c>
    </row>
    <row r="198" spans="1:69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5"/>
        <v>195317730000</v>
      </c>
      <c r="M198" s="143">
        <f t="shared" si="36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37"/>
        <v>11.985428051001822</v>
      </c>
      <c r="BO198" s="14">
        <f t="shared" si="32"/>
        <v>50</v>
      </c>
      <c r="BP198" s="14">
        <f t="shared" si="33"/>
        <v>50</v>
      </c>
      <c r="BQ198" s="14">
        <f t="shared" si="34"/>
        <v>0</v>
      </c>
    </row>
    <row r="199" spans="1:69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5"/>
        <v>203744554000</v>
      </c>
      <c r="M199" s="142">
        <f t="shared" si="36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37"/>
        <v>11.921254101348888</v>
      </c>
      <c r="BO199" s="14">
        <f t="shared" si="32"/>
        <v>-15</v>
      </c>
      <c r="BP199" s="14">
        <f t="shared" si="33"/>
        <v>-15</v>
      </c>
      <c r="BQ199" s="14">
        <f t="shared" si="34"/>
        <v>0</v>
      </c>
    </row>
    <row r="200" spans="1:69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5"/>
        <v>221059875700</v>
      </c>
      <c r="M200" s="142">
        <f t="shared" si="36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37"/>
        <v>10.426315597534737</v>
      </c>
      <c r="BO200" s="14">
        <f t="shared" si="32"/>
        <v>-12</v>
      </c>
      <c r="BP200" s="14">
        <f t="shared" si="33"/>
        <v>-12</v>
      </c>
      <c r="BQ200" s="14">
        <f t="shared" si="34"/>
        <v>0</v>
      </c>
    </row>
    <row r="201" spans="1:69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5"/>
        <v>185121144200</v>
      </c>
      <c r="M201" s="142">
        <f t="shared" si="36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37"/>
        <v>8.6686628204191916</v>
      </c>
      <c r="BO201" s="150">
        <f t="shared" si="32"/>
        <v>-136</v>
      </c>
      <c r="BP201" s="150">
        <f t="shared" si="33"/>
        <v>-137</v>
      </c>
      <c r="BQ201" s="150">
        <f t="shared" si="34"/>
        <v>-1</v>
      </c>
    </row>
    <row r="202" spans="1:69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5"/>
        <v>226575575000</v>
      </c>
      <c r="M202" s="149">
        <f t="shared" si="36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37"/>
        <v>8.5504587155963296</v>
      </c>
      <c r="BO202" s="14">
        <f t="shared" si="32"/>
        <v>-137</v>
      </c>
      <c r="BP202" s="14">
        <f t="shared" si="33"/>
        <v>-138</v>
      </c>
      <c r="BQ202" s="14">
        <f t="shared" si="34"/>
        <v>-1</v>
      </c>
    </row>
    <row r="203" spans="1:69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5"/>
        <v>232747680000</v>
      </c>
      <c r="M203" s="149">
        <f t="shared" si="36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37"/>
        <v>11.507352941176471</v>
      </c>
      <c r="BO203" s="150">
        <f t="shared" si="32"/>
        <v>-42</v>
      </c>
      <c r="BP203" s="150">
        <f t="shared" si="33"/>
        <v>-43</v>
      </c>
      <c r="BQ203" s="150">
        <f t="shared" si="34"/>
        <v>-1</v>
      </c>
    </row>
    <row r="204" spans="1:69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5"/>
        <v>153873553400</v>
      </c>
      <c r="M204" s="149">
        <f t="shared" si="36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37"/>
        <v>10.947724432027057</v>
      </c>
      <c r="BO204" s="150"/>
      <c r="BP204" s="150"/>
      <c r="BQ204" s="150"/>
    </row>
    <row r="205" spans="1:69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5"/>
        <v>205589995800</v>
      </c>
      <c r="M205" s="149">
        <f t="shared" si="36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37"/>
        <v>10.727152415263584</v>
      </c>
      <c r="BO205" s="156"/>
      <c r="BP205" s="156"/>
      <c r="BQ205" s="156"/>
    </row>
    <row r="206" spans="1:69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5"/>
        <v>196422165800</v>
      </c>
      <c r="M206" s="149">
        <f t="shared" si="36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37"/>
        <v>10.475205848687368</v>
      </c>
      <c r="BO206" s="156"/>
      <c r="BP206" s="156"/>
      <c r="BQ206" s="156"/>
    </row>
    <row r="207" spans="1:69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5"/>
        <v>243188800400</v>
      </c>
      <c r="M207" s="149">
        <f t="shared" si="36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37"/>
        <v>11.18076554318165</v>
      </c>
      <c r="BO207" s="156"/>
      <c r="BP207" s="156"/>
      <c r="BQ207" s="156"/>
    </row>
    <row r="208" spans="1:69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5"/>
        <v>203908204500</v>
      </c>
      <c r="M208" s="149">
        <f t="shared" si="36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37"/>
        <v>11.60302527209002</v>
      </c>
      <c r="BO208" s="156"/>
      <c r="BP208" s="156"/>
      <c r="BQ208" s="156"/>
    </row>
    <row r="209" spans="2:69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5"/>
        <v>214847881200</v>
      </c>
      <c r="M209" s="149">
        <f t="shared" si="36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37"/>
        <v>11.552320023531141</v>
      </c>
      <c r="BO209" s="156"/>
      <c r="BP209" s="156"/>
      <c r="BQ209" s="156"/>
    </row>
    <row r="210" spans="2:69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5"/>
        <v>177912997200</v>
      </c>
      <c r="M210" s="201">
        <f t="shared" si="36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37"/>
        <v>11.221413339216118</v>
      </c>
      <c r="BO210" s="156"/>
      <c r="BP210" s="156"/>
      <c r="BQ210" s="156"/>
    </row>
    <row r="211" spans="2:69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5"/>
        <v>216972767800</v>
      </c>
      <c r="M211" s="149">
        <f t="shared" si="36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37"/>
        <v>10.208134147238361</v>
      </c>
      <c r="BO211" s="206"/>
      <c r="BP211" s="206"/>
      <c r="BQ211" s="206"/>
    </row>
    <row r="212" spans="2:69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5"/>
        <v>218038353300</v>
      </c>
      <c r="M212" s="149">
        <f t="shared" si="36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37"/>
        <v>9.7619310446333305</v>
      </c>
      <c r="BO212" s="206"/>
      <c r="BP212" s="206"/>
      <c r="BQ212" s="206"/>
    </row>
    <row r="213" spans="2:69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5"/>
        <v>230330832200</v>
      </c>
      <c r="M213" s="142">
        <f t="shared" si="36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37"/>
        <v>10.309809404665538</v>
      </c>
      <c r="BO213" s="150"/>
      <c r="BP213" s="150"/>
      <c r="BQ213" s="150"/>
    </row>
    <row r="214" spans="2:69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5"/>
        <v>217747418200</v>
      </c>
      <c r="M214" s="142">
        <f t="shared" si="36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</row>
    <row r="215" spans="2:69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5"/>
        <v>229729585400</v>
      </c>
      <c r="M215" s="142">
        <f t="shared" si="36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</row>
    <row r="216" spans="2:69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5"/>
        <v>177481264800</v>
      </c>
      <c r="M216" s="142">
        <f t="shared" si="36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</row>
    <row r="217" spans="2:69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</row>
    <row r="218" spans="2:69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</row>
    <row r="219" spans="2:69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</row>
    <row r="220" spans="2:69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</row>
    <row r="221" spans="2:69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</row>
    <row r="222" spans="2:69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</row>
    <row r="223" spans="2:69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</row>
    <row r="224" spans="2:69" s="136" customFormat="1" ht="18">
      <c r="B224" s="131" t="s">
        <v>571</v>
      </c>
      <c r="C224" s="104">
        <v>20</v>
      </c>
      <c r="D224" s="137">
        <v>25821</v>
      </c>
      <c r="H224" s="136">
        <v>29413</v>
      </c>
      <c r="L224" s="208"/>
      <c r="M224" s="208"/>
      <c r="N224" s="136">
        <v>25856</v>
      </c>
      <c r="O224" s="136">
        <v>29250</v>
      </c>
      <c r="P224" s="136">
        <v>26080</v>
      </c>
      <c r="Q224" s="136">
        <v>29707</v>
      </c>
      <c r="V224" s="136">
        <v>27530</v>
      </c>
      <c r="X224" s="136">
        <v>27550</v>
      </c>
      <c r="Y224" s="136">
        <v>31165</v>
      </c>
      <c r="Z224" s="138"/>
      <c r="AB224" s="137"/>
      <c r="AS224" s="137"/>
      <c r="AW224" s="137"/>
      <c r="BI224" s="177"/>
      <c r="BO224" s="151"/>
      <c r="BP224" s="151"/>
      <c r="BQ224" s="151"/>
    </row>
    <row r="225" spans="4:49" ht="18">
      <c r="D225" s="26"/>
      <c r="G225">
        <f>SUM(G2:G216)</f>
        <v>1507843699</v>
      </c>
      <c r="K225">
        <f>SUM(K2:K216)</f>
        <v>210358000</v>
      </c>
      <c r="L225" s="142">
        <f>SUM(L2:L216)</f>
        <v>38488576407409</v>
      </c>
      <c r="M225" s="142">
        <f>SUM(M2:M216)</f>
        <v>6182194847600</v>
      </c>
      <c r="V225" s="144">
        <v>27520</v>
      </c>
      <c r="Z225" s="25"/>
      <c r="AS225" s="26"/>
      <c r="AW225" s="30"/>
    </row>
    <row r="226" spans="4:49" ht="18">
      <c r="V226" s="144">
        <v>27510</v>
      </c>
      <c r="Z226" s="25"/>
      <c r="AS226" s="26"/>
      <c r="AW226" s="30"/>
    </row>
    <row r="227" spans="4:49" ht="18">
      <c r="I227">
        <f>(G214-G225)/G214</f>
        <v>-187.200514110261</v>
      </c>
      <c r="J227">
        <f>J206-J205</f>
        <v>-347</v>
      </c>
      <c r="V227" s="144">
        <v>27500</v>
      </c>
      <c r="W227" s="152"/>
      <c r="Z227" s="25"/>
      <c r="AS227" s="26"/>
      <c r="AW227" s="30"/>
    </row>
    <row r="228" spans="4:49" ht="18">
      <c r="D228" s="93"/>
      <c r="E228">
        <f>D217-F216</f>
        <v>54</v>
      </c>
      <c r="V228" s="129"/>
      <c r="W228" s="152"/>
      <c r="Z228" s="25"/>
      <c r="AW228" s="30"/>
    </row>
    <row r="229" spans="4:49" ht="17.25" customHeight="1">
      <c r="D229" s="93"/>
      <c r="P229" t="s">
        <v>523</v>
      </c>
      <c r="Q229" t="s">
        <v>524</v>
      </c>
      <c r="V229" s="25"/>
      <c r="W229" s="152"/>
      <c r="Z229" s="25"/>
    </row>
    <row r="230" spans="4:49" ht="18">
      <c r="D230" s="93"/>
      <c r="O230" s="126" t="s">
        <v>503</v>
      </c>
      <c r="P230">
        <v>-178</v>
      </c>
      <c r="Q230">
        <v>-180</v>
      </c>
      <c r="V230" s="25"/>
      <c r="W230" s="152"/>
      <c r="Z230" s="25"/>
    </row>
    <row r="231" spans="4:49" ht="18">
      <c r="D231" s="93"/>
      <c r="H231">
        <f>(27376-26532)/26532</f>
        <v>3.1810643750942259E-2</v>
      </c>
      <c r="O231" s="132" t="s">
        <v>505</v>
      </c>
      <c r="P231">
        <v>59</v>
      </c>
      <c r="Q231">
        <v>59</v>
      </c>
      <c r="V231" s="25"/>
      <c r="W231" s="152"/>
      <c r="X231">
        <v>30920</v>
      </c>
      <c r="Y231">
        <f>(30920-28470)/30920</f>
        <v>7.923673997412678E-2</v>
      </c>
    </row>
    <row r="232" spans="4:49" ht="18">
      <c r="D232" s="93"/>
      <c r="N232">
        <f t="shared" ref="N232:N236" si="38">N199-N198</f>
        <v>-15</v>
      </c>
      <c r="O232" s="132" t="s">
        <v>507</v>
      </c>
      <c r="P232">
        <v>-17</v>
      </c>
      <c r="Q232">
        <v>-16</v>
      </c>
      <c r="V232" s="25"/>
      <c r="W232" s="152"/>
    </row>
    <row r="233" spans="4:49" ht="18">
      <c r="D233" s="107"/>
      <c r="N233">
        <f t="shared" si="38"/>
        <v>-12</v>
      </c>
      <c r="O233" s="132" t="s">
        <v>509</v>
      </c>
      <c r="P233">
        <v>-163</v>
      </c>
      <c r="Q233">
        <v>-165</v>
      </c>
      <c r="V233">
        <f>(3207-3086)/3086</f>
        <v>3.9209332469215812E-2</v>
      </c>
      <c r="W233" s="144"/>
    </row>
    <row r="234" spans="4:49" ht="18">
      <c r="D234" s="107"/>
      <c r="N234">
        <f t="shared" si="38"/>
        <v>-137</v>
      </c>
      <c r="O234" s="132" t="s">
        <v>511</v>
      </c>
      <c r="P234">
        <v>50</v>
      </c>
      <c r="Q234">
        <v>50</v>
      </c>
      <c r="W234" s="144">
        <f>V222-X221</f>
        <v>280</v>
      </c>
      <c r="X234" s="109"/>
    </row>
    <row r="235" spans="4:49" ht="18">
      <c r="D235" s="113"/>
      <c r="N235">
        <f t="shared" si="38"/>
        <v>-138</v>
      </c>
      <c r="O235" s="145" t="s">
        <v>513</v>
      </c>
      <c r="P235">
        <v>-15</v>
      </c>
      <c r="Q235">
        <v>-15</v>
      </c>
      <c r="W235" s="144"/>
      <c r="X235" s="109"/>
      <c r="Y235">
        <f>(W233-X215)/X215</f>
        <v>-1</v>
      </c>
    </row>
    <row r="236" spans="4:49" ht="18">
      <c r="D236" s="107"/>
      <c r="G236" s="9"/>
      <c r="N236">
        <f t="shared" si="38"/>
        <v>-43</v>
      </c>
      <c r="O236" s="145" t="s">
        <v>515</v>
      </c>
      <c r="P236">
        <v>-12</v>
      </c>
      <c r="Q236">
        <v>-12</v>
      </c>
      <c r="W236">
        <f>(42664-41338)/41338</f>
        <v>3.2077023561855919E-2</v>
      </c>
      <c r="X236" s="109"/>
    </row>
    <row r="237" spans="4:49" ht="18">
      <c r="D237" s="103"/>
      <c r="G237" s="9"/>
      <c r="N237">
        <f>N225-N203</f>
        <v>-27379</v>
      </c>
      <c r="O237" s="148" t="s">
        <v>517</v>
      </c>
      <c r="P237">
        <v>-136</v>
      </c>
      <c r="Q237">
        <v>-137</v>
      </c>
      <c r="X237" s="109"/>
    </row>
    <row r="238" spans="4:49" ht="18">
      <c r="G238" s="9"/>
      <c r="O238" s="145" t="s">
        <v>519</v>
      </c>
      <c r="P238">
        <v>-137</v>
      </c>
      <c r="Q238">
        <v>-138</v>
      </c>
      <c r="X238" s="109"/>
    </row>
    <row r="239" spans="4:49" ht="18">
      <c r="G239" s="9"/>
      <c r="O239" s="131" t="s">
        <v>521</v>
      </c>
      <c r="P239">
        <v>-42</v>
      </c>
      <c r="Q239">
        <v>-43</v>
      </c>
      <c r="X239" s="109"/>
    </row>
    <row r="240" spans="4:49" ht="18">
      <c r="G240" s="9"/>
    </row>
  </sheetData>
  <autoFilter ref="A1:BN227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4"/>
  <sheetViews>
    <sheetView topLeftCell="A160" zoomScale="40" zoomScaleNormal="40" workbookViewId="0">
      <selection activeCell="H169" sqref="H169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>
      <c r="B42">
        <f>(B2-B8)/B2</f>
        <v>0.15346494762288476</v>
      </c>
      <c r="C42">
        <f>(C2-C8)/C2</f>
        <v>0.1154959674639829</v>
      </c>
      <c r="D42">
        <f>SUM(D2:D39)/38</f>
        <v>37702089.447368421</v>
      </c>
    </row>
    <row r="44" spans="1:11">
      <c r="E44">
        <f>(D39-D42)/D42</f>
        <v>0.21324840799221964</v>
      </c>
      <c r="J44">
        <f>(D36-D35)/D35</f>
        <v>-0.50773339408667473</v>
      </c>
    </row>
    <row r="45" spans="1:11">
      <c r="F45">
        <f>(F36-F35)/F35</f>
        <v>-0.62892307692307692</v>
      </c>
    </row>
    <row r="46" spans="1:11">
      <c r="D46">
        <v>5375132</v>
      </c>
      <c r="E46">
        <f>(E17-D46)/D46</f>
        <v>4.5958809321644006E-2</v>
      </c>
      <c r="G46">
        <f t="shared" ref="G46:G54" si="2">B3-B2</f>
        <v>-554</v>
      </c>
    </row>
    <row r="47" spans="1:11">
      <c r="G47">
        <f t="shared" si="2"/>
        <v>-302</v>
      </c>
    </row>
    <row r="48" spans="1:11">
      <c r="C48">
        <f>(D46-E16)/E16</f>
        <v>0.17110375179746395</v>
      </c>
      <c r="G48">
        <f t="shared" si="2"/>
        <v>-511</v>
      </c>
    </row>
    <row r="49" spans="6:10">
      <c r="G49">
        <f t="shared" si="2"/>
        <v>-362</v>
      </c>
    </row>
    <row r="50" spans="6:10">
      <c r="G50">
        <f t="shared" si="2"/>
        <v>-1699</v>
      </c>
    </row>
    <row r="51" spans="6:10">
      <c r="G51">
        <f t="shared" si="2"/>
        <v>-381</v>
      </c>
    </row>
    <row r="52" spans="6:10">
      <c r="G52">
        <f t="shared" si="2"/>
        <v>1075</v>
      </c>
    </row>
    <row r="53" spans="6:10">
      <c r="F53">
        <f>(F33-F32)/F32</f>
        <v>0.23948268173034043</v>
      </c>
      <c r="G53">
        <f t="shared" si="2"/>
        <v>151</v>
      </c>
      <c r="J53">
        <f>(F34-F35)/F34</f>
        <v>0.13877341459779063</v>
      </c>
    </row>
    <row r="54" spans="6:10">
      <c r="G54">
        <f t="shared" si="2"/>
        <v>1043</v>
      </c>
    </row>
  </sheetData>
  <autoFilter ref="A1:K54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48"/>
  <sheetViews>
    <sheetView tabSelected="1" topLeftCell="A1929" zoomScaleNormal="100" workbookViewId="0">
      <selection activeCell="B1934" sqref="B1934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3" t="s">
        <v>246</v>
      </c>
      <c r="B1" s="213"/>
      <c r="C1" s="213"/>
      <c r="D1" s="213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3" t="s">
        <v>256</v>
      </c>
      <c r="B11" s="213"/>
      <c r="C11" s="213"/>
      <c r="D11" s="213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3" t="s">
        <v>258</v>
      </c>
      <c r="B21" s="213"/>
      <c r="C21" s="213"/>
      <c r="D21" s="213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3" t="s">
        <v>259</v>
      </c>
      <c r="B31" s="213"/>
      <c r="C31" s="213"/>
      <c r="D31" s="213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3" t="s">
        <v>260</v>
      </c>
      <c r="B41" s="213"/>
      <c r="C41" s="213"/>
      <c r="D41" s="213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3" t="s">
        <v>262</v>
      </c>
      <c r="B51" s="213"/>
      <c r="C51" s="213"/>
      <c r="D51" s="213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3" t="s">
        <v>263</v>
      </c>
      <c r="B61" s="213"/>
      <c r="C61" s="213"/>
      <c r="D61" s="213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3" t="s">
        <v>264</v>
      </c>
      <c r="B71" s="213"/>
      <c r="C71" s="213"/>
      <c r="D71" s="213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3" t="s">
        <v>265</v>
      </c>
      <c r="B81" s="213"/>
      <c r="C81" s="213"/>
      <c r="D81" s="213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3" t="s">
        <v>269</v>
      </c>
      <c r="B93" s="213"/>
      <c r="C93" s="213"/>
      <c r="D93" s="213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3" t="s">
        <v>270</v>
      </c>
      <c r="B103" s="213"/>
      <c r="C103" s="213"/>
      <c r="D103" s="213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3" t="s">
        <v>272</v>
      </c>
      <c r="B113" s="213"/>
      <c r="C113" s="213"/>
      <c r="D113" s="213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3" t="s">
        <v>273</v>
      </c>
      <c r="B123" s="213"/>
      <c r="C123" s="213"/>
      <c r="D123" s="213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3" t="s">
        <v>274</v>
      </c>
      <c r="B133" s="213"/>
      <c r="C133" s="213"/>
      <c r="D133" s="213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3" t="s">
        <v>275</v>
      </c>
      <c r="B143" s="213"/>
      <c r="C143" s="213"/>
      <c r="D143" s="213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3" t="s">
        <v>277</v>
      </c>
      <c r="B153" s="213"/>
      <c r="C153" s="213"/>
      <c r="D153" s="213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3" t="s">
        <v>278</v>
      </c>
      <c r="B163" s="213"/>
      <c r="C163" s="213"/>
      <c r="D163" s="213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3" t="s">
        <v>279</v>
      </c>
      <c r="B173" s="213"/>
      <c r="C173" s="213"/>
      <c r="D173" s="213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3" t="s">
        <v>280</v>
      </c>
      <c r="B183" s="213"/>
      <c r="C183" s="213"/>
      <c r="D183" s="213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3" t="s">
        <v>281</v>
      </c>
      <c r="B193" s="213"/>
      <c r="C193" s="213"/>
      <c r="D193" s="213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3" t="s">
        <v>282</v>
      </c>
      <c r="B203" s="213"/>
      <c r="C203" s="213"/>
      <c r="D203" s="213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3" t="s">
        <v>283</v>
      </c>
      <c r="B213" s="213"/>
      <c r="C213" s="213"/>
      <c r="D213" s="213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3" t="s">
        <v>284</v>
      </c>
      <c r="B223" s="213"/>
      <c r="C223" s="213"/>
      <c r="D223" s="213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3" t="s">
        <v>285</v>
      </c>
      <c r="B233" s="213"/>
      <c r="C233" s="213"/>
      <c r="D233" s="213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3" t="s">
        <v>286</v>
      </c>
      <c r="B243" s="213"/>
      <c r="C243" s="213"/>
      <c r="D243" s="213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3" t="s">
        <v>287</v>
      </c>
      <c r="B253" s="213"/>
      <c r="C253" s="213"/>
      <c r="D253" s="213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3" t="s">
        <v>288</v>
      </c>
      <c r="B263" s="213"/>
      <c r="C263" s="213"/>
      <c r="D263" s="213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3" t="s">
        <v>289</v>
      </c>
      <c r="B273" s="213"/>
      <c r="C273" s="213"/>
      <c r="D273" s="213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3" t="s">
        <v>290</v>
      </c>
      <c r="B283" s="213"/>
      <c r="C283" s="213"/>
      <c r="D283" s="213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3" t="s">
        <v>291</v>
      </c>
      <c r="B293" s="213"/>
      <c r="C293" s="213"/>
      <c r="D293" s="213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3" t="s">
        <v>292</v>
      </c>
      <c r="B303" s="213"/>
      <c r="C303" s="213"/>
      <c r="D303" s="213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3" t="s">
        <v>296</v>
      </c>
      <c r="B313" s="213"/>
      <c r="C313" s="213"/>
      <c r="D313" s="213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3" t="s">
        <v>300</v>
      </c>
      <c r="B324" s="213"/>
      <c r="C324" s="213"/>
      <c r="D324" s="213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3" t="s">
        <v>303</v>
      </c>
      <c r="B335" s="213"/>
      <c r="C335" s="213"/>
      <c r="D335" s="213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3" t="s">
        <v>304</v>
      </c>
      <c r="B346" s="213"/>
      <c r="C346" s="213"/>
      <c r="D346" s="213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3" t="s">
        <v>305</v>
      </c>
      <c r="B357" s="213"/>
      <c r="C357" s="213"/>
      <c r="D357" s="213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3" t="s">
        <v>306</v>
      </c>
      <c r="B368" s="213"/>
      <c r="C368" s="213"/>
      <c r="D368" s="213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3" t="s">
        <v>307</v>
      </c>
      <c r="B379" s="213"/>
      <c r="C379" s="213"/>
      <c r="D379" s="213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3" t="s">
        <v>308</v>
      </c>
      <c r="B390" s="213"/>
      <c r="C390" s="213"/>
      <c r="D390" s="213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3" t="s">
        <v>309</v>
      </c>
      <c r="B401" s="213"/>
      <c r="C401" s="213"/>
      <c r="D401" s="213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3" t="s">
        <v>310</v>
      </c>
      <c r="B412" s="213"/>
      <c r="C412" s="213"/>
      <c r="D412" s="213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3" t="s">
        <v>311</v>
      </c>
      <c r="B423" s="213"/>
      <c r="C423" s="213"/>
      <c r="D423" s="213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3" t="s">
        <v>315</v>
      </c>
      <c r="B434" s="213"/>
      <c r="C434" s="213"/>
      <c r="D434" s="213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3" t="s">
        <v>316</v>
      </c>
      <c r="B445" s="213"/>
      <c r="C445" s="213"/>
      <c r="D445" s="213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3" t="s">
        <v>317</v>
      </c>
      <c r="B456" s="213"/>
      <c r="C456" s="213"/>
      <c r="D456" s="213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3" t="s">
        <v>318</v>
      </c>
      <c r="B467" s="213"/>
      <c r="C467" s="213"/>
      <c r="D467" s="213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3" t="s">
        <v>319</v>
      </c>
      <c r="B478" s="213"/>
      <c r="C478" s="213"/>
      <c r="D478" s="213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3" t="s">
        <v>320</v>
      </c>
      <c r="B489" s="213"/>
      <c r="C489" s="213"/>
      <c r="D489" s="213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3" t="s">
        <v>323</v>
      </c>
      <c r="B500" s="213"/>
      <c r="C500" s="213"/>
      <c r="D500" s="213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3" t="s">
        <v>324</v>
      </c>
      <c r="B511" s="213"/>
      <c r="C511" s="213"/>
      <c r="D511" s="213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3" t="s">
        <v>325</v>
      </c>
      <c r="B522" s="213"/>
      <c r="C522" s="213"/>
      <c r="D522" s="213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3" t="s">
        <v>326</v>
      </c>
      <c r="B533" s="213"/>
      <c r="C533" s="213"/>
      <c r="D533" s="213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3" t="s">
        <v>327</v>
      </c>
      <c r="B544" s="213"/>
      <c r="C544" s="213"/>
      <c r="D544" s="213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3" t="s">
        <v>328</v>
      </c>
      <c r="B555" s="213"/>
      <c r="C555" s="213"/>
      <c r="D555" s="213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3" t="s">
        <v>328</v>
      </c>
      <c r="B567" s="213"/>
      <c r="C567" s="213"/>
      <c r="D567" s="213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3" t="s">
        <v>333</v>
      </c>
      <c r="B579" s="213"/>
      <c r="C579" s="213"/>
      <c r="D579" s="213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3" t="s">
        <v>334</v>
      </c>
      <c r="B590" s="213"/>
      <c r="C590" s="213"/>
      <c r="D590" s="213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3" t="s">
        <v>335</v>
      </c>
      <c r="B601" s="213"/>
      <c r="C601" s="213"/>
      <c r="D601" s="213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3" t="s">
        <v>336</v>
      </c>
      <c r="B612" s="213"/>
      <c r="C612" s="213"/>
      <c r="D612" s="213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3" t="s">
        <v>337</v>
      </c>
      <c r="B623" s="213"/>
      <c r="C623" s="213"/>
      <c r="D623" s="213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3" t="s">
        <v>338</v>
      </c>
      <c r="B635" s="213"/>
      <c r="C635" s="213"/>
      <c r="D635" s="213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3" t="s">
        <v>340</v>
      </c>
      <c r="B647" s="213"/>
      <c r="C647" s="213"/>
      <c r="D647" s="213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3" t="s">
        <v>341</v>
      </c>
      <c r="B658" s="213"/>
      <c r="C658" s="213"/>
      <c r="D658" s="213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3" t="s">
        <v>342</v>
      </c>
      <c r="B670" s="213"/>
      <c r="C670" s="213"/>
      <c r="D670" s="213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3" t="s">
        <v>343</v>
      </c>
      <c r="B681" s="213"/>
      <c r="C681" s="213"/>
      <c r="D681" s="213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3" t="s">
        <v>344</v>
      </c>
      <c r="B692" s="213"/>
      <c r="C692" s="213"/>
      <c r="D692" s="213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3" t="s">
        <v>345</v>
      </c>
      <c r="B703" s="213"/>
      <c r="C703" s="213"/>
      <c r="D703" s="213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3" t="s">
        <v>348</v>
      </c>
      <c r="B715" s="213"/>
      <c r="C715" s="213"/>
      <c r="D715" s="213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3" t="s">
        <v>349</v>
      </c>
      <c r="B726" s="213"/>
      <c r="C726" s="213"/>
      <c r="D726" s="213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3" t="s">
        <v>350</v>
      </c>
      <c r="B738" s="213"/>
      <c r="C738" s="213"/>
      <c r="D738" s="213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3" t="s">
        <v>351</v>
      </c>
      <c r="B749" s="213"/>
      <c r="C749" s="213"/>
      <c r="D749" s="213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3" t="s">
        <v>352</v>
      </c>
      <c r="B760" s="213"/>
      <c r="C760" s="213"/>
      <c r="D760" s="213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3" t="s">
        <v>353</v>
      </c>
      <c r="B772" s="213"/>
      <c r="C772" s="213"/>
      <c r="D772" s="213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3" t="s">
        <v>355</v>
      </c>
      <c r="B784" s="213"/>
      <c r="C784" s="213"/>
      <c r="D784" s="213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3" t="s">
        <v>356</v>
      </c>
      <c r="B796" s="213"/>
      <c r="C796" s="213"/>
      <c r="D796" s="213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3" t="s">
        <v>357</v>
      </c>
      <c r="B809" s="213"/>
      <c r="C809" s="213"/>
      <c r="D809" s="213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3" t="s">
        <v>358</v>
      </c>
      <c r="B820" s="213"/>
      <c r="C820" s="213"/>
      <c r="D820" s="213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3" t="s">
        <v>359</v>
      </c>
      <c r="B831" s="213"/>
      <c r="C831" s="213"/>
      <c r="D831" s="213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3" t="s">
        <v>360</v>
      </c>
      <c r="B842" s="213"/>
      <c r="C842" s="213"/>
      <c r="D842" s="213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3" t="s">
        <v>361</v>
      </c>
      <c r="B854" s="213"/>
      <c r="C854" s="213"/>
      <c r="D854" s="213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3" t="s">
        <v>363</v>
      </c>
      <c r="B865" s="213"/>
      <c r="C865" s="213"/>
      <c r="D865" s="213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3" t="s">
        <v>364</v>
      </c>
      <c r="B876" s="213"/>
      <c r="C876" s="213"/>
      <c r="D876" s="213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3" t="s">
        <v>367</v>
      </c>
      <c r="B888" s="213"/>
      <c r="C888" s="213"/>
      <c r="D888" s="213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3" t="s">
        <v>368</v>
      </c>
      <c r="B901" s="213"/>
      <c r="C901" s="213"/>
      <c r="D901" s="213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3" t="s">
        <v>369</v>
      </c>
      <c r="B913" s="213"/>
      <c r="C913" s="213"/>
      <c r="D913" s="213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3" t="s">
        <v>370</v>
      </c>
      <c r="B925" s="213"/>
      <c r="C925" s="213"/>
      <c r="D925" s="213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3" t="s">
        <v>371</v>
      </c>
      <c r="B937" s="213"/>
      <c r="C937" s="213"/>
      <c r="D937" s="213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3" t="s">
        <v>372</v>
      </c>
      <c r="B949" s="213"/>
      <c r="C949" s="213"/>
      <c r="D949" s="213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3" t="s">
        <v>400</v>
      </c>
      <c r="B961" s="213"/>
      <c r="C961" s="213"/>
      <c r="D961" s="213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3" t="s">
        <v>402</v>
      </c>
      <c r="B974" s="213"/>
      <c r="C974" s="213"/>
      <c r="D974" s="213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3" t="s">
        <v>404</v>
      </c>
      <c r="B987" s="213"/>
      <c r="C987" s="213"/>
      <c r="D987" s="213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3" t="s">
        <v>405</v>
      </c>
      <c r="B1000" s="213"/>
      <c r="C1000" s="213"/>
      <c r="D1000" s="213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3" t="s">
        <v>408</v>
      </c>
      <c r="B1012" s="213"/>
      <c r="C1012" s="213"/>
      <c r="D1012" s="213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3" t="s">
        <v>410</v>
      </c>
      <c r="B1025" s="213"/>
      <c r="C1025" s="213"/>
      <c r="D1025" s="213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3" t="s">
        <v>413</v>
      </c>
      <c r="B1037" s="213"/>
      <c r="C1037" s="213"/>
      <c r="D1037" s="213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3" t="s">
        <v>415</v>
      </c>
      <c r="B1049" s="213"/>
      <c r="C1049" s="213"/>
      <c r="D1049" s="213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3" t="s">
        <v>417</v>
      </c>
      <c r="B1061" s="213"/>
      <c r="C1061" s="213"/>
      <c r="D1061" s="213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3" t="s">
        <v>419</v>
      </c>
      <c r="B1073" s="213"/>
      <c r="C1073" s="213"/>
      <c r="D1073" s="213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3" t="s">
        <v>421</v>
      </c>
      <c r="B1085" s="213"/>
      <c r="C1085" s="213"/>
      <c r="D1085" s="213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3" t="s">
        <v>423</v>
      </c>
      <c r="B1098" s="213"/>
      <c r="C1098" s="213"/>
      <c r="D1098" s="213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3" t="s">
        <v>426</v>
      </c>
      <c r="B1110" s="213"/>
      <c r="C1110" s="213"/>
      <c r="D1110" s="213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3" t="s">
        <v>428</v>
      </c>
      <c r="B1123" s="213"/>
      <c r="C1123" s="213"/>
      <c r="D1123" s="213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3" t="s">
        <v>430</v>
      </c>
      <c r="B1136" s="213"/>
      <c r="C1136" s="213"/>
      <c r="D1136" s="213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3" t="s">
        <v>432</v>
      </c>
      <c r="B1149" s="213"/>
      <c r="C1149" s="213"/>
      <c r="D1149" s="213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3" t="s">
        <v>434</v>
      </c>
      <c r="B1162" s="213"/>
      <c r="C1162" s="213"/>
      <c r="D1162" s="213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3" t="s">
        <v>437</v>
      </c>
      <c r="B1173" s="213"/>
      <c r="C1173" s="213"/>
      <c r="D1173" s="213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3" t="s">
        <v>439</v>
      </c>
      <c r="B1185" s="213"/>
      <c r="C1185" s="213"/>
      <c r="D1185" s="213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3" t="s">
        <v>441</v>
      </c>
      <c r="B1197" s="213"/>
      <c r="C1197" s="213"/>
      <c r="D1197" s="213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3" t="s">
        <v>443</v>
      </c>
      <c r="B1209" s="213"/>
      <c r="C1209" s="213"/>
      <c r="D1209" s="213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3" t="s">
        <v>445</v>
      </c>
      <c r="B1222" s="213"/>
      <c r="C1222" s="213"/>
      <c r="D1222" s="213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3" t="s">
        <v>447</v>
      </c>
      <c r="B1234" s="213"/>
      <c r="C1234" s="213"/>
      <c r="D1234" s="213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3" t="s">
        <v>449</v>
      </c>
      <c r="B1246" s="213"/>
      <c r="C1246" s="213"/>
      <c r="D1246" s="213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3" t="s">
        <v>452</v>
      </c>
      <c r="B1258" s="213"/>
      <c r="C1258" s="213"/>
      <c r="D1258" s="213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3" t="s">
        <v>454</v>
      </c>
      <c r="B1270" s="213"/>
      <c r="C1270" s="213"/>
      <c r="D1270" s="213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3" t="s">
        <v>456</v>
      </c>
      <c r="B1282" s="213"/>
      <c r="C1282" s="213"/>
      <c r="D1282" s="213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3" t="s">
        <v>458</v>
      </c>
      <c r="B1294" s="213"/>
      <c r="C1294" s="213"/>
      <c r="D1294" s="213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3" t="s">
        <v>460</v>
      </c>
      <c r="B1306" s="213"/>
      <c r="C1306" s="213"/>
      <c r="D1306" s="213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3" t="s">
        <v>462</v>
      </c>
      <c r="B1318" s="213"/>
      <c r="C1318" s="213"/>
      <c r="D1318" s="213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3" t="s">
        <v>464</v>
      </c>
      <c r="B1330" s="213"/>
      <c r="C1330" s="213"/>
      <c r="D1330" s="213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3" t="s">
        <v>467</v>
      </c>
      <c r="B1343" s="213"/>
      <c r="C1343" s="213"/>
      <c r="D1343" s="213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3" t="s">
        <v>469</v>
      </c>
      <c r="B1355" s="213"/>
      <c r="C1355" s="213"/>
      <c r="D1355" s="213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3" t="s">
        <v>471</v>
      </c>
      <c r="B1368" s="213"/>
      <c r="C1368" s="213"/>
      <c r="D1368" s="213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3" t="s">
        <v>473</v>
      </c>
      <c r="B1380" s="213"/>
      <c r="C1380" s="213"/>
      <c r="D1380" s="213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3" t="s">
        <v>476</v>
      </c>
      <c r="B1392" s="213"/>
      <c r="C1392" s="213"/>
      <c r="D1392" s="213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3" t="s">
        <v>478</v>
      </c>
      <c r="B1404" s="213"/>
      <c r="C1404" s="213"/>
      <c r="D1404" s="213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3" t="s">
        <v>479</v>
      </c>
      <c r="B1416" s="213"/>
      <c r="C1416" s="213"/>
      <c r="D1416" s="213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3" t="s">
        <v>480</v>
      </c>
      <c r="B1428" s="213"/>
      <c r="C1428" s="213"/>
      <c r="D1428" s="213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3" t="s">
        <v>481</v>
      </c>
      <c r="B1441" s="213"/>
      <c r="C1441" s="213"/>
      <c r="D1441" s="213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3" t="s">
        <v>482</v>
      </c>
      <c r="B1453" s="213"/>
      <c r="C1453" s="213"/>
      <c r="D1453" s="213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3" t="s">
        <v>489</v>
      </c>
      <c r="B1465" s="213"/>
      <c r="C1465" s="213"/>
      <c r="D1465" s="213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3" t="s">
        <v>491</v>
      </c>
      <c r="B1477" s="213"/>
      <c r="C1477" s="213"/>
      <c r="D1477" s="213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3" t="s">
        <v>493</v>
      </c>
      <c r="B1490" s="213"/>
      <c r="C1490" s="213"/>
      <c r="D1490" s="213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3" t="s">
        <v>495</v>
      </c>
      <c r="B1502" s="213"/>
      <c r="C1502" s="213"/>
      <c r="D1502" s="213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3" t="s">
        <v>497</v>
      </c>
      <c r="B1514" s="213"/>
      <c r="C1514" s="213"/>
      <c r="D1514" s="213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3" t="s">
        <v>499</v>
      </c>
      <c r="B1526" s="213"/>
      <c r="C1526" s="213"/>
      <c r="D1526" s="213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3" t="s">
        <v>502</v>
      </c>
      <c r="B1539" s="213"/>
      <c r="C1539" s="213"/>
      <c r="D1539" s="213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3" t="s">
        <v>504</v>
      </c>
      <c r="B1551" s="213"/>
      <c r="C1551" s="213"/>
      <c r="D1551" s="213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3" t="s">
        <v>506</v>
      </c>
      <c r="B1563" s="213"/>
      <c r="C1563" s="213"/>
      <c r="D1563" s="213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3" t="s">
        <v>508</v>
      </c>
      <c r="B1576" s="213"/>
      <c r="C1576" s="213"/>
      <c r="D1576" s="213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3" t="s">
        <v>510</v>
      </c>
      <c r="B1589" s="213"/>
      <c r="C1589" s="213"/>
      <c r="D1589" s="213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2" t="s">
        <v>510</v>
      </c>
      <c r="B1601" s="212"/>
      <c r="C1601" s="212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2" t="s">
        <v>510</v>
      </c>
      <c r="B1613" s="212"/>
      <c r="C1613" s="212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2" t="s">
        <v>514</v>
      </c>
      <c r="B1629" s="212"/>
      <c r="C1629" s="212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2" t="s">
        <v>516</v>
      </c>
      <c r="B1640" s="212"/>
      <c r="C1640" s="212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2" t="s">
        <v>518</v>
      </c>
      <c r="B1653" s="212"/>
      <c r="C1653" s="212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2" t="s">
        <v>520</v>
      </c>
      <c r="B1665" s="212"/>
      <c r="C1665" s="212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2" t="s">
        <v>522</v>
      </c>
      <c r="B1677" s="212"/>
      <c r="C1677" s="212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2" t="s">
        <v>526</v>
      </c>
      <c r="B1690" s="212"/>
      <c r="C1690" s="212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2" t="s">
        <v>529</v>
      </c>
      <c r="B1703" s="212"/>
      <c r="C1703" s="212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2" t="s">
        <v>531</v>
      </c>
      <c r="B1716" s="212"/>
      <c r="C1716" s="212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2" t="s">
        <v>533</v>
      </c>
      <c r="B1729" s="212"/>
      <c r="C1729" s="212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2" t="s">
        <v>536</v>
      </c>
      <c r="B1742" s="212"/>
      <c r="C1742" s="212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2" t="s">
        <v>538</v>
      </c>
      <c r="B1754" s="212"/>
      <c r="C1754" s="212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2" t="s">
        <v>540</v>
      </c>
      <c r="B1767" s="212"/>
      <c r="C1767" s="212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2" t="s">
        <v>542</v>
      </c>
      <c r="B1779" s="212"/>
      <c r="C1779" s="212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2" t="s">
        <v>545</v>
      </c>
      <c r="B1791" s="212"/>
      <c r="C1791" s="212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2" t="s">
        <v>547</v>
      </c>
      <c r="B1803" s="212"/>
      <c r="C1803" s="212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2" t="s">
        <v>549</v>
      </c>
      <c r="B1816" s="212"/>
      <c r="C1816" s="212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2" t="s">
        <v>551</v>
      </c>
      <c r="B1829" s="212"/>
      <c r="C1829" s="212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2" t="s">
        <v>553</v>
      </c>
      <c r="B1842" s="212"/>
      <c r="C1842" s="212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2" t="s">
        <v>557</v>
      </c>
      <c r="B1854" s="212"/>
      <c r="C1854" s="212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2" t="s">
        <v>558</v>
      </c>
      <c r="B1866" s="212"/>
      <c r="C1866" s="212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2" t="s">
        <v>560</v>
      </c>
      <c r="B1878" s="212"/>
      <c r="C1878" s="212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2" t="s">
        <v>562</v>
      </c>
      <c r="B1890" s="212"/>
      <c r="C1890" s="212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2" t="s">
        <v>564</v>
      </c>
      <c r="B1903" s="212"/>
      <c r="C1903" s="212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2" t="s">
        <v>568</v>
      </c>
      <c r="B1916" s="212"/>
      <c r="C1916" s="212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2" t="s">
        <v>570</v>
      </c>
      <c r="B1928" s="212"/>
      <c r="C1928" s="212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2" t="s">
        <v>572</v>
      </c>
      <c r="B1940" s="212"/>
      <c r="C1940" s="212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</sheetData>
  <mergeCells count="168"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428:D1428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754:C1754"/>
    <mergeCell ref="A1742:C1742"/>
    <mergeCell ref="A1729:C1729"/>
    <mergeCell ref="A1716:C1716"/>
    <mergeCell ref="A1703:C1703"/>
    <mergeCell ref="A1829:C1829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940:C1940"/>
    <mergeCell ref="A1890:C1890"/>
    <mergeCell ref="A1878:C1878"/>
    <mergeCell ref="A1866:C1866"/>
    <mergeCell ref="A1854:C1854"/>
    <mergeCell ref="A1842:C1842"/>
    <mergeCell ref="A1816:C1816"/>
    <mergeCell ref="A1791:C1791"/>
    <mergeCell ref="A1779:C1779"/>
    <mergeCell ref="A1928:C1928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4" t="s">
        <v>373</v>
      </c>
      <c r="B1" s="214"/>
      <c r="C1" s="214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50"/>
  <sheetViews>
    <sheetView topLeftCell="A10" zoomScale="85" zoomScaleNormal="85" workbookViewId="0">
      <selection activeCell="B36" sqref="B36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50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50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0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2022-01-10T13:09:07Z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