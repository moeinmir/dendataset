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firstSheet="4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set'!$A$1:$BL$161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6" i="1" l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7" i="1"/>
  <c r="F161" i="1" s="1"/>
  <c r="M149" i="1" l="1"/>
  <c r="L149" i="1"/>
  <c r="G161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2" i="2"/>
  <c r="G41" i="2"/>
  <c r="G40" i="2"/>
  <c r="G39" i="2"/>
  <c r="G38" i="2"/>
  <c r="G37" i="2"/>
  <c r="G36" i="2"/>
  <c r="G35" i="2"/>
  <c r="G34" i="2"/>
  <c r="D30" i="2"/>
  <c r="C30" i="2"/>
  <c r="B3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4" i="2" s="1"/>
  <c r="G16" i="2"/>
  <c r="E16" i="2"/>
  <c r="C3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5" i="1"/>
  <c r="AW161" i="1"/>
  <c r="AW164" i="1" s="1"/>
  <c r="AU161" i="1"/>
  <c r="T161" i="1"/>
  <c r="BB160" i="1"/>
  <c r="AY159" i="1"/>
  <c r="BJ157" i="1"/>
  <c r="BI157" i="1"/>
  <c r="K157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7" i="1" l="1"/>
  <c r="U1" i="1" s="1"/>
  <c r="L157" i="1"/>
  <c r="S1" i="1" s="1"/>
</calcChain>
</file>

<file path=xl/sharedStrings.xml><?xml version="1.0" encoding="utf-8"?>
<sst xmlns="http://schemas.openxmlformats.org/spreadsheetml/2006/main" count="1322" uniqueCount="422">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</sst>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4560"/>
        <c:axId val="1106948368"/>
      </c:lineChart>
      <c:catAx>
        <c:axId val="110694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8368"/>
        <c:crosses val="autoZero"/>
        <c:auto val="1"/>
        <c:lblAlgn val="ctr"/>
        <c:lblOffset val="100"/>
        <c:noMultiLvlLbl val="0"/>
      </c:catAx>
      <c:valAx>
        <c:axId val="11069483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45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weekly!$B$4:$B$29</c:f>
              <c:numCache>
                <c:formatCode>General</c:formatCode>
                <c:ptCount val="26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  <c:pt idx="25">
                  <c:v>26563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weekly!$H$4:$H$29</c:f>
              <c:numCache>
                <c:formatCode>General</c:formatCode>
                <c:ptCount val="26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  <c:pt idx="25">
                  <c:v>26765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weekly!$J$4:$J$29</c:f>
              <c:numCache>
                <c:formatCode>General</c:formatCode>
                <c:ptCount val="26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  <c:pt idx="25">
                  <c:v>27350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51632"/>
        <c:axId val="1106942928"/>
      </c:lineChart>
      <c:catAx>
        <c:axId val="110695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2928"/>
        <c:crosses val="autoZero"/>
        <c:auto val="1"/>
        <c:lblAlgn val="ctr"/>
        <c:lblOffset val="100"/>
        <c:noMultiLvlLbl val="0"/>
      </c:catAx>
      <c:valAx>
        <c:axId val="110694292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16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weekly!$D$2:$D$29</c:f>
              <c:numCache>
                <c:formatCode>General</c:formatCode>
                <c:ptCount val="2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3472"/>
        <c:axId val="1106952176"/>
      </c:lineChart>
      <c:catAx>
        <c:axId val="110694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2176"/>
        <c:crosses val="autoZero"/>
        <c:auto val="1"/>
        <c:lblAlgn val="ctr"/>
        <c:lblOffset val="100"/>
        <c:noMultiLvlLbl val="0"/>
      </c:catAx>
      <c:valAx>
        <c:axId val="11069521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347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0752"/>
        <c:axId val="1106953264"/>
      </c:lineChart>
      <c:catAx>
        <c:axId val="110694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3264"/>
        <c:crosses val="autoZero"/>
        <c:auto val="1"/>
        <c:lblAlgn val="ctr"/>
        <c:lblOffset val="100"/>
        <c:noMultiLvlLbl val="0"/>
      </c:catAx>
      <c:valAx>
        <c:axId val="1106953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07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weekly!$F$2:$F$29</c:f>
              <c:numCache>
                <c:formatCode>General</c:formatCode>
                <c:ptCount val="2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5648"/>
        <c:axId val="1106944016"/>
      </c:lineChart>
      <c:catAx>
        <c:axId val="110694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4016"/>
        <c:crosses val="autoZero"/>
        <c:auto val="1"/>
        <c:lblAlgn val="ctr"/>
        <c:lblOffset val="100"/>
        <c:noMultiLvlLbl val="0"/>
      </c:catAx>
      <c:valAx>
        <c:axId val="11069440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56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weekly!$C$4:$C$29</c15:sqref>
                  </c15:fullRef>
                </c:ext>
              </c:extLst>
              <c:f>weekly!$C$6:$C$29</c:f>
              <c:numCache>
                <c:formatCode>General</c:formatCode>
                <c:ptCount val="24"/>
                <c:pt idx="0">
                  <c:v>27709</c:v>
                </c:pt>
                <c:pt idx="1">
                  <c:v>26056</c:v>
                </c:pt>
                <c:pt idx="2">
                  <c:v>25663</c:v>
                </c:pt>
                <c:pt idx="3">
                  <c:v>26443</c:v>
                </c:pt>
                <c:pt idx="4">
                  <c:v>27160</c:v>
                </c:pt>
                <c:pt idx="5">
                  <c:v>28146</c:v>
                </c:pt>
                <c:pt idx="6">
                  <c:v>28503</c:v>
                </c:pt>
                <c:pt idx="7">
                  <c:v>28179</c:v>
                </c:pt>
                <c:pt idx="8">
                  <c:v>28643</c:v>
                </c:pt>
                <c:pt idx="9">
                  <c:v>29419</c:v>
                </c:pt>
                <c:pt idx="10">
                  <c:v>29064</c:v>
                </c:pt>
                <c:pt idx="11">
                  <c:v>28534</c:v>
                </c:pt>
                <c:pt idx="12">
                  <c:v>28463</c:v>
                </c:pt>
                <c:pt idx="13">
                  <c:v>29286</c:v>
                </c:pt>
                <c:pt idx="14">
                  <c:v>29542</c:v>
                </c:pt>
                <c:pt idx="15">
                  <c:v>30113</c:v>
                </c:pt>
                <c:pt idx="16">
                  <c:v>31498</c:v>
                </c:pt>
                <c:pt idx="17">
                  <c:v>31196</c:v>
                </c:pt>
                <c:pt idx="18">
                  <c:v>31125</c:v>
                </c:pt>
                <c:pt idx="19">
                  <c:v>31241</c:v>
                </c:pt>
                <c:pt idx="20">
                  <c:v>31168</c:v>
                </c:pt>
                <c:pt idx="21">
                  <c:v>31502</c:v>
                </c:pt>
                <c:pt idx="22">
                  <c:v>31709</c:v>
                </c:pt>
                <c:pt idx="23">
                  <c:v>30553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weekly!$K$4:$K$29</c15:sqref>
                  </c15:fullRef>
                </c:ext>
              </c:extLst>
              <c:f>weekly!$K$6:$K$29</c:f>
              <c:numCache>
                <c:formatCode>General</c:formatCode>
                <c:ptCount val="24"/>
                <c:pt idx="0">
                  <c:v>28702</c:v>
                </c:pt>
                <c:pt idx="1">
                  <c:v>26548</c:v>
                </c:pt>
                <c:pt idx="2">
                  <c:v>26757</c:v>
                </c:pt>
                <c:pt idx="3">
                  <c:v>27886</c:v>
                </c:pt>
                <c:pt idx="4">
                  <c:v>28162</c:v>
                </c:pt>
                <c:pt idx="5">
                  <c:v>29322</c:v>
                </c:pt>
                <c:pt idx="6">
                  <c:v>29211</c:v>
                </c:pt>
                <c:pt idx="7">
                  <c:v>29004</c:v>
                </c:pt>
                <c:pt idx="8">
                  <c:v>29561</c:v>
                </c:pt>
                <c:pt idx="9">
                  <c:v>29729</c:v>
                </c:pt>
                <c:pt idx="10">
                  <c:v>29367</c:v>
                </c:pt>
                <c:pt idx="11">
                  <c:v>28996</c:v>
                </c:pt>
                <c:pt idx="12">
                  <c:v>29540</c:v>
                </c:pt>
                <c:pt idx="13">
                  <c:v>30411</c:v>
                </c:pt>
                <c:pt idx="14">
                  <c:v>30417</c:v>
                </c:pt>
                <c:pt idx="15">
                  <c:v>31126</c:v>
                </c:pt>
                <c:pt idx="16">
                  <c:v>32496</c:v>
                </c:pt>
                <c:pt idx="17">
                  <c:v>32582</c:v>
                </c:pt>
                <c:pt idx="18">
                  <c:v>32374</c:v>
                </c:pt>
                <c:pt idx="19">
                  <c:v>32329</c:v>
                </c:pt>
                <c:pt idx="20">
                  <c:v>32192</c:v>
                </c:pt>
                <c:pt idx="21">
                  <c:v>32547</c:v>
                </c:pt>
                <c:pt idx="22">
                  <c:v>32567</c:v>
                </c:pt>
                <c:pt idx="23">
                  <c:v>31679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weekly!$I$4:$I$29</c15:sqref>
                  </c15:fullRef>
                </c:ext>
              </c:extLst>
              <c:f>weekly!$I$6:$I$29</c:f>
              <c:numCache>
                <c:formatCode>General</c:formatCode>
                <c:ptCount val="24"/>
                <c:pt idx="0">
                  <c:v>27942</c:v>
                </c:pt>
                <c:pt idx="1">
                  <c:v>26241</c:v>
                </c:pt>
                <c:pt idx="2">
                  <c:v>25653</c:v>
                </c:pt>
                <c:pt idx="3">
                  <c:v>26751</c:v>
                </c:pt>
                <c:pt idx="4">
                  <c:v>27401</c:v>
                </c:pt>
                <c:pt idx="5">
                  <c:v>28409</c:v>
                </c:pt>
                <c:pt idx="6">
                  <c:v>28777</c:v>
                </c:pt>
                <c:pt idx="7">
                  <c:v>28505</c:v>
                </c:pt>
                <c:pt idx="8">
                  <c:v>29122</c:v>
                </c:pt>
                <c:pt idx="9">
                  <c:v>29654</c:v>
                </c:pt>
                <c:pt idx="10">
                  <c:v>29336</c:v>
                </c:pt>
                <c:pt idx="11">
                  <c:v>28822</c:v>
                </c:pt>
                <c:pt idx="12">
                  <c:v>28734</c:v>
                </c:pt>
                <c:pt idx="13">
                  <c:v>29694</c:v>
                </c:pt>
                <c:pt idx="14">
                  <c:v>29973</c:v>
                </c:pt>
                <c:pt idx="15">
                  <c:v>30500</c:v>
                </c:pt>
                <c:pt idx="16">
                  <c:v>31815</c:v>
                </c:pt>
                <c:pt idx="17">
                  <c:v>31388</c:v>
                </c:pt>
                <c:pt idx="18">
                  <c:v>31482</c:v>
                </c:pt>
                <c:pt idx="19">
                  <c:v>31595</c:v>
                </c:pt>
                <c:pt idx="20">
                  <c:v>31493</c:v>
                </c:pt>
                <c:pt idx="21">
                  <c:v>32099</c:v>
                </c:pt>
                <c:pt idx="22">
                  <c:v>31880</c:v>
                </c:pt>
                <c:pt idx="23">
                  <c:v>30811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53808"/>
        <c:axId val="1106945104"/>
      </c:lineChart>
      <c:catAx>
        <c:axId val="110695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5104"/>
        <c:crosses val="autoZero"/>
        <c:auto val="1"/>
        <c:lblAlgn val="ctr"/>
        <c:lblOffset val="100"/>
        <c:noMultiLvlLbl val="0"/>
      </c:catAx>
      <c:valAx>
        <c:axId val="110694510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38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939664"/>
        <c:axId val="1106940208"/>
      </c:barChart>
      <c:catAx>
        <c:axId val="11069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0208"/>
        <c:crosses val="autoZero"/>
        <c:auto val="1"/>
        <c:lblAlgn val="ctr"/>
        <c:lblOffset val="100"/>
        <c:noMultiLvlLbl val="0"/>
      </c:catAx>
      <c:valAx>
        <c:axId val="11069402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396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چهارشنبه(28مهر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1"/>
          <c:order val="1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change'!$F$93:$I$93</c:f>
              <c:numCache>
                <c:formatCode>General</c:formatCode>
                <c:ptCount val="4"/>
                <c:pt idx="0">
                  <c:v>-0.21913805697589481</c:v>
                </c:pt>
                <c:pt idx="1">
                  <c:v>-0.21276595744680851</c:v>
                </c:pt>
                <c:pt idx="2">
                  <c:v>-0.4013261210957948</c:v>
                </c:pt>
                <c:pt idx="3">
                  <c:v>-0.91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6954352"/>
        <c:axId val="110694673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1069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6736"/>
        <c:crosses val="autoZero"/>
        <c:auto val="1"/>
        <c:lblAlgn val="ctr"/>
        <c:lblOffset val="100"/>
        <c:noMultiLvlLbl val="0"/>
      </c:catAx>
      <c:valAx>
        <c:axId val="11069467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43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584</xdr:row>
      <xdr:rowOff>102960</xdr:rowOff>
    </xdr:from>
    <xdr:to>
      <xdr:col>11</xdr:col>
      <xdr:colOff>279360</xdr:colOff>
      <xdr:row>614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1531079</xdr:colOff>
      <xdr:row>226</xdr:row>
      <xdr:rowOff>27711</xdr:rowOff>
    </xdr:from>
    <xdr:to>
      <xdr:col>87</xdr:col>
      <xdr:colOff>249380</xdr:colOff>
      <xdr:row>403</xdr:row>
      <xdr:rowOff>75961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457200</xdr:colOff>
      <xdr:row>413</xdr:row>
      <xdr:rowOff>76200</xdr:rowOff>
    </xdr:from>
    <xdr:to>
      <xdr:col>83</xdr:col>
      <xdr:colOff>152400</xdr:colOff>
      <xdr:row>490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619</xdr:row>
      <xdr:rowOff>0</xdr:rowOff>
    </xdr:from>
    <xdr:to>
      <xdr:col>13</xdr:col>
      <xdr:colOff>354240</xdr:colOff>
      <xdr:row>649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171360</xdr:colOff>
      <xdr:row>516</xdr:row>
      <xdr:rowOff>0</xdr:rowOff>
    </xdr:from>
    <xdr:to>
      <xdr:col>83</xdr:col>
      <xdr:colOff>381000</xdr:colOff>
      <xdr:row>615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47</xdr:row>
      <xdr:rowOff>76320</xdr:rowOff>
    </xdr:from>
    <xdr:to>
      <xdr:col>83</xdr:col>
      <xdr:colOff>152400</xdr:colOff>
      <xdr:row>217</xdr:row>
      <xdr:rowOff>3166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75"/>
  <sheetViews>
    <sheetView topLeftCell="W1" zoomScaleNormal="100" workbookViewId="0">
      <selection activeCell="Y156" sqref="Y15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L157/G157</f>
        <v>3581474.6721000345</v>
      </c>
      <c r="T1" s="3" t="s">
        <v>15</v>
      </c>
      <c r="U1" s="3">
        <f>M157/K157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K157/K62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6" si="21">F130*G130</f>
        <v>134799608200</v>
      </c>
      <c r="M130" s="12">
        <f t="shared" ref="M130:M156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2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2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2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2" s="73" customFormat="1" ht="21" customHeight="1">
      <c r="A156" s="104"/>
      <c r="B156" s="105" t="s">
        <v>420</v>
      </c>
      <c r="C156" s="106">
        <v>28</v>
      </c>
      <c r="D156" s="107">
        <v>26574</v>
      </c>
      <c r="E156" s="106">
        <v>26569</v>
      </c>
      <c r="F156" s="106">
        <v>26483</v>
      </c>
      <c r="G156" s="106">
        <v>9658300</v>
      </c>
      <c r="H156" s="106">
        <v>30750</v>
      </c>
      <c r="I156" s="106">
        <v>30650</v>
      </c>
      <c r="J156" s="106">
        <v>30661</v>
      </c>
      <c r="K156" s="106">
        <v>1623100</v>
      </c>
      <c r="L156" s="106">
        <f t="shared" si="21"/>
        <v>255780758900</v>
      </c>
      <c r="M156" s="106">
        <f t="shared" si="22"/>
        <v>49765869100</v>
      </c>
      <c r="N156" s="73">
        <v>26834</v>
      </c>
      <c r="O156" s="73">
        <v>30956</v>
      </c>
      <c r="P156" s="73">
        <v>26840</v>
      </c>
      <c r="Q156" s="73">
        <v>31057</v>
      </c>
      <c r="R156" s="106"/>
      <c r="S156" s="106"/>
      <c r="T156" s="106"/>
      <c r="U156" s="106"/>
      <c r="V156" s="73">
        <v>27420</v>
      </c>
      <c r="X156" s="73">
        <v>27320</v>
      </c>
      <c r="Y156" s="73">
        <v>31773</v>
      </c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7"/>
      <c r="AT156" s="107"/>
      <c r="AU156" s="107"/>
      <c r="AV156" s="107"/>
      <c r="AW156" s="107"/>
      <c r="AX156" s="107"/>
      <c r="AY156" s="106"/>
      <c r="AZ156" s="106"/>
      <c r="BA156" s="106"/>
      <c r="BB156" s="106"/>
      <c r="BC156" s="106"/>
      <c r="BE156" s="108"/>
      <c r="BF156" s="108"/>
      <c r="BG156" s="108"/>
      <c r="BH156" s="108"/>
    </row>
    <row r="157" spans="1:62" ht="18">
      <c r="A157" s="7"/>
      <c r="B157" s="8"/>
      <c r="C157" s="8"/>
      <c r="D157" s="26"/>
      <c r="E157" s="8"/>
      <c r="F157" s="8"/>
      <c r="G157" s="8">
        <f>SUM(G2:G149)/148</f>
        <v>6179374.9932432435</v>
      </c>
      <c r="H157" s="8"/>
      <c r="I157" s="8"/>
      <c r="J157" s="8"/>
      <c r="K157" s="8">
        <f>SUM(K2:K126)</f>
        <v>125564600</v>
      </c>
      <c r="L157" s="8">
        <f>SUM(L2:L147)</f>
        <v>22131275027709</v>
      </c>
      <c r="M157" s="9">
        <f>SUM(M2:M147)</f>
        <v>4038177022200</v>
      </c>
      <c r="N157" s="9"/>
      <c r="O157" s="9"/>
      <c r="P157" s="9"/>
      <c r="Q157" s="9"/>
      <c r="R157" s="9"/>
      <c r="S157" s="9"/>
      <c r="T157" s="9"/>
      <c r="U157" s="9"/>
      <c r="V157" s="59">
        <v>27400</v>
      </c>
      <c r="W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Y157" s="9"/>
      <c r="AZ157" s="9"/>
      <c r="BA157" s="9"/>
      <c r="BB157" s="9"/>
      <c r="BC157" s="9"/>
      <c r="BD157" s="9"/>
      <c r="BE157" s="10"/>
      <c r="BF157" s="10"/>
      <c r="BG157" s="10"/>
      <c r="BH157" s="10"/>
      <c r="BI157" t="e">
        <f>#REF!-N157</f>
        <v>#REF!</v>
      </c>
      <c r="BJ157" t="e">
        <f>(Y157-O157)/O157</f>
        <v>#DIV/0!</v>
      </c>
    </row>
    <row r="158" spans="1:62" ht="18">
      <c r="D158" s="26"/>
      <c r="V158" s="74">
        <v>27370</v>
      </c>
      <c r="Z158" s="25"/>
      <c r="AB158" s="25"/>
      <c r="AS158" s="25"/>
      <c r="AW158" s="30"/>
    </row>
    <row r="159" spans="1:62" ht="18">
      <c r="D159" s="26"/>
      <c r="Z159" s="25"/>
      <c r="AS159" s="26"/>
      <c r="AW159" s="30"/>
      <c r="AY159">
        <f>AY51-AY50</f>
        <v>35000</v>
      </c>
    </row>
    <row r="160" spans="1:62" ht="18">
      <c r="Z160" s="25"/>
      <c r="AS160" s="26">
        <v>10290000</v>
      </c>
      <c r="AW160" s="30"/>
      <c r="BB160">
        <f>AY60-AY59</f>
        <v>70000</v>
      </c>
    </row>
    <row r="161" spans="6:49" ht="18">
      <c r="F161">
        <f>(G157-G149)/G157</f>
        <v>4.0113279015155934E-2</v>
      </c>
      <c r="G161">
        <f>(G148-G157)/G157</f>
        <v>0.34049155603234549</v>
      </c>
      <c r="T161">
        <f>V137-X140</f>
        <v>-620</v>
      </c>
      <c r="V161" s="25"/>
      <c r="Z161" s="25"/>
      <c r="AS161" s="26"/>
      <c r="AU161">
        <f>AS160-AS49</f>
        <v>195000</v>
      </c>
      <c r="AW161" s="30">
        <f>AC52-AY51</f>
        <v>305000</v>
      </c>
    </row>
    <row r="162" spans="6:49" ht="18">
      <c r="V162" s="25"/>
      <c r="Z162" s="25"/>
      <c r="AW162" s="30"/>
    </row>
    <row r="163" spans="6:49" ht="17.25" customHeight="1">
      <c r="V163" s="25"/>
      <c r="Z163" s="25"/>
    </row>
    <row r="164" spans="6:49" ht="18">
      <c r="V164" s="25"/>
      <c r="Z164" s="25"/>
      <c r="AW164">
        <f>AW161/AY51</f>
        <v>2.9539951573849879E-2</v>
      </c>
    </row>
    <row r="165" spans="6:49" ht="18">
      <c r="V165" s="25"/>
    </row>
    <row r="166" spans="6:49" ht="18">
      <c r="V166" s="25"/>
    </row>
    <row r="170" spans="6:49" ht="18">
      <c r="G170" s="9">
        <v>8861800</v>
      </c>
    </row>
    <row r="171" spans="6:49" ht="18">
      <c r="G171" s="9">
        <v>8230700</v>
      </c>
    </row>
    <row r="172" spans="6:49" ht="18">
      <c r="G172" s="9">
        <v>8995300</v>
      </c>
    </row>
    <row r="173" spans="6:49" ht="18">
      <c r="G173" s="9">
        <v>10062100</v>
      </c>
    </row>
    <row r="174" spans="6:49" ht="18">
      <c r="G174" s="9">
        <v>8462400</v>
      </c>
    </row>
    <row r="175" spans="6:49">
      <c r="G175">
        <f>SUM(G170:G174)</f>
        <v>44612300</v>
      </c>
    </row>
  </sheetData>
  <autoFilter ref="A1:BL161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E493" zoomScale="40" zoomScaleNormal="40" workbookViewId="0">
      <selection activeCell="AN507" sqref="AN50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>
      <c r="B30">
        <f>(B2-B8)/B2</f>
        <v>0.15346494762288476</v>
      </c>
      <c r="C30">
        <f>(C2-C8)/C2</f>
        <v>0.1154959674639829</v>
      </c>
      <c r="D30">
        <f>SUM(D2:D16)/15</f>
        <v>29639479.933333334</v>
      </c>
    </row>
    <row r="34" spans="3:7">
      <c r="D34">
        <v>5375132</v>
      </c>
      <c r="E34">
        <f>(E17-D34)/D34</f>
        <v>4.5958809321644006E-2</v>
      </c>
      <c r="G34">
        <f t="shared" ref="G34:G42" si="0">B3-B2</f>
        <v>-554</v>
      </c>
    </row>
    <row r="35" spans="3:7">
      <c r="G35">
        <f t="shared" si="0"/>
        <v>-302</v>
      </c>
    </row>
    <row r="36" spans="3:7">
      <c r="C36">
        <f>(D34-E16)/E16</f>
        <v>0.17110375179746395</v>
      </c>
      <c r="G36">
        <f t="shared" si="0"/>
        <v>-511</v>
      </c>
    </row>
    <row r="37" spans="3:7">
      <c r="G37">
        <f t="shared" si="0"/>
        <v>-362</v>
      </c>
    </row>
    <row r="38" spans="3:7">
      <c r="G38">
        <f t="shared" si="0"/>
        <v>-1699</v>
      </c>
    </row>
    <row r="39" spans="3:7">
      <c r="G39">
        <f t="shared" si="0"/>
        <v>-381</v>
      </c>
    </row>
    <row r="40" spans="3:7">
      <c r="G40">
        <f t="shared" si="0"/>
        <v>1075</v>
      </c>
    </row>
    <row r="41" spans="3:7">
      <c r="G41">
        <f t="shared" si="0"/>
        <v>151</v>
      </c>
    </row>
    <row r="42" spans="3:7">
      <c r="G42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93"/>
  <sheetViews>
    <sheetView topLeftCell="A1075" zoomScale="85" zoomScaleNormal="85" workbookViewId="0">
      <selection activeCell="B1083" sqref="B108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09" t="s">
        <v>419</v>
      </c>
      <c r="B1073" s="109"/>
      <c r="C1073" s="109"/>
      <c r="D1073" s="109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09" t="s">
        <v>421</v>
      </c>
      <c r="B1085" s="109"/>
      <c r="C1085" s="109"/>
      <c r="D1085" s="109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4">
      <c r="A1089" s="78" t="s">
        <v>252</v>
      </c>
      <c r="B1089" s="86">
        <v>27340</v>
      </c>
      <c r="C1089" s="86">
        <v>7440</v>
      </c>
      <c r="D1089">
        <v>11735000</v>
      </c>
    </row>
    <row r="1090" spans="1:4">
      <c r="A1090" s="76" t="s">
        <v>253</v>
      </c>
      <c r="B1090" s="86">
        <v>27320</v>
      </c>
      <c r="C1090" s="86">
        <v>7430</v>
      </c>
      <c r="D1090">
        <v>11745000</v>
      </c>
    </row>
    <row r="1091" spans="1:4">
      <c r="A1091" s="84">
        <v>0.625</v>
      </c>
      <c r="B1091" s="86">
        <v>27320</v>
      </c>
      <c r="C1091" s="86">
        <v>7430</v>
      </c>
      <c r="D1091" s="86">
        <v>11720000</v>
      </c>
    </row>
    <row r="1092" spans="1:4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4">
      <c r="A1093" s="87">
        <v>0.70833333333333304</v>
      </c>
      <c r="B1093" s="86">
        <v>27320</v>
      </c>
      <c r="C1093" s="86">
        <v>7430</v>
      </c>
      <c r="D1093" s="86">
        <v>11725000</v>
      </c>
    </row>
  </sheetData>
  <mergeCells count="99">
    <mergeCell ref="A1049:D1049"/>
    <mergeCell ref="A1037:D1037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335:D335"/>
    <mergeCell ref="A346:D346"/>
    <mergeCell ref="A153:D153"/>
    <mergeCell ref="A163:D163"/>
    <mergeCell ref="A173:D173"/>
    <mergeCell ref="A183:D183"/>
    <mergeCell ref="A193:D193"/>
    <mergeCell ref="A1085:D1085"/>
    <mergeCell ref="A1073:D1073"/>
    <mergeCell ref="A1061:D1061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D18" sqref="D18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3"/>
  <sheetViews>
    <sheetView tabSelected="1" zoomScale="85" zoomScaleNormal="85" workbookViewId="0">
      <selection activeCell="M13" sqref="M13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3" si="9"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13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>(E90-E89)*100/E89</f>
        <v>0.46548392763042334</v>
      </c>
      <c r="I90">
        <v>-0.1</v>
      </c>
    </row>
    <row r="91" spans="2:13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>(E91-E90)*100/E90</f>
        <v>-0.68187778651980069</v>
      </c>
      <c r="I91">
        <v>0.06</v>
      </c>
    </row>
    <row r="92" spans="2:13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>(E92-E91)*100/E91</f>
        <v>0.88900624944987239</v>
      </c>
      <c r="I92">
        <v>0.87</v>
      </c>
    </row>
    <row r="93" spans="2:13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>(E93-E92)*100/E92</f>
        <v>-0.4013261210957948</v>
      </c>
      <c r="I93">
        <v>-0.91</v>
      </c>
      <c r="J93">
        <v>-0.22</v>
      </c>
      <c r="K93">
        <v>-0.21</v>
      </c>
      <c r="L93">
        <v>-0.4</v>
      </c>
      <c r="M93">
        <v>-0.91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2021-10-20T12:59:46Z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