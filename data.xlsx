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firstSheet="1" activeTab="3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8" i="7" l="1"/>
  <c r="G68" i="7"/>
  <c r="F68" i="7"/>
  <c r="C749" i="6"/>
  <c r="M128" i="1" l="1"/>
  <c r="L128" i="1"/>
  <c r="M127" i="1"/>
  <c r="L127" i="1"/>
  <c r="E750" i="6" l="1"/>
  <c r="B751" i="6"/>
  <c r="G128" i="1"/>
  <c r="L126" i="1" l="1"/>
  <c r="K128" i="1"/>
  <c r="M126" i="1"/>
  <c r="H67" i="7" l="1"/>
  <c r="G67" i="7"/>
  <c r="F67" i="7"/>
  <c r="M125" i="1" l="1"/>
  <c r="L125" i="1"/>
  <c r="H66" i="7" l="1"/>
  <c r="G66" i="7"/>
  <c r="F66" i="7"/>
  <c r="G22" i="5" l="1"/>
  <c r="E22" i="5"/>
  <c r="G23" i="5" l="1"/>
  <c r="E23" i="5"/>
  <c r="G24" i="5" l="1"/>
  <c r="E24" i="5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5" i="1" l="1"/>
  <c r="E573" i="6" l="1"/>
  <c r="H55" i="7"/>
  <c r="G55" i="7"/>
  <c r="F55" i="7"/>
  <c r="M111" i="1" l="1"/>
  <c r="L111" i="1"/>
  <c r="H54" i="7"/>
  <c r="G54" i="7"/>
  <c r="F54" i="7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31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8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8" i="1"/>
  <c r="BI2" i="1"/>
  <c r="M53" i="1" l="1"/>
  <c r="L53" i="1"/>
  <c r="M52" i="1" l="1"/>
  <c r="L52" i="1"/>
  <c r="AW132" i="1" l="1"/>
  <c r="AW135" i="1" s="1"/>
  <c r="G10" i="5" l="1"/>
  <c r="E10" i="5"/>
  <c r="M51" i="1"/>
  <c r="L51" i="1"/>
  <c r="AY130" i="1"/>
  <c r="M50" i="1" l="1"/>
  <c r="L50" i="1"/>
  <c r="AU132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U1" i="1" l="1"/>
  <c r="S1" i="1"/>
</calcChain>
</file>

<file path=xl/sharedStrings.xml><?xml version="1.0" encoding="utf-8"?>
<sst xmlns="http://schemas.openxmlformats.org/spreadsheetml/2006/main" count="994" uniqueCount="336">
  <si>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</si>
  <si>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</si>
  <si>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</si>
  <si>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</si>
  <si>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</si>
  <si>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</si>
  <si>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</si>
  <si>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</si>
  <si>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</si>
  <si>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</si>
  <si>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</si>
  <si>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</si>
  <si>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</si>
  <si>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</si>
  <si>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</si>
  <si>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</si>
  <si>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</si>
  <si>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</si>
  <si>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</si>
  <si>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</si>
  <si>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</si>
  <si>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</si>
  <si>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</si>
  <si>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</si>
  <si>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</si>
  <si>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</si>
  <si>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</si>
  <si>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</si>
  <si>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</si>
  <si>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</si>
  <si>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</si>
  <si>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</si>
  <si>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</si>
  <si>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</si>
  <si>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</si>
  <si>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</si>
  <si>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</si>
  <si>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</si>
  <si>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</si>
  <si>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</si>
  <si>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</si>
  <si>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</si>
  <si>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</si>
  <si>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</si>
  <si>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</si>
  <si>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</si>
  <si>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</si>
  <si>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</si>
  <si>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</si>
  <si>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</si>
  <si>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</si>
  <si>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</si>
  <si>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</si>
  <si>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</si>
  <si>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</si>
  <si>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</si>
  <si>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</si>
  <si>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</si>
  <si>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</si>
  <si>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</si>
  <si>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</si>
  <si>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</si>
  <si>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</si>
  <si>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</si>
  <si>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</si>
  <si>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</si>
  <si>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</si>
  <si>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</si>
  <si>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</si>
  <si>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</si>
  <si>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</si>
  <si>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</si>
  <si>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</si>
  <si>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</si>
  <si>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</si>
  <si>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</si>
  <si>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</si>
  <si>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</si>
  <si>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</si>
  <si>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</si>
  <si>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</si>
  <si>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</si>
  <si>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</si>
  <si>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</si>
  <si>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</si>
  <si>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</si>
  <si>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</si>
  <si>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</si>
  <si>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</si>
  <si>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</si>
  <si>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</si>
  <si>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</si>
  <si>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</si>
  <si>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</si>
  <si>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</si>
  <si>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</si>
  <si>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</si>
  <si>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</si>
  <si>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</si>
  <si>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</si>
  <si>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</si>
  <si>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</si>
  <si>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</si>
  <si>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</si>
  <si>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</si>
  <si>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</si>
  <si>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</si>
  <si>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</si>
  <si>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</si>
  <si>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</si>
  <si>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</si>
  <si>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</si>
  <si>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</si>
  <si>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</si>
  <si>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</si>
  <si>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</si>
  <si>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</si>
  <si>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</si>
  <si>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</si>
  <si>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</si>
  <si>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</si>
  <si>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</si>
  <si>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</si>
  <si>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</si>
  <si>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</si>
  <si>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</si>
  <si>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</si>
  <si>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</si>
  <si>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</si>
  <si>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</si>
  <si>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</si>
  <si>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</si>
  <si>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</si>
  <si>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</si>
  <si>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</si>
  <si>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</si>
  <si>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</si>
  <si>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</si>
  <si>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</si>
  <si>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</si>
  <si>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</si>
  <si>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</si>
  <si>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</si>
  <si>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</si>
  <si>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</si>
  <si>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</si>
  <si>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</si>
  <si>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</si>
  <si>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</si>
  <si>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</si>
  <si>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</si>
  <si>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</si>
  <si>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</si>
  <si>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</si>
  <si>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</si>
  <si>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</si>
  <si>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</si>
  <si>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</si>
  <si>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</si>
  <si>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</si>
  <si>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</si>
  <si>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</si>
  <si>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</si>
  <si>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</si>
  <si>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</si>
  <si>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</si>
  <si>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</si>
  <si>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</si>
  <si>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</si>
  <si>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</si>
  <si>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</si>
  <si>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</si>
  <si>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</si>
  <si>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</si>
  <si>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</si>
  <si>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</si>
  <si>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</si>
  <si>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</si>
  <si>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</si>
  <si>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</si>
  <si>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</si>
  <si>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</si>
  <si>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</si>
  <si>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</si>
  <si>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</si>
  <si>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</si>
  <si>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</si>
  <si>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</si>
  <si>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</si>
  <si>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</si>
  <si>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</si>
  <si>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</si>
  <si>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</si>
  <si>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</si>
  <si>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</si>
  <si>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</si>
  <si>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</si>
  <si>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</si>
  <si>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</si>
  <si>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</si>
  <si>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</si>
  <si>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</si>
  <si>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</si>
  <si>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</si>
  <si>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</si>
  <si>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</si>
  <si>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</si>
  <si>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</si>
  <si>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</si>
  <si>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</si>
  <si>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</si>
  <si>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</si>
  <si>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</si>
  <si>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</si>
  <si>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</si>
  <si>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</si>
  <si>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</si>
  <si>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</si>
  <si>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</si>
  <si>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</si>
  <si>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</si>
  <si>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</si>
  <si>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</si>
  <si>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</si>
  <si>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</si>
  <si>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</si>
  <si>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</si>
  <si>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</si>
  <si>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</si>
  <si>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</si>
  <si>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</si>
  <si>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</si>
  <si>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</si>
  <si>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</si>
  <si>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</si>
  <si>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</si>
  <si>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</si>
  <si>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</si>
  <si>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</si>
  <si>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</si>
  <si>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</si>
  <si>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</si>
  <si>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</si>
  <si>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</si>
  <si>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</si>
  <si>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</si>
  <si>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</si>
  <si>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</si>
  <si>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</si>
  <si>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</si>
  <si>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</si>
  <si>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</si>
  <si>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</si>
  <si>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</si>
  <si>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</si>
  <si>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</si>
  <si>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</si>
  <si>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</si>
  <si>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</si>
  <si>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</si>
  <si>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</si>
  <si>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</si>
  <si>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</si>
  <si>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</si>
  <si>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</si>
  <si>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</si>
  <si>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</si>
  <si>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</si>
  <si>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</si>
  <si>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</si>
  <si>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</si>
  <si>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</si>
  <si>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</si>
  <si>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</si>
  <si>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</si>
  <si>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</si>
  <si>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</si>
  <si>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</si>
  <si>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</si>
  <si>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</si>
  <si>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</si>
  <si>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</si>
  <si>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</si>
  <si>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</si>
  <si>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</si>
  <si>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</si>
  <si>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</si>
  <si>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</si>
  <si>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</si>
  <si>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</si>
  <si>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</si>
  <si>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</si>
  <si>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</si>
  <si>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</si>
  <si>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</si>
  <si>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</si>
  <si>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</si>
  <si>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</si>
  <si>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</si>
  <si>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</si>
  <si>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</si>
  <si>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</si>
  <si>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</si>
  <si>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</si>
  <si>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</si>
  <si>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</si>
  <si>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</si>
  <si>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</si>
  <si>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</si>
  <si>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</si>
  <si>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</si>
  <si>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</si>
  <si>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</si>
  <si>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</si>
  <si>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</si>
  <si>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</si>
  <si>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</si>
  <si>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</si>
  <si>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</si>
  <si>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</si>
  <si>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</si>
  <si>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</si>
  <si>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</si>
  <si>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</si>
  <si>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</si>
  <si>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</si>
  <si>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</si>
  <si>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</si>
  <si>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</si>
  <si>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</si>
  <si>
    <t>روند روزانه بهای سکه و ارز (شنبه 20 شهریور 1400)</t>
  </si>
  <si>
    <t>20شهریور1400</t>
  </si>
  <si>
    <t>21شهریور1400</t>
  </si>
  <si>
    <t>روند روزانه بهای سکه و ارز (یکشنبه 21 شهریور 1400)</t>
  </si>
  <si>
    <t>روند روزانه بهای سکه و ارز دوشنبه 22 شهریور 1400)</t>
  </si>
  <si>
    <t>22شهریور1400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</si>
</sst>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2" fillId="8" borderId="0" xfId="0" applyNumberFormat="1" applyFont="1" applyFill="1"/>
    <xf numFmtId="0" fontId="2" fillId="8" borderId="1" xfId="0" applyFont="1" applyFill="1" applyBorder="1"/>
    <xf numFmtId="0" fontId="2" fillId="8" borderId="0" xfId="0" applyFont="1" applyFill="1" applyBorder="1"/>
    <xf numFmtId="0" fontId="0" fillId="8" borderId="0" xfId="0" applyFont="1" applyFill="1"/>
    <xf numFmtId="0" fontId="0" fillId="8" borderId="1" xfId="0" applyFont="1" applyFill="1" applyBorder="1"/>
    <xf numFmtId="0" fontId="0" fillId="3" borderId="0" xfId="0" applyFont="1" applyFill="1"/>
    <xf numFmtId="0" fontId="0" fillId="3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75598064"/>
        <c:axId val="2075599152"/>
      </c:barChart>
      <c:catAx>
        <c:axId val="207559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599152"/>
        <c:crosses val="autoZero"/>
        <c:auto val="1"/>
        <c:lblAlgn val="ctr"/>
        <c:lblOffset val="100"/>
        <c:noMultiLvlLbl val="0"/>
      </c:catAx>
      <c:valAx>
        <c:axId val="20755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59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75598608"/>
        <c:axId val="207560024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207559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600240"/>
        <c:crosses val="autoZero"/>
        <c:auto val="1"/>
        <c:lblAlgn val="ctr"/>
        <c:lblOffset val="100"/>
        <c:noMultiLvlLbl val="0"/>
      </c:catAx>
      <c:valAx>
        <c:axId val="207560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59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0663328"/>
        <c:axId val="2406665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24066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6592"/>
        <c:crosses val="autoZero"/>
        <c:auto val="1"/>
        <c:lblAlgn val="ctr"/>
        <c:lblOffset val="100"/>
        <c:noMultiLvlLbl val="0"/>
      </c:catAx>
      <c:valAx>
        <c:axId val="2406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0663872"/>
        <c:axId val="240666048"/>
      </c:barChart>
      <c:catAx>
        <c:axId val="24066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6048"/>
        <c:crosses val="autoZero"/>
        <c:auto val="1"/>
        <c:lblAlgn val="ctr"/>
        <c:lblOffset val="100"/>
        <c:noMultiLvlLbl val="0"/>
      </c:catAx>
      <c:valAx>
        <c:axId val="24066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0664416"/>
        <c:axId val="240660608"/>
      </c:barChart>
      <c:catAx>
        <c:axId val="24066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0608"/>
        <c:crosses val="autoZero"/>
        <c:auto val="1"/>
        <c:lblAlgn val="ctr"/>
        <c:lblOffset val="100"/>
        <c:noMultiLvlLbl val="0"/>
      </c:catAx>
      <c:valAx>
        <c:axId val="24066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0661152"/>
        <c:axId val="240661696"/>
      </c:barChart>
      <c:catAx>
        <c:axId val="2406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1696"/>
        <c:crosses val="autoZero"/>
        <c:auto val="1"/>
        <c:lblAlgn val="ctr"/>
        <c:lblOffset val="100"/>
        <c:noMultiLvlLbl val="0"/>
      </c:catAx>
      <c:valAx>
        <c:axId val="24066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دوشنبه 22 شهریور 1400)</a:t>
            </a:r>
            <a:endParaRPr lang="en-US"/>
          </a:p>
        </c:rich>
      </c:tx>
      <c:layout>
        <c:manualLayout>
          <c:xMode val="edge"/>
          <c:yMode val="edge"/>
          <c:x val="5.716921414234985E-2"/>
          <c:y val="3.17755814165920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6"/>
          <c:order val="66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change'!$F$68:$I$68</c:f>
              <c:numCache>
                <c:formatCode>General</c:formatCode>
                <c:ptCount val="4"/>
                <c:pt idx="0">
                  <c:v>-1.4545454545454546</c:v>
                </c:pt>
                <c:pt idx="1">
                  <c:v>-1.1676396997497915</c:v>
                </c:pt>
                <c:pt idx="2">
                  <c:v>-1.3905023500599778</c:v>
                </c:pt>
                <c:pt idx="3">
                  <c:v>-0.99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0664960"/>
        <c:axId val="21921036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  <c15:filteredBarSeries>
              <c15:ser>
                <c:idx val="63"/>
                <c:order val="63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change'!$F$65:$I$65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1.5117994100294985</c:v>
                      </c:pt>
                      <c:pt idx="1">
                        <c:v>0.49423393739703458</c:v>
                      </c:pt>
                      <c:pt idx="2">
                        <c:v>9.8365211105892622E-2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3E9-4F3B-912C-01B0C4C2DCB7}"/>
                  </c:ext>
                </c:extLst>
              </c15:ser>
            </c15:filteredBarSeries>
            <c15:filteredBarSeries>
              <c15:ser>
                <c:idx val="64"/>
                <c:order val="64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change'!$F$66:$I$66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1.0897203051216855</c:v>
                      </c:pt>
                      <c:pt idx="1">
                        <c:v>-1.4754098360655739</c:v>
                      </c:pt>
                      <c:pt idx="2">
                        <c:v>-0.33414712862535584</c:v>
                      </c:pt>
                      <c:pt idx="3">
                        <c:v>0.3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change'!$F$67:$I$67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-1.1857707509881423</c:v>
                      </c:pt>
                      <c:pt idx="1">
                        <c:v>-0.24958402662229617</c:v>
                      </c:pt>
                      <c:pt idx="2">
                        <c:v>-0.71009365102284761</c:v>
                      </c:pt>
                      <c:pt idx="3">
                        <c:v>-2.64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2406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210368"/>
        <c:crosses val="autoZero"/>
        <c:auto val="1"/>
        <c:lblAlgn val="ctr"/>
        <c:lblOffset val="100"/>
        <c:noMultiLvlLbl val="0"/>
      </c:catAx>
      <c:valAx>
        <c:axId val="21921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6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209550</xdr:colOff>
      <xdr:row>1</xdr:row>
      <xdr:rowOff>152400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37"/>
  <sheetViews>
    <sheetView topLeftCell="W1" zoomScaleNormal="100" workbookViewId="0">
      <selection activeCell="X130" sqref="X130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L128/G128</f>
        <v>3048612.5970090264</v>
      </c>
      <c r="T1" s="9" t="s">
        <v>32</v>
      </c>
      <c r="U1" s="9">
        <f>M128/K128</f>
        <v>28532.4829529979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8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K128/K62</f>
        <v>144.72637159981559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7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7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4">
        <f t="shared" si="14"/>
        <v>252384066300</v>
      </c>
      <c r="M105" s="4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0" customFormat="1" ht="21" hidden="1" customHeight="1">
      <c r="A112" s="67"/>
      <c r="B112" s="68" t="s">
        <v>327</v>
      </c>
      <c r="C112" s="68">
        <v>4</v>
      </c>
      <c r="D112" s="69">
        <v>27030</v>
      </c>
      <c r="E112" s="68">
        <v>27490</v>
      </c>
      <c r="F112" s="68">
        <v>27299</v>
      </c>
      <c r="G112" s="68">
        <v>3900800</v>
      </c>
      <c r="H112" s="68">
        <v>31739</v>
      </c>
      <c r="I112" s="68">
        <v>31798</v>
      </c>
      <c r="J112" s="68">
        <v>31665</v>
      </c>
      <c r="K112" s="68">
        <v>1037800</v>
      </c>
      <c r="L112" s="68">
        <f t="shared" si="14"/>
        <v>106487939200</v>
      </c>
      <c r="M112" s="68">
        <f t="shared" si="13"/>
        <v>32861937000</v>
      </c>
      <c r="N112" s="70">
        <v>27765</v>
      </c>
      <c r="O112" s="70">
        <v>32116</v>
      </c>
      <c r="P112" s="68">
        <v>27300</v>
      </c>
      <c r="Q112" s="70">
        <v>32056</v>
      </c>
      <c r="R112" s="68"/>
      <c r="S112" s="68"/>
      <c r="T112" s="68"/>
      <c r="U112" s="68"/>
      <c r="X112" s="70">
        <v>27920</v>
      </c>
      <c r="Y112" s="70">
        <v>32700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9"/>
      <c r="AT112" s="69"/>
      <c r="AU112" s="69"/>
      <c r="AV112" s="69"/>
      <c r="AW112" s="69"/>
      <c r="AX112" s="69"/>
      <c r="AY112" s="68"/>
      <c r="AZ112" s="68"/>
      <c r="BA112" s="68"/>
      <c r="BB112" s="68"/>
      <c r="BC112" s="68"/>
      <c r="BE112" s="71"/>
      <c r="BF112" s="71"/>
      <c r="BG112" s="71"/>
      <c r="BH112" s="71"/>
    </row>
    <row r="113" spans="1:62" s="17" customFormat="1" ht="21" hidden="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hidden="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hidden="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hidden="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17" customFormat="1" ht="21" hidden="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2" s="70" customFormat="1" ht="21" hidden="1" customHeight="1">
      <c r="A118" s="67"/>
      <c r="B118" s="68" t="s">
        <v>328</v>
      </c>
      <c r="C118" s="68">
        <v>11</v>
      </c>
      <c r="D118" s="69">
        <v>26261</v>
      </c>
      <c r="E118" s="68">
        <v>26408</v>
      </c>
      <c r="F118" s="68">
        <v>26353</v>
      </c>
      <c r="G118" s="68">
        <v>5094700</v>
      </c>
      <c r="H118" s="68">
        <v>30797</v>
      </c>
      <c r="I118" s="68">
        <v>31052</v>
      </c>
      <c r="J118" s="68">
        <v>30846</v>
      </c>
      <c r="K118" s="68">
        <v>577000</v>
      </c>
      <c r="L118" s="68">
        <f t="shared" si="14"/>
        <v>134260629100</v>
      </c>
      <c r="M118" s="68">
        <f t="shared" si="13"/>
        <v>17798142000</v>
      </c>
      <c r="N118" s="70">
        <v>26672</v>
      </c>
      <c r="O118" s="70">
        <v>31362</v>
      </c>
      <c r="P118" s="68">
        <v>26523</v>
      </c>
      <c r="Q118" s="70">
        <v>31105</v>
      </c>
      <c r="R118" s="68"/>
      <c r="S118" s="68"/>
      <c r="T118" s="68"/>
      <c r="U118" s="68"/>
      <c r="V118" s="72"/>
      <c r="X118" s="70">
        <v>27190</v>
      </c>
      <c r="Y118" s="70">
        <v>32300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9"/>
      <c r="AT118" s="69"/>
      <c r="AU118" s="69"/>
      <c r="AV118" s="69"/>
      <c r="AW118" s="69"/>
      <c r="AX118" s="69"/>
      <c r="AY118" s="68"/>
      <c r="AZ118" s="68"/>
      <c r="BA118" s="68"/>
      <c r="BB118" s="68"/>
      <c r="BC118" s="68"/>
      <c r="BE118" s="71"/>
      <c r="BF118" s="71"/>
      <c r="BG118" s="71"/>
      <c r="BH118" s="71"/>
    </row>
    <row r="119" spans="1:62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2" s="58" customFormat="1" ht="21" customHeight="1">
      <c r="A120" s="55"/>
      <c r="B120" s="56" t="s">
        <v>315</v>
      </c>
      <c r="C120" s="56">
        <v>14</v>
      </c>
      <c r="D120" s="57">
        <v>26441</v>
      </c>
      <c r="E120" s="56">
        <v>26423</v>
      </c>
      <c r="F120" s="56">
        <v>26453</v>
      </c>
      <c r="G120" s="56">
        <v>6934900</v>
      </c>
      <c r="H120" s="56">
        <v>31300</v>
      </c>
      <c r="I120" s="56">
        <v>31047</v>
      </c>
      <c r="J120" s="56">
        <v>31045</v>
      </c>
      <c r="K120" s="56">
        <v>1267000</v>
      </c>
      <c r="L120" s="56">
        <f t="shared" si="14"/>
        <v>183448909700</v>
      </c>
      <c r="M120" s="56">
        <f t="shared" si="13"/>
        <v>39334015000</v>
      </c>
      <c r="N120" s="58">
        <v>26687</v>
      </c>
      <c r="O120" s="58">
        <v>31358</v>
      </c>
      <c r="P120" s="56">
        <v>26705</v>
      </c>
      <c r="Q120" s="58">
        <v>31613</v>
      </c>
      <c r="R120" s="56"/>
      <c r="S120" s="56"/>
      <c r="T120" s="56"/>
      <c r="U120" s="56"/>
      <c r="V120" s="59">
        <v>27170</v>
      </c>
      <c r="X120" s="58">
        <v>27190</v>
      </c>
      <c r="Y120" s="58">
        <v>32356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60"/>
      <c r="BF120" s="60"/>
      <c r="BG120" s="60"/>
      <c r="BH120" s="60"/>
    </row>
    <row r="121" spans="1:62" s="64" customFormat="1" ht="21" customHeight="1">
      <c r="A121" s="61"/>
      <c r="B121" s="62" t="s">
        <v>317</v>
      </c>
      <c r="C121" s="62">
        <v>15</v>
      </c>
      <c r="D121" s="63">
        <v>26450</v>
      </c>
      <c r="E121" s="62">
        <v>26328</v>
      </c>
      <c r="F121" s="62">
        <v>26359</v>
      </c>
      <c r="G121" s="62">
        <v>5658100</v>
      </c>
      <c r="H121" s="62">
        <v>30950</v>
      </c>
      <c r="I121" s="62">
        <v>31104</v>
      </c>
      <c r="J121" s="62">
        <v>31137</v>
      </c>
      <c r="K121" s="62">
        <v>702100</v>
      </c>
      <c r="L121" s="62">
        <f t="shared" si="14"/>
        <v>149141857900</v>
      </c>
      <c r="M121" s="62">
        <f t="shared" si="13"/>
        <v>21861287700</v>
      </c>
      <c r="N121" s="64">
        <v>26591</v>
      </c>
      <c r="O121" s="64">
        <v>31415</v>
      </c>
      <c r="P121" s="62">
        <v>26714</v>
      </c>
      <c r="Q121" s="64">
        <v>31259</v>
      </c>
      <c r="R121" s="62"/>
      <c r="S121" s="62"/>
      <c r="T121" s="62"/>
      <c r="U121" s="62"/>
      <c r="V121" s="65">
        <v>27070</v>
      </c>
      <c r="X121" s="64">
        <v>27010</v>
      </c>
      <c r="Y121" s="64">
        <v>32081</v>
      </c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3"/>
      <c r="AT121" s="63"/>
      <c r="AU121" s="63"/>
      <c r="AV121" s="63"/>
      <c r="AW121" s="63"/>
      <c r="AX121" s="63"/>
      <c r="AY121" s="62"/>
      <c r="AZ121" s="62"/>
      <c r="BA121" s="62"/>
      <c r="BB121" s="62"/>
      <c r="BC121" s="62"/>
      <c r="BE121" s="66"/>
      <c r="BF121" s="66"/>
      <c r="BG121" s="66"/>
      <c r="BH121" s="66"/>
    </row>
    <row r="122" spans="1:62" s="64" customFormat="1" ht="21" customHeight="1">
      <c r="A122" s="61"/>
      <c r="B122" s="62" t="s">
        <v>320</v>
      </c>
      <c r="C122" s="62">
        <v>16</v>
      </c>
      <c r="D122" s="63">
        <v>26570</v>
      </c>
      <c r="E122" s="62">
        <v>26360</v>
      </c>
      <c r="F122" s="62">
        <v>26384</v>
      </c>
      <c r="G122" s="62">
        <v>7781600</v>
      </c>
      <c r="H122" s="62">
        <v>31212</v>
      </c>
      <c r="I122" s="62">
        <v>31350</v>
      </c>
      <c r="J122" s="62">
        <v>31111</v>
      </c>
      <c r="K122" s="62">
        <v>1167200</v>
      </c>
      <c r="L122" s="62">
        <f t="shared" si="14"/>
        <v>205309734400</v>
      </c>
      <c r="M122" s="62">
        <f t="shared" si="13"/>
        <v>36312759200</v>
      </c>
      <c r="N122" s="64">
        <v>26623</v>
      </c>
      <c r="O122" s="64">
        <v>31663</v>
      </c>
      <c r="P122" s="62">
        <v>26836</v>
      </c>
      <c r="Q122" s="64">
        <v>31525</v>
      </c>
      <c r="R122" s="62"/>
      <c r="S122" s="62"/>
      <c r="T122" s="62"/>
      <c r="U122" s="62"/>
      <c r="V122" s="64">
        <v>27180</v>
      </c>
      <c r="X122" s="64">
        <v>27120</v>
      </c>
      <c r="Y122" s="64">
        <v>32297</v>
      </c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3"/>
      <c r="AT122" s="63"/>
      <c r="AU122" s="63"/>
      <c r="AV122" s="63"/>
      <c r="AW122" s="63"/>
      <c r="AX122" s="63"/>
      <c r="AY122" s="62"/>
      <c r="AZ122" s="62"/>
      <c r="BA122" s="62"/>
      <c r="BB122" s="62"/>
      <c r="BC122" s="62"/>
      <c r="BE122" s="66"/>
      <c r="BF122" s="66"/>
      <c r="BG122" s="66"/>
      <c r="BH122" s="66"/>
    </row>
    <row r="123" spans="1:62" s="64" customFormat="1" ht="21" customHeight="1">
      <c r="A123" s="61"/>
      <c r="B123" s="62" t="s">
        <v>321</v>
      </c>
      <c r="C123" s="62">
        <v>17</v>
      </c>
      <c r="D123" s="63">
        <v>26681</v>
      </c>
      <c r="E123" s="62">
        <v>26582</v>
      </c>
      <c r="F123" s="62">
        <v>26514</v>
      </c>
      <c r="G123" s="62">
        <v>10053900</v>
      </c>
      <c r="H123" s="62">
        <v>31234</v>
      </c>
      <c r="I123" s="62">
        <v>31217</v>
      </c>
      <c r="J123" s="62">
        <v>31159</v>
      </c>
      <c r="K123" s="62">
        <v>1549100</v>
      </c>
      <c r="L123" s="62">
        <f t="shared" si="14"/>
        <v>266569104600</v>
      </c>
      <c r="M123" s="62">
        <f t="shared" si="13"/>
        <v>48268406900</v>
      </c>
      <c r="N123" s="64">
        <v>26852</v>
      </c>
      <c r="O123" s="64">
        <v>31530</v>
      </c>
      <c r="P123" s="62">
        <v>26948</v>
      </c>
      <c r="Q123" s="64">
        <v>31547</v>
      </c>
      <c r="R123" s="62"/>
      <c r="S123" s="62"/>
      <c r="T123" s="62"/>
      <c r="U123" s="62"/>
      <c r="V123" s="64">
        <v>27570</v>
      </c>
      <c r="X123" s="64">
        <v>27530</v>
      </c>
      <c r="Y123" s="64">
        <v>32539</v>
      </c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3"/>
      <c r="AT123" s="63"/>
      <c r="AU123" s="63"/>
      <c r="AV123" s="63"/>
      <c r="AW123" s="63"/>
      <c r="AX123" s="63"/>
      <c r="AY123" s="62"/>
      <c r="AZ123" s="62"/>
      <c r="BA123" s="62"/>
      <c r="BB123" s="62"/>
      <c r="BC123" s="62"/>
      <c r="BE123" s="66"/>
      <c r="BF123" s="66"/>
      <c r="BG123" s="66"/>
      <c r="BH123" s="66"/>
    </row>
    <row r="124" spans="1:62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56">
        <f t="shared" si="14"/>
        <v>172687578300</v>
      </c>
      <c r="M124" s="56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60"/>
      <c r="BF124" s="60"/>
      <c r="BG124" s="60"/>
      <c r="BH124" s="60"/>
    </row>
    <row r="125" spans="1:62" s="79" customFormat="1" ht="21" customHeight="1">
      <c r="A125" s="14"/>
      <c r="B125" s="15" t="s">
        <v>331</v>
      </c>
      <c r="C125" s="15">
        <v>20</v>
      </c>
      <c r="D125" s="50">
        <v>26687</v>
      </c>
      <c r="E125" s="15">
        <v>26847</v>
      </c>
      <c r="F125" s="15">
        <v>26742</v>
      </c>
      <c r="G125" s="15">
        <v>9055300</v>
      </c>
      <c r="H125" s="15">
        <v>31234</v>
      </c>
      <c r="I125" s="15">
        <v>31388</v>
      </c>
      <c r="J125" s="15">
        <v>31359</v>
      </c>
      <c r="K125" s="15">
        <v>1223500</v>
      </c>
      <c r="L125" s="15">
        <f t="shared" si="14"/>
        <v>242156832600</v>
      </c>
      <c r="M125" s="15">
        <f t="shared" si="13"/>
        <v>38367736500</v>
      </c>
      <c r="N125" s="79">
        <v>27116</v>
      </c>
      <c r="O125" s="79">
        <v>31702</v>
      </c>
      <c r="P125" s="79">
        <v>26954</v>
      </c>
      <c r="Q125" s="79">
        <v>31547</v>
      </c>
      <c r="R125" s="15"/>
      <c r="S125" s="15"/>
      <c r="T125" s="15"/>
      <c r="U125" s="15"/>
      <c r="V125" s="79">
        <v>27800</v>
      </c>
      <c r="X125" s="79">
        <v>27830</v>
      </c>
      <c r="Y125" s="79">
        <v>32800</v>
      </c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50"/>
      <c r="AT125" s="50"/>
      <c r="AU125" s="50"/>
      <c r="AV125" s="50"/>
      <c r="AW125" s="50"/>
      <c r="AX125" s="50"/>
      <c r="AY125" s="15"/>
      <c r="AZ125" s="15"/>
      <c r="BA125" s="15"/>
      <c r="BB125" s="15"/>
      <c r="BC125" s="15"/>
      <c r="BE125" s="80"/>
      <c r="BF125" s="80"/>
      <c r="BG125" s="80"/>
      <c r="BH125" s="80"/>
    </row>
    <row r="126" spans="1:62" s="79" customFormat="1" ht="21" customHeight="1">
      <c r="A126" s="14"/>
      <c r="B126" s="15" t="s">
        <v>332</v>
      </c>
      <c r="C126" s="15">
        <v>21</v>
      </c>
      <c r="D126" s="50">
        <v>26778</v>
      </c>
      <c r="E126" s="15">
        <v>26502</v>
      </c>
      <c r="F126" s="15">
        <v>26580</v>
      </c>
      <c r="G126" s="15">
        <v>8758100</v>
      </c>
      <c r="H126" s="15">
        <v>31400</v>
      </c>
      <c r="I126" s="15">
        <v>31242</v>
      </c>
      <c r="J126" s="15">
        <v>31328</v>
      </c>
      <c r="K126" s="15">
        <v>962100</v>
      </c>
      <c r="L126" s="15">
        <f t="shared" si="14"/>
        <v>232790298000</v>
      </c>
      <c r="M126" s="15">
        <f t="shared" si="13"/>
        <v>30140668800</v>
      </c>
      <c r="N126" s="79">
        <v>26767</v>
      </c>
      <c r="O126" s="79">
        <v>31554</v>
      </c>
      <c r="P126" s="79">
        <v>27046</v>
      </c>
      <c r="Q126" s="79">
        <v>31714</v>
      </c>
      <c r="R126" s="15"/>
      <c r="S126" s="15"/>
      <c r="T126" s="15"/>
      <c r="U126" s="15"/>
      <c r="X126" s="79">
        <v>27500</v>
      </c>
      <c r="Y126" s="79">
        <v>32552</v>
      </c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50"/>
      <c r="AT126" s="50"/>
      <c r="AU126" s="50"/>
      <c r="AV126" s="50"/>
      <c r="AW126" s="50"/>
      <c r="AX126" s="50"/>
      <c r="AY126" s="15"/>
      <c r="AZ126" s="15"/>
      <c r="BA126" s="15"/>
      <c r="BB126" s="15"/>
      <c r="BC126" s="15"/>
      <c r="BE126" s="80"/>
      <c r="BF126" s="80"/>
      <c r="BG126" s="80"/>
      <c r="BH126" s="80"/>
    </row>
    <row r="127" spans="1:62" s="77" customFormat="1" ht="21" customHeight="1">
      <c r="A127" s="74"/>
      <c r="B127" s="75" t="s">
        <v>335</v>
      </c>
      <c r="C127" s="75">
        <v>22</v>
      </c>
      <c r="D127" s="76">
        <v>26502</v>
      </c>
      <c r="E127" s="75">
        <v>26313</v>
      </c>
      <c r="F127" s="75">
        <v>26204</v>
      </c>
      <c r="G127" s="75">
        <v>8019300</v>
      </c>
      <c r="H127" s="75">
        <v>31250</v>
      </c>
      <c r="I127" s="75">
        <v>31378</v>
      </c>
      <c r="J127" s="75">
        <v>31080</v>
      </c>
      <c r="K127" s="75">
        <v>573100</v>
      </c>
      <c r="L127" s="15">
        <f t="shared" si="14"/>
        <v>210137737200</v>
      </c>
      <c r="M127" s="15">
        <f t="shared" si="13"/>
        <v>17811948000</v>
      </c>
      <c r="N127" s="77">
        <v>26577</v>
      </c>
      <c r="O127" s="77">
        <v>31692</v>
      </c>
      <c r="P127" s="77">
        <v>26767</v>
      </c>
      <c r="Q127" s="77">
        <v>31562</v>
      </c>
      <c r="R127" s="75"/>
      <c r="S127" s="75"/>
      <c r="T127" s="75"/>
      <c r="U127" s="75"/>
      <c r="X127" s="77">
        <v>27100</v>
      </c>
      <c r="Y127" s="77">
        <v>31782</v>
      </c>
      <c r="Z127" s="75"/>
      <c r="AA127" s="75"/>
      <c r="AB127" s="75"/>
      <c r="AC127" s="75"/>
      <c r="AD127" s="75"/>
      <c r="AE127" s="75"/>
      <c r="AF127" s="75"/>
      <c r="AG127" s="75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76"/>
      <c r="AT127" s="76"/>
      <c r="AU127" s="76"/>
      <c r="AV127" s="76"/>
      <c r="AW127" s="76"/>
      <c r="AX127" s="76"/>
      <c r="AY127" s="75"/>
      <c r="AZ127" s="75"/>
      <c r="BA127" s="75"/>
      <c r="BB127" s="75"/>
      <c r="BC127" s="75"/>
      <c r="BE127" s="78"/>
      <c r="BF127" s="78"/>
      <c r="BG127" s="78"/>
      <c r="BH127" s="78"/>
    </row>
    <row r="128" spans="1:62" ht="18">
      <c r="A128" s="6"/>
      <c r="B128" s="7"/>
      <c r="C128" s="7"/>
      <c r="D128" s="19"/>
      <c r="E128" s="7"/>
      <c r="F128" s="7"/>
      <c r="G128" s="7">
        <f>SUM(G2:G126)/125</f>
        <v>5885822.392</v>
      </c>
      <c r="H128" s="7"/>
      <c r="I128" s="7"/>
      <c r="J128" s="7"/>
      <c r="K128" s="7">
        <f>SUM(K2:K126)</f>
        <v>125564600</v>
      </c>
      <c r="L128" s="7">
        <f>SUM(L2:L127)</f>
        <v>17943592288009</v>
      </c>
      <c r="M128" s="4">
        <f>SUM(M2:M127)</f>
        <v>3582669809000</v>
      </c>
      <c r="N128" s="4"/>
      <c r="O128" s="4"/>
      <c r="P128" s="4"/>
      <c r="Q128" s="4"/>
      <c r="R128" s="4"/>
      <c r="S128" s="4"/>
      <c r="T128" s="4"/>
      <c r="U128" s="4"/>
      <c r="V128" s="64">
        <v>27750</v>
      </c>
      <c r="W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Y128" s="4"/>
      <c r="AZ128" s="4"/>
      <c r="BA128" s="4"/>
      <c r="BB128" s="4"/>
      <c r="BC128" s="4"/>
      <c r="BD128" s="4"/>
      <c r="BE128" s="3"/>
      <c r="BF128" s="3"/>
      <c r="BG128" s="3"/>
      <c r="BH128" s="3"/>
      <c r="BI128" t="e">
        <f>#REF!-N128</f>
        <v>#REF!</v>
      </c>
      <c r="BJ128" t="e">
        <f t="shared" si="3"/>
        <v>#DIV/0!</v>
      </c>
    </row>
    <row r="129" spans="4:54" ht="18">
      <c r="D129" s="19"/>
      <c r="Z129" s="12"/>
      <c r="AB129" s="12"/>
      <c r="AS129" s="12"/>
      <c r="AW129" s="29"/>
    </row>
    <row r="130" spans="4:54" ht="18">
      <c r="D130" s="19"/>
      <c r="Z130" s="12"/>
      <c r="AS130" s="19"/>
      <c r="AW130" s="29"/>
      <c r="AY130">
        <f>AY51-AY50</f>
        <v>35000</v>
      </c>
    </row>
    <row r="131" spans="4:54" ht="18">
      <c r="Z131" s="12"/>
      <c r="AS131" s="19">
        <v>10290000</v>
      </c>
      <c r="AW131" s="29"/>
      <c r="BB131">
        <f>AY60-AY59</f>
        <v>70000</v>
      </c>
    </row>
    <row r="132" spans="4:54" ht="18">
      <c r="V132" s="12"/>
      <c r="Z132" s="12"/>
      <c r="AS132" s="19"/>
      <c r="AU132">
        <f>AS131-AS49</f>
        <v>195000</v>
      </c>
      <c r="AW132" s="29">
        <f>AC52-AY51</f>
        <v>305000</v>
      </c>
    </row>
    <row r="133" spans="4:54" ht="18">
      <c r="V133" s="12"/>
      <c r="Z133" s="12"/>
      <c r="AW133" s="29"/>
    </row>
    <row r="134" spans="4:54" ht="17.25" customHeight="1">
      <c r="V134" s="12"/>
      <c r="Z134" s="12"/>
    </row>
    <row r="135" spans="4:54" ht="18">
      <c r="D135">
        <f>(D113-F111)/F111</f>
        <v>3.7955768081291093E-2</v>
      </c>
      <c r="V135" s="12"/>
      <c r="Z135" s="12"/>
      <c r="AW135">
        <f>AW132/AY51</f>
        <v>2.9539951573849879E-2</v>
      </c>
    </row>
    <row r="136" spans="4:54" ht="18">
      <c r="V136" s="12"/>
    </row>
    <row r="137" spans="4:54" ht="18">
      <c r="V137" s="12"/>
    </row>
  </sheetData>
  <autoFilter ref="A1:BL132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F1" zoomScale="70" zoomScaleNormal="70" workbookViewId="0">
      <selection activeCell="G24" sqref="G24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299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32" customFormat="1" ht="25.1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1"/>
  <sheetViews>
    <sheetView topLeftCell="A728" workbookViewId="0">
      <selection activeCell="A738" sqref="A738:D746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81" t="s">
        <v>162</v>
      </c>
      <c r="B1" s="81"/>
      <c r="C1" s="81"/>
      <c r="D1" s="81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81" t="s">
        <v>169</v>
      </c>
      <c r="B11" s="81"/>
      <c r="C11" s="81"/>
      <c r="D11" s="81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81" t="s">
        <v>170</v>
      </c>
      <c r="B21" s="81"/>
      <c r="C21" s="81"/>
      <c r="D21" s="81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81" t="s">
        <v>172</v>
      </c>
      <c r="B31" s="81"/>
      <c r="C31" s="81"/>
      <c r="D31" s="81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81" t="s">
        <v>173</v>
      </c>
      <c r="B41" s="81"/>
      <c r="C41" s="81"/>
      <c r="D41" s="81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81" t="s">
        <v>177</v>
      </c>
      <c r="B51" s="81"/>
      <c r="C51" s="81"/>
      <c r="D51" s="81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81" t="s">
        <v>179</v>
      </c>
      <c r="B61" s="81"/>
      <c r="C61" s="81"/>
      <c r="D61" s="81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81" t="s">
        <v>182</v>
      </c>
      <c r="B71" s="81"/>
      <c r="C71" s="81"/>
      <c r="D71" s="81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81" t="s">
        <v>184</v>
      </c>
      <c r="B81" s="81"/>
      <c r="C81" s="81"/>
      <c r="D81" s="81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81" t="s">
        <v>190</v>
      </c>
      <c r="B93" s="81"/>
      <c r="C93" s="81"/>
      <c r="D93" s="81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81" t="s">
        <v>191</v>
      </c>
      <c r="B103" s="81"/>
      <c r="C103" s="81"/>
      <c r="D103" s="81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81" t="s">
        <v>194</v>
      </c>
      <c r="B113" s="81"/>
      <c r="C113" s="81"/>
      <c r="D113" s="81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81" t="s">
        <v>197</v>
      </c>
      <c r="B123" s="81"/>
      <c r="C123" s="81"/>
      <c r="D123" s="81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81" t="s">
        <v>199</v>
      </c>
      <c r="B133" s="81"/>
      <c r="C133" s="81"/>
      <c r="D133" s="81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81" t="s">
        <v>201</v>
      </c>
      <c r="B143" s="81"/>
      <c r="C143" s="81"/>
      <c r="D143" s="81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81" t="s">
        <v>205</v>
      </c>
      <c r="B153" s="81"/>
      <c r="C153" s="81"/>
      <c r="D153" s="81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81" t="s">
        <v>207</v>
      </c>
      <c r="B163" s="81"/>
      <c r="C163" s="81"/>
      <c r="D163" s="81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81" t="s">
        <v>209</v>
      </c>
      <c r="B173" s="81"/>
      <c r="C173" s="81"/>
      <c r="D173" s="81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1" t="s">
        <v>210</v>
      </c>
      <c r="B183" s="81"/>
      <c r="C183" s="81"/>
      <c r="D183" s="81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81" t="s">
        <v>212</v>
      </c>
      <c r="B193" s="81"/>
      <c r="C193" s="81"/>
      <c r="D193" s="81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81" t="s">
        <v>214</v>
      </c>
      <c r="B203" s="81"/>
      <c r="C203" s="81"/>
      <c r="D203" s="81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81" t="s">
        <v>216</v>
      </c>
      <c r="B213" s="81"/>
      <c r="C213" s="81"/>
      <c r="D213" s="81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81" t="s">
        <v>217</v>
      </c>
      <c r="B223" s="81"/>
      <c r="C223" s="81"/>
      <c r="D223" s="81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81" t="s">
        <v>221</v>
      </c>
      <c r="B233" s="81"/>
      <c r="C233" s="81"/>
      <c r="D233" s="81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81" t="s">
        <v>222</v>
      </c>
      <c r="B243" s="81"/>
      <c r="C243" s="81"/>
      <c r="D243" s="81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81" t="s">
        <v>224</v>
      </c>
      <c r="B253" s="81"/>
      <c r="C253" s="81"/>
      <c r="D253" s="81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81" t="s">
        <v>226</v>
      </c>
      <c r="B263" s="81"/>
      <c r="C263" s="81"/>
      <c r="D263" s="81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81" t="s">
        <v>229</v>
      </c>
      <c r="B273" s="81"/>
      <c r="C273" s="81"/>
      <c r="D273" s="81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81" t="s">
        <v>231</v>
      </c>
      <c r="B283" s="81"/>
      <c r="C283" s="81"/>
      <c r="D283" s="81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81" t="s">
        <v>232</v>
      </c>
      <c r="B293" s="81"/>
      <c r="C293" s="81"/>
      <c r="D293" s="81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81" t="s">
        <v>234</v>
      </c>
      <c r="B303" s="81"/>
      <c r="C303" s="81"/>
      <c r="D303" s="81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81" t="s">
        <v>240</v>
      </c>
      <c r="B313" s="81"/>
      <c r="C313" s="81"/>
      <c r="D313" s="81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81" t="s">
        <v>245</v>
      </c>
      <c r="B324" s="81"/>
      <c r="C324" s="81"/>
      <c r="D324" s="81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81" t="s">
        <v>246</v>
      </c>
      <c r="B335" s="81"/>
      <c r="C335" s="81"/>
      <c r="D335" s="81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81" t="s">
        <v>247</v>
      </c>
      <c r="B346" s="81"/>
      <c r="C346" s="81"/>
      <c r="D346" s="81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81" t="s">
        <v>249</v>
      </c>
      <c r="B357" s="81"/>
      <c r="C357" s="81"/>
      <c r="D357" s="81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81" t="s">
        <v>250</v>
      </c>
      <c r="B368" s="81"/>
      <c r="C368" s="81"/>
      <c r="D368" s="81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81" t="s">
        <v>251</v>
      </c>
      <c r="B379" s="81"/>
      <c r="C379" s="81"/>
      <c r="D379" s="81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81" t="s">
        <v>252</v>
      </c>
      <c r="B390" s="81"/>
      <c r="C390" s="81"/>
      <c r="D390" s="81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81" t="s">
        <v>253</v>
      </c>
      <c r="B401" s="81"/>
      <c r="C401" s="81"/>
      <c r="D401" s="81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81" t="s">
        <v>254</v>
      </c>
      <c r="B412" s="81"/>
      <c r="C412" s="81"/>
      <c r="D412" s="81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81" t="s">
        <v>255</v>
      </c>
      <c r="B423" s="81"/>
      <c r="C423" s="81"/>
      <c r="D423" s="81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81" t="s">
        <v>260</v>
      </c>
      <c r="B434" s="81"/>
      <c r="C434" s="81"/>
      <c r="D434" s="81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81" t="s">
        <v>261</v>
      </c>
      <c r="B445" s="81"/>
      <c r="C445" s="81"/>
      <c r="D445" s="81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81" t="s">
        <v>262</v>
      </c>
      <c r="B456" s="81"/>
      <c r="C456" s="81"/>
      <c r="D456" s="81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81" t="s">
        <v>263</v>
      </c>
      <c r="B467" s="81"/>
      <c r="C467" s="81"/>
      <c r="D467" s="81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81" t="s">
        <v>277</v>
      </c>
      <c r="B478" s="81"/>
      <c r="C478" s="81"/>
      <c r="D478" s="81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81" t="s">
        <v>278</v>
      </c>
      <c r="B489" s="81"/>
      <c r="C489" s="81"/>
      <c r="D489" s="81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81" t="s">
        <v>282</v>
      </c>
      <c r="B500" s="81"/>
      <c r="C500" s="81"/>
      <c r="D500" s="81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81" t="s">
        <v>287</v>
      </c>
      <c r="B511" s="81"/>
      <c r="C511" s="81"/>
      <c r="D511" s="81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81" t="s">
        <v>288</v>
      </c>
      <c r="B522" s="81"/>
      <c r="C522" s="81"/>
      <c r="D522" s="81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81" t="s">
        <v>290</v>
      </c>
      <c r="B533" s="81"/>
      <c r="C533" s="81"/>
      <c r="D533" s="81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81" t="s">
        <v>291</v>
      </c>
      <c r="B544" s="81"/>
      <c r="C544" s="81"/>
      <c r="D544" s="81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81" t="s">
        <v>294</v>
      </c>
      <c r="B555" s="81"/>
      <c r="C555" s="81"/>
      <c r="D555" s="81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81" t="s">
        <v>294</v>
      </c>
      <c r="B567" s="81"/>
      <c r="C567" s="81"/>
      <c r="D567" s="81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81" t="s">
        <v>301</v>
      </c>
      <c r="B579" s="81"/>
      <c r="C579" s="81"/>
      <c r="D579" s="81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81" t="s">
        <v>302</v>
      </c>
      <c r="B590" s="81"/>
      <c r="C590" s="81"/>
      <c r="D590" s="81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81" t="s">
        <v>305</v>
      </c>
      <c r="B601" s="81"/>
      <c r="C601" s="81"/>
      <c r="D601" s="81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81" t="s">
        <v>306</v>
      </c>
      <c r="B612" s="81"/>
      <c r="C612" s="81"/>
      <c r="D612" s="81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81" t="s">
        <v>309</v>
      </c>
      <c r="B623" s="81"/>
      <c r="C623" s="81"/>
      <c r="D623" s="81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81" t="s">
        <v>310</v>
      </c>
      <c r="B635" s="81"/>
      <c r="C635" s="81"/>
      <c r="D635" s="81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81" t="s">
        <v>314</v>
      </c>
      <c r="B647" s="81"/>
      <c r="C647" s="81"/>
      <c r="D647" s="81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81" t="s">
        <v>316</v>
      </c>
      <c r="B658" s="81"/>
      <c r="C658" s="81"/>
      <c r="D658" s="81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81" t="s">
        <v>318</v>
      </c>
      <c r="B670" s="81"/>
      <c r="C670" s="81"/>
      <c r="D670" s="81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81" t="s">
        <v>319</v>
      </c>
      <c r="B681" s="81"/>
      <c r="C681" s="81"/>
      <c r="D681" s="81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81" t="s">
        <v>322</v>
      </c>
      <c r="B692" s="81"/>
      <c r="C692" s="81"/>
      <c r="D692" s="81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81" t="s">
        <v>323</v>
      </c>
      <c r="B703" s="81"/>
      <c r="C703" s="81"/>
      <c r="D703" s="81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>
        <v>27820</v>
      </c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  <row r="715" spans="1:6">
      <c r="A715" s="81" t="s">
        <v>330</v>
      </c>
      <c r="B715" s="81"/>
      <c r="C715" s="81"/>
      <c r="D715" s="81"/>
    </row>
    <row r="716" spans="1:6">
      <c r="A716" s="3" t="s">
        <v>148</v>
      </c>
      <c r="B716" s="3" t="s">
        <v>165</v>
      </c>
      <c r="C716" s="3" t="s">
        <v>164</v>
      </c>
      <c r="D716" s="3" t="s">
        <v>163</v>
      </c>
    </row>
    <row r="717" spans="1:6">
      <c r="A717" s="43">
        <v>0.45833333333333331</v>
      </c>
      <c r="B717" s="3">
        <v>27800</v>
      </c>
      <c r="C717" s="3">
        <v>7600</v>
      </c>
      <c r="D717">
        <v>12040000</v>
      </c>
    </row>
    <row r="718" spans="1:6">
      <c r="A718" s="44" t="s">
        <v>158</v>
      </c>
      <c r="B718" s="3">
        <v>27780</v>
      </c>
      <c r="C718" s="3">
        <v>7595</v>
      </c>
      <c r="D718">
        <v>12040000</v>
      </c>
    </row>
    <row r="719" spans="1:6">
      <c r="A719" s="45" t="s">
        <v>157</v>
      </c>
      <c r="B719" s="3">
        <v>27750</v>
      </c>
      <c r="C719" s="3">
        <v>7585</v>
      </c>
      <c r="D719">
        <v>12070000</v>
      </c>
    </row>
    <row r="720" spans="1:6">
      <c r="A720" s="43" t="s">
        <v>156</v>
      </c>
      <c r="B720" s="3">
        <v>27830</v>
      </c>
      <c r="C720" s="3">
        <v>7595</v>
      </c>
      <c r="D720">
        <v>12050000</v>
      </c>
    </row>
    <row r="721" spans="1:4">
      <c r="A721" s="43">
        <v>0.625</v>
      </c>
      <c r="B721" s="3">
        <v>27830</v>
      </c>
      <c r="C721" s="3">
        <v>7590</v>
      </c>
      <c r="D721">
        <v>12080000</v>
      </c>
    </row>
    <row r="722" spans="1:4">
      <c r="A722" s="44" t="s">
        <v>159</v>
      </c>
      <c r="B722" s="3">
        <v>27830</v>
      </c>
      <c r="C722" s="3">
        <v>7590</v>
      </c>
      <c r="D722">
        <v>12080000</v>
      </c>
    </row>
    <row r="723" spans="1:4">
      <c r="A723" s="44" t="s">
        <v>160</v>
      </c>
      <c r="B723" s="3">
        <v>27830</v>
      </c>
      <c r="C723" s="3">
        <v>7590</v>
      </c>
      <c r="D723">
        <v>12020000</v>
      </c>
    </row>
    <row r="726" spans="1:4">
      <c r="A726" s="81" t="s">
        <v>333</v>
      </c>
      <c r="B726" s="81"/>
      <c r="C726" s="81"/>
      <c r="D726" s="81"/>
    </row>
    <row r="727" spans="1:4">
      <c r="A727" s="3" t="s">
        <v>148</v>
      </c>
      <c r="B727" s="3" t="s">
        <v>165</v>
      </c>
      <c r="C727" s="3" t="s">
        <v>164</v>
      </c>
      <c r="D727" s="3" t="s">
        <v>163</v>
      </c>
    </row>
    <row r="728" spans="1:4">
      <c r="A728" s="43">
        <v>0.45833333333333331</v>
      </c>
      <c r="B728" s="3">
        <v>27630</v>
      </c>
      <c r="C728" s="3">
        <v>7560</v>
      </c>
      <c r="D728">
        <v>11960000</v>
      </c>
    </row>
    <row r="729" spans="1:4">
      <c r="A729" s="44" t="s">
        <v>158</v>
      </c>
      <c r="B729" s="3">
        <v>27550</v>
      </c>
      <c r="C729" s="3">
        <v>7550</v>
      </c>
      <c r="D729">
        <v>11990000</v>
      </c>
    </row>
    <row r="730" spans="1:4">
      <c r="A730" s="45" t="s">
        <v>157</v>
      </c>
      <c r="B730" s="3">
        <v>27560</v>
      </c>
      <c r="C730" s="3">
        <v>7545</v>
      </c>
      <c r="D730">
        <v>12010000</v>
      </c>
    </row>
    <row r="731" spans="1:4">
      <c r="A731" s="43" t="s">
        <v>156</v>
      </c>
      <c r="B731" s="3">
        <v>27500</v>
      </c>
      <c r="C731" s="3">
        <v>7525</v>
      </c>
      <c r="D731">
        <v>11990000</v>
      </c>
    </row>
    <row r="732" spans="1:4">
      <c r="A732" s="43">
        <v>0.625</v>
      </c>
      <c r="B732" s="3">
        <v>27500</v>
      </c>
      <c r="C732" s="3">
        <v>7530</v>
      </c>
      <c r="D732">
        <v>12020000</v>
      </c>
    </row>
    <row r="733" spans="1:4">
      <c r="A733" s="44" t="s">
        <v>159</v>
      </c>
      <c r="B733" s="3">
        <v>27500</v>
      </c>
      <c r="C733" s="3">
        <v>7535</v>
      </c>
      <c r="D733">
        <v>12000000</v>
      </c>
    </row>
    <row r="734" spans="1:4">
      <c r="A734" s="44" t="s">
        <v>160</v>
      </c>
      <c r="B734" s="3">
        <v>27500</v>
      </c>
      <c r="C734" s="3">
        <v>7535</v>
      </c>
      <c r="D734">
        <v>11990000</v>
      </c>
    </row>
    <row r="738" spans="1:5">
      <c r="A738" s="81" t="s">
        <v>334</v>
      </c>
      <c r="B738" s="81"/>
      <c r="C738" s="81"/>
      <c r="D738" s="81"/>
    </row>
    <row r="739" spans="1:5">
      <c r="A739" s="3" t="s">
        <v>148</v>
      </c>
      <c r="B739" s="3" t="s">
        <v>165</v>
      </c>
      <c r="C739" s="3" t="s">
        <v>164</v>
      </c>
      <c r="D739" s="3" t="s">
        <v>163</v>
      </c>
    </row>
    <row r="740" spans="1:5">
      <c r="A740" s="43">
        <v>0.45833333333333331</v>
      </c>
      <c r="B740" s="3">
        <v>26970</v>
      </c>
      <c r="C740" s="3">
        <v>7400</v>
      </c>
      <c r="D740">
        <v>11770000</v>
      </c>
    </row>
    <row r="741" spans="1:5">
      <c r="A741" s="44" t="s">
        <v>158</v>
      </c>
      <c r="B741" s="3">
        <v>26900</v>
      </c>
      <c r="C741" s="3">
        <v>7390</v>
      </c>
      <c r="D741">
        <v>11780000</v>
      </c>
    </row>
    <row r="742" spans="1:5">
      <c r="A742" s="45" t="s">
        <v>157</v>
      </c>
      <c r="B742" s="3">
        <v>26990</v>
      </c>
      <c r="C742" s="3">
        <v>7430</v>
      </c>
      <c r="D742">
        <v>11790000</v>
      </c>
    </row>
    <row r="743" spans="1:5">
      <c r="A743" s="43" t="s">
        <v>156</v>
      </c>
      <c r="B743" s="3">
        <v>27100</v>
      </c>
      <c r="C743" s="3">
        <v>7430</v>
      </c>
      <c r="D743">
        <v>11810000</v>
      </c>
    </row>
    <row r="744" spans="1:5">
      <c r="A744" s="43">
        <v>0.625</v>
      </c>
      <c r="B744" s="3">
        <v>27100</v>
      </c>
      <c r="C744" s="3">
        <v>7450</v>
      </c>
      <c r="D744">
        <v>11840000</v>
      </c>
    </row>
    <row r="745" spans="1:5">
      <c r="A745" s="44" t="s">
        <v>159</v>
      </c>
      <c r="B745" s="3">
        <v>27100</v>
      </c>
      <c r="C745" s="3">
        <v>7450</v>
      </c>
      <c r="D745">
        <v>11840000</v>
      </c>
    </row>
    <row r="746" spans="1:5">
      <c r="A746" s="44" t="s">
        <v>160</v>
      </c>
      <c r="B746" s="3">
        <v>27100</v>
      </c>
      <c r="C746" s="3">
        <v>7450</v>
      </c>
      <c r="D746">
        <v>11850000</v>
      </c>
    </row>
    <row r="749" spans="1:5">
      <c r="B749">
        <v>3.673</v>
      </c>
      <c r="C749">
        <f>B749*C746</f>
        <v>27363.85</v>
      </c>
    </row>
    <row r="750" spans="1:5">
      <c r="E750" t="e">
        <f>(D734-E740)/E740</f>
        <v>#DIV/0!</v>
      </c>
    </row>
    <row r="751" spans="1:5">
      <c r="B751">
        <f>(B734-B740)/B734</f>
        <v>1.9272727272727271E-2</v>
      </c>
    </row>
  </sheetData>
  <mergeCells count="70">
    <mergeCell ref="A738:D738"/>
    <mergeCell ref="A715:D715"/>
    <mergeCell ref="A703:D703"/>
    <mergeCell ref="A692:D692"/>
    <mergeCell ref="A658:D658"/>
    <mergeCell ref="A726:D726"/>
    <mergeCell ref="A647:D647"/>
    <mergeCell ref="A635:D635"/>
    <mergeCell ref="A623:D623"/>
    <mergeCell ref="A681:D681"/>
    <mergeCell ref="A670:D670"/>
    <mergeCell ref="A612:D612"/>
    <mergeCell ref="A478:D478"/>
    <mergeCell ref="A522:D522"/>
    <mergeCell ref="A555:D555"/>
    <mergeCell ref="A601:D601"/>
    <mergeCell ref="A590:D590"/>
    <mergeCell ref="A579:D579"/>
    <mergeCell ref="A567:D567"/>
    <mergeCell ref="A544:D544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511:D511"/>
    <mergeCell ref="A467:D467"/>
    <mergeCell ref="A500:D500"/>
    <mergeCell ref="A489:D48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8"/>
  <sheetViews>
    <sheetView tabSelected="1" workbookViewId="0">
      <selection activeCell="E71" sqref="E71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8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8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9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</row>
    <row r="66" spans="2:9">
      <c r="B66">
        <v>14000620</v>
      </c>
      <c r="C66" s="54">
        <v>27830</v>
      </c>
      <c r="D66">
        <v>12020000</v>
      </c>
      <c r="E66">
        <v>1170409</v>
      </c>
      <c r="F66">
        <f t="shared" si="1"/>
        <v>1.0897203051216855</v>
      </c>
      <c r="G66">
        <f t="shared" si="0"/>
        <v>-1.4754098360655739</v>
      </c>
      <c r="H66">
        <f t="shared" si="0"/>
        <v>-0.33414712862535584</v>
      </c>
      <c r="I66">
        <v>0.3</v>
      </c>
    </row>
    <row r="67" spans="2:9">
      <c r="B67">
        <v>14000621</v>
      </c>
      <c r="C67" s="54">
        <v>27500</v>
      </c>
      <c r="D67">
        <v>11990000</v>
      </c>
      <c r="E67">
        <v>1162098</v>
      </c>
      <c r="F67">
        <f t="shared" si="1"/>
        <v>-1.1857707509881423</v>
      </c>
      <c r="G67">
        <f t="shared" si="0"/>
        <v>-0.24958402662229617</v>
      </c>
      <c r="H67">
        <f t="shared" si="0"/>
        <v>-0.71009365102284761</v>
      </c>
      <c r="I67">
        <v>-2.64</v>
      </c>
    </row>
    <row r="68" spans="2:9">
      <c r="B68">
        <v>14000622</v>
      </c>
      <c r="C68" s="54">
        <v>27100</v>
      </c>
      <c r="D68">
        <v>11850000</v>
      </c>
      <c r="E68">
        <v>1145939</v>
      </c>
      <c r="F68">
        <f t="shared" si="1"/>
        <v>-1.4545454545454546</v>
      </c>
      <c r="G68">
        <f t="shared" si="0"/>
        <v>-1.1676396997497915</v>
      </c>
      <c r="H68">
        <f t="shared" si="0"/>
        <v>-1.3905023500599778</v>
      </c>
      <c r="I68">
        <v>-0.99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2021-09-13T12:28:09Z</dcterms:modified>
</cp:coreProperties>
</file>