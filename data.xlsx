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set'!$A$1:$BL$194</definedName>
    <definedName name="_xlnm._FilterDatabase" localSheetId="1" hidden="1">weekly!$A$1:$K$48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9" i="1" l="1"/>
  <c r="M190" i="1"/>
  <c r="L189" i="1"/>
  <c r="L190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4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G190" i="1" l="1"/>
  <c r="M178" i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4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8" i="2"/>
  <c r="G47" i="2"/>
  <c r="G46" i="2"/>
  <c r="G45" i="2"/>
  <c r="G44" i="2"/>
  <c r="G43" i="2"/>
  <c r="G42" i="2"/>
  <c r="G41" i="2"/>
  <c r="G40" i="2"/>
  <c r="D36" i="2"/>
  <c r="C36" i="2"/>
  <c r="B3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0" i="2" s="1"/>
  <c r="G16" i="2"/>
  <c r="E16" i="2"/>
  <c r="C4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J190" i="1"/>
  <c r="BI190" i="1"/>
  <c r="K190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U1" i="1" l="1"/>
  <c r="S1" i="1"/>
</calcChain>
</file>

<file path=xl/sharedStrings.xml><?xml version="1.0" encoding="utf-8"?>
<sst xmlns="http://schemas.openxmlformats.org/spreadsheetml/2006/main" count="1658" uniqueCount="494">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</sst>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7" fillId="10" borderId="0" xfId="0" applyFont="1" applyFill="1" applyBorder="1"/>
    <xf numFmtId="0" fontId="0" fillId="0" borderId="4" xfId="0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2989424"/>
        <c:axId val="-1422988880"/>
      </c:lineChart>
      <c:catAx>
        <c:axId val="-142298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2988880"/>
        <c:crosses val="autoZero"/>
        <c:auto val="1"/>
        <c:lblAlgn val="ctr"/>
        <c:lblOffset val="100"/>
        <c:noMultiLvlLbl val="0"/>
      </c:catAx>
      <c:valAx>
        <c:axId val="-1422988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298942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weekly!$B$27:$B$35</c15:sqref>
                  </c15:fullRef>
                </c:ext>
              </c:extLst>
              <c:f>weekly!$B$28:$B$35</c:f>
              <c:numCache>
                <c:formatCode>General</c:formatCode>
                <c:ptCount val="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weekly!$H$27:$H$35</c15:sqref>
                  </c15:fullRef>
                </c:ext>
              </c:extLst>
              <c:f>weekly!$H$28:$H$35</c:f>
              <c:numCache>
                <c:formatCode>General</c:formatCode>
                <c:ptCount val="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weekly!$J$27:$J$35</c15:sqref>
                  </c15:fullRef>
                </c:ext>
              </c:extLst>
              <c:f>weekly!$J$28:$J$35</c:f>
              <c:numCache>
                <c:formatCode>General</c:formatCode>
                <c:ptCount val="8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  <c:pt idx="6">
                  <c:v>28335</c:v>
                </c:pt>
                <c:pt idx="7">
                  <c:v>28590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2986704"/>
        <c:axId val="-1422987792"/>
      </c:lineChart>
      <c:catAx>
        <c:axId val="-142298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2987792"/>
        <c:crosses val="autoZero"/>
        <c:auto val="1"/>
        <c:lblAlgn val="ctr"/>
        <c:lblOffset val="100"/>
        <c:noMultiLvlLbl val="0"/>
      </c:catAx>
      <c:valAx>
        <c:axId val="-142298779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29867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پنجم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weekly!$D$2:$D$35</c:f>
              <c:numCache>
                <c:formatCode>General</c:formatCode>
                <c:ptCount val="3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2987248"/>
        <c:axId val="-1422986160"/>
      </c:lineChart>
      <c:catAx>
        <c:axId val="-142298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2986160"/>
        <c:crosses val="autoZero"/>
        <c:auto val="1"/>
        <c:lblAlgn val="ctr"/>
        <c:lblOffset val="100"/>
        <c:noMultiLvlLbl val="0"/>
      </c:catAx>
      <c:valAx>
        <c:axId val="-1422986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298724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422985616"/>
        <c:axId val="-1333912912"/>
      </c:lineChart>
      <c:catAx>
        <c:axId val="-142298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2912"/>
        <c:crosses val="autoZero"/>
        <c:auto val="1"/>
        <c:lblAlgn val="ctr"/>
        <c:lblOffset val="100"/>
        <c:noMultiLvlLbl val="0"/>
      </c:catAx>
      <c:valAx>
        <c:axId val="-1333912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4229856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پنجم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weekly!$A$2:$A$35</c:f>
              <c:strCache>
                <c:ptCount val="3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</c:strCache>
            </c:strRef>
          </c:cat>
          <c:val>
            <c:numRef>
              <c:f>weekly!$F$2:$F$35</c:f>
              <c:numCache>
                <c:formatCode>General</c:formatCode>
                <c:ptCount val="3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33917808"/>
        <c:axId val="-1333917264"/>
      </c:lineChart>
      <c:catAx>
        <c:axId val="-133391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7264"/>
        <c:crosses val="autoZero"/>
        <c:auto val="1"/>
        <c:lblAlgn val="ctr"/>
        <c:lblOffset val="100"/>
        <c:noMultiLvlLbl val="0"/>
      </c:catAx>
      <c:valAx>
        <c:axId val="-1333917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78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weekly!$C$27:$C$35</c15:sqref>
                  </c15:fullRef>
                </c:ext>
              </c:extLst>
              <c:f>weekly!$C$28:$C$35</c:f>
              <c:numCache>
                <c:formatCode>General</c:formatCode>
                <c:ptCount val="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weekly!$K$27:$K$35</c15:sqref>
                  </c15:fullRef>
                </c:ext>
              </c:extLst>
              <c:f>weekly!$K$28:$K$35</c:f>
              <c:numCache>
                <c:formatCode>General</c:formatCode>
                <c:ptCount val="8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  <c:pt idx="6">
                  <c:v>32289</c:v>
                </c:pt>
                <c:pt idx="7">
                  <c:v>32092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weekly!$A$27:$A$35</c15:sqref>
                  </c15:fullRef>
                </c:ext>
              </c:extLst>
              <c:f>weekly!$A$28:$A$35</c:f>
              <c:strCache>
                <c:ptCount val="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weekly!$I$27:$I$35</c15:sqref>
                  </c15:fullRef>
                </c:ext>
              </c:extLst>
              <c:f>weekly!$I$28:$I$35</c:f>
              <c:numCache>
                <c:formatCode>General</c:formatCode>
                <c:ptCount val="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333915632"/>
        <c:axId val="-1333916176"/>
      </c:lineChart>
      <c:catAx>
        <c:axId val="-133391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6176"/>
        <c:crosses val="autoZero"/>
        <c:auto val="1"/>
        <c:lblAlgn val="ctr"/>
        <c:lblOffset val="100"/>
        <c:noMultiLvlLbl val="0"/>
      </c:catAx>
      <c:valAx>
        <c:axId val="-1333916176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56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333913456"/>
        <c:axId val="-1333916720"/>
      </c:barChart>
      <c:catAx>
        <c:axId val="-133391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6720"/>
        <c:crosses val="autoZero"/>
        <c:auto val="1"/>
        <c:lblAlgn val="ctr"/>
        <c:lblOffset val="100"/>
        <c:noMultiLvlLbl val="0"/>
      </c:catAx>
      <c:valAx>
        <c:axId val="-1333916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345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08 آذر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89940433215801E-2"/>
          <c:w val="0.92055640483045009"/>
          <c:h val="0.88440480368315355"/>
        </c:manualLayout>
      </c:layout>
      <c:barChart>
        <c:barDir val="col"/>
        <c:grouping val="clustered"/>
        <c:varyColors val="0"/>
        <c:ser>
          <c:idx val="38"/>
          <c:order val="3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change'!$F$120:$I$120</c:f>
              <c:numCache>
                <c:formatCode>General</c:formatCode>
                <c:ptCount val="4"/>
                <c:pt idx="0">
                  <c:v>0.85470085470085466</c:v>
                </c:pt>
                <c:pt idx="1">
                  <c:v>0.71456927352123856</c:v>
                </c:pt>
                <c:pt idx="2">
                  <c:v>1.0504536049657807</c:v>
                </c:pt>
                <c:pt idx="3">
                  <c:v>-0.31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333911824"/>
        <c:axId val="-133391508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33391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5088"/>
        <c:crosses val="autoZero"/>
        <c:auto val="1"/>
        <c:lblAlgn val="ctr"/>
        <c:lblOffset val="100"/>
        <c:noMultiLvlLbl val="0"/>
      </c:catAx>
      <c:valAx>
        <c:axId val="-13339150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33391182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590</xdr:row>
      <xdr:rowOff>102960</xdr:rowOff>
    </xdr:from>
    <xdr:to>
      <xdr:col>11</xdr:col>
      <xdr:colOff>279360</xdr:colOff>
      <xdr:row>620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170</xdr:row>
      <xdr:rowOff>27711</xdr:rowOff>
    </xdr:from>
    <xdr:to>
      <xdr:col>41</xdr:col>
      <xdr:colOff>533400</xdr:colOff>
      <xdr:row>275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306</xdr:row>
      <xdr:rowOff>0</xdr:rowOff>
    </xdr:from>
    <xdr:to>
      <xdr:col>82</xdr:col>
      <xdr:colOff>0</xdr:colOff>
      <xdr:row>382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625</xdr:row>
      <xdr:rowOff>0</xdr:rowOff>
    </xdr:from>
    <xdr:to>
      <xdr:col>13</xdr:col>
      <xdr:colOff>354240</xdr:colOff>
      <xdr:row>655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405</xdr:row>
      <xdr:rowOff>0</xdr:rowOff>
    </xdr:from>
    <xdr:to>
      <xdr:col>83</xdr:col>
      <xdr:colOff>533400</xdr:colOff>
      <xdr:row>504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53</xdr:row>
      <xdr:rowOff>76321</xdr:rowOff>
    </xdr:from>
    <xdr:to>
      <xdr:col>44</xdr:col>
      <xdr:colOff>533400</xdr:colOff>
      <xdr:row>152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449816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07"/>
  <sheetViews>
    <sheetView tabSelected="1" topLeftCell="B1" zoomScale="85" zoomScaleNormal="85" workbookViewId="0">
      <selection activeCell="B189" sqref="B18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L190/G190</f>
        <v>4801108.6317632804</v>
      </c>
      <c r="T1" s="3" t="s">
        <v>15</v>
      </c>
      <c r="U1" s="3">
        <f>M190/K190</f>
        <v>45155.912103411312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K190/K62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89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hidden="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hidden="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hidden="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hidden="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hidden="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hidden="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hidden="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hidden="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hidden="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hidden="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hidden="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hidden="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hidden="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hidden="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hidden="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hidden="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hidden="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hidden="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hidden="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hidden="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hidden="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hidden="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hidden="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hidden="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0" s="101" customFormat="1" ht="21" hidden="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0" s="101" customFormat="1" ht="21" hidden="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0" s="107" customFormat="1" ht="21" hidden="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0" s="119" customFormat="1" ht="21" hidden="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89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0" s="125" customFormat="1" ht="21" hidden="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0" s="119" customFormat="1" ht="21" hidden="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0" s="119" customFormat="1" ht="21" hidden="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0" s="125" customFormat="1" ht="21" hidden="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0" s="132" customFormat="1" ht="21" hidden="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0" s="132" customFormat="1" ht="21" hidden="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0" s="132" customFormat="1" ht="21" hidden="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0" s="132" customFormat="1" ht="21" hidden="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0" s="132" customFormat="1" ht="21" hidden="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0" s="132" customFormat="1" ht="21" hidden="1" customHeight="1">
      <c r="A174" s="128"/>
      <c r="B174" s="129" t="s">
        <v>459</v>
      </c>
      <c r="C174" s="130">
        <v>20</v>
      </c>
      <c r="D174" s="131">
        <v>27338</v>
      </c>
      <c r="E174" s="130">
        <v>27719</v>
      </c>
      <c r="F174" s="130">
        <v>27564</v>
      </c>
      <c r="G174" s="130">
        <v>7048800</v>
      </c>
      <c r="H174" s="130">
        <v>31502</v>
      </c>
      <c r="I174" s="130">
        <v>31582</v>
      </c>
      <c r="J174" s="132">
        <v>31542</v>
      </c>
      <c r="K174" s="130">
        <v>1145000</v>
      </c>
      <c r="L174" s="99">
        <f t="shared" si="23"/>
        <v>194293123200</v>
      </c>
      <c r="M174" s="99">
        <f t="shared" si="22"/>
        <v>36115590000</v>
      </c>
      <c r="N174" s="132">
        <v>27996</v>
      </c>
      <c r="O174" s="132">
        <v>31897</v>
      </c>
      <c r="P174" s="132">
        <v>27611</v>
      </c>
      <c r="Q174" s="132">
        <v>31817</v>
      </c>
      <c r="R174" s="130"/>
      <c r="S174" s="130"/>
      <c r="T174" s="130"/>
      <c r="U174" s="130"/>
      <c r="V174" s="132">
        <v>28340</v>
      </c>
      <c r="X174" s="132">
        <v>28370</v>
      </c>
      <c r="Y174" s="132">
        <v>32678</v>
      </c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1"/>
      <c r="AT174" s="131"/>
      <c r="AU174" s="131"/>
      <c r="AV174" s="131"/>
      <c r="AW174" s="131"/>
      <c r="AX174" s="131"/>
      <c r="AY174" s="130"/>
      <c r="AZ174" s="130"/>
      <c r="BA174" s="130"/>
      <c r="BB174" s="130"/>
      <c r="BC174" s="130"/>
      <c r="BE174" s="133"/>
      <c r="BF174" s="133"/>
      <c r="BG174" s="133"/>
      <c r="BH174" s="133"/>
    </row>
    <row r="175" spans="1:60" s="125" customFormat="1" ht="21" hidden="1" customHeight="1">
      <c r="A175" s="121"/>
      <c r="B175" s="122" t="s">
        <v>463</v>
      </c>
      <c r="C175" s="123">
        <v>22</v>
      </c>
      <c r="D175" s="124">
        <v>27657</v>
      </c>
      <c r="E175" s="123">
        <v>27585</v>
      </c>
      <c r="F175" s="123">
        <v>27691</v>
      </c>
      <c r="G175" s="123">
        <v>13052500</v>
      </c>
      <c r="H175" s="123">
        <v>31582</v>
      </c>
      <c r="I175" s="123">
        <v>31743</v>
      </c>
      <c r="J175" s="125">
        <v>31748</v>
      </c>
      <c r="K175" s="123">
        <v>1317900</v>
      </c>
      <c r="L175" s="127">
        <f t="shared" si="23"/>
        <v>361436777500</v>
      </c>
      <c r="M175" s="127">
        <f t="shared" si="22"/>
        <v>41840689200</v>
      </c>
      <c r="N175" s="125">
        <v>27860</v>
      </c>
      <c r="O175" s="125">
        <v>32061</v>
      </c>
      <c r="P175" s="125">
        <v>27933</v>
      </c>
      <c r="Q175" s="125">
        <v>31897</v>
      </c>
      <c r="R175" s="123"/>
      <c r="S175" s="123"/>
      <c r="T175" s="123"/>
      <c r="U175" s="123"/>
      <c r="V175" s="125">
        <v>28470</v>
      </c>
      <c r="X175" s="125">
        <v>28720</v>
      </c>
      <c r="Y175" s="125">
        <v>32655</v>
      </c>
      <c r="Z175" s="123"/>
      <c r="AA175" s="123"/>
      <c r="AB175" s="123"/>
      <c r="AC175" s="123"/>
      <c r="AD175" s="123"/>
      <c r="AE175" s="123"/>
      <c r="AF175" s="123"/>
      <c r="AG175" s="123"/>
      <c r="AH175" s="123"/>
      <c r="AI175" s="123"/>
      <c r="AJ175" s="123"/>
      <c r="AK175" s="123"/>
      <c r="AL175" s="123"/>
      <c r="AM175" s="123"/>
      <c r="AN175" s="123"/>
      <c r="AO175" s="123"/>
      <c r="AP175" s="123"/>
      <c r="AQ175" s="123"/>
      <c r="AR175" s="123"/>
      <c r="AS175" s="124"/>
      <c r="AT175" s="124"/>
      <c r="AU175" s="124"/>
      <c r="AV175" s="124"/>
      <c r="AW175" s="124"/>
      <c r="AX175" s="124"/>
      <c r="AY175" s="123"/>
      <c r="AZ175" s="123"/>
      <c r="BA175" s="123"/>
      <c r="BB175" s="123"/>
      <c r="BC175" s="123"/>
      <c r="BE175" s="126"/>
      <c r="BF175" s="126"/>
      <c r="BG175" s="126"/>
      <c r="BH175" s="126"/>
    </row>
    <row r="176" spans="1:60" s="119" customFormat="1" ht="21" hidden="1" customHeight="1">
      <c r="A176" s="115"/>
      <c r="B176" s="116" t="s">
        <v>465</v>
      </c>
      <c r="C176" s="117">
        <v>23</v>
      </c>
      <c r="D176" s="118">
        <v>27494</v>
      </c>
      <c r="E176" s="117">
        <v>26882</v>
      </c>
      <c r="F176" s="117">
        <v>27339</v>
      </c>
      <c r="G176" s="117">
        <v>11746800</v>
      </c>
      <c r="H176" s="117">
        <v>31600</v>
      </c>
      <c r="I176" s="117">
        <v>31595</v>
      </c>
      <c r="J176" s="119">
        <v>31558</v>
      </c>
      <c r="K176" s="117">
        <v>915600</v>
      </c>
      <c r="L176" s="93">
        <f t="shared" si="23"/>
        <v>321145765200</v>
      </c>
      <c r="M176" s="93">
        <f t="shared" si="22"/>
        <v>28894504800</v>
      </c>
      <c r="N176" s="119">
        <v>27150</v>
      </c>
      <c r="O176" s="119">
        <v>31911</v>
      </c>
      <c r="P176" s="119">
        <v>27768</v>
      </c>
      <c r="Q176" s="119">
        <v>31916</v>
      </c>
      <c r="R176" s="117"/>
      <c r="S176" s="117"/>
      <c r="T176" s="117"/>
      <c r="U176" s="117"/>
      <c r="V176" s="119">
        <v>28720</v>
      </c>
      <c r="X176" s="119">
        <v>28580</v>
      </c>
      <c r="Y176" s="119">
        <v>32804</v>
      </c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  <c r="AM176" s="117"/>
      <c r="AN176" s="117"/>
      <c r="AO176" s="117"/>
      <c r="AP176" s="117"/>
      <c r="AQ176" s="117"/>
      <c r="AR176" s="117"/>
      <c r="AS176" s="118"/>
      <c r="AT176" s="118"/>
      <c r="AU176" s="118"/>
      <c r="AV176" s="118"/>
      <c r="AW176" s="118"/>
      <c r="AX176" s="118"/>
      <c r="AY176" s="117"/>
      <c r="AZ176" s="117"/>
      <c r="BA176" s="117"/>
      <c r="BB176" s="117"/>
      <c r="BC176" s="117"/>
      <c r="BE176" s="120"/>
      <c r="BF176" s="120"/>
      <c r="BG176" s="120"/>
      <c r="BH176" s="120"/>
    </row>
    <row r="177" spans="1:62" s="119" customFormat="1" ht="21" hidden="1" customHeight="1">
      <c r="A177" s="115"/>
      <c r="B177" s="116" t="s">
        <v>466</v>
      </c>
      <c r="C177" s="117">
        <v>24</v>
      </c>
      <c r="D177" s="118">
        <v>26862</v>
      </c>
      <c r="E177" s="117">
        <v>26874</v>
      </c>
      <c r="F177" s="117">
        <v>26871</v>
      </c>
      <c r="G177" s="117">
        <v>11601300</v>
      </c>
      <c r="H177" s="117">
        <v>31350</v>
      </c>
      <c r="I177" s="117">
        <v>31256</v>
      </c>
      <c r="J177" s="119">
        <v>31234</v>
      </c>
      <c r="K177" s="117">
        <v>1080600</v>
      </c>
      <c r="L177" s="93">
        <f t="shared" si="23"/>
        <v>311738532300</v>
      </c>
      <c r="M177" s="93">
        <f t="shared" si="22"/>
        <v>33751460400</v>
      </c>
      <c r="N177" s="119">
        <v>27143</v>
      </c>
      <c r="O177" s="119">
        <v>31569</v>
      </c>
      <c r="P177" s="119">
        <v>27130</v>
      </c>
      <c r="Q177" s="119">
        <v>31663</v>
      </c>
      <c r="R177" s="117"/>
      <c r="S177" s="117"/>
      <c r="T177" s="117"/>
      <c r="U177" s="117"/>
      <c r="V177" s="119">
        <v>28420</v>
      </c>
      <c r="X177" s="119">
        <v>28190</v>
      </c>
      <c r="Y177" s="119">
        <v>32283</v>
      </c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  <c r="AM177" s="117"/>
      <c r="AN177" s="117"/>
      <c r="AO177" s="117"/>
      <c r="AP177" s="117"/>
      <c r="AQ177" s="117"/>
      <c r="AR177" s="117"/>
      <c r="AS177" s="118"/>
      <c r="AT177" s="118"/>
      <c r="AU177" s="118"/>
      <c r="AV177" s="118"/>
      <c r="AW177" s="118"/>
      <c r="AX177" s="118"/>
      <c r="AY177" s="117"/>
      <c r="AZ177" s="117"/>
      <c r="BA177" s="117"/>
      <c r="BB177" s="117"/>
      <c r="BC177" s="117"/>
      <c r="BE177" s="120"/>
      <c r="BF177" s="120"/>
      <c r="BG177" s="120"/>
      <c r="BH177" s="120"/>
    </row>
    <row r="178" spans="1:62" s="119" customFormat="1" ht="21" hidden="1" customHeight="1">
      <c r="A178" s="115"/>
      <c r="B178" s="116" t="s">
        <v>468</v>
      </c>
      <c r="C178" s="117">
        <v>25</v>
      </c>
      <c r="D178" s="118">
        <v>26797</v>
      </c>
      <c r="E178" s="117">
        <v>26635</v>
      </c>
      <c r="F178" s="117">
        <v>26690</v>
      </c>
      <c r="G178" s="117">
        <v>12754500</v>
      </c>
      <c r="H178" s="117">
        <v>31269</v>
      </c>
      <c r="I178" s="117">
        <v>30757</v>
      </c>
      <c r="J178" s="119">
        <v>31087</v>
      </c>
      <c r="K178" s="117">
        <v>902900</v>
      </c>
      <c r="L178" s="93">
        <f t="shared" si="23"/>
        <v>340417605000</v>
      </c>
      <c r="M178" s="93">
        <f t="shared" si="22"/>
        <v>28068452300</v>
      </c>
      <c r="N178" s="119">
        <v>26901</v>
      </c>
      <c r="O178" s="119">
        <v>31064</v>
      </c>
      <c r="P178" s="119">
        <v>27065</v>
      </c>
      <c r="Q178" s="119">
        <v>31582</v>
      </c>
      <c r="R178" s="117"/>
      <c r="S178" s="117"/>
      <c r="T178" s="117"/>
      <c r="U178" s="117"/>
      <c r="V178" s="119">
        <v>28170</v>
      </c>
      <c r="X178" s="119">
        <v>28180</v>
      </c>
      <c r="Y178" s="119">
        <v>32023</v>
      </c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  <c r="AM178" s="117"/>
      <c r="AN178" s="117"/>
      <c r="AO178" s="117"/>
      <c r="AP178" s="117"/>
      <c r="AQ178" s="117"/>
      <c r="AR178" s="117"/>
      <c r="AS178" s="118"/>
      <c r="AT178" s="118"/>
      <c r="AU178" s="118"/>
      <c r="AV178" s="118"/>
      <c r="AW178" s="118"/>
      <c r="AX178" s="118"/>
      <c r="AY178" s="117"/>
      <c r="AZ178" s="117"/>
      <c r="BA178" s="117"/>
      <c r="BB178" s="117"/>
      <c r="BC178" s="117"/>
      <c r="BE178" s="120"/>
      <c r="BF178" s="120"/>
      <c r="BG178" s="120"/>
      <c r="BH178" s="120"/>
    </row>
    <row r="179" spans="1:62" s="119" customFormat="1" ht="21" hidden="1" customHeight="1">
      <c r="A179" s="115"/>
      <c r="B179" s="116" t="s">
        <v>470</v>
      </c>
      <c r="C179" s="117">
        <v>26</v>
      </c>
      <c r="D179" s="118">
        <v>26633</v>
      </c>
      <c r="E179" s="117">
        <v>26635</v>
      </c>
      <c r="F179" s="117">
        <v>26626</v>
      </c>
      <c r="G179" s="117">
        <v>9748900</v>
      </c>
      <c r="H179" s="117">
        <v>30627</v>
      </c>
      <c r="I179" s="117">
        <v>30205</v>
      </c>
      <c r="J179" s="119">
        <v>30213</v>
      </c>
      <c r="K179" s="117">
        <v>1327100</v>
      </c>
      <c r="L179" s="93">
        <f t="shared" si="23"/>
        <v>259574211400</v>
      </c>
      <c r="M179" s="93">
        <f t="shared" si="22"/>
        <v>40095672300</v>
      </c>
      <c r="N179" s="119">
        <v>26901</v>
      </c>
      <c r="O179" s="119">
        <v>30507</v>
      </c>
      <c r="P179" s="119">
        <v>26900</v>
      </c>
      <c r="Q179" s="119">
        <v>30933</v>
      </c>
      <c r="R179" s="117"/>
      <c r="S179" s="117"/>
      <c r="T179" s="117"/>
      <c r="U179" s="117"/>
      <c r="V179" s="119">
        <v>28340</v>
      </c>
      <c r="X179" s="119">
        <v>28190</v>
      </c>
      <c r="Y179" s="119">
        <v>32007</v>
      </c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  <c r="AM179" s="117"/>
      <c r="AN179" s="117"/>
      <c r="AO179" s="117"/>
      <c r="AP179" s="117"/>
      <c r="AQ179" s="117"/>
      <c r="AR179" s="117"/>
      <c r="AS179" s="118"/>
      <c r="AT179" s="118"/>
      <c r="AU179" s="118"/>
      <c r="AV179" s="118"/>
      <c r="AW179" s="118"/>
      <c r="AX179" s="118"/>
      <c r="AY179" s="117"/>
      <c r="AZ179" s="117"/>
      <c r="BA179" s="117"/>
      <c r="BB179" s="117"/>
      <c r="BC179" s="117"/>
      <c r="BE179" s="120"/>
      <c r="BF179" s="120"/>
      <c r="BG179" s="120"/>
      <c r="BH179" s="120"/>
    </row>
    <row r="180" spans="1:62" s="119" customFormat="1" ht="21" hidden="1" customHeight="1">
      <c r="A180" s="115"/>
      <c r="B180" s="116" t="s">
        <v>472</v>
      </c>
      <c r="C180" s="117">
        <v>27</v>
      </c>
      <c r="D180" s="118">
        <v>26632</v>
      </c>
      <c r="E180" s="117">
        <v>26632</v>
      </c>
      <c r="F180" s="117">
        <v>26620</v>
      </c>
      <c r="G180" s="117">
        <v>8735600</v>
      </c>
      <c r="H180" s="117">
        <v>30205</v>
      </c>
      <c r="I180" s="117">
        <v>30590</v>
      </c>
      <c r="J180" s="119">
        <v>30480</v>
      </c>
      <c r="K180" s="117">
        <v>493800</v>
      </c>
      <c r="L180" s="93">
        <f t="shared" si="23"/>
        <v>232541672000</v>
      </c>
      <c r="M180" s="93">
        <f t="shared" si="22"/>
        <v>15051024000</v>
      </c>
      <c r="N180" s="119">
        <v>26899</v>
      </c>
      <c r="O180" s="119">
        <v>30896</v>
      </c>
      <c r="P180" s="119">
        <v>26898</v>
      </c>
      <c r="Q180" s="119">
        <v>30507</v>
      </c>
      <c r="R180" s="117"/>
      <c r="S180" s="117"/>
      <c r="T180" s="117"/>
      <c r="U180" s="117"/>
      <c r="V180" s="119">
        <v>28210</v>
      </c>
      <c r="X180" s="119">
        <v>28150</v>
      </c>
      <c r="Y180" s="119">
        <v>31964</v>
      </c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  <c r="AM180" s="117"/>
      <c r="AN180" s="117"/>
      <c r="AO180" s="117"/>
      <c r="AP180" s="117"/>
      <c r="AQ180" s="117"/>
      <c r="AR180" s="117"/>
      <c r="AS180" s="118"/>
      <c r="AT180" s="118"/>
      <c r="AU180" s="118"/>
      <c r="AV180" s="118"/>
      <c r="AW180" s="118"/>
      <c r="AX180" s="118"/>
      <c r="AY180" s="117"/>
      <c r="AZ180" s="117"/>
      <c r="BA180" s="117"/>
      <c r="BB180" s="117"/>
      <c r="BC180" s="117"/>
      <c r="BE180" s="120"/>
      <c r="BF180" s="120"/>
      <c r="BG180" s="120"/>
      <c r="BH180" s="120"/>
    </row>
    <row r="181" spans="1:62" s="132" customFormat="1" ht="21" customHeight="1">
      <c r="A181" s="128"/>
      <c r="B181" s="129" t="s">
        <v>475</v>
      </c>
      <c r="C181" s="130">
        <v>29</v>
      </c>
      <c r="D181" s="131">
        <v>26630</v>
      </c>
      <c r="E181" s="130">
        <v>26609</v>
      </c>
      <c r="F181" s="130">
        <v>26601</v>
      </c>
      <c r="G181" s="130">
        <v>11727000</v>
      </c>
      <c r="H181" s="130">
        <v>30583</v>
      </c>
      <c r="I181" s="130">
        <v>30350</v>
      </c>
      <c r="J181" s="132">
        <v>30413</v>
      </c>
      <c r="K181" s="130">
        <v>675800</v>
      </c>
      <c r="L181" s="93">
        <f t="shared" si="23"/>
        <v>311949927000</v>
      </c>
      <c r="M181" s="93">
        <f t="shared" si="22"/>
        <v>20553105400</v>
      </c>
      <c r="N181" s="132">
        <v>26875</v>
      </c>
      <c r="O181" s="132">
        <v>30654</v>
      </c>
      <c r="P181" s="132">
        <v>26896</v>
      </c>
      <c r="Q181" s="132">
        <v>30890</v>
      </c>
      <c r="R181" s="130"/>
      <c r="S181" s="130"/>
      <c r="T181" s="130"/>
      <c r="U181" s="130"/>
      <c r="V181" s="132">
        <v>28180</v>
      </c>
      <c r="X181" s="132">
        <v>28180</v>
      </c>
      <c r="Y181" s="132">
        <v>31753</v>
      </c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1"/>
      <c r="AT181" s="131"/>
      <c r="AU181" s="131"/>
      <c r="AV181" s="131"/>
      <c r="AW181" s="131"/>
      <c r="AX181" s="131"/>
      <c r="AY181" s="130"/>
      <c r="AZ181" s="130"/>
      <c r="BA181" s="130"/>
      <c r="BB181" s="130"/>
      <c r="BC181" s="130"/>
      <c r="BE181" s="133"/>
      <c r="BF181" s="133"/>
      <c r="BG181" s="133"/>
      <c r="BH181" s="133"/>
    </row>
    <row r="182" spans="1:62" s="132" customFormat="1" ht="21" customHeight="1">
      <c r="A182" s="128"/>
      <c r="B182" s="129" t="s">
        <v>477</v>
      </c>
      <c r="C182" s="130">
        <v>30</v>
      </c>
      <c r="D182" s="131">
        <v>26579</v>
      </c>
      <c r="E182" s="130">
        <v>26600</v>
      </c>
      <c r="F182" s="130">
        <v>26565</v>
      </c>
      <c r="G182" s="130">
        <v>11408500</v>
      </c>
      <c r="H182" s="130">
        <v>30288</v>
      </c>
      <c r="I182" s="130">
        <v>30399</v>
      </c>
      <c r="J182" s="132">
        <v>30341</v>
      </c>
      <c r="K182" s="130">
        <v>908000</v>
      </c>
      <c r="L182" s="99">
        <f t="shared" si="23"/>
        <v>303066802500</v>
      </c>
      <c r="M182" s="99">
        <f t="shared" si="22"/>
        <v>27549628000</v>
      </c>
      <c r="N182" s="132">
        <v>26865</v>
      </c>
      <c r="O182" s="132">
        <v>30703</v>
      </c>
      <c r="P182" s="132">
        <v>26844</v>
      </c>
      <c r="Q182" s="132">
        <v>30591</v>
      </c>
      <c r="R182" s="130"/>
      <c r="S182" s="130"/>
      <c r="T182" s="130"/>
      <c r="U182" s="130"/>
      <c r="V182" s="132">
        <v>28090</v>
      </c>
      <c r="X182" s="132">
        <v>28290</v>
      </c>
      <c r="Y182" s="132">
        <v>31741</v>
      </c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1"/>
      <c r="AT182" s="131"/>
      <c r="AU182" s="131"/>
      <c r="AV182" s="131"/>
      <c r="AW182" s="131"/>
      <c r="AX182" s="131"/>
      <c r="AY182" s="130"/>
      <c r="AZ182" s="130"/>
      <c r="BA182" s="130"/>
      <c r="BB182" s="130"/>
      <c r="BC182" s="130"/>
      <c r="BE182" s="133"/>
      <c r="BF182" s="133"/>
      <c r="BG182" s="133"/>
      <c r="BH182" s="133"/>
    </row>
    <row r="183" spans="1:62" s="132" customFormat="1" ht="21" customHeight="1">
      <c r="A183" s="128"/>
      <c r="B183" s="129" t="s">
        <v>484</v>
      </c>
      <c r="C183" s="130">
        <v>1</v>
      </c>
      <c r="D183" s="131">
        <v>26577</v>
      </c>
      <c r="E183" s="130">
        <v>26580</v>
      </c>
      <c r="F183" s="130">
        <v>26574</v>
      </c>
      <c r="G183" s="130">
        <v>12381500</v>
      </c>
      <c r="H183" s="130">
        <v>30211</v>
      </c>
      <c r="I183" s="130">
        <v>30399</v>
      </c>
      <c r="J183" s="132">
        <v>30309</v>
      </c>
      <c r="K183" s="130">
        <v>953300</v>
      </c>
      <c r="L183" s="99">
        <f t="shared" si="23"/>
        <v>329025981000</v>
      </c>
      <c r="M183" s="99">
        <f t="shared" si="22"/>
        <v>28893569700</v>
      </c>
      <c r="N183" s="132">
        <v>26846</v>
      </c>
      <c r="O183" s="132">
        <v>30703</v>
      </c>
      <c r="P183" s="132">
        <v>26843</v>
      </c>
      <c r="Q183" s="132">
        <v>30513</v>
      </c>
      <c r="R183" s="130"/>
      <c r="S183" s="130"/>
      <c r="T183" s="130"/>
      <c r="U183" s="130"/>
      <c r="V183" s="132">
        <v>28350</v>
      </c>
      <c r="X183" s="132">
        <v>28400</v>
      </c>
      <c r="Y183" s="132">
        <v>31874</v>
      </c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1"/>
      <c r="AT183" s="131"/>
      <c r="AU183" s="131"/>
      <c r="AV183" s="131"/>
      <c r="AW183" s="131"/>
      <c r="AX183" s="131"/>
      <c r="AY183" s="130"/>
      <c r="AZ183" s="130"/>
      <c r="BA183" s="130"/>
      <c r="BB183" s="130"/>
      <c r="BC183" s="130"/>
      <c r="BE183" s="133"/>
      <c r="BF183" s="133"/>
      <c r="BG183" s="133"/>
      <c r="BH183" s="133"/>
    </row>
    <row r="184" spans="1:62" s="132" customFormat="1" ht="21" customHeight="1">
      <c r="A184" s="128"/>
      <c r="B184" s="129" t="s">
        <v>485</v>
      </c>
      <c r="C184" s="130">
        <v>2</v>
      </c>
      <c r="D184" s="131">
        <v>26578</v>
      </c>
      <c r="E184" s="130">
        <v>26579</v>
      </c>
      <c r="F184" s="130">
        <v>26576</v>
      </c>
      <c r="G184" s="130">
        <v>15697800</v>
      </c>
      <c r="H184" s="130">
        <v>30399</v>
      </c>
      <c r="I184" s="130">
        <v>30399</v>
      </c>
      <c r="J184" s="132">
        <v>30386</v>
      </c>
      <c r="K184" s="130">
        <v>1164500</v>
      </c>
      <c r="L184" s="99">
        <f t="shared" si="23"/>
        <v>417184732800</v>
      </c>
      <c r="M184" s="99">
        <f t="shared" si="22"/>
        <v>35384497000</v>
      </c>
      <c r="N184" s="132">
        <v>26845</v>
      </c>
      <c r="O184" s="132">
        <v>30703</v>
      </c>
      <c r="P184" s="132">
        <v>26844</v>
      </c>
      <c r="Q184" s="132">
        <v>30703</v>
      </c>
      <c r="R184" s="130"/>
      <c r="S184" s="130"/>
      <c r="T184" s="130"/>
      <c r="U184" s="130"/>
      <c r="V184" s="132">
        <v>28550</v>
      </c>
      <c r="X184" s="132">
        <v>28570</v>
      </c>
      <c r="Y184" s="132">
        <v>32223</v>
      </c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1"/>
      <c r="AT184" s="131"/>
      <c r="AU184" s="131"/>
      <c r="AV184" s="131"/>
      <c r="AW184" s="131"/>
      <c r="AX184" s="131"/>
      <c r="AY184" s="130"/>
      <c r="AZ184" s="130"/>
      <c r="BA184" s="130"/>
      <c r="BB184" s="130"/>
      <c r="BC184" s="130"/>
      <c r="BE184" s="133"/>
      <c r="BF184" s="133"/>
      <c r="BG184" s="133"/>
      <c r="BH184" s="133"/>
    </row>
    <row r="185" spans="1:62" s="132" customFormat="1" ht="21" customHeight="1">
      <c r="A185" s="128"/>
      <c r="B185" s="129" t="s">
        <v>486</v>
      </c>
      <c r="C185" s="130">
        <v>3</v>
      </c>
      <c r="D185" s="131">
        <v>27064</v>
      </c>
      <c r="E185" s="130">
        <v>27750</v>
      </c>
      <c r="F185" s="130">
        <v>27384</v>
      </c>
      <c r="G185" s="130">
        <v>12359200</v>
      </c>
      <c r="H185" s="130">
        <v>30399</v>
      </c>
      <c r="I185" s="130">
        <v>31492</v>
      </c>
      <c r="J185" s="132">
        <v>31335</v>
      </c>
      <c r="K185" s="130">
        <v>1055500</v>
      </c>
      <c r="L185" s="99">
        <f t="shared" si="23"/>
        <v>338444332800</v>
      </c>
      <c r="M185" s="99">
        <f t="shared" si="22"/>
        <v>33074092500</v>
      </c>
      <c r="N185" s="132">
        <v>28028</v>
      </c>
      <c r="O185" s="132">
        <v>31807</v>
      </c>
      <c r="P185" s="132">
        <v>27335</v>
      </c>
      <c r="Q185" s="132">
        <v>30703</v>
      </c>
      <c r="R185" s="130"/>
      <c r="S185" s="130"/>
      <c r="T185" s="130"/>
      <c r="U185" s="130"/>
      <c r="V185" s="132">
        <v>28850</v>
      </c>
      <c r="X185" s="132">
        <v>29050</v>
      </c>
      <c r="Y185" s="132">
        <v>32426</v>
      </c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1"/>
      <c r="AT185" s="131"/>
      <c r="AU185" s="131"/>
      <c r="AV185" s="131"/>
      <c r="AW185" s="131"/>
      <c r="AX185" s="131"/>
      <c r="AY185" s="130"/>
      <c r="AZ185" s="130"/>
      <c r="BA185" s="130"/>
      <c r="BB185" s="130"/>
      <c r="BC185" s="130"/>
      <c r="BE185" s="133"/>
      <c r="BF185" s="133"/>
      <c r="BG185" s="133"/>
      <c r="BH185" s="133"/>
    </row>
    <row r="186" spans="1:62" s="132" customFormat="1" ht="21" customHeight="1">
      <c r="A186" s="128"/>
      <c r="B186" s="129" t="s">
        <v>487</v>
      </c>
      <c r="C186" s="130">
        <v>4</v>
      </c>
      <c r="D186" s="131">
        <v>28042</v>
      </c>
      <c r="E186" s="130">
        <v>27723</v>
      </c>
      <c r="F186" s="130">
        <v>27768</v>
      </c>
      <c r="G186" s="130">
        <v>7533200</v>
      </c>
      <c r="H186" s="130">
        <v>31492</v>
      </c>
      <c r="I186" s="130">
        <v>31765</v>
      </c>
      <c r="J186" s="132">
        <v>31703</v>
      </c>
      <c r="K186" s="130">
        <v>442900</v>
      </c>
      <c r="L186" s="99">
        <f t="shared" si="23"/>
        <v>209181897600</v>
      </c>
      <c r="M186" s="99">
        <f t="shared" si="22"/>
        <v>14041258700</v>
      </c>
      <c r="N186" s="132">
        <v>28001</v>
      </c>
      <c r="O186" s="132">
        <v>32083</v>
      </c>
      <c r="P186" s="132">
        <v>28322</v>
      </c>
      <c r="Q186" s="132">
        <v>31807</v>
      </c>
      <c r="R186" s="130"/>
      <c r="S186" s="130"/>
      <c r="T186" s="130"/>
      <c r="U186" s="130"/>
      <c r="V186" s="132">
        <v>29030</v>
      </c>
      <c r="X186" s="132">
        <v>29050</v>
      </c>
      <c r="Y186" s="132">
        <v>32534</v>
      </c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1"/>
      <c r="AT186" s="131"/>
      <c r="AU186" s="131"/>
      <c r="AV186" s="131"/>
      <c r="AW186" s="131"/>
      <c r="AX186" s="131"/>
      <c r="AY186" s="130"/>
      <c r="AZ186" s="130"/>
      <c r="BA186" s="130"/>
      <c r="BB186" s="130"/>
      <c r="BC186" s="130"/>
      <c r="BE186" s="133"/>
      <c r="BF186" s="133"/>
      <c r="BG186" s="133"/>
      <c r="BH186" s="133"/>
    </row>
    <row r="187" spans="1:62" s="119" customFormat="1" ht="21" customHeight="1">
      <c r="A187" s="115"/>
      <c r="B187" s="116" t="s">
        <v>488</v>
      </c>
      <c r="C187" s="117">
        <v>6</v>
      </c>
      <c r="D187" s="118">
        <v>27760</v>
      </c>
      <c r="E187" s="117">
        <v>26482</v>
      </c>
      <c r="F187" s="117">
        <v>27139</v>
      </c>
      <c r="G187" s="117">
        <v>3812700</v>
      </c>
      <c r="H187" s="117">
        <v>31765</v>
      </c>
      <c r="I187" s="117">
        <v>30300</v>
      </c>
      <c r="J187" s="119">
        <v>30744</v>
      </c>
      <c r="K187" s="117">
        <v>280400</v>
      </c>
      <c r="L187" s="93">
        <f t="shared" si="23"/>
        <v>103472865300</v>
      </c>
      <c r="M187" s="93">
        <f t="shared" si="22"/>
        <v>8620617600</v>
      </c>
      <c r="N187" s="119">
        <v>26746</v>
      </c>
      <c r="O187" s="119">
        <v>30603</v>
      </c>
      <c r="P187" s="119">
        <v>28037</v>
      </c>
      <c r="Q187" s="119">
        <v>32083</v>
      </c>
      <c r="R187" s="117"/>
      <c r="S187" s="117"/>
      <c r="T187" s="117"/>
      <c r="U187" s="117"/>
      <c r="V187" s="119">
        <v>29270</v>
      </c>
      <c r="X187" s="119">
        <v>29150</v>
      </c>
      <c r="Y187" s="119">
        <v>33100</v>
      </c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8"/>
      <c r="AT187" s="118"/>
      <c r="AU187" s="118"/>
      <c r="AV187" s="118"/>
      <c r="AW187" s="118"/>
      <c r="AX187" s="118"/>
      <c r="AY187" s="117"/>
      <c r="AZ187" s="117"/>
      <c r="BA187" s="117"/>
      <c r="BB187" s="117"/>
      <c r="BC187" s="117"/>
      <c r="BE187" s="120"/>
      <c r="BF187" s="120"/>
      <c r="BG187" s="120"/>
      <c r="BH187" s="120"/>
    </row>
    <row r="188" spans="1:62" s="119" customFormat="1" ht="21" customHeight="1">
      <c r="A188" s="115"/>
      <c r="B188" s="116" t="s">
        <v>490</v>
      </c>
      <c r="C188" s="117">
        <v>7</v>
      </c>
      <c r="D188" s="118">
        <v>26482</v>
      </c>
      <c r="E188" s="117">
        <v>26063</v>
      </c>
      <c r="F188" s="117">
        <v>26151</v>
      </c>
      <c r="G188" s="117">
        <v>3931600</v>
      </c>
      <c r="H188" s="117">
        <v>30300</v>
      </c>
      <c r="I188" s="117">
        <v>30555</v>
      </c>
      <c r="J188" s="119">
        <v>30360</v>
      </c>
      <c r="K188" s="117">
        <v>292500</v>
      </c>
      <c r="L188" s="93">
        <f t="shared" si="23"/>
        <v>102815271600</v>
      </c>
      <c r="M188" s="93">
        <f t="shared" si="22"/>
        <v>8880300000</v>
      </c>
      <c r="N188" s="119">
        <v>26323</v>
      </c>
      <c r="O188" s="119">
        <v>30860</v>
      </c>
      <c r="P188" s="119">
        <v>26746</v>
      </c>
      <c r="Q188" s="119">
        <v>30603</v>
      </c>
      <c r="R188" s="117"/>
      <c r="S188" s="117"/>
      <c r="T188" s="117"/>
      <c r="U188" s="117"/>
      <c r="V188" s="119">
        <v>29080</v>
      </c>
      <c r="X188" s="119">
        <v>29250</v>
      </c>
      <c r="Y188" s="119">
        <v>32986</v>
      </c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8"/>
      <c r="AT188" s="118"/>
      <c r="AU188" s="118"/>
      <c r="AV188" s="118"/>
      <c r="AW188" s="118"/>
      <c r="AX188" s="118"/>
      <c r="AY188" s="117"/>
      <c r="AZ188" s="117"/>
      <c r="BA188" s="117"/>
      <c r="BB188" s="117"/>
      <c r="BC188" s="117"/>
      <c r="BE188" s="120"/>
      <c r="BF188" s="120"/>
      <c r="BG188" s="120"/>
      <c r="BH188" s="120"/>
    </row>
    <row r="189" spans="1:62" s="113" customFormat="1" ht="21" customHeight="1">
      <c r="A189" s="109"/>
      <c r="B189" s="110" t="s">
        <v>492</v>
      </c>
      <c r="C189" s="111">
        <v>8</v>
      </c>
      <c r="D189" s="112">
        <v>26850</v>
      </c>
      <c r="E189" s="111">
        <v>26196</v>
      </c>
      <c r="F189" s="111">
        <v>26428</v>
      </c>
      <c r="G189" s="111">
        <v>6785800</v>
      </c>
      <c r="H189" s="111">
        <v>30555</v>
      </c>
      <c r="I189" s="111">
        <v>30649</v>
      </c>
      <c r="J189" s="113">
        <v>30420</v>
      </c>
      <c r="K189" s="111">
        <v>469600</v>
      </c>
      <c r="L189" s="137">
        <f t="shared" si="23"/>
        <v>179335122400</v>
      </c>
      <c r="M189" s="137">
        <f t="shared" si="22"/>
        <v>14285232000</v>
      </c>
      <c r="N189" s="113">
        <v>26458</v>
      </c>
      <c r="O189" s="113">
        <v>30955</v>
      </c>
      <c r="P189" s="113">
        <v>27118</v>
      </c>
      <c r="Q189" s="113">
        <v>30860</v>
      </c>
      <c r="R189" s="111"/>
      <c r="S189" s="111"/>
      <c r="T189" s="111"/>
      <c r="U189" s="111"/>
      <c r="V189" s="113">
        <v>29540</v>
      </c>
      <c r="X189" s="113">
        <v>29500</v>
      </c>
      <c r="Y189" s="119">
        <v>33180</v>
      </c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2"/>
      <c r="AT189" s="112"/>
      <c r="AU189" s="112"/>
      <c r="AV189" s="112"/>
      <c r="AW189" s="112"/>
      <c r="AX189" s="112"/>
      <c r="AY189" s="111"/>
      <c r="AZ189" s="111"/>
      <c r="BA189" s="111"/>
      <c r="BB189" s="111"/>
      <c r="BC189" s="111"/>
      <c r="BE189" s="114"/>
      <c r="BF189" s="114"/>
      <c r="BG189" s="114"/>
      <c r="BH189" s="114"/>
    </row>
    <row r="190" spans="1:62" ht="18">
      <c r="A190" s="7"/>
      <c r="B190" s="8"/>
      <c r="C190" s="8"/>
      <c r="D190" s="26"/>
      <c r="E190" s="8"/>
      <c r="F190" s="8"/>
      <c r="G190" s="8">
        <f>SUM(G2:G182)/181</f>
        <v>6809377.3425414367</v>
      </c>
      <c r="H190" s="8"/>
      <c r="I190" s="8"/>
      <c r="J190" s="8"/>
      <c r="K190" s="8">
        <f>SUM(K2:K126)</f>
        <v>125564600</v>
      </c>
      <c r="L190" s="8">
        <f>SUM(L2:L189)</f>
        <v>32692560336209</v>
      </c>
      <c r="M190" s="9">
        <f>SUM(M2:M189)</f>
        <v>5669984040900</v>
      </c>
      <c r="N190" s="9"/>
      <c r="O190" s="9"/>
      <c r="P190" s="9"/>
      <c r="Q190" s="9"/>
      <c r="R190" s="9"/>
      <c r="S190" s="9"/>
      <c r="T190" s="9"/>
      <c r="U190" s="9"/>
      <c r="V190" s="119">
        <v>29530</v>
      </c>
      <c r="W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Y190" s="9"/>
      <c r="AZ190" s="9"/>
      <c r="BA190" s="9"/>
      <c r="BB190" s="9"/>
      <c r="BC190" s="9"/>
      <c r="BD190" s="9"/>
      <c r="BE190" s="10"/>
      <c r="BF190" s="10"/>
      <c r="BG190" s="10"/>
      <c r="BH190" s="10"/>
      <c r="BI190" t="e">
        <f>#REF!-N190</f>
        <v>#REF!</v>
      </c>
      <c r="BJ190" t="e">
        <f>(Y190-O190)/O190</f>
        <v>#DIV/0!</v>
      </c>
    </row>
    <row r="191" spans="1:62" ht="18">
      <c r="D191" s="26"/>
      <c r="V191" s="135"/>
      <c r="Z191" s="25"/>
      <c r="AB191" s="25"/>
      <c r="AS191" s="25"/>
      <c r="AW191" s="30"/>
    </row>
    <row r="192" spans="1:62" ht="18">
      <c r="D192" s="26"/>
      <c r="V192" s="135"/>
      <c r="Z192" s="25"/>
      <c r="AS192" s="26"/>
      <c r="AW192" s="30"/>
    </row>
    <row r="193" spans="4:49" ht="18">
      <c r="V193" s="134"/>
      <c r="Z193" s="25"/>
      <c r="AS193" s="26"/>
      <c r="AW193" s="30"/>
    </row>
    <row r="194" spans="4:49" ht="18">
      <c r="V194" s="25"/>
      <c r="Z194" s="25"/>
      <c r="AS194" s="26"/>
      <c r="AW194" s="30"/>
    </row>
    <row r="195" spans="4:49" ht="18">
      <c r="D195" s="99"/>
      <c r="V195" s="25"/>
      <c r="Z195" s="25"/>
      <c r="AW195" s="30"/>
    </row>
    <row r="196" spans="4:49" ht="17.25" customHeight="1">
      <c r="D196" s="99"/>
      <c r="V196" s="25"/>
      <c r="Z196" s="25"/>
    </row>
    <row r="197" spans="4:49" ht="18">
      <c r="D197" s="99"/>
      <c r="V197" s="25"/>
      <c r="Z197" s="25"/>
    </row>
    <row r="198" spans="4:49" ht="18">
      <c r="D198" s="99"/>
      <c r="V198" s="25"/>
    </row>
    <row r="199" spans="4:49" ht="18">
      <c r="D199" s="99"/>
      <c r="V199" s="25"/>
    </row>
    <row r="200" spans="4:49" ht="18">
      <c r="D200" s="117"/>
    </row>
    <row r="201" spans="4:49" ht="18">
      <c r="D201" s="117"/>
    </row>
    <row r="202" spans="4:49" ht="18">
      <c r="D202" s="123"/>
    </row>
    <row r="203" spans="4:49" ht="18">
      <c r="D203" s="117"/>
      <c r="G203" s="9"/>
    </row>
    <row r="204" spans="4:49" ht="18">
      <c r="D204" s="111"/>
      <c r="G204" s="9"/>
    </row>
    <row r="205" spans="4:49" ht="18">
      <c r="G205" s="9"/>
    </row>
    <row r="206" spans="4:49" ht="18">
      <c r="G206" s="9"/>
    </row>
    <row r="207" spans="4:49" ht="18">
      <c r="G207" s="9"/>
    </row>
  </sheetData>
  <autoFilter ref="A1:BL194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topLeftCell="A22" zoomScale="70" zoomScaleNormal="70" workbookViewId="0">
      <selection activeCell="D43" sqref="D4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 t="shared" ref="E29:E35" si="0">D29/6</f>
        <v>7281166.666666667</v>
      </c>
      <c r="F29" s="73">
        <v>5993000</v>
      </c>
      <c r="G29" s="73">
        <f t="shared" ref="G29:G35" si="1"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 t="shared" si="0"/>
        <v>8773516.666666666</v>
      </c>
      <c r="F30" s="73">
        <v>10549600</v>
      </c>
      <c r="G30" s="73">
        <f t="shared" si="1"/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 t="shared" si="0"/>
        <v>7857416.666666667</v>
      </c>
      <c r="F31" s="73">
        <v>4771400</v>
      </c>
      <c r="G31" s="73">
        <f t="shared" si="1"/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 t="shared" si="0"/>
        <v>9300583.333333334</v>
      </c>
      <c r="F32" s="73">
        <v>9417800</v>
      </c>
      <c r="G32" s="73">
        <f t="shared" si="1"/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 t="shared" si="0"/>
        <v>9444533.333333334</v>
      </c>
      <c r="F33" s="73">
        <v>11673200</v>
      </c>
      <c r="G33" s="73">
        <f t="shared" si="1"/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 s="73" customFormat="1" ht="13.9" customHeight="1">
      <c r="A34" s="73" t="s">
        <v>474</v>
      </c>
      <c r="B34" s="73">
        <v>27009</v>
      </c>
      <c r="C34" s="73">
        <v>31087</v>
      </c>
      <c r="D34" s="73">
        <v>67639600</v>
      </c>
      <c r="E34" s="73">
        <f t="shared" si="0"/>
        <v>11273266.666666666</v>
      </c>
      <c r="F34" s="73">
        <v>6037900</v>
      </c>
      <c r="G34" s="73">
        <f t="shared" si="1"/>
        <v>1006316.6666666666</v>
      </c>
      <c r="H34" s="73">
        <v>27142</v>
      </c>
      <c r="I34" s="73">
        <v>31335</v>
      </c>
      <c r="J34" s="73">
        <v>28335</v>
      </c>
      <c r="K34" s="73">
        <v>32289</v>
      </c>
    </row>
    <row r="35" spans="1:11" s="73" customFormat="1" ht="13.9" customHeight="1">
      <c r="A35" s="73" t="s">
        <v>483</v>
      </c>
      <c r="B35" s="73">
        <v>26845</v>
      </c>
      <c r="C35" s="73">
        <v>30672</v>
      </c>
      <c r="D35" s="73">
        <v>71107200</v>
      </c>
      <c r="E35" s="73">
        <f t="shared" si="0"/>
        <v>11851200</v>
      </c>
      <c r="F35" s="73">
        <v>5200000</v>
      </c>
      <c r="G35" s="73">
        <f t="shared" si="1"/>
        <v>866666.66666666663</v>
      </c>
      <c r="H35" s="73">
        <v>27243</v>
      </c>
      <c r="I35" s="73">
        <v>31109</v>
      </c>
      <c r="J35" s="73">
        <v>28590</v>
      </c>
      <c r="K35" s="73">
        <v>32092</v>
      </c>
    </row>
    <row r="36" spans="1:11">
      <c r="B36">
        <f>(B2-B8)/B2</f>
        <v>0.15346494762288476</v>
      </c>
      <c r="C36">
        <f>(C2-C8)/C2</f>
        <v>0.1154959674639829</v>
      </c>
      <c r="D36">
        <f>SUM(D2:D16)/15</f>
        <v>29639479.933333334</v>
      </c>
    </row>
    <row r="40" spans="1:11">
      <c r="D40">
        <v>5375132</v>
      </c>
      <c r="E40">
        <f>(E17-D40)/D40</f>
        <v>4.5958809321644006E-2</v>
      </c>
      <c r="G40">
        <f t="shared" ref="G40:G48" si="2">B3-B2</f>
        <v>-554</v>
      </c>
    </row>
    <row r="41" spans="1:11">
      <c r="G41">
        <f t="shared" si="2"/>
        <v>-302</v>
      </c>
    </row>
    <row r="42" spans="1:11">
      <c r="C42">
        <f>(D40-E16)/E16</f>
        <v>0.17110375179746395</v>
      </c>
      <c r="G42">
        <f t="shared" si="2"/>
        <v>-511</v>
      </c>
    </row>
    <row r="43" spans="1:11">
      <c r="G43">
        <f t="shared" si="2"/>
        <v>-362</v>
      </c>
    </row>
    <row r="44" spans="1:11">
      <c r="G44">
        <f t="shared" si="2"/>
        <v>-1699</v>
      </c>
    </row>
    <row r="45" spans="1:11">
      <c r="G45">
        <f t="shared" si="2"/>
        <v>-381</v>
      </c>
    </row>
    <row r="46" spans="1:11">
      <c r="G46">
        <f t="shared" si="2"/>
        <v>1075</v>
      </c>
    </row>
    <row r="47" spans="1:11">
      <c r="F47">
        <f>(F33-F32)/F32</f>
        <v>0.23948268173034043</v>
      </c>
      <c r="G47">
        <f t="shared" si="2"/>
        <v>151</v>
      </c>
      <c r="J47">
        <f>(F34-F35)/F34</f>
        <v>0.13877341459779063</v>
      </c>
    </row>
    <row r="48" spans="1:11">
      <c r="G48">
        <f t="shared" si="2"/>
        <v>1043</v>
      </c>
    </row>
  </sheetData>
  <autoFilter ref="A1:K4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98"/>
  <sheetViews>
    <sheetView topLeftCell="A1480" zoomScale="85" zoomScaleNormal="85" workbookViewId="0">
      <selection activeCell="B1499" sqref="B149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38" t="s">
        <v>246</v>
      </c>
      <c r="B1" s="138"/>
      <c r="C1" s="138"/>
      <c r="D1" s="138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8" t="s">
        <v>256</v>
      </c>
      <c r="B11" s="138"/>
      <c r="C11" s="138"/>
      <c r="D11" s="138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8" t="s">
        <v>258</v>
      </c>
      <c r="B21" s="138"/>
      <c r="C21" s="138"/>
      <c r="D21" s="138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8" t="s">
        <v>259</v>
      </c>
      <c r="B31" s="138"/>
      <c r="C31" s="138"/>
      <c r="D31" s="138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8" t="s">
        <v>260</v>
      </c>
      <c r="B41" s="138"/>
      <c r="C41" s="138"/>
      <c r="D41" s="138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8" t="s">
        <v>262</v>
      </c>
      <c r="B51" s="138"/>
      <c r="C51" s="138"/>
      <c r="D51" s="138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8" t="s">
        <v>263</v>
      </c>
      <c r="B61" s="138"/>
      <c r="C61" s="138"/>
      <c r="D61" s="138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8" t="s">
        <v>264</v>
      </c>
      <c r="B71" s="138"/>
      <c r="C71" s="138"/>
      <c r="D71" s="138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8" t="s">
        <v>265</v>
      </c>
      <c r="B81" s="138"/>
      <c r="C81" s="138"/>
      <c r="D81" s="138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8" t="s">
        <v>269</v>
      </c>
      <c r="B93" s="138"/>
      <c r="C93" s="138"/>
      <c r="D93" s="138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8" t="s">
        <v>270</v>
      </c>
      <c r="B103" s="138"/>
      <c r="C103" s="138"/>
      <c r="D103" s="138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8" t="s">
        <v>272</v>
      </c>
      <c r="B113" s="138"/>
      <c r="C113" s="138"/>
      <c r="D113" s="138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8" t="s">
        <v>273</v>
      </c>
      <c r="B123" s="138"/>
      <c r="C123" s="138"/>
      <c r="D123" s="138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8" t="s">
        <v>274</v>
      </c>
      <c r="B133" s="138"/>
      <c r="C133" s="138"/>
      <c r="D133" s="138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8" t="s">
        <v>275</v>
      </c>
      <c r="B143" s="138"/>
      <c r="C143" s="138"/>
      <c r="D143" s="138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8" t="s">
        <v>277</v>
      </c>
      <c r="B153" s="138"/>
      <c r="C153" s="138"/>
      <c r="D153" s="138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8" t="s">
        <v>278</v>
      </c>
      <c r="B163" s="138"/>
      <c r="C163" s="138"/>
      <c r="D163" s="138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8" t="s">
        <v>279</v>
      </c>
      <c r="B173" s="138"/>
      <c r="C173" s="138"/>
      <c r="D173" s="138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8" t="s">
        <v>280</v>
      </c>
      <c r="B183" s="138"/>
      <c r="C183" s="138"/>
      <c r="D183" s="138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8" t="s">
        <v>281</v>
      </c>
      <c r="B193" s="138"/>
      <c r="C193" s="138"/>
      <c r="D193" s="138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8" t="s">
        <v>282</v>
      </c>
      <c r="B203" s="138"/>
      <c r="C203" s="138"/>
      <c r="D203" s="138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8" t="s">
        <v>283</v>
      </c>
      <c r="B213" s="138"/>
      <c r="C213" s="138"/>
      <c r="D213" s="138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8" t="s">
        <v>284</v>
      </c>
      <c r="B223" s="138"/>
      <c r="C223" s="138"/>
      <c r="D223" s="138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8" t="s">
        <v>285</v>
      </c>
      <c r="B233" s="138"/>
      <c r="C233" s="138"/>
      <c r="D233" s="138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8" t="s">
        <v>286</v>
      </c>
      <c r="B243" s="138"/>
      <c r="C243" s="138"/>
      <c r="D243" s="138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8" t="s">
        <v>287</v>
      </c>
      <c r="B253" s="138"/>
      <c r="C253" s="138"/>
      <c r="D253" s="138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8" t="s">
        <v>288</v>
      </c>
      <c r="B263" s="138"/>
      <c r="C263" s="138"/>
      <c r="D263" s="138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8" t="s">
        <v>289</v>
      </c>
      <c r="B273" s="138"/>
      <c r="C273" s="138"/>
      <c r="D273" s="138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8" t="s">
        <v>290</v>
      </c>
      <c r="B283" s="138"/>
      <c r="C283" s="138"/>
      <c r="D283" s="138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8" t="s">
        <v>291</v>
      </c>
      <c r="B293" s="138"/>
      <c r="C293" s="138"/>
      <c r="D293" s="138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8" t="s">
        <v>292</v>
      </c>
      <c r="B303" s="138"/>
      <c r="C303" s="138"/>
      <c r="D303" s="138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8" t="s">
        <v>296</v>
      </c>
      <c r="B313" s="138"/>
      <c r="C313" s="138"/>
      <c r="D313" s="138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8" t="s">
        <v>300</v>
      </c>
      <c r="B324" s="138"/>
      <c r="C324" s="138"/>
      <c r="D324" s="138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8" t="s">
        <v>303</v>
      </c>
      <c r="B335" s="138"/>
      <c r="C335" s="138"/>
      <c r="D335" s="138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8" t="s">
        <v>304</v>
      </c>
      <c r="B346" s="138"/>
      <c r="C346" s="138"/>
      <c r="D346" s="138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8" t="s">
        <v>305</v>
      </c>
      <c r="B357" s="138"/>
      <c r="C357" s="138"/>
      <c r="D357" s="138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8" t="s">
        <v>306</v>
      </c>
      <c r="B368" s="138"/>
      <c r="C368" s="138"/>
      <c r="D368" s="138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8" t="s">
        <v>307</v>
      </c>
      <c r="B379" s="138"/>
      <c r="C379" s="138"/>
      <c r="D379" s="138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8" t="s">
        <v>308</v>
      </c>
      <c r="B390" s="138"/>
      <c r="C390" s="138"/>
      <c r="D390" s="138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8" t="s">
        <v>309</v>
      </c>
      <c r="B401" s="138"/>
      <c r="C401" s="138"/>
      <c r="D401" s="138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8" t="s">
        <v>310</v>
      </c>
      <c r="B412" s="138"/>
      <c r="C412" s="138"/>
      <c r="D412" s="138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8" t="s">
        <v>311</v>
      </c>
      <c r="B423" s="138"/>
      <c r="C423" s="138"/>
      <c r="D423" s="138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8" t="s">
        <v>315</v>
      </c>
      <c r="B434" s="138"/>
      <c r="C434" s="138"/>
      <c r="D434" s="138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8" t="s">
        <v>316</v>
      </c>
      <c r="B445" s="138"/>
      <c r="C445" s="138"/>
      <c r="D445" s="138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8" t="s">
        <v>317</v>
      </c>
      <c r="B456" s="138"/>
      <c r="C456" s="138"/>
      <c r="D456" s="138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8" t="s">
        <v>318</v>
      </c>
      <c r="B467" s="138"/>
      <c r="C467" s="138"/>
      <c r="D467" s="138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8" t="s">
        <v>319</v>
      </c>
      <c r="B478" s="138"/>
      <c r="C478" s="138"/>
      <c r="D478" s="138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8" t="s">
        <v>320</v>
      </c>
      <c r="B489" s="138"/>
      <c r="C489" s="138"/>
      <c r="D489" s="138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8" t="s">
        <v>323</v>
      </c>
      <c r="B500" s="138"/>
      <c r="C500" s="138"/>
      <c r="D500" s="138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8" t="s">
        <v>324</v>
      </c>
      <c r="B511" s="138"/>
      <c r="C511" s="138"/>
      <c r="D511" s="138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8" t="s">
        <v>325</v>
      </c>
      <c r="B522" s="138"/>
      <c r="C522" s="138"/>
      <c r="D522" s="138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8" t="s">
        <v>326</v>
      </c>
      <c r="B533" s="138"/>
      <c r="C533" s="138"/>
      <c r="D533" s="138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8" t="s">
        <v>327</v>
      </c>
      <c r="B544" s="138"/>
      <c r="C544" s="138"/>
      <c r="D544" s="138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8" t="s">
        <v>328</v>
      </c>
      <c r="B555" s="138"/>
      <c r="C555" s="138"/>
      <c r="D555" s="138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8" t="s">
        <v>328</v>
      </c>
      <c r="B567" s="138"/>
      <c r="C567" s="138"/>
      <c r="D567" s="138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8" t="s">
        <v>333</v>
      </c>
      <c r="B579" s="138"/>
      <c r="C579" s="138"/>
      <c r="D579" s="138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8" t="s">
        <v>334</v>
      </c>
      <c r="B590" s="138"/>
      <c r="C590" s="138"/>
      <c r="D590" s="138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8" t="s">
        <v>335</v>
      </c>
      <c r="B601" s="138"/>
      <c r="C601" s="138"/>
      <c r="D601" s="138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8" t="s">
        <v>336</v>
      </c>
      <c r="B612" s="138"/>
      <c r="C612" s="138"/>
      <c r="D612" s="138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8" t="s">
        <v>337</v>
      </c>
      <c r="B623" s="138"/>
      <c r="C623" s="138"/>
      <c r="D623" s="138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8" t="s">
        <v>338</v>
      </c>
      <c r="B635" s="138"/>
      <c r="C635" s="138"/>
      <c r="D635" s="138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8" t="s">
        <v>340</v>
      </c>
      <c r="B647" s="138"/>
      <c r="C647" s="138"/>
      <c r="D647" s="138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8" t="s">
        <v>341</v>
      </c>
      <c r="B658" s="138"/>
      <c r="C658" s="138"/>
      <c r="D658" s="138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8" t="s">
        <v>342</v>
      </c>
      <c r="B670" s="138"/>
      <c r="C670" s="138"/>
      <c r="D670" s="138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8" t="s">
        <v>343</v>
      </c>
      <c r="B681" s="138"/>
      <c r="C681" s="138"/>
      <c r="D681" s="138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8" t="s">
        <v>344</v>
      </c>
      <c r="B692" s="138"/>
      <c r="C692" s="138"/>
      <c r="D692" s="138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8" t="s">
        <v>345</v>
      </c>
      <c r="B703" s="138"/>
      <c r="C703" s="138"/>
      <c r="D703" s="138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8" t="s">
        <v>348</v>
      </c>
      <c r="B715" s="138"/>
      <c r="C715" s="138"/>
      <c r="D715" s="138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8" t="s">
        <v>349</v>
      </c>
      <c r="B726" s="138"/>
      <c r="C726" s="138"/>
      <c r="D726" s="138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8" t="s">
        <v>350</v>
      </c>
      <c r="B738" s="138"/>
      <c r="C738" s="138"/>
      <c r="D738" s="138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8" t="s">
        <v>351</v>
      </c>
      <c r="B749" s="138"/>
      <c r="C749" s="138"/>
      <c r="D749" s="138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8" t="s">
        <v>352</v>
      </c>
      <c r="B760" s="138"/>
      <c r="C760" s="138"/>
      <c r="D760" s="138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8" t="s">
        <v>353</v>
      </c>
      <c r="B772" s="138"/>
      <c r="C772" s="138"/>
      <c r="D772" s="138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8" t="s">
        <v>355</v>
      </c>
      <c r="B784" s="138"/>
      <c r="C784" s="138"/>
      <c r="D784" s="138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8" t="s">
        <v>356</v>
      </c>
      <c r="B796" s="138"/>
      <c r="C796" s="138"/>
      <c r="D796" s="138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8" t="s">
        <v>357</v>
      </c>
      <c r="B809" s="138"/>
      <c r="C809" s="138"/>
      <c r="D809" s="138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8" t="s">
        <v>358</v>
      </c>
      <c r="B820" s="138"/>
      <c r="C820" s="138"/>
      <c r="D820" s="138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8" t="s">
        <v>359</v>
      </c>
      <c r="B831" s="138"/>
      <c r="C831" s="138"/>
      <c r="D831" s="138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8" t="s">
        <v>360</v>
      </c>
      <c r="B842" s="138"/>
      <c r="C842" s="138"/>
      <c r="D842" s="138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8" t="s">
        <v>361</v>
      </c>
      <c r="B854" s="138"/>
      <c r="C854" s="138"/>
      <c r="D854" s="138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8" t="s">
        <v>363</v>
      </c>
      <c r="B865" s="138"/>
      <c r="C865" s="138"/>
      <c r="D865" s="138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8" t="s">
        <v>364</v>
      </c>
      <c r="B876" s="138"/>
      <c r="C876" s="138"/>
      <c r="D876" s="138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8" t="s">
        <v>367</v>
      </c>
      <c r="B888" s="138"/>
      <c r="C888" s="138"/>
      <c r="D888" s="138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8" t="s">
        <v>368</v>
      </c>
      <c r="B901" s="138"/>
      <c r="C901" s="138"/>
      <c r="D901" s="138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8" t="s">
        <v>369</v>
      </c>
      <c r="B913" s="138"/>
      <c r="C913" s="138"/>
      <c r="D913" s="138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8" t="s">
        <v>370</v>
      </c>
      <c r="B925" s="138"/>
      <c r="C925" s="138"/>
      <c r="D925" s="138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8" t="s">
        <v>371</v>
      </c>
      <c r="B937" s="138"/>
      <c r="C937" s="138"/>
      <c r="D937" s="138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8" t="s">
        <v>372</v>
      </c>
      <c r="B949" s="138"/>
      <c r="C949" s="138"/>
      <c r="D949" s="138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8" t="s">
        <v>400</v>
      </c>
      <c r="B961" s="138"/>
      <c r="C961" s="138"/>
      <c r="D961" s="138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8" t="s">
        <v>402</v>
      </c>
      <c r="B974" s="138"/>
      <c r="C974" s="138"/>
      <c r="D974" s="138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8" t="s">
        <v>404</v>
      </c>
      <c r="B987" s="138"/>
      <c r="C987" s="138"/>
      <c r="D987" s="138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8" t="s">
        <v>405</v>
      </c>
      <c r="B1000" s="138"/>
      <c r="C1000" s="138"/>
      <c r="D1000" s="138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8" t="s">
        <v>408</v>
      </c>
      <c r="B1012" s="138"/>
      <c r="C1012" s="138"/>
      <c r="D1012" s="138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8" t="s">
        <v>410</v>
      </c>
      <c r="B1025" s="138"/>
      <c r="C1025" s="138"/>
      <c r="D1025" s="138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8" t="s">
        <v>413</v>
      </c>
      <c r="B1037" s="138"/>
      <c r="C1037" s="138"/>
      <c r="D1037" s="138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8" t="s">
        <v>415</v>
      </c>
      <c r="B1049" s="138"/>
      <c r="C1049" s="138"/>
      <c r="D1049" s="138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8" t="s">
        <v>417</v>
      </c>
      <c r="B1061" s="138"/>
      <c r="C1061" s="138"/>
      <c r="D1061" s="138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8" t="s">
        <v>419</v>
      </c>
      <c r="B1073" s="138"/>
      <c r="C1073" s="138"/>
      <c r="D1073" s="138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8" t="s">
        <v>421</v>
      </c>
      <c r="B1085" s="138"/>
      <c r="C1085" s="138"/>
      <c r="D1085" s="138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8" t="s">
        <v>423</v>
      </c>
      <c r="B1098" s="138"/>
      <c r="C1098" s="138"/>
      <c r="D1098" s="138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8" t="s">
        <v>426</v>
      </c>
      <c r="B1110" s="138"/>
      <c r="C1110" s="138"/>
      <c r="D1110" s="138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8" t="s">
        <v>428</v>
      </c>
      <c r="B1123" s="138"/>
      <c r="C1123" s="138"/>
      <c r="D1123" s="138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8" t="s">
        <v>430</v>
      </c>
      <c r="B1136" s="138"/>
      <c r="C1136" s="138"/>
      <c r="D1136" s="138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8" t="s">
        <v>432</v>
      </c>
      <c r="B1149" s="138"/>
      <c r="C1149" s="138"/>
      <c r="D1149" s="138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8" t="s">
        <v>434</v>
      </c>
      <c r="B1162" s="138"/>
      <c r="C1162" s="138"/>
      <c r="D1162" s="138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8" t="s">
        <v>437</v>
      </c>
      <c r="B1173" s="138"/>
      <c r="C1173" s="138"/>
      <c r="D1173" s="138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8" t="s">
        <v>439</v>
      </c>
      <c r="B1185" s="138"/>
      <c r="C1185" s="138"/>
      <c r="D1185" s="138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8" t="s">
        <v>441</v>
      </c>
      <c r="B1197" s="138"/>
      <c r="C1197" s="138"/>
      <c r="D1197" s="138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8" t="s">
        <v>443</v>
      </c>
      <c r="B1209" s="138"/>
      <c r="C1209" s="138"/>
      <c r="D1209" s="138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8" t="s">
        <v>445</v>
      </c>
      <c r="B1222" s="138"/>
      <c r="C1222" s="138"/>
      <c r="D1222" s="138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8" t="s">
        <v>447</v>
      </c>
      <c r="B1234" s="138"/>
      <c r="C1234" s="138"/>
      <c r="D1234" s="138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8" t="s">
        <v>449</v>
      </c>
      <c r="B1246" s="138"/>
      <c r="C1246" s="138"/>
      <c r="D1246" s="138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8" t="s">
        <v>452</v>
      </c>
      <c r="B1258" s="138"/>
      <c r="C1258" s="138"/>
      <c r="D1258" s="138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8" t="s">
        <v>454</v>
      </c>
      <c r="B1270" s="138"/>
      <c r="C1270" s="138"/>
      <c r="D1270" s="138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8" t="s">
        <v>456</v>
      </c>
      <c r="B1282" s="138"/>
      <c r="C1282" s="138"/>
      <c r="D1282" s="138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8" t="s">
        <v>458</v>
      </c>
      <c r="B1294" s="138"/>
      <c r="C1294" s="138"/>
      <c r="D1294" s="138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8" t="s">
        <v>460</v>
      </c>
      <c r="B1306" s="138"/>
      <c r="C1306" s="138"/>
      <c r="D1306" s="138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  <row r="1318" spans="1:4">
      <c r="A1318" s="138" t="s">
        <v>462</v>
      </c>
      <c r="B1318" s="138"/>
      <c r="C1318" s="138"/>
      <c r="D1318" s="138"/>
    </row>
    <row r="1319" spans="1:4">
      <c r="A1319" s="85" t="s">
        <v>247</v>
      </c>
      <c r="B1319" s="85" t="s">
        <v>248</v>
      </c>
      <c r="C1319" s="85" t="s">
        <v>249</v>
      </c>
      <c r="D1319" s="85" t="s">
        <v>250</v>
      </c>
    </row>
    <row r="1320" spans="1:4">
      <c r="A1320" s="75">
        <v>0.45833333333333298</v>
      </c>
      <c r="B1320" s="85">
        <v>28470</v>
      </c>
      <c r="C1320" s="85">
        <v>7780</v>
      </c>
      <c r="D1320">
        <v>12590000</v>
      </c>
    </row>
    <row r="1321" spans="1:4">
      <c r="A1321" s="76" t="s">
        <v>251</v>
      </c>
      <c r="B1321" s="85">
        <v>28550</v>
      </c>
      <c r="C1321" s="85">
        <v>7790</v>
      </c>
      <c r="D1321">
        <v>12625000</v>
      </c>
    </row>
    <row r="1322" spans="1:4">
      <c r="A1322" s="77" t="s">
        <v>252</v>
      </c>
      <c r="B1322" s="85">
        <v>28620</v>
      </c>
      <c r="C1322" s="85">
        <v>7800</v>
      </c>
      <c r="D1322">
        <v>12660000</v>
      </c>
    </row>
    <row r="1323" spans="1:4">
      <c r="A1323" s="75" t="s">
        <v>253</v>
      </c>
      <c r="B1323" s="85">
        <v>28700</v>
      </c>
      <c r="C1323" s="85">
        <v>7810</v>
      </c>
      <c r="D1323">
        <v>12675000</v>
      </c>
    </row>
    <row r="1324" spans="1:4">
      <c r="A1324" s="83">
        <v>0.625</v>
      </c>
      <c r="B1324" s="85">
        <v>28720</v>
      </c>
      <c r="C1324" s="85">
        <v>7820</v>
      </c>
      <c r="D1324" s="85">
        <v>12690000</v>
      </c>
    </row>
    <row r="1325" spans="1:4">
      <c r="A1325" s="76" t="s">
        <v>254</v>
      </c>
      <c r="B1325" s="85">
        <v>28720</v>
      </c>
      <c r="C1325" s="85">
        <v>7830</v>
      </c>
      <c r="D1325" s="85">
        <v>12695000</v>
      </c>
    </row>
    <row r="1326" spans="1:4">
      <c r="A1326" s="86">
        <v>0.70833333333333304</v>
      </c>
      <c r="B1326" s="85">
        <v>28720</v>
      </c>
      <c r="C1326" s="85">
        <v>7840</v>
      </c>
      <c r="D1326" s="85">
        <v>12700000</v>
      </c>
    </row>
    <row r="1330" spans="1:4">
      <c r="A1330" s="138" t="s">
        <v>464</v>
      </c>
      <c r="B1330" s="138"/>
      <c r="C1330" s="138"/>
      <c r="D1330" s="138"/>
    </row>
    <row r="1331" spans="1:4">
      <c r="A1331" s="85" t="s">
        <v>247</v>
      </c>
      <c r="B1331" s="85" t="s">
        <v>248</v>
      </c>
      <c r="C1331" s="85" t="s">
        <v>249</v>
      </c>
      <c r="D1331" s="85" t="s">
        <v>250</v>
      </c>
    </row>
    <row r="1332" spans="1:4">
      <c r="A1332" s="75">
        <v>0.45833333333333298</v>
      </c>
      <c r="B1332" s="85">
        <v>28720</v>
      </c>
      <c r="C1332" s="85">
        <v>7830</v>
      </c>
      <c r="D1332">
        <v>12725000</v>
      </c>
    </row>
    <row r="1333" spans="1:4">
      <c r="A1333" s="76" t="s">
        <v>251</v>
      </c>
      <c r="B1333" s="85">
        <v>28700</v>
      </c>
      <c r="C1333" s="85">
        <v>7820</v>
      </c>
      <c r="D1333">
        <v>12665000</v>
      </c>
    </row>
    <row r="1334" spans="1:4">
      <c r="A1334" s="77" t="s">
        <v>252</v>
      </c>
      <c r="B1334" s="85">
        <v>28660</v>
      </c>
      <c r="C1334" s="85">
        <v>7810</v>
      </c>
      <c r="D1334">
        <v>12670000</v>
      </c>
    </row>
    <row r="1335" spans="1:4">
      <c r="A1335" s="75" t="s">
        <v>253</v>
      </c>
      <c r="B1335" s="85">
        <v>28600</v>
      </c>
      <c r="C1335" s="85">
        <v>7800</v>
      </c>
      <c r="D1335">
        <v>12645000</v>
      </c>
    </row>
    <row r="1336" spans="1:4">
      <c r="A1336" s="83">
        <v>0.625</v>
      </c>
      <c r="B1336" s="85">
        <v>28580</v>
      </c>
      <c r="C1336" s="85">
        <v>7800</v>
      </c>
      <c r="D1336" s="85">
        <v>12570000</v>
      </c>
    </row>
    <row r="1337" spans="1:4">
      <c r="A1337" s="76" t="s">
        <v>254</v>
      </c>
      <c r="B1337" s="85">
        <v>28580</v>
      </c>
      <c r="C1337" s="85">
        <v>7790</v>
      </c>
      <c r="D1337" s="85">
        <v>12560000</v>
      </c>
    </row>
    <row r="1338" spans="1:4">
      <c r="A1338" s="86">
        <v>0.70833333333333304</v>
      </c>
      <c r="B1338" s="85">
        <v>28580</v>
      </c>
      <c r="C1338" s="85">
        <v>7780</v>
      </c>
      <c r="D1338" s="85">
        <v>12560000</v>
      </c>
    </row>
    <row r="1343" spans="1:4">
      <c r="A1343" s="138" t="s">
        <v>467</v>
      </c>
      <c r="B1343" s="138"/>
      <c r="C1343" s="138"/>
      <c r="D1343" s="138"/>
    </row>
    <row r="1344" spans="1:4">
      <c r="A1344" s="85" t="s">
        <v>247</v>
      </c>
      <c r="B1344" s="85" t="s">
        <v>248</v>
      </c>
      <c r="C1344" s="85" t="s">
        <v>249</v>
      </c>
      <c r="D1344" s="85" t="s">
        <v>250</v>
      </c>
    </row>
    <row r="1345" spans="1:4">
      <c r="A1345" s="75">
        <v>0.45833333333333298</v>
      </c>
      <c r="B1345" s="85">
        <v>28400</v>
      </c>
      <c r="C1345" s="85">
        <v>7710</v>
      </c>
      <c r="D1345">
        <v>12530000</v>
      </c>
    </row>
    <row r="1346" spans="1:4">
      <c r="A1346" s="76" t="s">
        <v>251</v>
      </c>
      <c r="B1346" s="85">
        <v>28290</v>
      </c>
      <c r="C1346" s="85">
        <v>7700</v>
      </c>
      <c r="D1346">
        <v>12480000</v>
      </c>
    </row>
    <row r="1347" spans="1:4">
      <c r="A1347" s="77" t="s">
        <v>252</v>
      </c>
      <c r="B1347" s="85">
        <v>28220</v>
      </c>
      <c r="C1347" s="85">
        <v>7690</v>
      </c>
      <c r="D1347">
        <v>12485000</v>
      </c>
    </row>
    <row r="1348" spans="1:4">
      <c r="A1348" s="75" t="s">
        <v>253</v>
      </c>
      <c r="B1348" s="85">
        <v>28200</v>
      </c>
      <c r="C1348" s="85">
        <v>7700</v>
      </c>
      <c r="D1348">
        <v>12490000</v>
      </c>
    </row>
    <row r="1349" spans="1:4">
      <c r="A1349" s="83">
        <v>0.625</v>
      </c>
      <c r="B1349" s="85">
        <v>28200</v>
      </c>
      <c r="C1349" s="85">
        <v>7710</v>
      </c>
      <c r="D1349" s="85">
        <v>12495000</v>
      </c>
    </row>
    <row r="1350" spans="1:4">
      <c r="A1350" s="76" t="s">
        <v>254</v>
      </c>
      <c r="B1350" s="85">
        <v>28190</v>
      </c>
      <c r="C1350" s="85">
        <v>7710</v>
      </c>
      <c r="D1350" s="85">
        <v>12495000</v>
      </c>
    </row>
    <row r="1351" spans="1:4">
      <c r="A1351" s="86">
        <v>0.70833333333333304</v>
      </c>
      <c r="B1351" s="85">
        <v>28190</v>
      </c>
      <c r="C1351" s="85">
        <v>7720</v>
      </c>
      <c r="D1351" s="85">
        <v>12495000</v>
      </c>
    </row>
    <row r="1355" spans="1:4">
      <c r="A1355" s="138" t="s">
        <v>469</v>
      </c>
      <c r="B1355" s="138"/>
      <c r="C1355" s="138"/>
      <c r="D1355" s="138"/>
    </row>
    <row r="1356" spans="1:4">
      <c r="A1356" s="85" t="s">
        <v>247</v>
      </c>
      <c r="B1356" s="85" t="s">
        <v>248</v>
      </c>
      <c r="C1356" s="85" t="s">
        <v>249</v>
      </c>
      <c r="D1356" s="85" t="s">
        <v>250</v>
      </c>
    </row>
    <row r="1357" spans="1:4">
      <c r="A1357" s="75">
        <v>0.45833333333333298</v>
      </c>
      <c r="B1357" s="85">
        <v>28170</v>
      </c>
      <c r="C1357" s="85">
        <v>7690</v>
      </c>
      <c r="D1357">
        <v>12475000</v>
      </c>
    </row>
    <row r="1358" spans="1:4">
      <c r="A1358" s="76" t="s">
        <v>251</v>
      </c>
      <c r="B1358" s="85">
        <v>28250</v>
      </c>
      <c r="C1358" s="85">
        <v>7690</v>
      </c>
      <c r="D1358">
        <v>12520000</v>
      </c>
    </row>
    <row r="1359" spans="1:4">
      <c r="A1359" s="77" t="s">
        <v>252</v>
      </c>
      <c r="B1359" s="85">
        <v>28200</v>
      </c>
      <c r="C1359" s="85">
        <v>7700</v>
      </c>
      <c r="D1359">
        <v>12535000</v>
      </c>
    </row>
    <row r="1360" spans="1:4">
      <c r="A1360" s="75" t="s">
        <v>253</v>
      </c>
      <c r="B1360" s="85">
        <v>28120</v>
      </c>
      <c r="C1360" s="85">
        <v>7710</v>
      </c>
      <c r="D1360">
        <v>12550000</v>
      </c>
    </row>
    <row r="1361" spans="1:4">
      <c r="A1361" s="83">
        <v>0.625</v>
      </c>
      <c r="B1361" s="85">
        <v>28180</v>
      </c>
      <c r="C1361" s="85">
        <v>7720</v>
      </c>
      <c r="D1361" s="85">
        <v>12560000</v>
      </c>
    </row>
    <row r="1362" spans="1:4">
      <c r="A1362" s="76" t="s">
        <v>254</v>
      </c>
      <c r="B1362" s="85">
        <v>28180</v>
      </c>
      <c r="C1362" s="85">
        <v>7710</v>
      </c>
      <c r="D1362" s="85">
        <v>12570000</v>
      </c>
    </row>
    <row r="1363" spans="1:4">
      <c r="A1363" s="86">
        <v>0.70833333333333304</v>
      </c>
      <c r="B1363" s="85">
        <v>28180</v>
      </c>
      <c r="C1363" s="85">
        <v>7720</v>
      </c>
      <c r="D1363" s="85">
        <v>12570000</v>
      </c>
    </row>
    <row r="1368" spans="1:4">
      <c r="A1368" s="138" t="s">
        <v>471</v>
      </c>
      <c r="B1368" s="138"/>
      <c r="C1368" s="138"/>
      <c r="D1368" s="138"/>
    </row>
    <row r="1369" spans="1:4">
      <c r="A1369" s="85" t="s">
        <v>247</v>
      </c>
      <c r="B1369" s="85" t="s">
        <v>248</v>
      </c>
      <c r="C1369" s="85" t="s">
        <v>249</v>
      </c>
      <c r="D1369" s="85" t="s">
        <v>250</v>
      </c>
    </row>
    <row r="1370" spans="1:4">
      <c r="A1370" s="75">
        <v>0.45833333333333298</v>
      </c>
      <c r="B1370" s="85">
        <v>28340</v>
      </c>
      <c r="C1370" s="85">
        <v>7740</v>
      </c>
      <c r="D1370">
        <v>12575000</v>
      </c>
    </row>
    <row r="1371" spans="1:4">
      <c r="A1371" s="76" t="s">
        <v>251</v>
      </c>
      <c r="B1371" s="85">
        <v>28370</v>
      </c>
      <c r="C1371" s="85">
        <v>7730</v>
      </c>
      <c r="D1371">
        <v>12590000</v>
      </c>
    </row>
    <row r="1372" spans="1:4">
      <c r="A1372" s="77" t="s">
        <v>252</v>
      </c>
      <c r="B1372" s="85">
        <v>28250</v>
      </c>
      <c r="C1372" s="85">
        <v>7730</v>
      </c>
      <c r="D1372">
        <v>12580000</v>
      </c>
    </row>
    <row r="1373" spans="1:4">
      <c r="A1373" s="75" t="s">
        <v>253</v>
      </c>
      <c r="B1373" s="85">
        <v>28240</v>
      </c>
      <c r="C1373" s="85">
        <v>7740</v>
      </c>
      <c r="D1373">
        <v>12545000</v>
      </c>
    </row>
    <row r="1374" spans="1:4">
      <c r="A1374" s="83">
        <v>0.625</v>
      </c>
      <c r="B1374" s="85">
        <v>28190</v>
      </c>
      <c r="C1374" s="85">
        <v>7740</v>
      </c>
      <c r="D1374" s="85">
        <v>12555000</v>
      </c>
    </row>
    <row r="1375" spans="1:4">
      <c r="A1375" s="76" t="s">
        <v>254</v>
      </c>
      <c r="B1375" s="85">
        <v>28190</v>
      </c>
      <c r="C1375" s="85">
        <v>7740</v>
      </c>
      <c r="D1375" s="85">
        <v>12550000</v>
      </c>
    </row>
    <row r="1376" spans="1:4">
      <c r="A1376" s="86">
        <v>0.70833333333333304</v>
      </c>
      <c r="B1376" s="85">
        <v>28190</v>
      </c>
      <c r="C1376" s="85">
        <v>7740</v>
      </c>
      <c r="D1376" s="85">
        <v>12555000</v>
      </c>
    </row>
    <row r="1380" spans="1:5">
      <c r="A1380" s="138" t="s">
        <v>473</v>
      </c>
      <c r="B1380" s="138"/>
      <c r="C1380" s="138"/>
      <c r="D1380" s="138"/>
    </row>
    <row r="1381" spans="1:5">
      <c r="A1381" s="85" t="s">
        <v>247</v>
      </c>
      <c r="B1381" s="85" t="s">
        <v>248</v>
      </c>
      <c r="C1381" s="85" t="s">
        <v>249</v>
      </c>
      <c r="D1381" s="85" t="s">
        <v>250</v>
      </c>
    </row>
    <row r="1382" spans="1:5">
      <c r="A1382" s="75">
        <v>0.45833333333333298</v>
      </c>
      <c r="B1382" s="85"/>
      <c r="C1382" s="85"/>
      <c r="E1382">
        <v>12490000</v>
      </c>
    </row>
    <row r="1383" spans="1:5">
      <c r="A1383" s="76" t="s">
        <v>251</v>
      </c>
      <c r="B1383" s="85"/>
      <c r="C1383" s="85"/>
      <c r="E1383">
        <v>12475000</v>
      </c>
    </row>
    <row r="1384" spans="1:5">
      <c r="A1384" s="77" t="s">
        <v>252</v>
      </c>
      <c r="B1384" s="85"/>
      <c r="C1384" s="85"/>
      <c r="E1384">
        <v>12470000</v>
      </c>
    </row>
    <row r="1385" spans="1:5">
      <c r="A1385" s="75" t="s">
        <v>253</v>
      </c>
      <c r="B1385" s="85"/>
      <c r="C1385" s="85"/>
    </row>
    <row r="1386" spans="1:5">
      <c r="A1386" s="83">
        <v>0.625</v>
      </c>
      <c r="B1386" s="85"/>
      <c r="C1386" s="85"/>
      <c r="D1386" s="85"/>
    </row>
    <row r="1387" spans="1:5">
      <c r="A1387" s="76" t="s">
        <v>254</v>
      </c>
      <c r="B1387" s="85"/>
      <c r="C1387" s="85"/>
      <c r="D1387" s="85"/>
    </row>
    <row r="1388" spans="1:5">
      <c r="A1388" s="86">
        <v>0.70833333333333304</v>
      </c>
      <c r="B1388" s="85"/>
      <c r="C1388" s="85"/>
      <c r="D1388" s="85"/>
    </row>
    <row r="1392" spans="1:5">
      <c r="A1392" s="138" t="s">
        <v>476</v>
      </c>
      <c r="B1392" s="138"/>
      <c r="C1392" s="138"/>
      <c r="D1392" s="138"/>
    </row>
    <row r="1393" spans="1:4">
      <c r="A1393" s="85" t="s">
        <v>247</v>
      </c>
      <c r="B1393" s="85" t="s">
        <v>248</v>
      </c>
      <c r="C1393" s="85" t="s">
        <v>249</v>
      </c>
      <c r="D1393" s="85" t="s">
        <v>250</v>
      </c>
    </row>
    <row r="1394" spans="1:4">
      <c r="A1394" s="75">
        <v>0.45833333333333298</v>
      </c>
      <c r="B1394" s="85">
        <v>28180</v>
      </c>
      <c r="C1394" s="85">
        <v>7710</v>
      </c>
      <c r="D1394">
        <v>12440000</v>
      </c>
    </row>
    <row r="1395" spans="1:4">
      <c r="A1395" s="76" t="s">
        <v>251</v>
      </c>
      <c r="B1395" s="85">
        <v>28150</v>
      </c>
      <c r="C1395" s="85">
        <v>7700</v>
      </c>
      <c r="D1395">
        <v>12435000</v>
      </c>
    </row>
    <row r="1396" spans="1:4">
      <c r="A1396" s="77" t="s">
        <v>252</v>
      </c>
      <c r="B1396" s="85">
        <v>28200</v>
      </c>
      <c r="C1396" s="85">
        <v>7700</v>
      </c>
      <c r="D1396">
        <v>12420000</v>
      </c>
    </row>
    <row r="1397" spans="1:4">
      <c r="A1397" s="75" t="s">
        <v>253</v>
      </c>
      <c r="B1397" s="85">
        <v>28190</v>
      </c>
      <c r="C1397" s="85">
        <v>7700</v>
      </c>
      <c r="D1397">
        <v>12415000</v>
      </c>
    </row>
    <row r="1398" spans="1:4">
      <c r="A1398" s="83">
        <v>0.625</v>
      </c>
      <c r="B1398" s="85">
        <v>28180</v>
      </c>
      <c r="C1398" s="85">
        <v>7690</v>
      </c>
      <c r="D1398">
        <v>12410000</v>
      </c>
    </row>
    <row r="1399" spans="1:4">
      <c r="A1399" s="76" t="s">
        <v>254</v>
      </c>
      <c r="B1399" s="85">
        <v>28180</v>
      </c>
      <c r="C1399" s="85">
        <v>7700</v>
      </c>
      <c r="D1399">
        <v>12420000</v>
      </c>
    </row>
    <row r="1400" spans="1:4">
      <c r="A1400" s="86">
        <v>0.70833333333333304</v>
      </c>
      <c r="B1400" s="85">
        <v>28180</v>
      </c>
      <c r="C1400" s="85">
        <v>7710</v>
      </c>
      <c r="D1400" s="85">
        <v>12415000</v>
      </c>
    </row>
    <row r="1404" spans="1:4">
      <c r="A1404" s="138" t="s">
        <v>478</v>
      </c>
      <c r="B1404" s="138"/>
      <c r="C1404" s="138"/>
      <c r="D1404" s="138"/>
    </row>
    <row r="1405" spans="1:4">
      <c r="A1405" s="85" t="s">
        <v>247</v>
      </c>
      <c r="B1405" s="85" t="s">
        <v>248</v>
      </c>
      <c r="C1405" s="85" t="s">
        <v>249</v>
      </c>
      <c r="D1405" s="85" t="s">
        <v>250</v>
      </c>
    </row>
    <row r="1406" spans="1:4">
      <c r="A1406" s="75">
        <v>0.45833333333333298</v>
      </c>
      <c r="B1406" s="85">
        <v>28090</v>
      </c>
      <c r="C1406" s="85">
        <v>7680</v>
      </c>
      <c r="D1406">
        <v>12380000</v>
      </c>
    </row>
    <row r="1407" spans="1:4">
      <c r="A1407" s="76" t="s">
        <v>251</v>
      </c>
      <c r="B1407" s="85">
        <v>28150</v>
      </c>
      <c r="C1407" s="85">
        <v>7700</v>
      </c>
      <c r="D1407">
        <v>12400000</v>
      </c>
    </row>
    <row r="1408" spans="1:4">
      <c r="A1408" s="77" t="s">
        <v>252</v>
      </c>
      <c r="B1408" s="85">
        <v>28240</v>
      </c>
      <c r="C1408" s="85">
        <v>7710</v>
      </c>
      <c r="D1408">
        <v>12410000</v>
      </c>
    </row>
    <row r="1409" spans="1:4">
      <c r="A1409" s="75" t="s">
        <v>253</v>
      </c>
      <c r="B1409" s="85">
        <v>28280</v>
      </c>
      <c r="C1409" s="85">
        <v>7720</v>
      </c>
      <c r="D1409">
        <v>12405000</v>
      </c>
    </row>
    <row r="1410" spans="1:4">
      <c r="A1410" s="83">
        <v>0.625</v>
      </c>
      <c r="B1410" s="85">
        <v>28300</v>
      </c>
      <c r="C1410" s="85">
        <v>7720</v>
      </c>
      <c r="D1410">
        <v>12435000</v>
      </c>
    </row>
    <row r="1411" spans="1:4">
      <c r="A1411" s="76" t="s">
        <v>254</v>
      </c>
      <c r="B1411" s="85">
        <v>28290</v>
      </c>
      <c r="C1411" s="85">
        <v>7720</v>
      </c>
      <c r="D1411">
        <v>12440000</v>
      </c>
    </row>
    <row r="1412" spans="1:4">
      <c r="A1412" s="86">
        <v>0.70833333333333304</v>
      </c>
      <c r="B1412" s="85">
        <v>28290</v>
      </c>
      <c r="C1412" s="85">
        <v>7730</v>
      </c>
      <c r="D1412" s="85">
        <v>12480000</v>
      </c>
    </row>
    <row r="1416" spans="1:4">
      <c r="A1416" s="138" t="s">
        <v>479</v>
      </c>
      <c r="B1416" s="138"/>
      <c r="C1416" s="138"/>
      <c r="D1416" s="138"/>
    </row>
    <row r="1417" spans="1:4">
      <c r="A1417" s="85" t="s">
        <v>247</v>
      </c>
      <c r="B1417" s="85" t="s">
        <v>248</v>
      </c>
      <c r="C1417" s="85" t="s">
        <v>249</v>
      </c>
      <c r="D1417" s="85" t="s">
        <v>250</v>
      </c>
    </row>
    <row r="1418" spans="1:4">
      <c r="A1418" s="75">
        <v>0.45833333333333298</v>
      </c>
      <c r="B1418" s="85">
        <v>28350</v>
      </c>
      <c r="C1418" s="85">
        <v>7750</v>
      </c>
      <c r="D1418">
        <v>12520000</v>
      </c>
    </row>
    <row r="1419" spans="1:4">
      <c r="A1419" s="76" t="s">
        <v>251</v>
      </c>
      <c r="B1419" s="85">
        <v>28330</v>
      </c>
      <c r="C1419" s="85">
        <v>7745</v>
      </c>
      <c r="D1419">
        <v>12500000</v>
      </c>
    </row>
    <row r="1420" spans="1:4">
      <c r="A1420" s="77" t="s">
        <v>252</v>
      </c>
      <c r="B1420" s="85">
        <v>28300</v>
      </c>
      <c r="C1420" s="85">
        <v>7740</v>
      </c>
      <c r="D1420">
        <v>12495000</v>
      </c>
    </row>
    <row r="1421" spans="1:4">
      <c r="A1421" s="75" t="s">
        <v>253</v>
      </c>
      <c r="B1421" s="85">
        <v>28350</v>
      </c>
      <c r="C1421" s="85">
        <v>7760</v>
      </c>
      <c r="D1421">
        <v>12565000</v>
      </c>
    </row>
    <row r="1422" spans="1:4">
      <c r="A1422" s="83">
        <v>0.625</v>
      </c>
      <c r="B1422" s="85">
        <v>28400</v>
      </c>
      <c r="C1422" s="85">
        <v>7770</v>
      </c>
      <c r="D1422">
        <v>12580000</v>
      </c>
    </row>
    <row r="1423" spans="1:4">
      <c r="A1423" s="76" t="s">
        <v>254</v>
      </c>
      <c r="B1423" s="85">
        <v>28400</v>
      </c>
      <c r="C1423" s="85">
        <v>7780</v>
      </c>
      <c r="D1423" s="85">
        <v>12570000</v>
      </c>
    </row>
    <row r="1424" spans="1:4">
      <c r="A1424" s="86">
        <v>0.70833333333333304</v>
      </c>
      <c r="B1424" s="85">
        <v>28400</v>
      </c>
      <c r="C1424" s="85">
        <v>7775</v>
      </c>
      <c r="D1424" s="136">
        <v>12550000</v>
      </c>
    </row>
    <row r="1428" spans="1:4">
      <c r="A1428" s="138" t="s">
        <v>480</v>
      </c>
      <c r="B1428" s="138"/>
      <c r="C1428" s="138"/>
      <c r="D1428" s="138"/>
    </row>
    <row r="1429" spans="1:4">
      <c r="A1429" s="85" t="s">
        <v>247</v>
      </c>
      <c r="B1429" s="85" t="s">
        <v>248</v>
      </c>
      <c r="C1429" s="85" t="s">
        <v>249</v>
      </c>
      <c r="D1429" s="85" t="s">
        <v>250</v>
      </c>
    </row>
    <row r="1430" spans="1:4">
      <c r="A1430" s="75">
        <v>0.45833333333333298</v>
      </c>
      <c r="B1430" s="85">
        <v>28550</v>
      </c>
      <c r="C1430" s="85">
        <v>7810</v>
      </c>
      <c r="D1430">
        <v>12480000</v>
      </c>
    </row>
    <row r="1431" spans="1:4">
      <c r="A1431" s="76" t="s">
        <v>251</v>
      </c>
      <c r="B1431" s="85">
        <v>28620</v>
      </c>
      <c r="C1431" s="85">
        <v>7820</v>
      </c>
      <c r="D1431">
        <v>12475000</v>
      </c>
    </row>
    <row r="1432" spans="1:4">
      <c r="A1432" s="77" t="s">
        <v>252</v>
      </c>
      <c r="B1432" s="85">
        <v>28600</v>
      </c>
      <c r="C1432" s="85">
        <v>7830</v>
      </c>
      <c r="D1432">
        <v>12515000</v>
      </c>
    </row>
    <row r="1433" spans="1:4">
      <c r="A1433" s="75" t="s">
        <v>253</v>
      </c>
      <c r="B1433" s="85">
        <v>28570</v>
      </c>
      <c r="C1433" s="85">
        <v>7810</v>
      </c>
      <c r="D1433">
        <v>12510000</v>
      </c>
    </row>
    <row r="1434" spans="1:4">
      <c r="A1434" s="83">
        <v>0.625</v>
      </c>
      <c r="B1434" s="85">
        <v>28570</v>
      </c>
      <c r="C1434" s="85">
        <v>7810</v>
      </c>
      <c r="D1434">
        <v>12455000</v>
      </c>
    </row>
    <row r="1435" spans="1:4">
      <c r="A1435" s="76" t="s">
        <v>254</v>
      </c>
      <c r="B1435" s="85">
        <v>28570</v>
      </c>
      <c r="C1435" s="85">
        <v>7820</v>
      </c>
      <c r="D1435" s="85">
        <v>12475000</v>
      </c>
    </row>
    <row r="1436" spans="1:4">
      <c r="A1436" s="86">
        <v>0.70833333333333304</v>
      </c>
      <c r="B1436" s="85">
        <v>28570</v>
      </c>
      <c r="C1436" s="85">
        <v>7810</v>
      </c>
      <c r="D1436" s="136">
        <v>12485000</v>
      </c>
    </row>
    <row r="1441" spans="1:6">
      <c r="A1441" s="138" t="s">
        <v>481</v>
      </c>
      <c r="B1441" s="138"/>
      <c r="C1441" s="138"/>
      <c r="D1441" s="138"/>
    </row>
    <row r="1442" spans="1:6">
      <c r="A1442" s="85" t="s">
        <v>247</v>
      </c>
      <c r="B1442" s="85" t="s">
        <v>248</v>
      </c>
      <c r="C1442" s="85" t="s">
        <v>249</v>
      </c>
      <c r="D1442" s="85" t="s">
        <v>250</v>
      </c>
    </row>
    <row r="1443" spans="1:6">
      <c r="A1443" s="75">
        <v>0.45833333333333298</v>
      </c>
      <c r="B1443" s="85">
        <v>28850</v>
      </c>
      <c r="C1443" s="85">
        <v>7870</v>
      </c>
      <c r="D1443">
        <v>12570000</v>
      </c>
    </row>
    <row r="1444" spans="1:6">
      <c r="A1444" s="76" t="s">
        <v>251</v>
      </c>
      <c r="B1444" s="85">
        <v>28940</v>
      </c>
      <c r="C1444" s="85">
        <v>7880</v>
      </c>
      <c r="D1444">
        <v>12615000</v>
      </c>
    </row>
    <row r="1445" spans="1:6">
      <c r="A1445" s="77" t="s">
        <v>252</v>
      </c>
      <c r="B1445" s="85">
        <v>28980</v>
      </c>
      <c r="C1445" s="85">
        <v>7890</v>
      </c>
      <c r="D1445">
        <v>12645000</v>
      </c>
    </row>
    <row r="1446" spans="1:6">
      <c r="A1446" s="75" t="s">
        <v>253</v>
      </c>
      <c r="B1446" s="85">
        <v>29050</v>
      </c>
      <c r="C1446" s="85">
        <v>7900</v>
      </c>
      <c r="D1446">
        <v>12655000</v>
      </c>
    </row>
    <row r="1447" spans="1:6">
      <c r="A1447" s="83">
        <v>0.625</v>
      </c>
      <c r="B1447" s="85">
        <v>29050</v>
      </c>
      <c r="C1447" s="85">
        <v>7940</v>
      </c>
      <c r="D1447">
        <v>12680000</v>
      </c>
    </row>
    <row r="1448" spans="1:6">
      <c r="A1448" s="76" t="s">
        <v>254</v>
      </c>
      <c r="B1448" s="85">
        <v>29050</v>
      </c>
      <c r="C1448" s="85">
        <v>7980</v>
      </c>
      <c r="D1448" s="85">
        <v>12680000</v>
      </c>
    </row>
    <row r="1449" spans="1:6">
      <c r="A1449" s="86">
        <v>0.70833333333333304</v>
      </c>
      <c r="B1449" s="85">
        <v>29050</v>
      </c>
      <c r="C1449" s="85">
        <v>7980</v>
      </c>
      <c r="D1449" s="136">
        <v>12680000</v>
      </c>
    </row>
    <row r="1450" spans="1:6">
      <c r="F1450">
        <f>3.673*7920</f>
        <v>29090.16</v>
      </c>
    </row>
    <row r="1453" spans="1:6">
      <c r="A1453" s="138" t="s">
        <v>482</v>
      </c>
      <c r="B1453" s="138"/>
      <c r="C1453" s="138"/>
      <c r="D1453" s="138"/>
    </row>
    <row r="1454" spans="1:6">
      <c r="A1454" s="85" t="s">
        <v>247</v>
      </c>
      <c r="B1454" s="85" t="s">
        <v>248</v>
      </c>
      <c r="C1454" s="85" t="s">
        <v>249</v>
      </c>
      <c r="D1454" s="85" t="s">
        <v>250</v>
      </c>
    </row>
    <row r="1455" spans="1:6">
      <c r="A1455" s="75">
        <v>0.45833333333333298</v>
      </c>
      <c r="B1455" s="85"/>
      <c r="C1455" s="85"/>
      <c r="E1455">
        <v>12640000</v>
      </c>
    </row>
    <row r="1456" spans="1:6">
      <c r="A1456" s="76" t="s">
        <v>251</v>
      </c>
      <c r="B1456" s="85"/>
      <c r="C1456" s="85"/>
      <c r="E1456">
        <v>12620000</v>
      </c>
    </row>
    <row r="1457" spans="1:5">
      <c r="A1457" s="77" t="s">
        <v>252</v>
      </c>
      <c r="B1457" s="85"/>
      <c r="C1457" s="85"/>
      <c r="E1457">
        <v>12600000</v>
      </c>
    </row>
    <row r="1458" spans="1:5">
      <c r="A1458" s="75" t="s">
        <v>253</v>
      </c>
      <c r="B1458" s="85"/>
      <c r="C1458" s="85"/>
    </row>
    <row r="1459" spans="1:5">
      <c r="A1459" s="83">
        <v>0.625</v>
      </c>
      <c r="B1459" s="85"/>
      <c r="C1459" s="85"/>
    </row>
    <row r="1460" spans="1:5">
      <c r="A1460" s="76" t="s">
        <v>254</v>
      </c>
      <c r="B1460" s="85"/>
      <c r="C1460" s="85"/>
      <c r="D1460" s="85"/>
    </row>
    <row r="1461" spans="1:5">
      <c r="A1461" s="86">
        <v>0.70833333333333304</v>
      </c>
      <c r="B1461" s="85"/>
      <c r="C1461" s="85"/>
      <c r="D1461" s="136"/>
    </row>
    <row r="1465" spans="1:5">
      <c r="A1465" s="138" t="s">
        <v>489</v>
      </c>
      <c r="B1465" s="138"/>
      <c r="C1465" s="138"/>
      <c r="D1465" s="138"/>
    </row>
    <row r="1466" spans="1:5">
      <c r="A1466" s="85" t="s">
        <v>247</v>
      </c>
      <c r="B1466" s="85" t="s">
        <v>248</v>
      </c>
      <c r="C1466" s="85" t="s">
        <v>249</v>
      </c>
      <c r="D1466" s="85" t="s">
        <v>250</v>
      </c>
    </row>
    <row r="1467" spans="1:5">
      <c r="A1467" s="75">
        <v>0.45833333333333298</v>
      </c>
      <c r="B1467" s="85">
        <v>29270</v>
      </c>
      <c r="C1467" s="85">
        <v>7990</v>
      </c>
      <c r="D1467">
        <v>12675000</v>
      </c>
    </row>
    <row r="1468" spans="1:5">
      <c r="A1468" s="76" t="s">
        <v>251</v>
      </c>
      <c r="B1468" s="85">
        <v>29300</v>
      </c>
      <c r="C1468" s="85">
        <v>8000</v>
      </c>
      <c r="D1468">
        <v>12700000</v>
      </c>
    </row>
    <row r="1469" spans="1:5">
      <c r="A1469" s="77" t="s">
        <v>252</v>
      </c>
      <c r="B1469" s="85">
        <v>29260</v>
      </c>
      <c r="C1469" s="85">
        <v>7980</v>
      </c>
      <c r="D1469">
        <v>12645000</v>
      </c>
    </row>
    <row r="1470" spans="1:5">
      <c r="A1470" s="75" t="s">
        <v>253</v>
      </c>
      <c r="B1470" s="85">
        <v>29240</v>
      </c>
      <c r="C1470" s="85">
        <v>7970</v>
      </c>
      <c r="D1470">
        <v>12580000</v>
      </c>
    </row>
    <row r="1471" spans="1:5">
      <c r="A1471" s="83">
        <v>0.625</v>
      </c>
      <c r="B1471" s="85">
        <v>29180</v>
      </c>
      <c r="C1471" s="85">
        <v>7960</v>
      </c>
      <c r="D1471">
        <v>12565000</v>
      </c>
    </row>
    <row r="1472" spans="1:5">
      <c r="A1472" s="76" t="s">
        <v>254</v>
      </c>
      <c r="B1472" s="85">
        <v>29150</v>
      </c>
      <c r="C1472" s="85">
        <v>7950</v>
      </c>
      <c r="D1472" s="85">
        <v>12585000</v>
      </c>
    </row>
    <row r="1473" spans="1:4">
      <c r="A1473" s="86">
        <v>0.70833333333333304</v>
      </c>
      <c r="B1473" s="85">
        <v>29150</v>
      </c>
      <c r="C1473" s="85">
        <v>7950</v>
      </c>
      <c r="D1473" s="136">
        <v>12585000</v>
      </c>
    </row>
    <row r="1477" spans="1:4">
      <c r="A1477" s="138" t="s">
        <v>491</v>
      </c>
      <c r="B1477" s="138"/>
      <c r="C1477" s="138"/>
      <c r="D1477" s="138"/>
    </row>
    <row r="1478" spans="1:4">
      <c r="A1478" s="85" t="s">
        <v>247</v>
      </c>
      <c r="B1478" s="85" t="s">
        <v>248</v>
      </c>
      <c r="C1478" s="85" t="s">
        <v>249</v>
      </c>
      <c r="D1478" s="85" t="s">
        <v>250</v>
      </c>
    </row>
    <row r="1479" spans="1:4">
      <c r="A1479" s="75">
        <v>0.45833333333333298</v>
      </c>
      <c r="B1479" s="85">
        <v>29090</v>
      </c>
      <c r="C1479" s="85">
        <v>7970</v>
      </c>
      <c r="D1479">
        <v>12575000</v>
      </c>
    </row>
    <row r="1480" spans="1:4">
      <c r="A1480" s="76" t="s">
        <v>251</v>
      </c>
      <c r="B1480" s="85">
        <v>29070</v>
      </c>
      <c r="C1480" s="85">
        <v>7970</v>
      </c>
      <c r="D1480">
        <v>12550000</v>
      </c>
    </row>
    <row r="1481" spans="1:4">
      <c r="A1481" s="77" t="s">
        <v>252</v>
      </c>
      <c r="B1481" s="85">
        <v>29160</v>
      </c>
      <c r="C1481" s="85">
        <v>7970</v>
      </c>
      <c r="D1481">
        <v>12530000</v>
      </c>
    </row>
    <row r="1482" spans="1:4">
      <c r="A1482" s="75" t="s">
        <v>253</v>
      </c>
      <c r="B1482" s="85">
        <v>29200</v>
      </c>
      <c r="C1482" s="85">
        <v>7980</v>
      </c>
      <c r="D1482">
        <v>12550000</v>
      </c>
    </row>
    <row r="1483" spans="1:4">
      <c r="A1483" s="83">
        <v>0.625</v>
      </c>
      <c r="B1483" s="85">
        <v>29250</v>
      </c>
      <c r="C1483" s="85">
        <v>7990</v>
      </c>
      <c r="D1483">
        <v>12560000</v>
      </c>
    </row>
    <row r="1484" spans="1:4">
      <c r="A1484" s="76" t="s">
        <v>254</v>
      </c>
      <c r="B1484" s="85">
        <v>29250</v>
      </c>
      <c r="C1484" s="85">
        <v>7990</v>
      </c>
      <c r="D1484" s="85">
        <v>12595000</v>
      </c>
    </row>
    <row r="1485" spans="1:4">
      <c r="A1485" s="86">
        <v>0.70833333333333304</v>
      </c>
      <c r="B1485" s="85">
        <v>29250</v>
      </c>
      <c r="C1485" s="85">
        <v>7990</v>
      </c>
      <c r="D1485" s="136">
        <v>12595000</v>
      </c>
    </row>
    <row r="1490" spans="1:4">
      <c r="A1490" s="138" t="s">
        <v>493</v>
      </c>
      <c r="B1490" s="138"/>
      <c r="C1490" s="138"/>
      <c r="D1490" s="138"/>
    </row>
    <row r="1491" spans="1:4">
      <c r="A1491" s="85" t="s">
        <v>247</v>
      </c>
      <c r="B1491" s="85" t="s">
        <v>248</v>
      </c>
      <c r="C1491" s="85" t="s">
        <v>249</v>
      </c>
      <c r="D1491" s="85" t="s">
        <v>250</v>
      </c>
    </row>
    <row r="1492" spans="1:4">
      <c r="A1492" s="75">
        <v>0.45833333333333298</v>
      </c>
      <c r="B1492" s="85">
        <v>29540</v>
      </c>
      <c r="C1492" s="85">
        <v>8060</v>
      </c>
      <c r="D1492">
        <v>12720000</v>
      </c>
    </row>
    <row r="1493" spans="1:4">
      <c r="A1493" s="76" t="s">
        <v>251</v>
      </c>
      <c r="B1493" s="85">
        <v>29370</v>
      </c>
      <c r="C1493" s="85">
        <v>8050</v>
      </c>
      <c r="D1493">
        <v>12690000</v>
      </c>
    </row>
    <row r="1494" spans="1:4">
      <c r="A1494" s="77" t="s">
        <v>252</v>
      </c>
      <c r="B1494" s="85">
        <v>29430</v>
      </c>
      <c r="C1494" s="85">
        <v>8040</v>
      </c>
      <c r="D1494">
        <v>12685000</v>
      </c>
    </row>
    <row r="1495" spans="1:4">
      <c r="A1495" s="75" t="s">
        <v>253</v>
      </c>
      <c r="B1495" s="85">
        <v>29430</v>
      </c>
      <c r="C1495" s="85">
        <v>8020</v>
      </c>
      <c r="D1495">
        <v>12710000</v>
      </c>
    </row>
    <row r="1496" spans="1:4">
      <c r="A1496" s="83">
        <v>0.625</v>
      </c>
      <c r="B1496" s="85">
        <v>29430</v>
      </c>
      <c r="C1496" s="85">
        <v>8030</v>
      </c>
      <c r="D1496">
        <v>12685000</v>
      </c>
    </row>
    <row r="1497" spans="1:4">
      <c r="A1497" s="76" t="s">
        <v>254</v>
      </c>
      <c r="B1497" s="85">
        <v>29480</v>
      </c>
      <c r="C1497" s="85">
        <v>8040</v>
      </c>
      <c r="D1497" s="85">
        <v>12685000</v>
      </c>
    </row>
    <row r="1498" spans="1:4">
      <c r="A1498" s="86">
        <v>0.70833333333333304</v>
      </c>
      <c r="B1498" s="85">
        <v>29500</v>
      </c>
      <c r="C1498" s="85">
        <v>8050</v>
      </c>
      <c r="D1498" s="136">
        <v>12685000</v>
      </c>
    </row>
  </sheetData>
  <mergeCells count="132">
    <mergeCell ref="A1318:D1318"/>
    <mergeCell ref="A1294:D1294"/>
    <mergeCell ref="A1110:D1110"/>
    <mergeCell ref="A1222:D1222"/>
    <mergeCell ref="A1441:D1441"/>
    <mergeCell ref="A1234:D1234"/>
    <mergeCell ref="A1209:D1209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428:D1428"/>
    <mergeCell ref="A1355:D1355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273:D273"/>
    <mergeCell ref="A283:D283"/>
    <mergeCell ref="A293:D293"/>
    <mergeCell ref="A303:D30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670:D670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47:D647"/>
    <mergeCell ref="A842:D842"/>
    <mergeCell ref="A681:D681"/>
    <mergeCell ref="A796:D796"/>
    <mergeCell ref="A854:D854"/>
    <mergeCell ref="A1000:D1000"/>
    <mergeCell ref="A987:D987"/>
    <mergeCell ref="A1012:D1012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888:D888"/>
    <mergeCell ref="A901:D901"/>
    <mergeCell ref="A913:D913"/>
    <mergeCell ref="A961:D961"/>
    <mergeCell ref="A925:D925"/>
    <mergeCell ref="A937:D937"/>
    <mergeCell ref="A1490:D1490"/>
    <mergeCell ref="A1477:D1477"/>
    <mergeCell ref="A1025:D1025"/>
    <mergeCell ref="A949:D949"/>
    <mergeCell ref="A974:D974"/>
    <mergeCell ref="A1465:D1465"/>
    <mergeCell ref="A738:D738"/>
    <mergeCell ref="A692:D692"/>
    <mergeCell ref="A703:D703"/>
    <mergeCell ref="A715:D715"/>
    <mergeCell ref="A726:D726"/>
    <mergeCell ref="A1037:D1037"/>
    <mergeCell ref="A1098:D1098"/>
    <mergeCell ref="A1085:D1085"/>
    <mergeCell ref="A1073:D1073"/>
    <mergeCell ref="A1061:D1061"/>
    <mergeCell ref="A1185:D1185"/>
    <mergeCell ref="A1162:D1162"/>
    <mergeCell ref="A1136:D1136"/>
    <mergeCell ref="A1149:D1149"/>
    <mergeCell ref="A1123:D1123"/>
    <mergeCell ref="A1173:D1173"/>
    <mergeCell ref="A1049:D1049"/>
    <mergeCell ref="A1453:D145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21" sqref="C21"/>
    </sheetView>
  </sheetViews>
  <sheetFormatPr defaultColWidth="8.5703125" defaultRowHeight="15"/>
  <cols>
    <col min="1" max="1" width="23.7109375" style="88" customWidth="1"/>
    <col min="2" max="2" width="22.140625" style="88" customWidth="1"/>
    <col min="3" max="3" width="22.5703125" style="88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39" t="s">
        <v>373</v>
      </c>
      <c r="B1" s="139"/>
      <c r="C1" s="139"/>
    </row>
    <row r="2" spans="1:6" ht="24.95" customHeight="1">
      <c r="A2" s="89"/>
      <c r="B2" s="89" t="s">
        <v>374</v>
      </c>
      <c r="C2" s="89" t="s">
        <v>375</v>
      </c>
    </row>
    <row r="3" spans="1:6" ht="24.95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5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5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5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5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5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5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20"/>
  <sheetViews>
    <sheetView topLeftCell="A91" zoomScale="85" zoomScaleNormal="85" workbookViewId="0">
      <selection activeCell="B121" sqref="B121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2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20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20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2021-11-29T12:14:47Z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