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X125" i="1"/>
  <c r="H57" i="7" l="1"/>
  <c r="G57" i="7"/>
  <c r="F57" i="7"/>
  <c r="M113" i="1" l="1"/>
  <c r="L113" i="1"/>
  <c r="H56" i="7" l="1"/>
  <c r="G56" i="7"/>
  <c r="F56" i="7"/>
  <c r="G120" i="1"/>
  <c r="M112" i="1" l="1"/>
  <c r="L112" i="1"/>
  <c r="D127" i="1" l="1"/>
  <c r="F126" i="1" l="1"/>
  <c r="G22" i="5" l="1"/>
  <c r="E22" i="5"/>
  <c r="E573" i="6"/>
  <c r="H55" i="7"/>
  <c r="G55" i="7"/>
  <c r="F55" i="7"/>
  <c r="M111" i="1" l="1"/>
  <c r="L111" i="1"/>
  <c r="H54" i="7"/>
  <c r="G54" i="7"/>
  <c r="F54" i="7"/>
  <c r="G124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K120" i="1" l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3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0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0" i="1"/>
  <c r="BI2" i="1"/>
  <c r="M53" i="1" l="1"/>
  <c r="L53" i="1"/>
  <c r="M52" i="1" l="1"/>
  <c r="L52" i="1"/>
  <c r="AW124" i="1" l="1"/>
  <c r="AW127" i="1" s="1"/>
  <c r="G10" i="5" l="1"/>
  <c r="E10" i="5"/>
  <c r="M51" i="1"/>
  <c r="L51" i="1"/>
  <c r="AY122" i="1"/>
  <c r="M50" i="1" l="1"/>
  <c r="L50" i="1"/>
  <c r="AU124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120" i="1" s="1"/>
  <c r="M4" i="1"/>
  <c r="M5" i="1"/>
  <c r="M6" i="1"/>
  <c r="M7" i="1"/>
  <c r="L5" i="1"/>
  <c r="L2" i="1"/>
  <c r="M2" i="1"/>
  <c r="L3" i="1"/>
  <c r="L4" i="1"/>
  <c r="L6" i="1"/>
  <c r="L7" i="1"/>
  <c r="L120" i="1" l="1"/>
  <c r="S1" i="1" s="1"/>
  <c r="U1" i="1"/>
</calcChain>
</file>

<file path=xl/sharedStrings.xml><?xml version="1.0" encoding="utf-8"?>
<sst xmlns="http://schemas.openxmlformats.org/spreadsheetml/2006/main" count="928" uniqueCount="324">
  <si>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</si>
  <si>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</si>
  <si>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</si>
  <si>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</si>
  <si>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</si>
  <si>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</si>
  <si>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</si>
  <si>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</si>
  <si>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</si>
  <si>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</si>
  <si>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</si>
  <si>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</si>
  <si>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</si>
  <si>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</si>
  <si>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</si>
  <si>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</si>
  <si>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</si>
  <si>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</si>
  <si>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</si>
  <si>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</si>
  <si>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</si>
  <si>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</si>
  <si>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</si>
  <si>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</si>
  <si>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</si>
  <si>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</si>
  <si>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</si>
  <si>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</si>
  <si>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</si>
  <si>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</si>
  <si>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</si>
  <si>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</si>
  <si>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</si>
  <si>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</si>
  <si>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</si>
  <si>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</si>
  <si>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</si>
  <si>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</si>
  <si>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</si>
  <si>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</si>
  <si>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</si>
  <si>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</si>
  <si>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</si>
  <si>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</si>
  <si>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</si>
  <si>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</si>
  <si>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</si>
  <si>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</si>
  <si>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</si>
  <si>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</si>
  <si>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</si>
  <si>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</si>
  <si>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</si>
  <si>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</si>
  <si>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</si>
  <si>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</si>
  <si>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</si>
  <si>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</si>
  <si>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</si>
  <si>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</si>
  <si>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</si>
  <si>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</si>
  <si>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</si>
  <si>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</si>
  <si>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</si>
  <si>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</si>
  <si>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</si>
  <si>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</si>
  <si>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</si>
  <si>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</si>
  <si>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</si>
  <si>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</si>
  <si>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</si>
  <si>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</si>
  <si>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</si>
  <si>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</si>
  <si>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</si>
  <si>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</si>
  <si>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</si>
  <si>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</si>
  <si>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</si>
  <si>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</si>
  <si>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</si>
  <si>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</si>
  <si>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</si>
  <si>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</si>
  <si>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</si>
  <si>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</si>
  <si>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</si>
  <si>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</si>
  <si>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</si>
  <si>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</si>
  <si>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</si>
  <si>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</si>
  <si>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</si>
  <si>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</si>
  <si>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</si>
  <si>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</si>
  <si>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</si>
  <si>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</si>
  <si>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</si>
  <si>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</si>
  <si>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</si>
  <si>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</si>
  <si>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</si>
  <si>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</si>
  <si>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</si>
  <si>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</si>
  <si>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</si>
  <si>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</si>
  <si>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</si>
  <si>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</si>
  <si>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</si>
  <si>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</si>
  <si>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</si>
  <si>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</si>
  <si>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</si>
  <si>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</si>
  <si>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</si>
  <si>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</si>
  <si>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</si>
  <si>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</si>
  <si>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</si>
  <si>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</si>
  <si>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</si>
  <si>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</si>
  <si>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</si>
  <si>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</si>
  <si>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</si>
  <si>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</si>
  <si>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</si>
  <si>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</si>
  <si>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</si>
  <si>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</si>
  <si>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</si>
  <si>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</si>
  <si>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</si>
  <si>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</si>
  <si>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</si>
  <si>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</si>
  <si>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</si>
  <si>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</si>
  <si>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</si>
  <si>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</si>
  <si>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</si>
  <si>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</si>
  <si>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</si>
  <si>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</si>
  <si>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</si>
  <si>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</si>
  <si>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</si>
  <si>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</si>
  <si>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</si>
  <si>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</si>
  <si>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</si>
  <si>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</si>
  <si>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</si>
  <si>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</si>
  <si>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</si>
  <si>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</si>
  <si>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</si>
  <si>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</si>
  <si>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</si>
  <si>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</si>
  <si>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</si>
  <si>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</si>
  <si>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</si>
  <si>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</si>
  <si>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</si>
  <si>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</si>
  <si>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</si>
  <si>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</si>
  <si>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</si>
  <si>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</si>
  <si>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</si>
  <si>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</si>
  <si>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</si>
  <si>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</si>
  <si>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</si>
  <si>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</si>
  <si>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</si>
  <si>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</si>
  <si>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</si>
  <si>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</si>
  <si>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</si>
  <si>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</si>
  <si>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</si>
  <si>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</si>
  <si>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</si>
  <si>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</si>
  <si>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</si>
  <si>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</si>
  <si>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</si>
  <si>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</si>
  <si>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</si>
  <si>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</si>
  <si>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</si>
  <si>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</si>
  <si>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</si>
  <si>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</si>
  <si>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</si>
  <si>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</si>
  <si>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</si>
  <si>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</si>
  <si>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</si>
  <si>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</si>
  <si>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</si>
  <si>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</si>
  <si>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</si>
  <si>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</si>
  <si>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</si>
  <si>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</si>
  <si>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</si>
  <si>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</si>
  <si>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</si>
  <si>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</si>
  <si>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</si>
  <si>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</si>
  <si>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</si>
  <si>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</si>
  <si>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</si>
  <si>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</si>
  <si>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</si>
  <si>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</si>
  <si>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</si>
  <si>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</si>
  <si>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</si>
  <si>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</si>
  <si>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</si>
  <si>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</si>
  <si>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</si>
  <si>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</si>
  <si>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</si>
  <si>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</si>
  <si>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</si>
  <si>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</si>
  <si>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</si>
  <si>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</si>
  <si>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</si>
  <si>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</si>
  <si>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</si>
  <si>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</si>
  <si>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</si>
  <si>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</si>
  <si>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</si>
  <si>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</si>
  <si>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</si>
  <si>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</si>
  <si>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</si>
  <si>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</si>
  <si>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</si>
  <si>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</si>
  <si>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</si>
  <si>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</si>
  <si>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</si>
  <si>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</si>
  <si>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</si>
  <si>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</si>
  <si>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</si>
  <si>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</si>
  <si>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</si>
  <si>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</si>
  <si>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</si>
  <si>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</si>
  <si>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</si>
  <si>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</si>
  <si>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</si>
  <si>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</si>
  <si>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</si>
  <si>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</si>
  <si>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</si>
  <si>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</si>
  <si>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</si>
  <si>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</si>
  <si>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</si>
  <si>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</si>
  <si>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</si>
  <si>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</si>
  <si>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</si>
  <si>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</si>
  <si>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</si>
  <si>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</si>
  <si>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</si>
  <si>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</si>
  <si>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</si>
  <si>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</si>
  <si>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</si>
  <si>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</si>
  <si>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</si>
  <si>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</si>
  <si>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</si>
  <si>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</si>
  <si>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</si>
  <si>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</si>
  <si>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</si>
  <si>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</si>
  <si>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</si>
  <si>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</si>
  <si>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</si>
  <si>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</si>
  <si>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</si>
  <si>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</si>
  <si>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</si>
  <si>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</si>
  <si>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</si>
  <si>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</si>
  <si>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</si>
  <si>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</si>
  <si>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</si>
  <si>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</si>
  <si>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</si>
  <si>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</si>
  <si>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</si>
  <si>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</si>
  <si>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</si>
  <si>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</si>
  <si>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</si>
  <si>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روند روزانه بهای سکه و ارز ( یکشنبه 15 شهریور 1400)</t>
  </si>
  <si>
    <t>10 46</t>
  </si>
  <si>
    <t>11 06</t>
  </si>
  <si>
    <t>15شهریور1400</t>
  </si>
  <si>
    <t>12 24</t>
  </si>
  <si>
    <t>12 36</t>
  </si>
  <si>
    <t>13 56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</si>
</sst>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0" xfId="0" applyFont="1" applyFill="1" applyBorder="1"/>
    <xf numFmtId="0" fontId="7" fillId="8" borderId="1" xfId="0" applyFont="1" applyFill="1" applyBorder="1"/>
    <xf numFmtId="0" fontId="0" fillId="6" borderId="0" xfId="0" applyFill="1" applyAlignment="1">
      <alignment horizontal="center"/>
    </xf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33424"/>
        <c:axId val="1917641040"/>
      </c:barChart>
      <c:catAx>
        <c:axId val="191763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41040"/>
        <c:crosses val="autoZero"/>
        <c:auto val="1"/>
        <c:lblAlgn val="ctr"/>
        <c:lblOffset val="100"/>
        <c:noMultiLvlLbl val="0"/>
      </c:catAx>
      <c:valAx>
        <c:axId val="191764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31792"/>
        <c:axId val="19176383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191763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8320"/>
        <c:crosses val="autoZero"/>
        <c:auto val="1"/>
        <c:lblAlgn val="ctr"/>
        <c:lblOffset val="100"/>
        <c:noMultiLvlLbl val="0"/>
      </c:catAx>
      <c:valAx>
        <c:axId val="191763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39952"/>
        <c:axId val="19176323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19176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2336"/>
        <c:crosses val="autoZero"/>
        <c:auto val="1"/>
        <c:lblAlgn val="ctr"/>
        <c:lblOffset val="100"/>
        <c:noMultiLvlLbl val="0"/>
      </c:catAx>
      <c:valAx>
        <c:axId val="191763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44304"/>
        <c:axId val="1917637776"/>
      </c:barChart>
      <c:catAx>
        <c:axId val="191764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7776"/>
        <c:crosses val="autoZero"/>
        <c:auto val="1"/>
        <c:lblAlgn val="ctr"/>
        <c:lblOffset val="100"/>
        <c:noMultiLvlLbl val="0"/>
      </c:catAx>
      <c:valAx>
        <c:axId val="191763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4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32880"/>
        <c:axId val="1917633968"/>
      </c:barChart>
      <c:catAx>
        <c:axId val="191763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3968"/>
        <c:crosses val="autoZero"/>
        <c:auto val="1"/>
        <c:lblAlgn val="ctr"/>
        <c:lblOffset val="100"/>
        <c:noMultiLvlLbl val="0"/>
      </c:catAx>
      <c:valAx>
        <c:axId val="191763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40496"/>
        <c:axId val="1917629072"/>
      </c:barChart>
      <c:catAx>
        <c:axId val="19176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29072"/>
        <c:crosses val="autoZero"/>
        <c:auto val="1"/>
        <c:lblAlgn val="ctr"/>
        <c:lblOffset val="100"/>
        <c:noMultiLvlLbl val="0"/>
      </c:catAx>
      <c:valAx>
        <c:axId val="191762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یکشنبه 14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0"/>
          <c:order val="60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change'!$F$62:$I$62</c:f>
              <c:numCache>
                <c:formatCode>General</c:formatCode>
                <c:ptCount val="4"/>
                <c:pt idx="0">
                  <c:v>0.51756007393715342</c:v>
                </c:pt>
                <c:pt idx="1">
                  <c:v>1.1676396997497915</c:v>
                </c:pt>
                <c:pt idx="2">
                  <c:v>0.91359675272663765</c:v>
                </c:pt>
                <c:pt idx="3">
                  <c:v>-0.25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7638864"/>
        <c:axId val="19176415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91763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41584"/>
        <c:crosses val="autoZero"/>
        <c:auto val="1"/>
        <c:lblAlgn val="ctr"/>
        <c:lblOffset val="100"/>
        <c:noMultiLvlLbl val="0"/>
      </c:catAx>
      <c:valAx>
        <c:axId val="191764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29"/>
  <sheetViews>
    <sheetView topLeftCell="U118" zoomScaleNormal="100" workbookViewId="0">
      <selection activeCell="V122" sqref="V122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L120/G120</f>
        <v>2813525.9889232242</v>
      </c>
      <c r="T1" s="9" t="s">
        <v>32</v>
      </c>
      <c r="U1" s="9">
        <f>M120/K120</f>
        <v>31417.573805152384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0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K120/K62</f>
        <v>121.35004610419548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18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18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5" customFormat="1" ht="21" customHeight="1">
      <c r="A118" s="62"/>
      <c r="B118" s="63" t="s">
        <v>315</v>
      </c>
      <c r="C118" s="63">
        <v>14</v>
      </c>
      <c r="D118" s="64">
        <v>26441</v>
      </c>
      <c r="E118" s="63">
        <v>26423</v>
      </c>
      <c r="F118" s="63">
        <v>26453</v>
      </c>
      <c r="G118" s="63">
        <v>6934900</v>
      </c>
      <c r="H118" s="63">
        <v>31300</v>
      </c>
      <c r="I118" s="63">
        <v>31047</v>
      </c>
      <c r="J118" s="63">
        <v>31045</v>
      </c>
      <c r="K118" s="63">
        <v>1267000</v>
      </c>
      <c r="L118" s="63">
        <f t="shared" si="14"/>
        <v>183448909700</v>
      </c>
      <c r="M118" s="63">
        <f t="shared" si="13"/>
        <v>39334015000</v>
      </c>
      <c r="N118" s="65">
        <v>26687</v>
      </c>
      <c r="O118" s="65">
        <v>31358</v>
      </c>
      <c r="P118" s="63">
        <v>26705</v>
      </c>
      <c r="Q118" s="65">
        <v>31613</v>
      </c>
      <c r="R118" s="63"/>
      <c r="S118" s="63"/>
      <c r="T118" s="63"/>
      <c r="U118" s="63"/>
      <c r="V118" s="66">
        <v>27170</v>
      </c>
      <c r="X118" s="65">
        <v>27190</v>
      </c>
      <c r="Y118" s="65">
        <v>32356</v>
      </c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4"/>
      <c r="AT118" s="64"/>
      <c r="AU118" s="64"/>
      <c r="AV118" s="64"/>
      <c r="AW118" s="64"/>
      <c r="AX118" s="64"/>
      <c r="AY118" s="63"/>
      <c r="AZ118" s="63"/>
      <c r="BA118" s="63"/>
      <c r="BB118" s="63"/>
      <c r="BC118" s="63"/>
      <c r="BE118" s="67"/>
      <c r="BF118" s="67"/>
      <c r="BG118" s="67"/>
      <c r="BH118" s="67"/>
    </row>
    <row r="119" spans="1:62" s="58" customFormat="1" ht="21" customHeight="1">
      <c r="A119" s="55"/>
      <c r="B119" s="56" t="s">
        <v>320</v>
      </c>
      <c r="C119" s="56">
        <v>15</v>
      </c>
      <c r="D119" s="57">
        <v>26450</v>
      </c>
      <c r="E119" s="56"/>
      <c r="F119" s="56"/>
      <c r="G119" s="56"/>
      <c r="H119" s="56">
        <v>30950</v>
      </c>
      <c r="I119" s="56"/>
      <c r="J119" s="56"/>
      <c r="K119" s="56"/>
      <c r="L119" s="56"/>
      <c r="M119" s="56"/>
      <c r="P119" s="56">
        <v>26714</v>
      </c>
      <c r="Q119" s="58">
        <v>31259</v>
      </c>
      <c r="R119" s="56"/>
      <c r="S119" s="56"/>
      <c r="T119" s="56"/>
      <c r="U119" s="56"/>
      <c r="V119" s="59">
        <v>27070</v>
      </c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7"/>
      <c r="AT119" s="57"/>
      <c r="AU119" s="57"/>
      <c r="AV119" s="57"/>
      <c r="AW119" s="57"/>
      <c r="AX119" s="57"/>
      <c r="AY119" s="56"/>
      <c r="AZ119" s="56"/>
      <c r="BA119" s="56"/>
      <c r="BB119" s="56"/>
      <c r="BC119" s="56"/>
      <c r="BE119" s="60"/>
      <c r="BF119" s="60"/>
      <c r="BG119" s="60"/>
      <c r="BH119" s="60"/>
    </row>
    <row r="120" spans="1:62" ht="18">
      <c r="A120" s="6"/>
      <c r="B120" s="7"/>
      <c r="C120" s="7"/>
      <c r="D120" s="19"/>
      <c r="E120" s="7"/>
      <c r="F120" s="7"/>
      <c r="G120" s="7">
        <f>SUM(G2:G112)/111</f>
        <v>5766447.7387387389</v>
      </c>
      <c r="H120" s="7"/>
      <c r="I120" s="7"/>
      <c r="J120" s="7"/>
      <c r="K120" s="7">
        <f>SUM(K2:K107)</f>
        <v>105283300</v>
      </c>
      <c r="L120" s="7">
        <f>SUM(L2:L118)</f>
        <v>16224050576709</v>
      </c>
      <c r="M120" s="4">
        <f>SUM(M2:M118)</f>
        <v>3307745848200</v>
      </c>
      <c r="N120" s="4"/>
      <c r="O120" s="4"/>
      <c r="P120" s="4"/>
      <c r="Q120" s="4"/>
      <c r="R120" s="4"/>
      <c r="S120" s="4"/>
      <c r="T120" s="4"/>
      <c r="U120" s="4"/>
      <c r="V120" s="49">
        <v>27040</v>
      </c>
      <c r="W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Y120" s="4"/>
      <c r="AZ120" s="4"/>
      <c r="BA120" s="4"/>
      <c r="BB120" s="4"/>
      <c r="BC120" s="4"/>
      <c r="BD120" s="4"/>
      <c r="BE120" s="3"/>
      <c r="BF120" s="3"/>
      <c r="BG120" s="3"/>
      <c r="BH120" s="3"/>
      <c r="BI120" t="e">
        <f>#REF!-N120</f>
        <v>#REF!</v>
      </c>
      <c r="BJ120" t="e">
        <f t="shared" si="3"/>
        <v>#DIV/0!</v>
      </c>
    </row>
    <row r="121" spans="1:62" ht="18">
      <c r="D121" s="19"/>
      <c r="V121" s="12">
        <v>27050</v>
      </c>
      <c r="Z121" s="12"/>
      <c r="AB121" s="12"/>
      <c r="AS121" s="12"/>
      <c r="AW121" s="29"/>
    </row>
    <row r="122" spans="1:62" ht="18">
      <c r="D122" s="19"/>
      <c r="V122">
        <v>27040</v>
      </c>
      <c r="Z122" s="12"/>
      <c r="AS122" s="19"/>
      <c r="AW122" s="29"/>
      <c r="AY122">
        <f>AY51-AY50</f>
        <v>35000</v>
      </c>
    </row>
    <row r="123" spans="1:62" ht="18">
      <c r="Z123" s="12"/>
      <c r="AS123" s="19">
        <v>10290000</v>
      </c>
      <c r="AW123" s="29"/>
      <c r="BB123">
        <f>AY60-AY59</f>
        <v>70000</v>
      </c>
    </row>
    <row r="124" spans="1:62" ht="18">
      <c r="G124">
        <f>(G110-G120)/G120</f>
        <v>0.63230474400497427</v>
      </c>
      <c r="V124" s="12"/>
      <c r="Z124" s="12"/>
      <c r="AS124" s="19"/>
      <c r="AU124">
        <f>AS123-AS49</f>
        <v>195000</v>
      </c>
      <c r="AW124" s="29">
        <f>AC52-AY51</f>
        <v>305000</v>
      </c>
    </row>
    <row r="125" spans="1:62" ht="18">
      <c r="V125" s="12"/>
      <c r="X125">
        <f>X113-V114</f>
        <v>600</v>
      </c>
      <c r="Z125" s="12"/>
      <c r="AW125" s="29"/>
    </row>
    <row r="126" spans="1:62" ht="17.25" customHeight="1">
      <c r="F126">
        <f>(D112-F111)/F111</f>
        <v>3.7955768081291093E-2</v>
      </c>
      <c r="V126" s="12"/>
      <c r="Z126" s="12"/>
    </row>
    <row r="127" spans="1:62" ht="18">
      <c r="D127">
        <f>(D112-F111)/F111</f>
        <v>3.7955768081291093E-2</v>
      </c>
      <c r="V127" s="12"/>
      <c r="Z127" s="12"/>
      <c r="AW127">
        <f>AW124/AY51</f>
        <v>2.9539951573849879E-2</v>
      </c>
    </row>
    <row r="128" spans="1:62" ht="18">
      <c r="V128" s="12"/>
    </row>
    <row r="129" spans="22:22" ht="18">
      <c r="V129" s="12"/>
    </row>
  </sheetData>
  <autoFilter ref="A1:BL124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8"/>
  <sheetViews>
    <sheetView tabSelected="1" topLeftCell="A664" workbookViewId="0">
      <selection activeCell="C674" sqref="C674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61" t="s">
        <v>162</v>
      </c>
      <c r="B1" s="61"/>
      <c r="C1" s="61"/>
      <c r="D1" s="61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61" t="s">
        <v>169</v>
      </c>
      <c r="B11" s="61"/>
      <c r="C11" s="61"/>
      <c r="D11" s="61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61" t="s">
        <v>170</v>
      </c>
      <c r="B21" s="61"/>
      <c r="C21" s="61"/>
      <c r="D21" s="61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61" t="s">
        <v>172</v>
      </c>
      <c r="B31" s="61"/>
      <c r="C31" s="61"/>
      <c r="D31" s="61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61" t="s">
        <v>173</v>
      </c>
      <c r="B41" s="61"/>
      <c r="C41" s="61"/>
      <c r="D41" s="61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61" t="s">
        <v>177</v>
      </c>
      <c r="B51" s="61"/>
      <c r="C51" s="61"/>
      <c r="D51" s="61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61" t="s">
        <v>179</v>
      </c>
      <c r="B61" s="61"/>
      <c r="C61" s="61"/>
      <c r="D61" s="61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61" t="s">
        <v>182</v>
      </c>
      <c r="B71" s="61"/>
      <c r="C71" s="61"/>
      <c r="D71" s="61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61" t="s">
        <v>184</v>
      </c>
      <c r="B81" s="61"/>
      <c r="C81" s="61"/>
      <c r="D81" s="61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61" t="s">
        <v>190</v>
      </c>
      <c r="B93" s="61"/>
      <c r="C93" s="61"/>
      <c r="D93" s="61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61" t="s">
        <v>191</v>
      </c>
      <c r="B103" s="61"/>
      <c r="C103" s="61"/>
      <c r="D103" s="61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61" t="s">
        <v>194</v>
      </c>
      <c r="B113" s="61"/>
      <c r="C113" s="61"/>
      <c r="D113" s="61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61" t="s">
        <v>197</v>
      </c>
      <c r="B123" s="61"/>
      <c r="C123" s="61"/>
      <c r="D123" s="61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61" t="s">
        <v>199</v>
      </c>
      <c r="B133" s="61"/>
      <c r="C133" s="61"/>
      <c r="D133" s="61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61" t="s">
        <v>201</v>
      </c>
      <c r="B143" s="61"/>
      <c r="C143" s="61"/>
      <c r="D143" s="61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61" t="s">
        <v>205</v>
      </c>
      <c r="B153" s="61"/>
      <c r="C153" s="61"/>
      <c r="D153" s="61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61" t="s">
        <v>207</v>
      </c>
      <c r="B163" s="61"/>
      <c r="C163" s="61"/>
      <c r="D163" s="61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61" t="s">
        <v>209</v>
      </c>
      <c r="B173" s="61"/>
      <c r="C173" s="61"/>
      <c r="D173" s="61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61" t="s">
        <v>210</v>
      </c>
      <c r="B183" s="61"/>
      <c r="C183" s="61"/>
      <c r="D183" s="61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61" t="s">
        <v>212</v>
      </c>
      <c r="B193" s="61"/>
      <c r="C193" s="61"/>
      <c r="D193" s="61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61" t="s">
        <v>214</v>
      </c>
      <c r="B203" s="61"/>
      <c r="C203" s="61"/>
      <c r="D203" s="61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61" t="s">
        <v>216</v>
      </c>
      <c r="B213" s="61"/>
      <c r="C213" s="61"/>
      <c r="D213" s="61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61" t="s">
        <v>217</v>
      </c>
      <c r="B223" s="61"/>
      <c r="C223" s="61"/>
      <c r="D223" s="61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61" t="s">
        <v>221</v>
      </c>
      <c r="B233" s="61"/>
      <c r="C233" s="61"/>
      <c r="D233" s="61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61" t="s">
        <v>222</v>
      </c>
      <c r="B243" s="61"/>
      <c r="C243" s="61"/>
      <c r="D243" s="61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61" t="s">
        <v>224</v>
      </c>
      <c r="B253" s="61"/>
      <c r="C253" s="61"/>
      <c r="D253" s="61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61" t="s">
        <v>226</v>
      </c>
      <c r="B263" s="61"/>
      <c r="C263" s="61"/>
      <c r="D263" s="61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61" t="s">
        <v>229</v>
      </c>
      <c r="B273" s="61"/>
      <c r="C273" s="61"/>
      <c r="D273" s="61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61" t="s">
        <v>231</v>
      </c>
      <c r="B283" s="61"/>
      <c r="C283" s="61"/>
      <c r="D283" s="61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61" t="s">
        <v>232</v>
      </c>
      <c r="B293" s="61"/>
      <c r="C293" s="61"/>
      <c r="D293" s="61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61" t="s">
        <v>234</v>
      </c>
      <c r="B303" s="61"/>
      <c r="C303" s="61"/>
      <c r="D303" s="61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61" t="s">
        <v>240</v>
      </c>
      <c r="B313" s="61"/>
      <c r="C313" s="61"/>
      <c r="D313" s="61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61" t="s">
        <v>245</v>
      </c>
      <c r="B324" s="61"/>
      <c r="C324" s="61"/>
      <c r="D324" s="61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61" t="s">
        <v>246</v>
      </c>
      <c r="B335" s="61"/>
      <c r="C335" s="61"/>
      <c r="D335" s="61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61" t="s">
        <v>247</v>
      </c>
      <c r="B346" s="61"/>
      <c r="C346" s="61"/>
      <c r="D346" s="61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61" t="s">
        <v>249</v>
      </c>
      <c r="B357" s="61"/>
      <c r="C357" s="61"/>
      <c r="D357" s="61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61" t="s">
        <v>250</v>
      </c>
      <c r="B368" s="61"/>
      <c r="C368" s="61"/>
      <c r="D368" s="61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61" t="s">
        <v>251</v>
      </c>
      <c r="B379" s="61"/>
      <c r="C379" s="61"/>
      <c r="D379" s="61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61" t="s">
        <v>252</v>
      </c>
      <c r="B390" s="61"/>
      <c r="C390" s="61"/>
      <c r="D390" s="61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61" t="s">
        <v>253</v>
      </c>
      <c r="B401" s="61"/>
      <c r="C401" s="61"/>
      <c r="D401" s="61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61" t="s">
        <v>254</v>
      </c>
      <c r="B412" s="61"/>
      <c r="C412" s="61"/>
      <c r="D412" s="61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61" t="s">
        <v>255</v>
      </c>
      <c r="B423" s="61"/>
      <c r="C423" s="61"/>
      <c r="D423" s="61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61" t="s">
        <v>260</v>
      </c>
      <c r="B434" s="61"/>
      <c r="C434" s="61"/>
      <c r="D434" s="61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61" t="s">
        <v>261</v>
      </c>
      <c r="B445" s="61"/>
      <c r="C445" s="61"/>
      <c r="D445" s="61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61" t="s">
        <v>262</v>
      </c>
      <c r="B456" s="61"/>
      <c r="C456" s="61"/>
      <c r="D456" s="61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61" t="s">
        <v>263</v>
      </c>
      <c r="B467" s="61"/>
      <c r="C467" s="61"/>
      <c r="D467" s="61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61" t="s">
        <v>277</v>
      </c>
      <c r="B478" s="61"/>
      <c r="C478" s="61"/>
      <c r="D478" s="61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61" t="s">
        <v>278</v>
      </c>
      <c r="B489" s="61"/>
      <c r="C489" s="61"/>
      <c r="D489" s="61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61" t="s">
        <v>282</v>
      </c>
      <c r="B500" s="61"/>
      <c r="C500" s="61"/>
      <c r="D500" s="61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61" t="s">
        <v>287</v>
      </c>
      <c r="B511" s="61"/>
      <c r="C511" s="61"/>
      <c r="D511" s="61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61" t="s">
        <v>288</v>
      </c>
      <c r="B522" s="61"/>
      <c r="C522" s="61"/>
      <c r="D522" s="61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61" t="s">
        <v>290</v>
      </c>
      <c r="B533" s="61"/>
      <c r="C533" s="61"/>
      <c r="D533" s="61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61" t="s">
        <v>291</v>
      </c>
      <c r="B544" s="61"/>
      <c r="C544" s="61"/>
      <c r="D544" s="61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61" t="s">
        <v>294</v>
      </c>
      <c r="B555" s="61"/>
      <c r="C555" s="61"/>
      <c r="D555" s="61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61" t="s">
        <v>294</v>
      </c>
      <c r="B567" s="61"/>
      <c r="C567" s="61"/>
      <c r="D567" s="61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61" t="s">
        <v>301</v>
      </c>
      <c r="B579" s="61"/>
      <c r="C579" s="61"/>
      <c r="D579" s="61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61" t="s">
        <v>302</v>
      </c>
      <c r="B590" s="61"/>
      <c r="C590" s="61"/>
      <c r="D590" s="61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61" t="s">
        <v>305</v>
      </c>
      <c r="B601" s="61"/>
      <c r="C601" s="61"/>
      <c r="D601" s="61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61" t="s">
        <v>306</v>
      </c>
      <c r="B612" s="61"/>
      <c r="C612" s="61"/>
      <c r="D612" s="61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61" t="s">
        <v>309</v>
      </c>
      <c r="B623" s="61"/>
      <c r="C623" s="61"/>
      <c r="D623" s="61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61" t="s">
        <v>310</v>
      </c>
      <c r="B635" s="61"/>
      <c r="C635" s="61"/>
      <c r="D635" s="61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61" t="s">
        <v>314</v>
      </c>
      <c r="B647" s="61"/>
      <c r="C647" s="61"/>
      <c r="D647" s="61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6">
      <c r="A658" s="61" t="s">
        <v>316</v>
      </c>
      <c r="B658" s="61"/>
      <c r="C658" s="61"/>
      <c r="D658" s="61"/>
    </row>
    <row r="659" spans="1:6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6">
      <c r="A660" s="43">
        <v>0.45833333333333331</v>
      </c>
      <c r="B660" s="3">
        <v>27170</v>
      </c>
      <c r="C660" s="3">
        <v>7400</v>
      </c>
      <c r="D660">
        <v>12090000</v>
      </c>
    </row>
    <row r="661" spans="1:6">
      <c r="A661" s="44" t="s">
        <v>158</v>
      </c>
      <c r="B661" s="3">
        <v>27210</v>
      </c>
      <c r="C661" s="3">
        <v>7400</v>
      </c>
      <c r="D661">
        <v>12090000</v>
      </c>
    </row>
    <row r="662" spans="1:6">
      <c r="A662" s="45" t="s">
        <v>157</v>
      </c>
      <c r="B662" s="3">
        <v>27220</v>
      </c>
      <c r="C662" s="3">
        <v>7420</v>
      </c>
      <c r="D662">
        <v>12150000</v>
      </c>
    </row>
    <row r="663" spans="1:6">
      <c r="A663" s="43" t="s">
        <v>156</v>
      </c>
      <c r="B663" s="3">
        <v>27190</v>
      </c>
      <c r="C663" s="3">
        <v>7410</v>
      </c>
      <c r="D663">
        <v>12140000</v>
      </c>
    </row>
    <row r="664" spans="1:6">
      <c r="A664" s="43">
        <v>0.625</v>
      </c>
      <c r="B664" s="3">
        <v>27190</v>
      </c>
      <c r="C664" s="3">
        <v>7410</v>
      </c>
      <c r="D664">
        <v>12110000</v>
      </c>
    </row>
    <row r="665" spans="1:6">
      <c r="A665" s="44" t="s">
        <v>159</v>
      </c>
      <c r="B665" s="3">
        <v>27190</v>
      </c>
      <c r="C665" s="3">
        <v>7410</v>
      </c>
      <c r="D665">
        <v>12090000</v>
      </c>
    </row>
    <row r="666" spans="1:6">
      <c r="A666" s="44" t="s">
        <v>160</v>
      </c>
      <c r="B666" s="3">
        <v>27190</v>
      </c>
      <c r="C666" s="3">
        <v>7410</v>
      </c>
      <c r="D666">
        <v>12130000</v>
      </c>
    </row>
    <row r="670" spans="1:6">
      <c r="A670" s="61" t="s">
        <v>317</v>
      </c>
      <c r="B670" s="61"/>
      <c r="C670" s="61"/>
      <c r="D670" s="61"/>
    </row>
    <row r="671" spans="1:6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6">
      <c r="A672" s="43">
        <v>0.45833333333333331</v>
      </c>
      <c r="B672" s="3"/>
      <c r="C672" s="3"/>
      <c r="E672">
        <v>12080000</v>
      </c>
      <c r="F672" t="s">
        <v>318</v>
      </c>
    </row>
    <row r="673" spans="1:6">
      <c r="A673" s="44" t="s">
        <v>158</v>
      </c>
      <c r="B673" s="3"/>
      <c r="C673" s="3"/>
      <c r="E673">
        <v>12070000</v>
      </c>
      <c r="F673" t="s">
        <v>319</v>
      </c>
    </row>
    <row r="674" spans="1:6">
      <c r="A674" s="45" t="s">
        <v>157</v>
      </c>
      <c r="B674" s="3"/>
      <c r="C674" s="3"/>
      <c r="E674">
        <v>12040000</v>
      </c>
      <c r="F674" t="s">
        <v>321</v>
      </c>
    </row>
    <row r="675" spans="1:6">
      <c r="A675" s="43" t="s">
        <v>156</v>
      </c>
      <c r="B675" s="3"/>
      <c r="C675" s="3"/>
      <c r="E675">
        <v>12030000</v>
      </c>
      <c r="F675" t="s">
        <v>322</v>
      </c>
    </row>
    <row r="676" spans="1:6">
      <c r="A676" s="43">
        <v>0.625</v>
      </c>
      <c r="B676" s="3"/>
      <c r="C676" s="3"/>
      <c r="E676">
        <v>12060000</v>
      </c>
      <c r="F676" t="s">
        <v>323</v>
      </c>
    </row>
    <row r="677" spans="1:6">
      <c r="A677" s="44" t="s">
        <v>159</v>
      </c>
      <c r="B677" s="3"/>
      <c r="C677" s="3"/>
    </row>
    <row r="678" spans="1:6">
      <c r="A678" s="44" t="s">
        <v>160</v>
      </c>
      <c r="B678" s="3"/>
      <c r="C678" s="3"/>
    </row>
  </sheetData>
  <mergeCells count="64"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522:D522"/>
    <mergeCell ref="A357:D357"/>
    <mergeCell ref="A273:D273"/>
    <mergeCell ref="A263:D263"/>
    <mergeCell ref="A253:D253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379:D379"/>
    <mergeCell ref="A368:D368"/>
    <mergeCell ref="A401:D401"/>
    <mergeCell ref="A390:D390"/>
    <mergeCell ref="A434:D434"/>
    <mergeCell ref="A423:D423"/>
    <mergeCell ref="A412:D412"/>
    <mergeCell ref="A555:D555"/>
    <mergeCell ref="A544:D544"/>
    <mergeCell ref="A511:D511"/>
    <mergeCell ref="A467:D467"/>
    <mergeCell ref="A500:D500"/>
    <mergeCell ref="A489:D489"/>
    <mergeCell ref="A478:D478"/>
    <mergeCell ref="A658:D658"/>
    <mergeCell ref="A647:D647"/>
    <mergeCell ref="A635:D635"/>
    <mergeCell ref="A623:D623"/>
    <mergeCell ref="A612:D6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2"/>
  <sheetViews>
    <sheetView topLeftCell="C1" workbookViewId="0">
      <selection activeCell="M63" sqref="M63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2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2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13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13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13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13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13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13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13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13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13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13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13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13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13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13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  <c r="J62">
        <v>0.52</v>
      </c>
      <c r="K62">
        <v>1.17</v>
      </c>
      <c r="L62">
        <v>0.91</v>
      </c>
      <c r="M62">
        <v>-0.25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2021-09-06T09:34:43Z</dcterms:modified>
</cp:coreProperties>
</file>