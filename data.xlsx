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07D5A05B-89E1-49FA-AFBC-A44D3CB12351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set'!$A$1:$BL$185</definedName>
    <definedName name="_xlnm._FilterDatabase" localSheetId="1" hidden="1">weekly!$A$1:$K$47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G181" i="1"/>
  <c r="H184" i="1" s="1"/>
  <c r="M176" i="1" l="1"/>
  <c r="L176" i="1"/>
  <c r="H109" i="5" l="1"/>
  <c r="G109" i="5"/>
  <c r="F109" i="5"/>
  <c r="M175" i="1" l="1"/>
  <c r="L175" i="1"/>
  <c r="H108" i="5" l="1"/>
  <c r="G108" i="5"/>
  <c r="F108" i="5"/>
  <c r="F46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96" i="1"/>
  <c r="H102" i="5" l="1"/>
  <c r="G102" i="5"/>
  <c r="F102" i="5"/>
  <c r="I185" i="1" l="1"/>
  <c r="H101" i="5" l="1"/>
  <c r="G101" i="5"/>
  <c r="F101" i="5"/>
  <c r="G186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7" i="2"/>
  <c r="G46" i="2"/>
  <c r="G45" i="2"/>
  <c r="G44" i="2"/>
  <c r="G43" i="2"/>
  <c r="G42" i="2"/>
  <c r="G41" i="2"/>
  <c r="G40" i="2"/>
  <c r="G39" i="2"/>
  <c r="D35" i="2"/>
  <c r="C35" i="2"/>
  <c r="B35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9" i="2" s="1"/>
  <c r="G16" i="2"/>
  <c r="E16" i="2"/>
  <c r="C41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99" i="1"/>
  <c r="AW185" i="1"/>
  <c r="AW188" i="1" s="1"/>
  <c r="AU185" i="1"/>
  <c r="T185" i="1"/>
  <c r="BB184" i="1"/>
  <c r="AY183" i="1"/>
  <c r="BJ181" i="1"/>
  <c r="BI181" i="1"/>
  <c r="K181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81" i="1" l="1"/>
  <c r="S1" i="1" s="1"/>
  <c r="M181" i="1"/>
  <c r="U1" i="1" s="1"/>
</calcChain>
</file>

<file path=xl/sharedStrings.xml><?xml version="1.0" encoding="utf-8"?>
<sst xmlns="http://schemas.openxmlformats.org/spreadsheetml/2006/main" count="1567" uniqueCount="475">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</sst>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58398608"/>
        <c:axId val="1758395888"/>
      </c:lineChart>
      <c:catAx>
        <c:axId val="175839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395888"/>
        <c:crosses val="autoZero"/>
        <c:auto val="1"/>
        <c:lblAlgn val="ctr"/>
        <c:lblOffset val="100"/>
        <c:noMultiLvlLbl val="0"/>
      </c:catAx>
      <c:valAx>
        <c:axId val="17583958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3986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7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weekly!$B$27:$B$34</c15:sqref>
                  </c15:fullRef>
                </c:ext>
              </c:extLst>
              <c:f>weekly!$B$28:$B$34</c:f>
              <c:numCache>
                <c:formatCode>General</c:formatCode>
                <c:ptCount val="7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weekly!$H$27:$H$34</c15:sqref>
                  </c15:fullRef>
                </c:ext>
              </c:extLst>
              <c:f>weekly!$H$28:$H$34</c:f>
              <c:numCache>
                <c:formatCode>General</c:formatCode>
                <c:ptCount val="7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A6B-4C9B-BEA2-8EBE6A749D67}"/>
                </c:ext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A6B-4C9B-BEA2-8EBE6A749D67}"/>
                </c:ext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335-4297-AE12-FD7A52582D17}"/>
                </c:ext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weekly!$J$27:$J$34</c15:sqref>
                  </c15:fullRef>
                </c:ext>
              </c:extLst>
              <c:f>weekly!$J$28:$J$34</c:f>
              <c:numCache>
                <c:formatCode>General</c:formatCode>
                <c:ptCount val="7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58401328"/>
        <c:axId val="1758390448"/>
      </c:lineChart>
      <c:catAx>
        <c:axId val="1758401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390448"/>
        <c:crosses val="autoZero"/>
        <c:auto val="1"/>
        <c:lblAlgn val="ctr"/>
        <c:lblOffset val="100"/>
        <c:noMultiLvlLbl val="0"/>
      </c:catAx>
      <c:valAx>
        <c:axId val="1758390448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4013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چهارم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2.6689312186129344E-3"/>
                  <c:y val="-2.84456048433681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weekly!$A$2:$A$34</c:f>
              <c:strCache>
                <c:ptCount val="33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</c:strCache>
            </c:strRef>
          </c:cat>
          <c:val>
            <c:numRef>
              <c:f>weekly!$D$2:$D$34</c:f>
              <c:numCache>
                <c:formatCode>General</c:formatCode>
                <c:ptCount val="33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58402960"/>
        <c:axId val="1758397520"/>
      </c:lineChart>
      <c:catAx>
        <c:axId val="1758402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397520"/>
        <c:crosses val="autoZero"/>
        <c:auto val="1"/>
        <c:lblAlgn val="ctr"/>
        <c:lblOffset val="100"/>
        <c:noMultiLvlLbl val="0"/>
      </c:catAx>
      <c:valAx>
        <c:axId val="17583975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4029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58396976"/>
        <c:axId val="1758400240"/>
      </c:lineChart>
      <c:catAx>
        <c:axId val="175839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400240"/>
        <c:crosses val="autoZero"/>
        <c:auto val="1"/>
        <c:lblAlgn val="ctr"/>
        <c:lblOffset val="100"/>
        <c:noMultiLvlLbl val="0"/>
      </c:catAx>
      <c:valAx>
        <c:axId val="17584002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39697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چهارم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weekly!$A$2:$A$34</c:f>
              <c:strCache>
                <c:ptCount val="33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</c:strCache>
            </c:strRef>
          </c:cat>
          <c:val>
            <c:numRef>
              <c:f>weekly!$F$2:$F$34</c:f>
              <c:numCache>
                <c:formatCode>General</c:formatCode>
                <c:ptCount val="33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58404048"/>
        <c:axId val="1758404592"/>
      </c:lineChart>
      <c:catAx>
        <c:axId val="175840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404592"/>
        <c:crosses val="autoZero"/>
        <c:auto val="1"/>
        <c:lblAlgn val="ctr"/>
        <c:lblOffset val="100"/>
        <c:noMultiLvlLbl val="0"/>
      </c:catAx>
      <c:valAx>
        <c:axId val="17584045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4040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7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9FEC-4393-BAFE-58D58D5E753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9FEC-4393-BAFE-58D58D5E753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weekly!$C$27:$C$34</c15:sqref>
                  </c15:fullRef>
                </c:ext>
              </c:extLst>
              <c:f>weekly!$C$28:$C$34</c:f>
              <c:numCache>
                <c:formatCode>General</c:formatCode>
                <c:ptCount val="7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9FEC-4393-BAFE-58D58D5E753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9FEC-4393-BAFE-58D58D5E753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weekly!$K$27:$K$34</c15:sqref>
                  </c15:fullRef>
                </c:ext>
              </c:extLst>
              <c:f>weekly!$K$28:$K$34</c:f>
              <c:numCache>
                <c:formatCode>General</c:formatCode>
                <c:ptCount val="7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4-9FEC-4393-BAFE-58D58D5E753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5-9FEC-4393-BAFE-58D58D5E7530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weekly!$I$27:$I$34</c15:sqref>
                  </c15:fullRef>
                </c:ext>
              </c:extLst>
              <c:f>weekly!$I$28:$I$34</c:f>
              <c:numCache>
                <c:formatCode>General</c:formatCode>
                <c:ptCount val="7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81256656"/>
        <c:axId val="1869659088"/>
      </c:lineChart>
      <c:catAx>
        <c:axId val="158125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69659088"/>
        <c:crosses val="autoZero"/>
        <c:auto val="1"/>
        <c:lblAlgn val="ctr"/>
        <c:lblOffset val="100"/>
        <c:noMultiLvlLbl val="0"/>
      </c:catAx>
      <c:valAx>
        <c:axId val="1869659088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812566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664528"/>
        <c:axId val="1869656912"/>
      </c:barChart>
      <c:catAx>
        <c:axId val="186966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69656912"/>
        <c:crosses val="autoZero"/>
        <c:auto val="1"/>
        <c:lblAlgn val="ctr"/>
        <c:lblOffset val="100"/>
        <c:noMultiLvlLbl val="0"/>
      </c:catAx>
      <c:valAx>
        <c:axId val="18696569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6966452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(چهارشنبه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26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30"/>
          <c:order val="3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change'!$F$112:$I$112</c:f>
              <c:numCache>
                <c:formatCode>General</c:formatCode>
                <c:ptCount val="4"/>
                <c:pt idx="0">
                  <c:v>3.5486160397444996E-2</c:v>
                </c:pt>
                <c:pt idx="1">
                  <c:v>-0.11933174224343675</c:v>
                </c:pt>
                <c:pt idx="2">
                  <c:v>-0.11183895190925068</c:v>
                </c:pt>
                <c:pt idx="3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B-4ABE-97BD-EE83514FEAE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69666704"/>
        <c:axId val="186966235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</c:ext>
        </c:extLst>
      </c:barChart>
      <c:catAx>
        <c:axId val="186966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69662352"/>
        <c:crosses val="autoZero"/>
        <c:auto val="1"/>
        <c:lblAlgn val="ctr"/>
        <c:lblOffset val="100"/>
        <c:noMultiLvlLbl val="0"/>
      </c:catAx>
      <c:valAx>
        <c:axId val="18696623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6966670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589</xdr:row>
      <xdr:rowOff>102960</xdr:rowOff>
    </xdr:from>
    <xdr:to>
      <xdr:col>11</xdr:col>
      <xdr:colOff>279360</xdr:colOff>
      <xdr:row>619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169</xdr:row>
      <xdr:rowOff>27711</xdr:rowOff>
    </xdr:from>
    <xdr:to>
      <xdr:col>41</xdr:col>
      <xdr:colOff>533400</xdr:colOff>
      <xdr:row>274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305</xdr:row>
      <xdr:rowOff>0</xdr:rowOff>
    </xdr:from>
    <xdr:to>
      <xdr:col>82</xdr:col>
      <xdr:colOff>0</xdr:colOff>
      <xdr:row>381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624</xdr:row>
      <xdr:rowOff>0</xdr:rowOff>
    </xdr:from>
    <xdr:to>
      <xdr:col>13</xdr:col>
      <xdr:colOff>354240</xdr:colOff>
      <xdr:row>654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404</xdr:row>
      <xdr:rowOff>0</xdr:rowOff>
    </xdr:from>
    <xdr:to>
      <xdr:col>83</xdr:col>
      <xdr:colOff>533400</xdr:colOff>
      <xdr:row>503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52</xdr:row>
      <xdr:rowOff>76321</xdr:rowOff>
    </xdr:from>
    <xdr:to>
      <xdr:col>44</xdr:col>
      <xdr:colOff>533400</xdr:colOff>
      <xdr:row>151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99"/>
  <sheetViews>
    <sheetView topLeftCell="W1" zoomScaleNormal="100" workbookViewId="0">
      <selection activeCell="X180" sqref="X180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L181/G181</f>
        <v>4094964.9362283847</v>
      </c>
      <c r="T1" s="3" t="s">
        <v>15</v>
      </c>
      <c r="U1" s="3">
        <f>M181/K181</f>
        <v>39890.334539352654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K181/K62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77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hidden="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77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hidden="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hidden="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hidden="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hidden="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9" customFormat="1" ht="2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3"/>
        <v>321145765200</v>
      </c>
      <c r="M176" s="93">
        <f t="shared" si="22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</row>
    <row r="177" spans="1:62" s="119" customFormat="1" ht="2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3"/>
        <v>311738532300</v>
      </c>
      <c r="M177" s="93">
        <f t="shared" si="22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</row>
    <row r="178" spans="1:62" s="119" customFormat="1" ht="2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/>
      <c r="M178" s="93"/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</row>
    <row r="179" spans="1:62" s="119" customFormat="1" ht="21" customHeight="1">
      <c r="A179" s="115"/>
      <c r="B179" s="116" t="s">
        <v>470</v>
      </c>
      <c r="C179" s="117">
        <v>26</v>
      </c>
      <c r="D179" s="118">
        <v>26633</v>
      </c>
      <c r="E179" s="117">
        <v>26635</v>
      </c>
      <c r="F179" s="117">
        <v>26626</v>
      </c>
      <c r="G179" s="117">
        <v>9748900</v>
      </c>
      <c r="H179" s="117">
        <v>30627</v>
      </c>
      <c r="I179" s="117">
        <v>30205</v>
      </c>
      <c r="J179" s="119">
        <v>30213</v>
      </c>
      <c r="K179" s="117">
        <v>1327100</v>
      </c>
      <c r="L179" s="93"/>
      <c r="M179" s="93"/>
      <c r="N179" s="119">
        <v>26901</v>
      </c>
      <c r="O179" s="119">
        <v>30507</v>
      </c>
      <c r="P179" s="119">
        <v>26900</v>
      </c>
      <c r="Q179" s="119">
        <v>30933</v>
      </c>
      <c r="R179" s="117"/>
      <c r="S179" s="117"/>
      <c r="T179" s="117"/>
      <c r="U179" s="117"/>
      <c r="V179" s="119">
        <v>28340</v>
      </c>
      <c r="X179" s="119">
        <v>28190</v>
      </c>
      <c r="Y179" s="119">
        <v>32007</v>
      </c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8"/>
      <c r="AT179" s="118"/>
      <c r="AU179" s="118"/>
      <c r="AV179" s="118"/>
      <c r="AW179" s="118"/>
      <c r="AX179" s="118"/>
      <c r="AY179" s="117"/>
      <c r="AZ179" s="117"/>
      <c r="BA179" s="117"/>
      <c r="BB179" s="117"/>
      <c r="BC179" s="117"/>
      <c r="BE179" s="120"/>
      <c r="BF179" s="120"/>
      <c r="BG179" s="120"/>
      <c r="BH179" s="120"/>
    </row>
    <row r="180" spans="1:62" s="113" customFormat="1" ht="21" customHeight="1">
      <c r="A180" s="109"/>
      <c r="B180" s="110" t="s">
        <v>472</v>
      </c>
      <c r="C180" s="111">
        <v>27</v>
      </c>
      <c r="D180" s="112">
        <v>26632</v>
      </c>
      <c r="E180" s="111">
        <v>26632</v>
      </c>
      <c r="F180" s="111">
        <v>26620</v>
      </c>
      <c r="G180" s="111">
        <v>8735600</v>
      </c>
      <c r="H180" s="111">
        <v>30205</v>
      </c>
      <c r="I180" s="111">
        <v>30590</v>
      </c>
      <c r="J180" s="113">
        <v>30480</v>
      </c>
      <c r="K180" s="111">
        <v>493800</v>
      </c>
      <c r="L180" s="135"/>
      <c r="M180" s="135"/>
      <c r="N180" s="113">
        <v>26899</v>
      </c>
      <c r="O180" s="113">
        <v>30896</v>
      </c>
      <c r="P180" s="113">
        <v>26898</v>
      </c>
      <c r="Q180" s="113">
        <v>30507</v>
      </c>
      <c r="R180" s="111"/>
      <c r="S180" s="111"/>
      <c r="T180" s="111"/>
      <c r="U180" s="111"/>
      <c r="V180" s="113">
        <v>28210</v>
      </c>
      <c r="X180" s="113">
        <v>28150</v>
      </c>
      <c r="Y180" s="113">
        <v>31964</v>
      </c>
      <c r="Z180" s="111"/>
      <c r="AA180" s="111"/>
      <c r="AB180" s="111"/>
      <c r="AC180" s="111"/>
      <c r="AD180" s="111"/>
      <c r="AE180" s="111"/>
      <c r="AF180" s="111"/>
      <c r="AG180" s="111"/>
      <c r="AH180" s="111"/>
      <c r="AI180" s="111"/>
      <c r="AJ180" s="111"/>
      <c r="AK180" s="111"/>
      <c r="AL180" s="111"/>
      <c r="AM180" s="111"/>
      <c r="AN180" s="111"/>
      <c r="AO180" s="111"/>
      <c r="AP180" s="111"/>
      <c r="AQ180" s="111"/>
      <c r="AR180" s="111"/>
      <c r="AS180" s="112"/>
      <c r="AT180" s="112"/>
      <c r="AU180" s="112"/>
      <c r="AV180" s="112"/>
      <c r="AW180" s="112"/>
      <c r="AX180" s="112"/>
      <c r="AY180" s="111"/>
      <c r="AZ180" s="111"/>
      <c r="BA180" s="111"/>
      <c r="BB180" s="111"/>
      <c r="BC180" s="111"/>
      <c r="BE180" s="114"/>
      <c r="BF180" s="114"/>
      <c r="BG180" s="114"/>
      <c r="BH180" s="114"/>
    </row>
    <row r="181" spans="1:62" ht="18">
      <c r="A181" s="7"/>
      <c r="B181" s="8"/>
      <c r="C181" s="8"/>
      <c r="D181" s="26"/>
      <c r="E181" s="8"/>
      <c r="F181" s="8"/>
      <c r="G181" s="8">
        <f>SUM(G2:G176)/175</f>
        <v>6665837.1371428575</v>
      </c>
      <c r="H181" s="8"/>
      <c r="I181" s="8"/>
      <c r="J181" s="8"/>
      <c r="K181" s="8">
        <f>SUM(K2:K126)</f>
        <v>125564600</v>
      </c>
      <c r="L181" s="8">
        <f>SUM(L2:L169)</f>
        <v>27296369347209</v>
      </c>
      <c r="M181" s="9">
        <f>SUM(M2:M169)</f>
        <v>5008813900300</v>
      </c>
      <c r="N181" s="9"/>
      <c r="O181" s="9"/>
      <c r="P181" s="9"/>
      <c r="Q181" s="9"/>
      <c r="R181" s="9"/>
      <c r="S181" s="9"/>
      <c r="T181" s="9"/>
      <c r="U181" s="9"/>
      <c r="V181" s="132">
        <v>28200</v>
      </c>
      <c r="W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Y181" s="9"/>
      <c r="AZ181" s="9"/>
      <c r="BA181" s="9"/>
      <c r="BB181" s="9"/>
      <c r="BC181" s="9"/>
      <c r="BD181" s="9"/>
      <c r="BE181" s="10"/>
      <c r="BF181" s="10"/>
      <c r="BG181" s="10"/>
      <c r="BH181" s="10"/>
      <c r="BI181" t="e">
        <f>#REF!-N181</f>
        <v>#REF!</v>
      </c>
      <c r="BJ181" t="e">
        <f>(Y181-O181)/O181</f>
        <v>#DIV/0!</v>
      </c>
    </row>
    <row r="182" spans="1:62" ht="18">
      <c r="D182" s="26"/>
      <c r="V182" s="134">
        <v>28150</v>
      </c>
      <c r="Z182" s="25"/>
      <c r="AB182" s="25"/>
      <c r="AS182" s="25"/>
      <c r="AW182" s="30"/>
    </row>
    <row r="183" spans="1:62" ht="18">
      <c r="D183" s="26"/>
      <c r="V183" s="134">
        <v>28170</v>
      </c>
      <c r="Z183" s="25"/>
      <c r="AS183" s="26"/>
      <c r="AW183" s="30"/>
      <c r="AY183">
        <f>AY51-AY50</f>
        <v>35000</v>
      </c>
    </row>
    <row r="184" spans="1:62" ht="18">
      <c r="H184">
        <f>(G176-G181)/G181</f>
        <v>0.76223927442592287</v>
      </c>
      <c r="V184" s="134"/>
      <c r="Z184" s="25"/>
      <c r="AS184" s="26">
        <v>10290000</v>
      </c>
      <c r="AW184" s="30"/>
      <c r="BB184">
        <f>AY60-AY59</f>
        <v>70000</v>
      </c>
    </row>
    <row r="185" spans="1:62" ht="18">
      <c r="I185">
        <f>(G166-G181)/G181</f>
        <v>0.57240565353695194</v>
      </c>
      <c r="T185">
        <f>V137-X140</f>
        <v>-620</v>
      </c>
      <c r="V185" s="25"/>
      <c r="Z185" s="25"/>
      <c r="AS185" s="26"/>
      <c r="AU185">
        <f>AS184-AS49</f>
        <v>195000</v>
      </c>
      <c r="AW185" s="30">
        <f>AC52-AY51</f>
        <v>305000</v>
      </c>
    </row>
    <row r="186" spans="1:62" ht="18">
      <c r="D186" s="99">
        <v>9387100</v>
      </c>
      <c r="G186">
        <f>(G165-G181)/G181</f>
        <v>0.68428957518938949</v>
      </c>
      <c r="V186" s="25"/>
      <c r="Z186" s="25"/>
      <c r="AW186" s="30"/>
    </row>
    <row r="187" spans="1:62" ht="17.25" customHeight="1">
      <c r="D187" s="99">
        <v>7622400</v>
      </c>
      <c r="V187" s="25"/>
      <c r="Z187" s="25"/>
    </row>
    <row r="188" spans="1:62" ht="18">
      <c r="D188" s="99">
        <v>9805000</v>
      </c>
      <c r="V188" s="25"/>
      <c r="Z188" s="25"/>
      <c r="AW188">
        <f>AW185/AY51</f>
        <v>2.9539951573849879E-2</v>
      </c>
    </row>
    <row r="189" spans="1:62" ht="18">
      <c r="D189" s="99">
        <v>12098700</v>
      </c>
      <c r="V189" s="25"/>
    </row>
    <row r="190" spans="1:62" ht="18">
      <c r="D190" s="99">
        <v>8231300</v>
      </c>
      <c r="V190" s="25"/>
    </row>
    <row r="191" spans="1:62" ht="18">
      <c r="D191" s="117">
        <v>8525400</v>
      </c>
    </row>
    <row r="192" spans="1:62" ht="18">
      <c r="D192" s="117">
        <v>8525400</v>
      </c>
    </row>
    <row r="193" spans="4:7" ht="18">
      <c r="D193" s="123">
        <v>11227200</v>
      </c>
    </row>
    <row r="194" spans="4:7" ht="18">
      <c r="D194" s="117">
        <v>10481400</v>
      </c>
      <c r="G194" s="9">
        <v>8861800</v>
      </c>
    </row>
    <row r="195" spans="4:7" ht="18">
      <c r="D195" s="111">
        <v>10300800</v>
      </c>
      <c r="G195" s="9">
        <v>8230700</v>
      </c>
    </row>
    <row r="196" spans="4:7" ht="18">
      <c r="D196">
        <f>SUM(D186:D195)/10</f>
        <v>9620470</v>
      </c>
      <c r="G196" s="9">
        <v>8995300</v>
      </c>
    </row>
    <row r="197" spans="4:7" ht="18">
      <c r="G197" s="9">
        <v>10062100</v>
      </c>
    </row>
    <row r="198" spans="4:7" ht="18">
      <c r="G198" s="9">
        <v>8462400</v>
      </c>
    </row>
    <row r="199" spans="4:7">
      <c r="G199">
        <f>SUM(G194:G198)</f>
        <v>44612300</v>
      </c>
    </row>
  </sheetData>
  <autoFilter ref="A1:BL185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tabSelected="1" topLeftCell="X388" zoomScale="55" zoomScaleNormal="55" workbookViewId="0">
      <selection activeCell="AX400" sqref="AX400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2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5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5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5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5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5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5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5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5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>D32/6</f>
        <v>9300583.333333334</v>
      </c>
      <c r="F32" s="73">
        <v>9417800</v>
      </c>
      <c r="G32" s="73">
        <f>F32/6</f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5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>D33/6</f>
        <v>9444533.333333334</v>
      </c>
      <c r="F33" s="73">
        <v>11673200</v>
      </c>
      <c r="G33" s="73">
        <f>F33/6</f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5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>D34/6</f>
        <v>11273266.666666666</v>
      </c>
      <c r="F34" s="73">
        <v>6037900</v>
      </c>
      <c r="G34" s="73">
        <f>F34/6</f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>
      <c r="B35">
        <f>(B2-B8)/B2</f>
        <v>0.15346494762288476</v>
      </c>
      <c r="C35">
        <f>(C2-C8)/C2</f>
        <v>0.1154959674639829</v>
      </c>
      <c r="D35">
        <f>SUM(D2:D16)/15</f>
        <v>29639479.933333334</v>
      </c>
    </row>
    <row r="39" spans="1:11">
      <c r="D39">
        <v>5375132</v>
      </c>
      <c r="E39">
        <f>(E17-D39)/D39</f>
        <v>4.5958809321644006E-2</v>
      </c>
      <c r="G39">
        <f t="shared" ref="G39:G47" si="0">B3-B2</f>
        <v>-554</v>
      </c>
    </row>
    <row r="40" spans="1:11">
      <c r="G40">
        <f t="shared" si="0"/>
        <v>-302</v>
      </c>
    </row>
    <row r="41" spans="1:11">
      <c r="C41">
        <f>(D39-E16)/E16</f>
        <v>0.17110375179746395</v>
      </c>
      <c r="G41">
        <f t="shared" si="0"/>
        <v>-511</v>
      </c>
    </row>
    <row r="42" spans="1:11">
      <c r="G42">
        <f t="shared" si="0"/>
        <v>-362</v>
      </c>
    </row>
    <row r="43" spans="1:11">
      <c r="G43">
        <f t="shared" si="0"/>
        <v>-1699</v>
      </c>
    </row>
    <row r="44" spans="1:11">
      <c r="G44">
        <f t="shared" si="0"/>
        <v>-381</v>
      </c>
    </row>
    <row r="45" spans="1:11">
      <c r="G45">
        <f t="shared" si="0"/>
        <v>1075</v>
      </c>
    </row>
    <row r="46" spans="1:11">
      <c r="F46">
        <f>(F33-F32)/F32</f>
        <v>0.23948268173034043</v>
      </c>
      <c r="G46">
        <f t="shared" si="0"/>
        <v>151</v>
      </c>
    </row>
    <row r="47" spans="1:11">
      <c r="G47">
        <f t="shared" si="0"/>
        <v>1043</v>
      </c>
    </row>
  </sheetData>
  <autoFilter ref="A1:K47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88"/>
  <sheetViews>
    <sheetView topLeftCell="A1360" zoomScale="85" zoomScaleNormal="85" workbookViewId="0">
      <selection activeCell="A1389" sqref="A1389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136" t="s">
        <v>246</v>
      </c>
      <c r="B1" s="136"/>
      <c r="C1" s="136"/>
      <c r="D1" s="136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6" t="s">
        <v>256</v>
      </c>
      <c r="B11" s="136"/>
      <c r="C11" s="136"/>
      <c r="D11" s="136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6" t="s">
        <v>258</v>
      </c>
      <c r="B21" s="136"/>
      <c r="C21" s="136"/>
      <c r="D21" s="136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6" t="s">
        <v>259</v>
      </c>
      <c r="B31" s="136"/>
      <c r="C31" s="136"/>
      <c r="D31" s="136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6" t="s">
        <v>260</v>
      </c>
      <c r="B41" s="136"/>
      <c r="C41" s="136"/>
      <c r="D41" s="136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6" t="s">
        <v>262</v>
      </c>
      <c r="B51" s="136"/>
      <c r="C51" s="136"/>
      <c r="D51" s="136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6" t="s">
        <v>263</v>
      </c>
      <c r="B61" s="136"/>
      <c r="C61" s="136"/>
      <c r="D61" s="136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6" t="s">
        <v>264</v>
      </c>
      <c r="B71" s="136"/>
      <c r="C71" s="136"/>
      <c r="D71" s="136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6" t="s">
        <v>265</v>
      </c>
      <c r="B81" s="136"/>
      <c r="C81" s="136"/>
      <c r="D81" s="136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6" t="s">
        <v>269</v>
      </c>
      <c r="B93" s="136"/>
      <c r="C93" s="136"/>
      <c r="D93" s="136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6" t="s">
        <v>270</v>
      </c>
      <c r="B103" s="136"/>
      <c r="C103" s="136"/>
      <c r="D103" s="136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6" t="s">
        <v>272</v>
      </c>
      <c r="B113" s="136"/>
      <c r="C113" s="136"/>
      <c r="D113" s="136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6" t="s">
        <v>273</v>
      </c>
      <c r="B123" s="136"/>
      <c r="C123" s="136"/>
      <c r="D123" s="136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6" t="s">
        <v>274</v>
      </c>
      <c r="B133" s="136"/>
      <c r="C133" s="136"/>
      <c r="D133" s="136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6" t="s">
        <v>275</v>
      </c>
      <c r="B143" s="136"/>
      <c r="C143" s="136"/>
      <c r="D143" s="136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6" t="s">
        <v>277</v>
      </c>
      <c r="B153" s="136"/>
      <c r="C153" s="136"/>
      <c r="D153" s="136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6" t="s">
        <v>278</v>
      </c>
      <c r="B163" s="136"/>
      <c r="C163" s="136"/>
      <c r="D163" s="136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6" t="s">
        <v>279</v>
      </c>
      <c r="B173" s="136"/>
      <c r="C173" s="136"/>
      <c r="D173" s="136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6" t="s">
        <v>280</v>
      </c>
      <c r="B183" s="136"/>
      <c r="C183" s="136"/>
      <c r="D183" s="136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6" t="s">
        <v>281</v>
      </c>
      <c r="B193" s="136"/>
      <c r="C193" s="136"/>
      <c r="D193" s="136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6" t="s">
        <v>282</v>
      </c>
      <c r="B203" s="136"/>
      <c r="C203" s="136"/>
      <c r="D203" s="136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6" t="s">
        <v>283</v>
      </c>
      <c r="B213" s="136"/>
      <c r="C213" s="136"/>
      <c r="D213" s="136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6" t="s">
        <v>284</v>
      </c>
      <c r="B223" s="136"/>
      <c r="C223" s="136"/>
      <c r="D223" s="136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6" t="s">
        <v>285</v>
      </c>
      <c r="B233" s="136"/>
      <c r="C233" s="136"/>
      <c r="D233" s="136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6" t="s">
        <v>286</v>
      </c>
      <c r="B243" s="136"/>
      <c r="C243" s="136"/>
      <c r="D243" s="136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6" t="s">
        <v>287</v>
      </c>
      <c r="B253" s="136"/>
      <c r="C253" s="136"/>
      <c r="D253" s="136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6" t="s">
        <v>288</v>
      </c>
      <c r="B263" s="136"/>
      <c r="C263" s="136"/>
      <c r="D263" s="136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6" t="s">
        <v>289</v>
      </c>
      <c r="B273" s="136"/>
      <c r="C273" s="136"/>
      <c r="D273" s="136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6" t="s">
        <v>290</v>
      </c>
      <c r="B283" s="136"/>
      <c r="C283" s="136"/>
      <c r="D283" s="136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6" t="s">
        <v>291</v>
      </c>
      <c r="B293" s="136"/>
      <c r="C293" s="136"/>
      <c r="D293" s="136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6" t="s">
        <v>292</v>
      </c>
      <c r="B303" s="136"/>
      <c r="C303" s="136"/>
      <c r="D303" s="136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6" t="s">
        <v>296</v>
      </c>
      <c r="B313" s="136"/>
      <c r="C313" s="136"/>
      <c r="D313" s="136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6" t="s">
        <v>300</v>
      </c>
      <c r="B324" s="136"/>
      <c r="C324" s="136"/>
      <c r="D324" s="136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6" t="s">
        <v>303</v>
      </c>
      <c r="B335" s="136"/>
      <c r="C335" s="136"/>
      <c r="D335" s="136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6" t="s">
        <v>304</v>
      </c>
      <c r="B346" s="136"/>
      <c r="C346" s="136"/>
      <c r="D346" s="136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6" t="s">
        <v>305</v>
      </c>
      <c r="B357" s="136"/>
      <c r="C357" s="136"/>
      <c r="D357" s="136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6" t="s">
        <v>306</v>
      </c>
      <c r="B368" s="136"/>
      <c r="C368" s="136"/>
      <c r="D368" s="136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6" t="s">
        <v>307</v>
      </c>
      <c r="B379" s="136"/>
      <c r="C379" s="136"/>
      <c r="D379" s="136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6" t="s">
        <v>308</v>
      </c>
      <c r="B390" s="136"/>
      <c r="C390" s="136"/>
      <c r="D390" s="136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6" t="s">
        <v>309</v>
      </c>
      <c r="B401" s="136"/>
      <c r="C401" s="136"/>
      <c r="D401" s="136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6" t="s">
        <v>310</v>
      </c>
      <c r="B412" s="136"/>
      <c r="C412" s="136"/>
      <c r="D412" s="136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6" t="s">
        <v>311</v>
      </c>
      <c r="B423" s="136"/>
      <c r="C423" s="136"/>
      <c r="D423" s="136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6" t="s">
        <v>315</v>
      </c>
      <c r="B434" s="136"/>
      <c r="C434" s="136"/>
      <c r="D434" s="136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6" t="s">
        <v>316</v>
      </c>
      <c r="B445" s="136"/>
      <c r="C445" s="136"/>
      <c r="D445" s="136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6" t="s">
        <v>317</v>
      </c>
      <c r="B456" s="136"/>
      <c r="C456" s="136"/>
      <c r="D456" s="136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6" t="s">
        <v>318</v>
      </c>
      <c r="B467" s="136"/>
      <c r="C467" s="136"/>
      <c r="D467" s="136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6" t="s">
        <v>319</v>
      </c>
      <c r="B478" s="136"/>
      <c r="C478" s="136"/>
      <c r="D478" s="136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6" t="s">
        <v>320</v>
      </c>
      <c r="B489" s="136"/>
      <c r="C489" s="136"/>
      <c r="D489" s="136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6" t="s">
        <v>323</v>
      </c>
      <c r="B500" s="136"/>
      <c r="C500" s="136"/>
      <c r="D500" s="136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6" t="s">
        <v>324</v>
      </c>
      <c r="B511" s="136"/>
      <c r="C511" s="136"/>
      <c r="D511" s="136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6" t="s">
        <v>325</v>
      </c>
      <c r="B522" s="136"/>
      <c r="C522" s="136"/>
      <c r="D522" s="136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6" t="s">
        <v>326</v>
      </c>
      <c r="B533" s="136"/>
      <c r="C533" s="136"/>
      <c r="D533" s="136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6" t="s">
        <v>327</v>
      </c>
      <c r="B544" s="136"/>
      <c r="C544" s="136"/>
      <c r="D544" s="136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6" t="s">
        <v>328</v>
      </c>
      <c r="B555" s="136"/>
      <c r="C555" s="136"/>
      <c r="D555" s="136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6" t="s">
        <v>328</v>
      </c>
      <c r="B567" s="136"/>
      <c r="C567" s="136"/>
      <c r="D567" s="136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6" t="s">
        <v>333</v>
      </c>
      <c r="B579" s="136"/>
      <c r="C579" s="136"/>
      <c r="D579" s="136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6" t="s">
        <v>334</v>
      </c>
      <c r="B590" s="136"/>
      <c r="C590" s="136"/>
      <c r="D590" s="136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6" t="s">
        <v>335</v>
      </c>
      <c r="B601" s="136"/>
      <c r="C601" s="136"/>
      <c r="D601" s="136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6" t="s">
        <v>336</v>
      </c>
      <c r="B612" s="136"/>
      <c r="C612" s="136"/>
      <c r="D612" s="136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6" t="s">
        <v>337</v>
      </c>
      <c r="B623" s="136"/>
      <c r="C623" s="136"/>
      <c r="D623" s="136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6" t="s">
        <v>338</v>
      </c>
      <c r="B635" s="136"/>
      <c r="C635" s="136"/>
      <c r="D635" s="136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6" t="s">
        <v>340</v>
      </c>
      <c r="B647" s="136"/>
      <c r="C647" s="136"/>
      <c r="D647" s="136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6" t="s">
        <v>341</v>
      </c>
      <c r="B658" s="136"/>
      <c r="C658" s="136"/>
      <c r="D658" s="136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6" t="s">
        <v>342</v>
      </c>
      <c r="B670" s="136"/>
      <c r="C670" s="136"/>
      <c r="D670" s="136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6" t="s">
        <v>343</v>
      </c>
      <c r="B681" s="136"/>
      <c r="C681" s="136"/>
      <c r="D681" s="136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6" t="s">
        <v>344</v>
      </c>
      <c r="B692" s="136"/>
      <c r="C692" s="136"/>
      <c r="D692" s="136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6" t="s">
        <v>345</v>
      </c>
      <c r="B703" s="136"/>
      <c r="C703" s="136"/>
      <c r="D703" s="136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6" t="s">
        <v>348</v>
      </c>
      <c r="B715" s="136"/>
      <c r="C715" s="136"/>
      <c r="D715" s="136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6" t="s">
        <v>349</v>
      </c>
      <c r="B726" s="136"/>
      <c r="C726" s="136"/>
      <c r="D726" s="136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6" t="s">
        <v>350</v>
      </c>
      <c r="B738" s="136"/>
      <c r="C738" s="136"/>
      <c r="D738" s="136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6" t="s">
        <v>351</v>
      </c>
      <c r="B749" s="136"/>
      <c r="C749" s="136"/>
      <c r="D749" s="136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6" t="s">
        <v>352</v>
      </c>
      <c r="B760" s="136"/>
      <c r="C760" s="136"/>
      <c r="D760" s="136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6" t="s">
        <v>353</v>
      </c>
      <c r="B772" s="136"/>
      <c r="C772" s="136"/>
      <c r="D772" s="136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6" t="s">
        <v>355</v>
      </c>
      <c r="B784" s="136"/>
      <c r="C784" s="136"/>
      <c r="D784" s="136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6" t="s">
        <v>356</v>
      </c>
      <c r="B796" s="136"/>
      <c r="C796" s="136"/>
      <c r="D796" s="136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6" t="s">
        <v>357</v>
      </c>
      <c r="B809" s="136"/>
      <c r="C809" s="136"/>
      <c r="D809" s="136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6" t="s">
        <v>358</v>
      </c>
      <c r="B820" s="136"/>
      <c r="C820" s="136"/>
      <c r="D820" s="136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6" t="s">
        <v>359</v>
      </c>
      <c r="B831" s="136"/>
      <c r="C831" s="136"/>
      <c r="D831" s="136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6" t="s">
        <v>360</v>
      </c>
      <c r="B842" s="136"/>
      <c r="C842" s="136"/>
      <c r="D842" s="136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6" t="s">
        <v>361</v>
      </c>
      <c r="B854" s="136"/>
      <c r="C854" s="136"/>
      <c r="D854" s="136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6" t="s">
        <v>363</v>
      </c>
      <c r="B865" s="136"/>
      <c r="C865" s="136"/>
      <c r="D865" s="136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6" t="s">
        <v>364</v>
      </c>
      <c r="B876" s="136"/>
      <c r="C876" s="136"/>
      <c r="D876" s="136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6" t="s">
        <v>367</v>
      </c>
      <c r="B888" s="136"/>
      <c r="C888" s="136"/>
      <c r="D888" s="136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6" t="s">
        <v>368</v>
      </c>
      <c r="B901" s="136"/>
      <c r="C901" s="136"/>
      <c r="D901" s="136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6" t="s">
        <v>369</v>
      </c>
      <c r="B913" s="136"/>
      <c r="C913" s="136"/>
      <c r="D913" s="136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6" t="s">
        <v>370</v>
      </c>
      <c r="B925" s="136"/>
      <c r="C925" s="136"/>
      <c r="D925" s="136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6" t="s">
        <v>371</v>
      </c>
      <c r="B937" s="136"/>
      <c r="C937" s="136"/>
      <c r="D937" s="136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6" t="s">
        <v>372</v>
      </c>
      <c r="B949" s="136"/>
      <c r="C949" s="136"/>
      <c r="D949" s="136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6" t="s">
        <v>400</v>
      </c>
      <c r="B961" s="136"/>
      <c r="C961" s="136"/>
      <c r="D961" s="136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6" t="s">
        <v>402</v>
      </c>
      <c r="B974" s="136"/>
      <c r="C974" s="136"/>
      <c r="D974" s="136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6" t="s">
        <v>404</v>
      </c>
      <c r="B987" s="136"/>
      <c r="C987" s="136"/>
      <c r="D987" s="136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6" t="s">
        <v>405</v>
      </c>
      <c r="B1000" s="136"/>
      <c r="C1000" s="136"/>
      <c r="D1000" s="136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6" t="s">
        <v>408</v>
      </c>
      <c r="B1012" s="136"/>
      <c r="C1012" s="136"/>
      <c r="D1012" s="136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6" t="s">
        <v>410</v>
      </c>
      <c r="B1025" s="136"/>
      <c r="C1025" s="136"/>
      <c r="D1025" s="136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6" t="s">
        <v>413</v>
      </c>
      <c r="B1037" s="136"/>
      <c r="C1037" s="136"/>
      <c r="D1037" s="136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6" t="s">
        <v>415</v>
      </c>
      <c r="B1049" s="136"/>
      <c r="C1049" s="136"/>
      <c r="D1049" s="136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6" t="s">
        <v>417</v>
      </c>
      <c r="B1061" s="136"/>
      <c r="C1061" s="136"/>
      <c r="D1061" s="136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6" t="s">
        <v>419</v>
      </c>
      <c r="B1073" s="136"/>
      <c r="C1073" s="136"/>
      <c r="D1073" s="136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6" t="s">
        <v>421</v>
      </c>
      <c r="B1085" s="136"/>
      <c r="C1085" s="136"/>
      <c r="D1085" s="136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6" t="s">
        <v>423</v>
      </c>
      <c r="B1098" s="136"/>
      <c r="C1098" s="136"/>
      <c r="D1098" s="136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6" t="s">
        <v>426</v>
      </c>
      <c r="B1110" s="136"/>
      <c r="C1110" s="136"/>
      <c r="D1110" s="136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6" t="s">
        <v>428</v>
      </c>
      <c r="B1123" s="136"/>
      <c r="C1123" s="136"/>
      <c r="D1123" s="136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6" t="s">
        <v>430</v>
      </c>
      <c r="B1136" s="136"/>
      <c r="C1136" s="136"/>
      <c r="D1136" s="136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6" t="s">
        <v>432</v>
      </c>
      <c r="B1149" s="136"/>
      <c r="C1149" s="136"/>
      <c r="D1149" s="136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6" t="s">
        <v>434</v>
      </c>
      <c r="B1162" s="136"/>
      <c r="C1162" s="136"/>
      <c r="D1162" s="136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6" t="s">
        <v>437</v>
      </c>
      <c r="B1173" s="136"/>
      <c r="C1173" s="136"/>
      <c r="D1173" s="136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6" t="s">
        <v>439</v>
      </c>
      <c r="B1185" s="136"/>
      <c r="C1185" s="136"/>
      <c r="D1185" s="136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6" t="s">
        <v>441</v>
      </c>
      <c r="B1197" s="136"/>
      <c r="C1197" s="136"/>
      <c r="D1197" s="136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6" t="s">
        <v>443</v>
      </c>
      <c r="B1209" s="136"/>
      <c r="C1209" s="136"/>
      <c r="D1209" s="136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6" t="s">
        <v>445</v>
      </c>
      <c r="B1222" s="136"/>
      <c r="C1222" s="136"/>
      <c r="D1222" s="136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6" t="s">
        <v>447</v>
      </c>
      <c r="B1234" s="136"/>
      <c r="C1234" s="136"/>
      <c r="D1234" s="136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6" t="s">
        <v>449</v>
      </c>
      <c r="B1246" s="136"/>
      <c r="C1246" s="136"/>
      <c r="D1246" s="136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6" t="s">
        <v>452</v>
      </c>
      <c r="B1258" s="136"/>
      <c r="C1258" s="136"/>
      <c r="D1258" s="136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6" t="s">
        <v>454</v>
      </c>
      <c r="B1270" s="136"/>
      <c r="C1270" s="136"/>
      <c r="D1270" s="136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6" t="s">
        <v>456</v>
      </c>
      <c r="B1282" s="136"/>
      <c r="C1282" s="136"/>
      <c r="D1282" s="136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6" t="s">
        <v>458</v>
      </c>
      <c r="B1294" s="136"/>
      <c r="C1294" s="136"/>
      <c r="D1294" s="136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6" t="s">
        <v>460</v>
      </c>
      <c r="B1306" s="136"/>
      <c r="C1306" s="136"/>
      <c r="D1306" s="136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6" t="s">
        <v>462</v>
      </c>
      <c r="B1318" s="136"/>
      <c r="C1318" s="136"/>
      <c r="D1318" s="136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6" t="s">
        <v>464</v>
      </c>
      <c r="B1330" s="136"/>
      <c r="C1330" s="136"/>
      <c r="D1330" s="136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6" t="s">
        <v>467</v>
      </c>
      <c r="B1343" s="136"/>
      <c r="C1343" s="136"/>
      <c r="D1343" s="136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36" t="s">
        <v>469</v>
      </c>
      <c r="B1355" s="136"/>
      <c r="C1355" s="136"/>
      <c r="D1355" s="136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36" t="s">
        <v>471</v>
      </c>
      <c r="B1368" s="136"/>
      <c r="C1368" s="136"/>
      <c r="D1368" s="136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36" t="s">
        <v>473</v>
      </c>
      <c r="B1380" s="136"/>
      <c r="C1380" s="136"/>
      <c r="D1380" s="136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</sheetData>
  <mergeCells count="123">
    <mergeCell ref="A749:D749"/>
    <mergeCell ref="A760:D760"/>
    <mergeCell ref="A772:D772"/>
    <mergeCell ref="A784:D784"/>
    <mergeCell ref="A831:D831"/>
    <mergeCell ref="A390:D390"/>
    <mergeCell ref="A401:D401"/>
    <mergeCell ref="A796:D796"/>
    <mergeCell ref="A738:D738"/>
    <mergeCell ref="A692:D692"/>
    <mergeCell ref="A703:D703"/>
    <mergeCell ref="A715:D715"/>
    <mergeCell ref="A726:D726"/>
    <mergeCell ref="A635:D635"/>
    <mergeCell ref="A647:D647"/>
    <mergeCell ref="A379:D379"/>
    <mergeCell ref="A658:D658"/>
    <mergeCell ref="A670:D670"/>
    <mergeCell ref="A681:D681"/>
    <mergeCell ref="A500:D500"/>
    <mergeCell ref="A478:D478"/>
    <mergeCell ref="A489:D489"/>
    <mergeCell ref="A511:D511"/>
    <mergeCell ref="A445:D445"/>
    <mergeCell ref="A456:D456"/>
    <mergeCell ref="A313:D313"/>
    <mergeCell ref="A357:D357"/>
    <mergeCell ref="A368:D368"/>
    <mergeCell ref="A324:D324"/>
    <mergeCell ref="A335:D335"/>
    <mergeCell ref="A346:D346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283:D283"/>
    <mergeCell ref="A293:D293"/>
    <mergeCell ref="A303:D303"/>
    <mergeCell ref="A809:D809"/>
    <mergeCell ref="A820:D820"/>
    <mergeCell ref="A1123:D1123"/>
    <mergeCell ref="A1282:D1282"/>
    <mergeCell ref="A1270:D1270"/>
    <mergeCell ref="A1258:D1258"/>
    <mergeCell ref="A1246:D1246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1025:D1025"/>
    <mergeCell ref="A949:D949"/>
    <mergeCell ref="A974:D974"/>
    <mergeCell ref="A842:D842"/>
    <mergeCell ref="A854:D854"/>
    <mergeCell ref="A1000:D1000"/>
    <mergeCell ref="A987:D987"/>
    <mergeCell ref="A1012:D1012"/>
    <mergeCell ref="A1149:D1149"/>
    <mergeCell ref="A1343:D1343"/>
    <mergeCell ref="A1330:D1330"/>
    <mergeCell ref="A1136:D1136"/>
    <mergeCell ref="A1306:D1306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1380:D1380"/>
    <mergeCell ref="A1355:D1355"/>
    <mergeCell ref="A1318:D1318"/>
    <mergeCell ref="A1294:D1294"/>
    <mergeCell ref="A1234:D1234"/>
    <mergeCell ref="A1209:D1209"/>
    <mergeCell ref="A1197:D1197"/>
    <mergeCell ref="A1173:D1173"/>
    <mergeCell ref="A1162:D1162"/>
    <mergeCell ref="A1368:D1368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C21" sqref="C21"/>
    </sheetView>
  </sheetViews>
  <sheetFormatPr defaultColWidth="8.5546875" defaultRowHeight="14.4"/>
  <cols>
    <col min="1" max="1" width="23.6640625" style="88" customWidth="1"/>
    <col min="2" max="2" width="22.109375" style="88" customWidth="1"/>
    <col min="3" max="3" width="22.5546875" style="88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137" t="s">
        <v>373</v>
      </c>
      <c r="B1" s="137"/>
      <c r="C1" s="137"/>
    </row>
    <row r="2" spans="1:6" ht="24.9" customHeight="1">
      <c r="A2" s="89"/>
      <c r="B2" s="89" t="s">
        <v>374</v>
      </c>
      <c r="C2" s="89" t="s">
        <v>375</v>
      </c>
    </row>
    <row r="3" spans="1:6" ht="24.9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112"/>
  <sheetViews>
    <sheetView zoomScale="85" zoomScaleNormal="85" workbookViewId="0">
      <selection activeCell="J112" sqref="J112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1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12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12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13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13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13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13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13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13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13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13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13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13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13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13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13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  <c r="J112">
        <v>0.04</v>
      </c>
      <c r="K112">
        <v>-0.12</v>
      </c>
      <c r="L112">
        <v>-0.11</v>
      </c>
      <c r="M112">
        <v>0.15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2021-11-18T14:09:27Z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