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3F6D12CC-3207-48D9-BA2C-6704FB280388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set'!$A$1:$BN$236</definedName>
    <definedName name="_xlnm._FilterDatabase" localSheetId="1" hidden="1">weekly!$A$1:$K$56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4" i="2" l="1"/>
  <c r="C46" i="2"/>
  <c r="H45" i="2"/>
  <c r="B47" i="2"/>
  <c r="D2061" i="3"/>
  <c r="Y236" i="1"/>
  <c r="H157" i="5" l="1"/>
  <c r="G157" i="5"/>
  <c r="F157" i="5"/>
  <c r="N234" i="1"/>
  <c r="H156" i="5" l="1"/>
  <c r="G156" i="5"/>
  <c r="F156" i="5"/>
  <c r="H155" i="5" l="1"/>
  <c r="G155" i="5"/>
  <c r="F155" i="5"/>
  <c r="V244" i="1"/>
  <c r="P237" i="1"/>
  <c r="H154" i="5" l="1"/>
  <c r="G154" i="5"/>
  <c r="F154" i="5"/>
  <c r="Y245" i="1"/>
  <c r="Y247" i="1"/>
  <c r="BR228" i="1"/>
  <c r="D2001" i="3" l="1"/>
  <c r="H153" i="5"/>
  <c r="G153" i="5"/>
  <c r="F153" i="5"/>
  <c r="O235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Y240" i="1" l="1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4" i="1" l="1"/>
  <c r="M216" i="1"/>
  <c r="L216" i="1"/>
  <c r="D1850" i="3" l="1"/>
  <c r="M215" i="1"/>
  <c r="L215" i="1"/>
  <c r="Y244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4" i="2" l="1"/>
  <c r="E46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0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1" i="1"/>
  <c r="N242" i="1"/>
  <c r="N243" i="1"/>
  <c r="N244" i="1"/>
  <c r="N245" i="1"/>
  <c r="N246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7" i="2" l="1"/>
  <c r="J46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5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6" i="2"/>
  <c r="G55" i="2"/>
  <c r="G54" i="2"/>
  <c r="G53" i="2"/>
  <c r="G52" i="2"/>
  <c r="G51" i="2"/>
  <c r="G50" i="2"/>
  <c r="G49" i="2"/>
  <c r="G48" i="2"/>
  <c r="C44" i="2"/>
  <c r="B4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8" i="2" s="1"/>
  <c r="G16" i="2"/>
  <c r="E16" i="2"/>
  <c r="C5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4" i="1" l="1"/>
  <c r="S1" i="1" s="1"/>
  <c r="M234" i="1"/>
  <c r="U1" i="1" s="1"/>
</calcChain>
</file>

<file path=xl/sharedStrings.xml><?xml version="1.0" encoding="utf-8"?>
<sst xmlns="http://schemas.openxmlformats.org/spreadsheetml/2006/main" count="2092" uniqueCount="593">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</sst>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2944"/>
        <c:axId val="-24652400"/>
      </c:lineChart>
      <c:catAx>
        <c:axId val="-2465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2400"/>
        <c:crosses val="autoZero"/>
        <c:auto val="1"/>
        <c:lblAlgn val="ctr"/>
        <c:lblOffset val="100"/>
        <c:noMultiLvlLbl val="0"/>
      </c:catAx>
      <c:valAx>
        <c:axId val="-246524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29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0F-4F51-9A35-6F5002F923BD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weekly!$B$27:$B$43</c15:sqref>
                  </c15:fullRef>
                </c:ext>
              </c:extLst>
              <c:f>weekly!$B$28:$B$43</c:f>
              <c:numCache>
                <c:formatCode>General</c:formatCode>
                <c:ptCount val="1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AC6-4497-A05B-7364FF717CF0}"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B4-412B-8EE7-530C5D3015CC}"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82-42BA-9479-C584E41A8602}"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4-405C-8475-AEA95D544B8E}"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25B-4EDE-8516-7EB7C4CE0CA3}"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D1-4FB9-8A3D-07484F09D5DD}"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5E-4B62-A857-364C7FFBA745}"/>
                </c:ext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42C-452B-AEBB-8BE76960DA7D}"/>
                </c:ext>
              </c:extLst>
            </c:dLbl>
            <c:dLbl>
              <c:idx val="15"/>
              <c:layout>
                <c:manualLayout>
                  <c:x val="-1.0869157614784573E-16"/>
                  <c:y val="-2.21868000451042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42C-452B-AEBB-8BE76960DA7D}"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weekly!$H$27:$H$43</c15:sqref>
                  </c15:fullRef>
                </c:ext>
              </c:extLst>
              <c:f>weekly!$H$28:$H$43</c:f>
              <c:numCache>
                <c:formatCode>General</c:formatCode>
                <c:ptCount val="1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0432"/>
        <c:axId val="-2464315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6-4A6B-4C9B-BEA2-8EBE6A749D67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7-4A6B-4C9B-BEA2-8EBE6A749D67}"/>
                    </c:ext>
                  </c:extLst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464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3152"/>
        <c:crosses val="autoZero"/>
        <c:auto val="1"/>
        <c:lblAlgn val="ctr"/>
        <c:lblOffset val="100"/>
        <c:noMultiLvlLbl val="0"/>
      </c:catAx>
      <c:valAx>
        <c:axId val="-2464315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04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69-403C-A24E-64B031F8FFED}"/>
                </c:ext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54-4089-9301-DA37CBEF2C51}"/>
                </c:ext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DC-4E3A-ABC2-D3DCFE8BB54A}"/>
                </c:ext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B88-4582-B7D0-B01CB7080790}"/>
                </c:ext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11-4E6D-A106-256821490D09}"/>
                </c:ext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2C4-4FB7-B211-A54C5882FDF0}"/>
                </c:ext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8-42CB-9F2E-19ACCC3903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1856"/>
        <c:axId val="-24642608"/>
      </c:lineChart>
      <c:catAx>
        <c:axId val="-2465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2608"/>
        <c:crosses val="autoZero"/>
        <c:auto val="1"/>
        <c:lblAlgn val="ctr"/>
        <c:lblOffset val="100"/>
        <c:noMultiLvlLbl val="0"/>
      </c:catAx>
      <c:valAx>
        <c:axId val="-24642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1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1520"/>
        <c:axId val="-24639888"/>
      </c:lineChart>
      <c:catAx>
        <c:axId val="-2464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39888"/>
        <c:crosses val="autoZero"/>
        <c:auto val="1"/>
        <c:lblAlgn val="ctr"/>
        <c:lblOffset val="100"/>
        <c:noMultiLvlLbl val="0"/>
      </c:catAx>
      <c:valAx>
        <c:axId val="-24639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15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DC-43E0-8BFF-7E5B90A42E4B}"/>
                </c:ext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C7D-4537-93FF-04AD6F6C6719}"/>
                </c:ext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32-420B-B084-020FB4273E20}"/>
                </c:ext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9AC-4035-A7C4-D69BBD3242C8}"/>
                </c:ext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7C-47CC-B96D-364BD1D2E00A}"/>
                </c:ext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94-4FCA-BCDE-40CAD4E064E6}"/>
                </c:ext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E4D-44AB-A995-EDAD42FDBE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39344"/>
        <c:axId val="-24663360"/>
      </c:lineChart>
      <c:catAx>
        <c:axId val="-2463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3360"/>
        <c:crosses val="autoZero"/>
        <c:auto val="1"/>
        <c:lblAlgn val="ctr"/>
        <c:lblOffset val="100"/>
        <c:noMultiLvlLbl val="0"/>
      </c:catAx>
      <c:valAx>
        <c:axId val="-246633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393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937A-4C31-B96D-20F7619CF09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937A-4C31-B96D-20F7619CF0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weekly!$C$27:$C$43</c15:sqref>
                  </c15:fullRef>
                </c:ext>
              </c:extLst>
              <c:f>weekly!$C$28:$C$43</c:f>
              <c:numCache>
                <c:formatCode>General</c:formatCode>
                <c:ptCount val="1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937A-4C31-B96D-20F7619CF09C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937A-4C31-B96D-20F7619CF09C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C3E-4439-B070-3AEFA3B235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weekly!$I$27:$I$43</c15:sqref>
                  </c15:fullRef>
                </c:ext>
              </c:extLst>
              <c:f>weekly!$I$28:$I$43</c:f>
              <c:numCache>
                <c:formatCode>General</c:formatCode>
                <c:ptCount val="1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5744"/>
        <c:axId val="-24655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  <c:extLst>
                    <c:ext xmlns:c16="http://schemas.microsoft.com/office/drawing/2014/chart" uri="{C3380CC4-5D6E-409C-BE32-E72D297353CC}">
                      <c16:uniqueId val="{00000004-937A-4C31-B96D-20F7619CF09C}"/>
                    </c:ext>
                  </c:extLst>
                </c:dPt>
                <c:dPt>
                  <c:idx val="22"/>
                  <c:bubble3D val="0"/>
                  <c:extLst>
                    <c:ext xmlns:c16="http://schemas.microsoft.com/office/drawing/2014/chart" uri="{C3380CC4-5D6E-409C-BE32-E72D297353CC}">
                      <c16:uniqueId val="{00000005-937A-4C31-B96D-20F7619CF09C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46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5200"/>
        <c:crosses val="autoZero"/>
        <c:auto val="1"/>
        <c:lblAlgn val="ctr"/>
        <c:lblOffset val="100"/>
        <c:noMultiLvlLbl val="0"/>
      </c:catAx>
      <c:valAx>
        <c:axId val="-2465520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5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24662816"/>
        <c:axId val="-24666624"/>
      </c:barChart>
      <c:catAx>
        <c:axId val="-2466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6624"/>
        <c:crosses val="autoZero"/>
        <c:auto val="1"/>
        <c:lblAlgn val="ctr"/>
        <c:lblOffset val="100"/>
        <c:noMultiLvlLbl val="0"/>
      </c:catAx>
      <c:valAx>
        <c:axId val="-24666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28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29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5"/>
          <c:order val="7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change'!$F$157:$I$157</c:f>
              <c:numCache>
                <c:formatCode>General</c:formatCode>
                <c:ptCount val="4"/>
                <c:pt idx="0">
                  <c:v>0.79422382671480141</c:v>
                </c:pt>
                <c:pt idx="1">
                  <c:v>0.77677841373671297</c:v>
                </c:pt>
                <c:pt idx="2">
                  <c:v>1.4767037257065263</c:v>
                </c:pt>
                <c:pt idx="3">
                  <c:v>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B-4623-96D1-F21BF08FFB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24659552"/>
        <c:axId val="-246622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</c:ext>
        </c:extLst>
      </c:barChart>
      <c:catAx>
        <c:axId val="-2465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2272"/>
        <c:crosses val="autoZero"/>
        <c:auto val="1"/>
        <c:lblAlgn val="ctr"/>
        <c:lblOffset val="100"/>
        <c:noMultiLvlLbl val="0"/>
      </c:catAx>
      <c:valAx>
        <c:axId val="-246622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598</xdr:row>
      <xdr:rowOff>102960</xdr:rowOff>
    </xdr:from>
    <xdr:to>
      <xdr:col>11</xdr:col>
      <xdr:colOff>279360</xdr:colOff>
      <xdr:row>628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178</xdr:row>
      <xdr:rowOff>27711</xdr:rowOff>
    </xdr:from>
    <xdr:to>
      <xdr:col>41</xdr:col>
      <xdr:colOff>533400</xdr:colOff>
      <xdr:row>283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314</xdr:row>
      <xdr:rowOff>0</xdr:rowOff>
    </xdr:from>
    <xdr:to>
      <xdr:col>82</xdr:col>
      <xdr:colOff>0</xdr:colOff>
      <xdr:row>390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633</xdr:row>
      <xdr:rowOff>0</xdr:rowOff>
    </xdr:from>
    <xdr:to>
      <xdr:col>13</xdr:col>
      <xdr:colOff>354240</xdr:colOff>
      <xdr:row>663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413</xdr:row>
      <xdr:rowOff>0</xdr:rowOff>
    </xdr:from>
    <xdr:to>
      <xdr:col>83</xdr:col>
      <xdr:colOff>533400</xdr:colOff>
      <xdr:row>512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61</xdr:row>
      <xdr:rowOff>76321</xdr:rowOff>
    </xdr:from>
    <xdr:to>
      <xdr:col>44</xdr:col>
      <xdr:colOff>533400</xdr:colOff>
      <xdr:row>160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49"/>
  <sheetViews>
    <sheetView topLeftCell="V1" zoomScale="130" zoomScaleNormal="130" workbookViewId="0">
      <pane ySplit="1" topLeftCell="A221" activePane="bottomLeft" state="frozen"/>
      <selection activeCell="B1" sqref="B1"/>
      <selection pane="bottomLeft" activeCell="V226" sqref="V226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8.554687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58.44140625" style="157" customWidth="1"/>
    <col min="62" max="63" width="8.88671875" customWidth="1"/>
    <col min="64" max="64" width="9.109375" customWidth="1"/>
    <col min="65" max="69" width="8.554687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L234/G234</f>
        <v>#DIV/0!</v>
      </c>
      <c r="T1" s="3" t="s">
        <v>15</v>
      </c>
      <c r="U1" s="3">
        <f>M234/K234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36" customFormat="1" ht="18">
      <c r="B233" s="131" t="s">
        <v>590</v>
      </c>
      <c r="C233" s="104">
        <v>30</v>
      </c>
      <c r="D233" s="137">
        <v>25289</v>
      </c>
      <c r="E233" s="136">
        <v>25450</v>
      </c>
      <c r="F233" s="136">
        <v>25314</v>
      </c>
      <c r="H233" s="136">
        <v>28606</v>
      </c>
      <c r="I233" s="136">
        <v>28700</v>
      </c>
      <c r="J233" s="136">
        <v>28713</v>
      </c>
      <c r="L233" s="208"/>
      <c r="M233" s="208"/>
      <c r="N233" s="136">
        <v>25704</v>
      </c>
      <c r="O233" s="136">
        <v>28987</v>
      </c>
      <c r="P233" s="136">
        <v>25542</v>
      </c>
      <c r="Q233" s="136">
        <v>28892</v>
      </c>
      <c r="V233" s="136">
        <v>27850</v>
      </c>
      <c r="X233" s="136">
        <v>27880</v>
      </c>
      <c r="Y233" s="136">
        <v>31696</v>
      </c>
      <c r="Z233" s="138"/>
      <c r="AB233" s="137"/>
      <c r="AS233" s="137"/>
      <c r="AW233" s="137"/>
      <c r="BI233" s="177"/>
      <c r="BO233" s="151"/>
      <c r="BP233" s="151"/>
      <c r="BQ233" s="151"/>
      <c r="BR233" s="151"/>
    </row>
    <row r="234" spans="2:70" ht="18">
      <c r="D234" s="26"/>
      <c r="K234">
        <f>SUM(K2:K216)</f>
        <v>210358000</v>
      </c>
      <c r="L234" s="142">
        <f>SUM(L2:L216)</f>
        <v>38488576407409</v>
      </c>
      <c r="M234" s="142">
        <f>SUM(M2:M216)</f>
        <v>6182194847600</v>
      </c>
      <c r="N234">
        <f>P232-N231</f>
        <v>360</v>
      </c>
      <c r="V234" s="152">
        <v>27860</v>
      </c>
      <c r="X234" s="152"/>
      <c r="Z234" s="25"/>
      <c r="AS234" s="26"/>
      <c r="AW234" s="30"/>
    </row>
    <row r="235" spans="2:70" ht="18">
      <c r="O235">
        <f>P228-N227</f>
        <v>-190</v>
      </c>
      <c r="V235" s="152">
        <v>27880</v>
      </c>
      <c r="Z235" s="25"/>
      <c r="AS235" s="26"/>
      <c r="AW235" s="30"/>
    </row>
    <row r="236" spans="2:70" ht="18">
      <c r="V236" s="152">
        <v>27940</v>
      </c>
      <c r="W236" s="152"/>
      <c r="Y236">
        <f>Y232-Y231</f>
        <v>369</v>
      </c>
      <c r="Z236" s="25"/>
      <c r="AS236" s="26"/>
      <c r="AW236" s="30"/>
    </row>
    <row r="237" spans="2:70" ht="18">
      <c r="D237" s="93"/>
      <c r="P237">
        <f>P230-N229</f>
        <v>24</v>
      </c>
      <c r="W237" s="152"/>
      <c r="Z237" s="25"/>
      <c r="AW237" s="30"/>
    </row>
    <row r="238" spans="2:70" ht="17.25" customHeight="1">
      <c r="D238" s="93"/>
      <c r="P238" t="s">
        <v>523</v>
      </c>
      <c r="Q238" t="s">
        <v>524</v>
      </c>
      <c r="W238" s="152"/>
      <c r="Z238" s="25"/>
    </row>
    <row r="239" spans="2:70" ht="18">
      <c r="D239" s="93"/>
      <c r="O239" s="126" t="s">
        <v>503</v>
      </c>
      <c r="P239">
        <v>-178</v>
      </c>
      <c r="Q239">
        <v>-180</v>
      </c>
      <c r="V239" s="25"/>
      <c r="W239" s="152"/>
      <c r="Z239" s="25"/>
    </row>
    <row r="240" spans="2:70" ht="18">
      <c r="D240" s="93"/>
      <c r="H240">
        <f>(27376-26532)/26532</f>
        <v>3.1810643750942259E-2</v>
      </c>
      <c r="O240" s="132" t="s">
        <v>505</v>
      </c>
      <c r="P240">
        <v>59</v>
      </c>
      <c r="Q240">
        <v>59</v>
      </c>
      <c r="V240" s="25"/>
      <c r="W240" s="152"/>
      <c r="Y240">
        <f>(30920-28470)/30920</f>
        <v>7.923673997412678E-2</v>
      </c>
    </row>
    <row r="241" spans="4:25" ht="18">
      <c r="D241" s="93"/>
      <c r="N241">
        <f t="shared" ref="N241:N245" si="42">N199-N198</f>
        <v>-15</v>
      </c>
      <c r="O241" s="132" t="s">
        <v>507</v>
      </c>
      <c r="P241">
        <v>-17</v>
      </c>
      <c r="Q241">
        <v>-16</v>
      </c>
      <c r="V241" s="25"/>
      <c r="W241" s="152"/>
    </row>
    <row r="242" spans="4:25" ht="18">
      <c r="D242" s="107"/>
      <c r="N242">
        <f t="shared" si="42"/>
        <v>-12</v>
      </c>
      <c r="O242" s="132" t="s">
        <v>509</v>
      </c>
      <c r="P242">
        <v>-163</v>
      </c>
      <c r="Q242">
        <v>-165</v>
      </c>
      <c r="W242" s="144"/>
    </row>
    <row r="243" spans="4:25" ht="18">
      <c r="D243" s="107"/>
      <c r="N243">
        <f t="shared" si="42"/>
        <v>-137</v>
      </c>
      <c r="O243" s="132" t="s">
        <v>511</v>
      </c>
      <c r="P243">
        <v>50</v>
      </c>
      <c r="Q243">
        <v>50</v>
      </c>
      <c r="W243" s="144"/>
      <c r="X243" s="109"/>
    </row>
    <row r="244" spans="4:25" ht="18">
      <c r="D244" s="113"/>
      <c r="N244">
        <f t="shared" si="42"/>
        <v>-138</v>
      </c>
      <c r="O244" s="145" t="s">
        <v>513</v>
      </c>
      <c r="P244">
        <v>-15</v>
      </c>
      <c r="Q244">
        <v>-15</v>
      </c>
      <c r="V244">
        <f>(3376-3251)/3251</f>
        <v>3.8449707782220857E-2</v>
      </c>
      <c r="W244" s="144"/>
      <c r="X244" s="109"/>
      <c r="Y244">
        <f>(W242-X215)/X215</f>
        <v>-1</v>
      </c>
    </row>
    <row r="245" spans="4:25" ht="18">
      <c r="D245" s="107"/>
      <c r="G245" s="9"/>
      <c r="N245">
        <f t="shared" si="42"/>
        <v>-43</v>
      </c>
      <c r="O245" s="145" t="s">
        <v>515</v>
      </c>
      <c r="P245">
        <v>-12</v>
      </c>
      <c r="Q245">
        <v>-12</v>
      </c>
      <c r="X245" s="109"/>
      <c r="Y245">
        <f>(43725-42669)/42669</f>
        <v>2.4748646558391339E-2</v>
      </c>
    </row>
    <row r="246" spans="4:25" ht="18">
      <c r="D246" s="103"/>
      <c r="G246" s="9"/>
      <c r="N246">
        <f>N234-N203</f>
        <v>-27019</v>
      </c>
      <c r="O246" s="148" t="s">
        <v>517</v>
      </c>
      <c r="P246">
        <v>-136</v>
      </c>
      <c r="Q246">
        <v>-137</v>
      </c>
      <c r="X246" s="109"/>
    </row>
    <row r="247" spans="4:25" ht="18">
      <c r="G247" s="9"/>
      <c r="O247" s="145" t="s">
        <v>519</v>
      </c>
      <c r="P247">
        <v>-137</v>
      </c>
      <c r="Q247">
        <v>-138</v>
      </c>
      <c r="X247" s="109"/>
      <c r="Y247">
        <f>(3365-3279)/3279</f>
        <v>2.6227508386703263E-2</v>
      </c>
    </row>
    <row r="248" spans="4:25" ht="18">
      <c r="G248" s="9"/>
      <c r="O248" s="131" t="s">
        <v>521</v>
      </c>
      <c r="P248">
        <v>-42</v>
      </c>
      <c r="Q248">
        <v>-43</v>
      </c>
      <c r="X248" s="109"/>
    </row>
    <row r="249" spans="4:25" ht="18">
      <c r="G249" s="9"/>
    </row>
  </sheetData>
  <autoFilter ref="A1:BN236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6"/>
  <sheetViews>
    <sheetView tabSelected="1" topLeftCell="F21" zoomScaleNormal="100" workbookViewId="0">
      <selection activeCell="I43" sqref="I43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2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5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5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5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5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5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5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5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5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5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5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5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5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5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5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5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5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5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5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5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>
      <c r="B44">
        <f>(B2-B8)/B2</f>
        <v>0.15346494762288476</v>
      </c>
      <c r="C44">
        <f>(C2-C8)/C2</f>
        <v>0.1154959674639829</v>
      </c>
      <c r="D44">
        <f>SUM(D2:D39)/38</f>
        <v>37702089.447368421</v>
      </c>
      <c r="I44">
        <f>I43-I42</f>
        <v>-332</v>
      </c>
    </row>
    <row r="45" spans="1:11">
      <c r="H45">
        <f>(H43-H42)/H42</f>
        <v>-1.9771428571428572E-2</v>
      </c>
    </row>
    <row r="46" spans="1:11">
      <c r="C46">
        <f>(C43-C42)/C42</f>
        <v>-1.2137997059527473E-2</v>
      </c>
      <c r="E46">
        <f>(D39-D44)/D44</f>
        <v>0.21324840799221964</v>
      </c>
      <c r="J46">
        <f>(D36-D35)/D35</f>
        <v>-0.50773339408667473</v>
      </c>
    </row>
    <row r="47" spans="1:11">
      <c r="B47">
        <f>(B43-B42)/B42</f>
        <v>-1.4413787773398253E-2</v>
      </c>
      <c r="F47">
        <f>(F36-F35)/F35</f>
        <v>-0.62892307692307692</v>
      </c>
    </row>
    <row r="48" spans="1:11">
      <c r="D48">
        <v>5375132</v>
      </c>
      <c r="E48">
        <f>(E17-D48)/D48</f>
        <v>4.5958809321644006E-2</v>
      </c>
      <c r="G48">
        <f t="shared" ref="G48:G56" si="2">B3-B2</f>
        <v>-554</v>
      </c>
    </row>
    <row r="49" spans="3:10">
      <c r="G49">
        <f t="shared" si="2"/>
        <v>-302</v>
      </c>
    </row>
    <row r="50" spans="3:10">
      <c r="C50">
        <f>(D48-E16)/E16</f>
        <v>0.17110375179746395</v>
      </c>
      <c r="G50">
        <f t="shared" si="2"/>
        <v>-511</v>
      </c>
    </row>
    <row r="51" spans="3:10">
      <c r="G51">
        <f t="shared" si="2"/>
        <v>-362</v>
      </c>
    </row>
    <row r="52" spans="3:10">
      <c r="G52">
        <f t="shared" si="2"/>
        <v>-1699</v>
      </c>
    </row>
    <row r="53" spans="3:10">
      <c r="G53">
        <f t="shared" si="2"/>
        <v>-381</v>
      </c>
    </row>
    <row r="54" spans="3:10">
      <c r="G54">
        <f t="shared" si="2"/>
        <v>1075</v>
      </c>
    </row>
    <row r="55" spans="3:10">
      <c r="F55">
        <f>(F33-F32)/F32</f>
        <v>0.23948268173034043</v>
      </c>
      <c r="G55">
        <f t="shared" si="2"/>
        <v>151</v>
      </c>
      <c r="J55">
        <f>(F34-F35)/F34</f>
        <v>0.13877341459779063</v>
      </c>
    </row>
    <row r="56" spans="3:10">
      <c r="G56">
        <f t="shared" si="2"/>
        <v>1043</v>
      </c>
    </row>
  </sheetData>
  <autoFilter ref="A1:K56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3"/>
  <sheetViews>
    <sheetView topLeftCell="A2042" zoomScaleNormal="100" workbookViewId="0">
      <selection activeCell="B2067" sqref="B2067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6" max="6" width="12.33203125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</sheetData>
  <mergeCells count="177"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2055:C2055"/>
    <mergeCell ref="A2042:C2042"/>
    <mergeCell ref="A2017:C2017"/>
    <mergeCell ref="A2005:C2005"/>
    <mergeCell ref="A1928:C1928"/>
    <mergeCell ref="A1754:C1754"/>
    <mergeCell ref="A1742:C1742"/>
    <mergeCell ref="A1729:C1729"/>
    <mergeCell ref="A1716:C1716"/>
    <mergeCell ref="A1992:C1992"/>
    <mergeCell ref="A1979:C1979"/>
    <mergeCell ref="A2029:C202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A12" sqref="A12"/>
    </sheetView>
  </sheetViews>
  <sheetFormatPr defaultColWidth="8.5546875" defaultRowHeight="14.4"/>
  <cols>
    <col min="1" max="1" width="23.6640625" style="82" customWidth="1"/>
    <col min="2" max="2" width="22.109375" style="82" customWidth="1"/>
    <col min="3" max="3" width="22.5546875" style="82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215" t="s">
        <v>373</v>
      </c>
      <c r="B1" s="215"/>
      <c r="C1" s="215"/>
    </row>
    <row r="2" spans="1:6" ht="24.9" customHeight="1">
      <c r="A2" s="83"/>
      <c r="B2" s="83" t="s">
        <v>374</v>
      </c>
      <c r="C2" s="83" t="s">
        <v>375</v>
      </c>
    </row>
    <row r="3" spans="1:6" ht="24.9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57"/>
  <sheetViews>
    <sheetView topLeftCell="A8" zoomScale="85" zoomScaleNormal="85" workbookViewId="0">
      <selection activeCell="K19" sqref="K19"/>
    </sheetView>
  </sheetViews>
  <sheetFormatPr defaultColWidth="8.5546875" defaultRowHeight="14.4"/>
  <cols>
    <col min="2" max="2" width="20.109375" customWidth="1"/>
    <col min="3" max="3" width="9.33203125" bestFit="1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>(E157-E156)*100/E156</f>
        <v>1.4767037257065263</v>
      </c>
      <c r="I157">
        <v>0.27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2022-01-20T11:06:59Z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