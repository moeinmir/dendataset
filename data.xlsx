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E78E98A2-2849-47E3-A71D-B75916E67882}" xr6:coauthVersionLast="47" xr6:coauthVersionMax="47" xr10:uidLastSave="{00000000-0000-0000-0000-000000000000}"/>
  <bookViews>
    <workbookView xWindow="0" yWindow="3396" windowWidth="17280" windowHeight="8964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set'!$A$1:$BN$219</definedName>
    <definedName name="_xlnm._FilterDatabase" localSheetId="1" hidden="1">weekly!$A$1:$K$53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0" i="2" l="1"/>
  <c r="E40" i="2"/>
  <c r="G217" i="1" l="1"/>
  <c r="K217" i="1"/>
  <c r="M216" i="1"/>
  <c r="L216" i="1"/>
  <c r="D1850" i="3" l="1"/>
  <c r="X218" i="1"/>
  <c r="V218" i="1" s="1"/>
  <c r="M215" i="1"/>
  <c r="L215" i="1"/>
  <c r="W225" i="1"/>
  <c r="Y227" i="1" s="1"/>
  <c r="Y219" i="1"/>
  <c r="H142" i="5" l="1"/>
  <c r="G142" i="5"/>
  <c r="F142" i="5"/>
  <c r="X221" i="1" l="1"/>
  <c r="M214" i="1" l="1"/>
  <c r="L214" i="1"/>
  <c r="I219" i="1" l="1"/>
  <c r="H141" i="5" l="1"/>
  <c r="G141" i="5"/>
  <c r="F141" i="5"/>
  <c r="V224" i="1" l="1"/>
  <c r="M213" i="1"/>
  <c r="L213" i="1"/>
  <c r="BI213" i="1"/>
  <c r="H140" i="5" l="1"/>
  <c r="G140" i="5"/>
  <c r="F140" i="5"/>
  <c r="M212" i="1" l="1"/>
  <c r="L212" i="1"/>
  <c r="BI212" i="1"/>
  <c r="H139" i="5" l="1"/>
  <c r="G139" i="5"/>
  <c r="F139" i="5"/>
  <c r="O218" i="1" l="1"/>
  <c r="M211" i="1" l="1"/>
  <c r="L211" i="1"/>
  <c r="BI211" i="1"/>
  <c r="H138" i="5" l="1"/>
  <c r="G138" i="5"/>
  <c r="F138" i="5"/>
  <c r="D41" i="2" l="1"/>
  <c r="E43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23" i="1"/>
  <c r="N218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19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20" i="1"/>
  <c r="N221" i="1"/>
  <c r="N222" i="1"/>
  <c r="N223" i="1"/>
  <c r="N224" i="1"/>
  <c r="N225" i="1"/>
  <c r="N226" i="1"/>
  <c r="N227" i="1"/>
  <c r="N228" i="1"/>
  <c r="N229" i="1"/>
  <c r="N219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4" i="2" l="1"/>
  <c r="J43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2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2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3" i="2"/>
  <c r="G52" i="2"/>
  <c r="G51" i="2"/>
  <c r="G50" i="2"/>
  <c r="G49" i="2"/>
  <c r="G48" i="2"/>
  <c r="G47" i="2"/>
  <c r="G46" i="2"/>
  <c r="G45" i="2"/>
  <c r="C41" i="2"/>
  <c r="B41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5" i="2" s="1"/>
  <c r="G16" i="2"/>
  <c r="E16" i="2"/>
  <c r="C47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17" i="1" l="1"/>
  <c r="S1" i="1" s="1"/>
  <c r="M217" i="1"/>
  <c r="U1" i="1" s="1"/>
</calcChain>
</file>

<file path=xl/sharedStrings.xml><?xml version="1.0" encoding="utf-8"?>
<sst xmlns="http://schemas.openxmlformats.org/spreadsheetml/2006/main" count="1935" uniqueCount="555">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</sst>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0" fillId="33" borderId="0" xfId="0" applyFill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66710656"/>
        <c:axId val="-1266713376"/>
      </c:lineChart>
      <c:catAx>
        <c:axId val="-1266710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3376"/>
        <c:crosses val="autoZero"/>
        <c:auto val="1"/>
        <c:lblAlgn val="ctr"/>
        <c:lblOffset val="100"/>
        <c:noMultiLvlLbl val="0"/>
      </c:catAx>
      <c:valAx>
        <c:axId val="-12667133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065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13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weekly!$B$27:$B$40</c15:sqref>
                  </c15:fullRef>
                </c:ext>
              </c:extLst>
              <c:f>weekly!$B$28:$B$40</c:f>
              <c:numCache>
                <c:formatCode>General</c:formatCode>
                <c:ptCount val="13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B4-412B-8EE7-530C5D3015CC}"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82-42BA-9479-C584E41A8602}"/>
                </c:ext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E4-405C-8475-AEA95D544B8E}"/>
                </c:ext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25B-4EDE-8516-7EB7C4CE0CA3}"/>
                </c:ext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0D1-4FB9-8A3D-07484F09D5DD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weekly!$H$27:$H$40</c15:sqref>
                  </c15:fullRef>
                </c:ext>
              </c:extLst>
              <c:f>weekly!$H$28:$H$40</c:f>
              <c:numCache>
                <c:formatCode>General</c:formatCode>
                <c:ptCount val="13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66708480"/>
        <c:axId val="-1266722080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6-4A6B-4C9B-BEA2-8EBE6A749D67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7-4A6B-4C9B-BEA2-8EBE6A749D67}"/>
                    </c:ext>
                  </c:extLst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weekly!$A$27:$A$40</c15:sqref>
                        </c15:fullRef>
                        <c15:formulaRef>
                          <c15:sqref>weekly!$A$28:$A$40</c15:sqref>
                        </c15:formulaRef>
                      </c:ext>
                    </c:extLst>
                    <c:strCache>
                      <c:ptCount val="13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266708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22080"/>
        <c:crosses val="autoZero"/>
        <c:auto val="1"/>
        <c:lblAlgn val="ctr"/>
        <c:lblOffset val="100"/>
        <c:noMultiLvlLbl val="0"/>
      </c:catAx>
      <c:valAx>
        <c:axId val="-1266722080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084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54-4089-9301-DA37CBEF2C51}"/>
                </c:ext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DC-4E3A-ABC2-D3DCFE8BB54A}"/>
                </c:ext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88-4582-B7D0-B01CB7080790}"/>
                </c:ext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11-4E6D-A106-256821490D09}"/>
                </c:ext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2C4-4FB7-B211-A54C5882FDF0}"/>
                </c:ext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8-42CB-9F2E-19ACCC3903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66719904"/>
        <c:axId val="-1266715008"/>
      </c:lineChart>
      <c:catAx>
        <c:axId val="-126671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5008"/>
        <c:crosses val="autoZero"/>
        <c:auto val="1"/>
        <c:lblAlgn val="ctr"/>
        <c:lblOffset val="100"/>
        <c:noMultiLvlLbl val="0"/>
      </c:catAx>
      <c:valAx>
        <c:axId val="-12667150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99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66717728"/>
        <c:axId val="-1266715552"/>
      </c:lineChart>
      <c:catAx>
        <c:axId val="-126671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5552"/>
        <c:crosses val="autoZero"/>
        <c:auto val="1"/>
        <c:lblAlgn val="ctr"/>
        <c:lblOffset val="100"/>
        <c:noMultiLvlLbl val="0"/>
      </c:catAx>
      <c:valAx>
        <c:axId val="-12667155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772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D-4537-93FF-04AD6F6C6719}"/>
                </c:ext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32-420B-B084-020FB4273E20}"/>
                </c:ext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AC-4035-A7C4-D69BBD3242C8}"/>
                </c:ext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7C-47CC-B96D-364BD1D2E00A}"/>
                </c:ext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94-4FCA-BCDE-40CAD4E064E6}"/>
                </c:ext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E4D-44AB-A995-EDAD42FDBE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66714464"/>
        <c:axId val="-1266713920"/>
      </c:lineChart>
      <c:catAx>
        <c:axId val="-126671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3920"/>
        <c:crosses val="autoZero"/>
        <c:auto val="1"/>
        <c:lblAlgn val="ctr"/>
        <c:lblOffset val="100"/>
        <c:noMultiLvlLbl val="0"/>
      </c:catAx>
      <c:valAx>
        <c:axId val="-12667139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144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13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8968-4F1B-A086-DF1C0B02E0A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8968-4F1B-A086-DF1C0B02E0A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weekly!$C$27:$C$40</c15:sqref>
                  </c15:fullRef>
                </c:ext>
              </c:extLst>
              <c:f>weekly!$C$28:$C$40</c:f>
              <c:numCache>
                <c:formatCode>General</c:formatCode>
                <c:ptCount val="13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8968-4F1B-A086-DF1C0B02E0A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8968-4F1B-A086-DF1C0B02E0A0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weekly!$I$27:$I$40</c15:sqref>
                  </c15:fullRef>
                </c:ext>
              </c:extLst>
              <c:f>weekly!$I$28:$I$40</c:f>
              <c:numCache>
                <c:formatCode>General</c:formatCode>
                <c:ptCount val="13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66730864"/>
        <c:axId val="-126673304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4-8968-4F1B-A086-DF1C0B02E0A0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5-8968-4F1B-A086-DF1C0B02E0A0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weekly!$A$27:$A$40</c15:sqref>
                        </c15:fullRef>
                        <c15:formulaRef>
                          <c15:sqref>weekly!$A$28:$A$40</c15:sqref>
                        </c15:formulaRef>
                      </c:ext>
                    </c:extLst>
                    <c:strCache>
                      <c:ptCount val="13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26673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33040"/>
        <c:crosses val="autoZero"/>
        <c:auto val="1"/>
        <c:lblAlgn val="ctr"/>
        <c:lblOffset val="100"/>
        <c:noMultiLvlLbl val="0"/>
      </c:catAx>
      <c:valAx>
        <c:axId val="-1266733040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308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266736848"/>
        <c:axId val="-1266729776"/>
      </c:barChart>
      <c:catAx>
        <c:axId val="-126673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29776"/>
        <c:crosses val="autoZero"/>
        <c:auto val="1"/>
        <c:lblAlgn val="ctr"/>
        <c:lblOffset val="100"/>
        <c:noMultiLvlLbl val="0"/>
      </c:catAx>
      <c:valAx>
        <c:axId val="-12667297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368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08 دی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60"/>
          <c:order val="6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change'!$F$142:$I$142</c:f>
              <c:numCache>
                <c:formatCode>General</c:formatCode>
                <c:ptCount val="4"/>
                <c:pt idx="0">
                  <c:v>0.57568574331188627</c:v>
                </c:pt>
                <c:pt idx="1">
                  <c:v>0.2687140115163148</c:v>
                </c:pt>
                <c:pt idx="2">
                  <c:v>0.21026399813098667</c:v>
                </c:pt>
                <c:pt idx="3">
                  <c:v>-0.18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1A-4FE5-A774-475380D2DA6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66735216"/>
        <c:axId val="-126672923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</c:ext>
        </c:extLst>
      </c:barChart>
      <c:catAx>
        <c:axId val="-126673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29232"/>
        <c:crosses val="autoZero"/>
        <c:auto val="1"/>
        <c:lblAlgn val="ctr"/>
        <c:lblOffset val="100"/>
        <c:noMultiLvlLbl val="0"/>
      </c:catAx>
      <c:valAx>
        <c:axId val="-12667292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6673521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595</xdr:row>
      <xdr:rowOff>102960</xdr:rowOff>
    </xdr:from>
    <xdr:to>
      <xdr:col>11</xdr:col>
      <xdr:colOff>279360</xdr:colOff>
      <xdr:row>625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175</xdr:row>
      <xdr:rowOff>27711</xdr:rowOff>
    </xdr:from>
    <xdr:to>
      <xdr:col>41</xdr:col>
      <xdr:colOff>533400</xdr:colOff>
      <xdr:row>280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311</xdr:row>
      <xdr:rowOff>0</xdr:rowOff>
    </xdr:from>
    <xdr:to>
      <xdr:col>82</xdr:col>
      <xdr:colOff>0</xdr:colOff>
      <xdr:row>387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630</xdr:row>
      <xdr:rowOff>0</xdr:rowOff>
    </xdr:from>
    <xdr:to>
      <xdr:col>13</xdr:col>
      <xdr:colOff>354240</xdr:colOff>
      <xdr:row>660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410</xdr:row>
      <xdr:rowOff>0</xdr:rowOff>
    </xdr:from>
    <xdr:to>
      <xdr:col>83</xdr:col>
      <xdr:colOff>533400</xdr:colOff>
      <xdr:row>509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58</xdr:row>
      <xdr:rowOff>76321</xdr:rowOff>
    </xdr:from>
    <xdr:to>
      <xdr:col>44</xdr:col>
      <xdr:colOff>533400</xdr:colOff>
      <xdr:row>157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232"/>
  <sheetViews>
    <sheetView topLeftCell="R1" zoomScaleNormal="100" workbookViewId="0">
      <selection activeCell="T17" sqref="T17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8.554687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58.44140625" style="157" customWidth="1"/>
    <col min="62" max="63" width="8.88671875" customWidth="1"/>
    <col min="64" max="64" width="9.109375" customWidth="1"/>
    <col min="65" max="66" width="8.554687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L217/G217</f>
        <v>25525.574323740966</v>
      </c>
      <c r="T1" s="3" t="s">
        <v>15</v>
      </c>
      <c r="U1" s="3">
        <f>M217/K217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6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5"/>
        <v>216972767800</v>
      </c>
      <c r="M211" s="149">
        <f t="shared" si="36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37"/>
        <v>10.208134147238361</v>
      </c>
      <c r="BO211" s="206"/>
      <c r="BP211" s="206"/>
      <c r="BQ211" s="206"/>
    </row>
    <row r="212" spans="2:69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5"/>
        <v>218038353300</v>
      </c>
      <c r="M212" s="149">
        <f t="shared" si="36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37"/>
        <v>9.7619310446333305</v>
      </c>
      <c r="BO212" s="206"/>
      <c r="BP212" s="206"/>
      <c r="BQ212" s="206"/>
    </row>
    <row r="213" spans="2:69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5"/>
        <v>230330832200</v>
      </c>
      <c r="M213" s="142">
        <f t="shared" si="36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37"/>
        <v>10.309809404665538</v>
      </c>
      <c r="BO213" s="150"/>
      <c r="BP213" s="150"/>
      <c r="BQ213" s="150"/>
    </row>
    <row r="214" spans="2:69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5"/>
        <v>217747418200</v>
      </c>
      <c r="M214" s="142">
        <f t="shared" si="36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</row>
    <row r="215" spans="2:69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5"/>
        <v>229729585400</v>
      </c>
      <c r="M215" s="142">
        <f t="shared" si="36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</row>
    <row r="216" spans="2:69" s="136" customFormat="1" ht="18">
      <c r="B216" s="131" t="s">
        <v>552</v>
      </c>
      <c r="C216" s="104">
        <v>9</v>
      </c>
      <c r="D216" s="137">
        <v>27148</v>
      </c>
      <c r="E216" s="136">
        <v>27179</v>
      </c>
      <c r="F216" s="136">
        <v>27132</v>
      </c>
      <c r="G216" s="208">
        <v>6541400</v>
      </c>
      <c r="H216" s="136">
        <v>30697</v>
      </c>
      <c r="I216" s="136">
        <v>30698</v>
      </c>
      <c r="J216" s="136">
        <v>30693</v>
      </c>
      <c r="K216" s="208">
        <v>581700</v>
      </c>
      <c r="L216" s="142">
        <f t="shared" si="35"/>
        <v>177481264800</v>
      </c>
      <c r="M216" s="142">
        <f t="shared" si="36"/>
        <v>17854118100</v>
      </c>
      <c r="N216" s="136">
        <v>27451</v>
      </c>
      <c r="O216" s="136">
        <v>31005</v>
      </c>
      <c r="P216" s="136">
        <v>27419</v>
      </c>
      <c r="Q216" s="136">
        <v>31038</v>
      </c>
      <c r="V216" s="136">
        <v>29920</v>
      </c>
      <c r="X216" s="136">
        <v>29920</v>
      </c>
      <c r="Y216" s="136">
        <v>33810</v>
      </c>
      <c r="Z216" s="138"/>
      <c r="AB216" s="137"/>
      <c r="AS216" s="137"/>
      <c r="AW216" s="137"/>
      <c r="BI216" s="177"/>
      <c r="BO216" s="151"/>
      <c r="BP216" s="151"/>
      <c r="BQ216" s="151"/>
    </row>
    <row r="217" spans="2:69" ht="18">
      <c r="D217" s="26"/>
      <c r="G217">
        <f>SUM(G2:G216)</f>
        <v>1507843699</v>
      </c>
      <c r="K217">
        <f>SUM(K2:K216)</f>
        <v>210358000</v>
      </c>
      <c r="L217" s="142">
        <f>SUM(L2:L216)</f>
        <v>38488576407409</v>
      </c>
      <c r="M217" s="142">
        <f>SUM(M2:M216)</f>
        <v>6182194847600</v>
      </c>
      <c r="Z217" s="25"/>
      <c r="AS217" s="26"/>
      <c r="AW217" s="30"/>
    </row>
    <row r="218" spans="2:69" ht="18">
      <c r="N218">
        <f>P208-N207</f>
        <v>52</v>
      </c>
      <c r="O218">
        <f>P212-N211</f>
        <v>-23</v>
      </c>
      <c r="V218">
        <f>X218/X214</f>
        <v>1.5238740264138165E-2</v>
      </c>
      <c r="X218">
        <f>X213-X214</f>
        <v>450</v>
      </c>
      <c r="Z218" s="25"/>
      <c r="AS218" s="26"/>
      <c r="AW218" s="30"/>
    </row>
    <row r="219" spans="2:69" ht="18">
      <c r="I219">
        <f>(G214-G217)/G214</f>
        <v>-187.200514110261</v>
      </c>
      <c r="J219">
        <f>J206-J205</f>
        <v>-347</v>
      </c>
      <c r="N219">
        <f t="shared" ref="N219:N228" si="38">N194-N193</f>
        <v>-180</v>
      </c>
      <c r="W219" s="152">
        <v>30120</v>
      </c>
      <c r="Y219">
        <f>X215-X214</f>
        <v>170</v>
      </c>
      <c r="Z219" s="25"/>
      <c r="AS219" s="26"/>
      <c r="AW219" s="30"/>
    </row>
    <row r="220" spans="2:69" ht="18">
      <c r="D220" s="93"/>
      <c r="N220">
        <f t="shared" si="38"/>
        <v>59</v>
      </c>
      <c r="V220" s="129"/>
      <c r="W220" s="152">
        <v>29920</v>
      </c>
      <c r="Z220" s="25"/>
      <c r="AW220" s="30"/>
    </row>
    <row r="221" spans="2:69" ht="17.25" customHeight="1">
      <c r="D221" s="93"/>
      <c r="N221">
        <f t="shared" si="38"/>
        <v>-16</v>
      </c>
      <c r="P221" t="s">
        <v>523</v>
      </c>
      <c r="Q221" t="s">
        <v>524</v>
      </c>
      <c r="V221" s="25"/>
      <c r="W221" s="152">
        <v>30150</v>
      </c>
      <c r="X221">
        <f>V215-X214</f>
        <v>190</v>
      </c>
      <c r="Z221" s="25"/>
    </row>
    <row r="222" spans="2:69" ht="18">
      <c r="D222" s="93"/>
      <c r="N222">
        <f t="shared" si="38"/>
        <v>-165</v>
      </c>
      <c r="O222" s="126" t="s">
        <v>503</v>
      </c>
      <c r="P222">
        <v>-178</v>
      </c>
      <c r="Q222">
        <v>-180</v>
      </c>
      <c r="V222" s="25"/>
      <c r="W222" s="152">
        <v>30250</v>
      </c>
      <c r="Z222" s="25"/>
    </row>
    <row r="223" spans="2:69" ht="18">
      <c r="D223" s="93"/>
      <c r="H223">
        <f>(27376-26532)/26532</f>
        <v>3.1810643750942259E-2</v>
      </c>
      <c r="N223">
        <f t="shared" si="38"/>
        <v>50</v>
      </c>
      <c r="O223" s="132" t="s">
        <v>505</v>
      </c>
      <c r="P223">
        <v>59</v>
      </c>
      <c r="Q223">
        <v>59</v>
      </c>
      <c r="V223" s="25"/>
      <c r="W223" s="152">
        <v>30340</v>
      </c>
    </row>
    <row r="224" spans="2:69" ht="18">
      <c r="D224" s="93"/>
      <c r="N224">
        <f t="shared" si="38"/>
        <v>-15</v>
      </c>
      <c r="O224" s="132" t="s">
        <v>507</v>
      </c>
      <c r="P224">
        <v>-17</v>
      </c>
      <c r="Q224">
        <v>-16</v>
      </c>
      <c r="V224" s="25">
        <f>X213-V214</f>
        <v>180</v>
      </c>
      <c r="W224" s="152">
        <v>30250</v>
      </c>
    </row>
    <row r="225" spans="4:25" ht="18">
      <c r="D225" s="107"/>
      <c r="N225">
        <f t="shared" si="38"/>
        <v>-12</v>
      </c>
      <c r="O225" s="132" t="s">
        <v>509</v>
      </c>
      <c r="P225">
        <v>-163</v>
      </c>
      <c r="Q225">
        <v>-165</v>
      </c>
      <c r="W225" s="144">
        <f>SUM(W219:W224)/6</f>
        <v>30171.666666666668</v>
      </c>
    </row>
    <row r="226" spans="4:25" ht="18">
      <c r="D226" s="107"/>
      <c r="N226">
        <f t="shared" si="38"/>
        <v>-137</v>
      </c>
      <c r="O226" s="132" t="s">
        <v>511</v>
      </c>
      <c r="P226">
        <v>50</v>
      </c>
      <c r="Q226">
        <v>50</v>
      </c>
      <c r="W226" s="144"/>
      <c r="X226" s="109"/>
    </row>
    <row r="227" spans="4:25" ht="18">
      <c r="D227" s="113"/>
      <c r="N227">
        <f t="shared" si="38"/>
        <v>-138</v>
      </c>
      <c r="O227" s="145" t="s">
        <v>513</v>
      </c>
      <c r="P227">
        <v>-15</v>
      </c>
      <c r="Q227">
        <v>-15</v>
      </c>
      <c r="W227" s="144"/>
      <c r="X227" s="109"/>
      <c r="Y227">
        <f>(W225-X215)/X215</f>
        <v>1.5881032547699254E-2</v>
      </c>
    </row>
    <row r="228" spans="4:25" ht="18">
      <c r="D228" s="107"/>
      <c r="G228" s="9"/>
      <c r="N228">
        <f t="shared" si="38"/>
        <v>-43</v>
      </c>
      <c r="O228" s="145" t="s">
        <v>515</v>
      </c>
      <c r="P228">
        <v>-12</v>
      </c>
      <c r="Q228">
        <v>-12</v>
      </c>
      <c r="X228" s="109"/>
    </row>
    <row r="229" spans="4:25" ht="18">
      <c r="D229" s="103"/>
      <c r="G229" s="9"/>
      <c r="N229">
        <f>N217-N203</f>
        <v>-27379</v>
      </c>
      <c r="O229" s="148" t="s">
        <v>517</v>
      </c>
      <c r="P229">
        <v>-136</v>
      </c>
      <c r="Q229">
        <v>-137</v>
      </c>
      <c r="X229" s="109"/>
    </row>
    <row r="230" spans="4:25" ht="18">
      <c r="G230" s="9"/>
      <c r="O230" s="145" t="s">
        <v>519</v>
      </c>
      <c r="P230">
        <v>-137</v>
      </c>
      <c r="Q230">
        <v>-138</v>
      </c>
      <c r="X230" s="109"/>
    </row>
    <row r="231" spans="4:25" ht="18">
      <c r="G231" s="9"/>
      <c r="O231" s="131" t="s">
        <v>521</v>
      </c>
      <c r="P231">
        <v>-42</v>
      </c>
      <c r="Q231">
        <v>-43</v>
      </c>
      <c r="X231" s="109"/>
    </row>
    <row r="232" spans="4:25" ht="18">
      <c r="G232" s="9"/>
    </row>
  </sheetData>
  <autoFilter ref="A1:BN219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3"/>
  <sheetViews>
    <sheetView tabSelected="1" topLeftCell="B1" zoomScale="85" zoomScaleNormal="85" workbookViewId="0">
      <selection activeCell="C20" sqref="C20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2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5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5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5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5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5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5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5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5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5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5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5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5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5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5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5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5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>
      <c r="B41">
        <f>(B2-B8)/B2</f>
        <v>0.15346494762288476</v>
      </c>
      <c r="C41">
        <f>(C2-C8)/C2</f>
        <v>0.1154959674639829</v>
      </c>
      <c r="D41">
        <f>SUM(D2:D39)/38</f>
        <v>37702089.447368421</v>
      </c>
    </row>
    <row r="43" spans="1:11">
      <c r="E43">
        <f>(D39-D41)/D41</f>
        <v>0.21324840799221964</v>
      </c>
      <c r="J43">
        <f>(D36-D35)/D35</f>
        <v>-0.50773339408667473</v>
      </c>
    </row>
    <row r="44" spans="1:11">
      <c r="F44">
        <f>(F36-F35)/F35</f>
        <v>-0.62892307692307692</v>
      </c>
    </row>
    <row r="45" spans="1:11">
      <c r="D45">
        <v>5375132</v>
      </c>
      <c r="E45">
        <f>(E17-D45)/D45</f>
        <v>4.5958809321644006E-2</v>
      </c>
      <c r="G45">
        <f t="shared" ref="G45:G53" si="2">B3-B2</f>
        <v>-554</v>
      </c>
    </row>
    <row r="46" spans="1:11">
      <c r="G46">
        <f t="shared" si="2"/>
        <v>-302</v>
      </c>
    </row>
    <row r="47" spans="1:11">
      <c r="C47">
        <f>(D45-E16)/E16</f>
        <v>0.17110375179746395</v>
      </c>
      <c r="G47">
        <f t="shared" si="2"/>
        <v>-511</v>
      </c>
    </row>
    <row r="48" spans="1:11">
      <c r="G48">
        <f t="shared" si="2"/>
        <v>-362</v>
      </c>
    </row>
    <row r="49" spans="6:10">
      <c r="G49">
        <f t="shared" si="2"/>
        <v>-1699</v>
      </c>
    </row>
    <row r="50" spans="6:10">
      <c r="G50">
        <f t="shared" si="2"/>
        <v>-381</v>
      </c>
    </row>
    <row r="51" spans="6:10">
      <c r="G51">
        <f t="shared" si="2"/>
        <v>1075</v>
      </c>
    </row>
    <row r="52" spans="6:10">
      <c r="F52">
        <f>(F33-F32)/F32</f>
        <v>0.23948268173034043</v>
      </c>
      <c r="G52">
        <f t="shared" si="2"/>
        <v>151</v>
      </c>
      <c r="J52">
        <f>(F34-F35)/F34</f>
        <v>0.13877341459779063</v>
      </c>
    </row>
    <row r="53" spans="6:10">
      <c r="G53">
        <f t="shared" si="2"/>
        <v>1043</v>
      </c>
    </row>
  </sheetData>
  <autoFilter ref="A1:K53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850"/>
  <sheetViews>
    <sheetView topLeftCell="A1830" zoomScaleNormal="100" workbookViewId="0">
      <selection activeCell="C1848" sqref="C1848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6" max="6" width="12.33203125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210" t="s">
        <v>246</v>
      </c>
      <c r="B1" s="210"/>
      <c r="C1" s="210"/>
      <c r="D1" s="210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0" t="s">
        <v>256</v>
      </c>
      <c r="B11" s="210"/>
      <c r="C11" s="210"/>
      <c r="D11" s="210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0" t="s">
        <v>258</v>
      </c>
      <c r="B21" s="210"/>
      <c r="C21" s="210"/>
      <c r="D21" s="210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0" t="s">
        <v>259</v>
      </c>
      <c r="B31" s="210"/>
      <c r="C31" s="210"/>
      <c r="D31" s="210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0" t="s">
        <v>260</v>
      </c>
      <c r="B41" s="210"/>
      <c r="C41" s="210"/>
      <c r="D41" s="210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0" t="s">
        <v>262</v>
      </c>
      <c r="B51" s="210"/>
      <c r="C51" s="210"/>
      <c r="D51" s="210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0" t="s">
        <v>263</v>
      </c>
      <c r="B61" s="210"/>
      <c r="C61" s="210"/>
      <c r="D61" s="210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0" t="s">
        <v>264</v>
      </c>
      <c r="B71" s="210"/>
      <c r="C71" s="210"/>
      <c r="D71" s="210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0" t="s">
        <v>265</v>
      </c>
      <c r="B81" s="210"/>
      <c r="C81" s="210"/>
      <c r="D81" s="210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0" t="s">
        <v>269</v>
      </c>
      <c r="B93" s="210"/>
      <c r="C93" s="210"/>
      <c r="D93" s="210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0" t="s">
        <v>270</v>
      </c>
      <c r="B103" s="210"/>
      <c r="C103" s="210"/>
      <c r="D103" s="210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0" t="s">
        <v>272</v>
      </c>
      <c r="B113" s="210"/>
      <c r="C113" s="210"/>
      <c r="D113" s="210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0" t="s">
        <v>273</v>
      </c>
      <c r="B123" s="210"/>
      <c r="C123" s="210"/>
      <c r="D123" s="210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0" t="s">
        <v>274</v>
      </c>
      <c r="B133" s="210"/>
      <c r="C133" s="210"/>
      <c r="D133" s="210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0" t="s">
        <v>275</v>
      </c>
      <c r="B143" s="210"/>
      <c r="C143" s="210"/>
      <c r="D143" s="210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0" t="s">
        <v>277</v>
      </c>
      <c r="B153" s="210"/>
      <c r="C153" s="210"/>
      <c r="D153" s="210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0" t="s">
        <v>278</v>
      </c>
      <c r="B163" s="210"/>
      <c r="C163" s="210"/>
      <c r="D163" s="210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0" t="s">
        <v>279</v>
      </c>
      <c r="B173" s="210"/>
      <c r="C173" s="210"/>
      <c r="D173" s="210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0" t="s">
        <v>280</v>
      </c>
      <c r="B183" s="210"/>
      <c r="C183" s="210"/>
      <c r="D183" s="210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0" t="s">
        <v>281</v>
      </c>
      <c r="B193" s="210"/>
      <c r="C193" s="210"/>
      <c r="D193" s="210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0" t="s">
        <v>282</v>
      </c>
      <c r="B203" s="210"/>
      <c r="C203" s="210"/>
      <c r="D203" s="210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0" t="s">
        <v>283</v>
      </c>
      <c r="B213" s="210"/>
      <c r="C213" s="210"/>
      <c r="D213" s="210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0" t="s">
        <v>284</v>
      </c>
      <c r="B223" s="210"/>
      <c r="C223" s="210"/>
      <c r="D223" s="210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0" t="s">
        <v>285</v>
      </c>
      <c r="B233" s="210"/>
      <c r="C233" s="210"/>
      <c r="D233" s="210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0" t="s">
        <v>286</v>
      </c>
      <c r="B243" s="210"/>
      <c r="C243" s="210"/>
      <c r="D243" s="210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0" t="s">
        <v>287</v>
      </c>
      <c r="B253" s="210"/>
      <c r="C253" s="210"/>
      <c r="D253" s="210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0" t="s">
        <v>288</v>
      </c>
      <c r="B263" s="210"/>
      <c r="C263" s="210"/>
      <c r="D263" s="210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0" t="s">
        <v>289</v>
      </c>
      <c r="B273" s="210"/>
      <c r="C273" s="210"/>
      <c r="D273" s="210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0" t="s">
        <v>290</v>
      </c>
      <c r="B283" s="210"/>
      <c r="C283" s="210"/>
      <c r="D283" s="210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0" t="s">
        <v>291</v>
      </c>
      <c r="B293" s="210"/>
      <c r="C293" s="210"/>
      <c r="D293" s="210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0" t="s">
        <v>292</v>
      </c>
      <c r="B303" s="210"/>
      <c r="C303" s="210"/>
      <c r="D303" s="210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0" t="s">
        <v>296</v>
      </c>
      <c r="B313" s="210"/>
      <c r="C313" s="210"/>
      <c r="D313" s="210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0" t="s">
        <v>300</v>
      </c>
      <c r="B324" s="210"/>
      <c r="C324" s="210"/>
      <c r="D324" s="210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0" t="s">
        <v>303</v>
      </c>
      <c r="B335" s="210"/>
      <c r="C335" s="210"/>
      <c r="D335" s="210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0" t="s">
        <v>304</v>
      </c>
      <c r="B346" s="210"/>
      <c r="C346" s="210"/>
      <c r="D346" s="210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0" t="s">
        <v>305</v>
      </c>
      <c r="B357" s="210"/>
      <c r="C357" s="210"/>
      <c r="D357" s="210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0" t="s">
        <v>306</v>
      </c>
      <c r="B368" s="210"/>
      <c r="C368" s="210"/>
      <c r="D368" s="210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0" t="s">
        <v>307</v>
      </c>
      <c r="B379" s="210"/>
      <c r="C379" s="210"/>
      <c r="D379" s="210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0" t="s">
        <v>308</v>
      </c>
      <c r="B390" s="210"/>
      <c r="C390" s="210"/>
      <c r="D390" s="210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0" t="s">
        <v>309</v>
      </c>
      <c r="B401" s="210"/>
      <c r="C401" s="210"/>
      <c r="D401" s="210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0" t="s">
        <v>310</v>
      </c>
      <c r="B412" s="210"/>
      <c r="C412" s="210"/>
      <c r="D412" s="210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0" t="s">
        <v>311</v>
      </c>
      <c r="B423" s="210"/>
      <c r="C423" s="210"/>
      <c r="D423" s="210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0" t="s">
        <v>315</v>
      </c>
      <c r="B434" s="210"/>
      <c r="C434" s="210"/>
      <c r="D434" s="210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0" t="s">
        <v>316</v>
      </c>
      <c r="B445" s="210"/>
      <c r="C445" s="210"/>
      <c r="D445" s="210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0" t="s">
        <v>317</v>
      </c>
      <c r="B456" s="210"/>
      <c r="C456" s="210"/>
      <c r="D456" s="210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0" t="s">
        <v>318</v>
      </c>
      <c r="B467" s="210"/>
      <c r="C467" s="210"/>
      <c r="D467" s="210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0" t="s">
        <v>319</v>
      </c>
      <c r="B478" s="210"/>
      <c r="C478" s="210"/>
      <c r="D478" s="210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0" t="s">
        <v>320</v>
      </c>
      <c r="B489" s="210"/>
      <c r="C489" s="210"/>
      <c r="D489" s="210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0" t="s">
        <v>323</v>
      </c>
      <c r="B500" s="210"/>
      <c r="C500" s="210"/>
      <c r="D500" s="210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0" t="s">
        <v>324</v>
      </c>
      <c r="B511" s="210"/>
      <c r="C511" s="210"/>
      <c r="D511" s="210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0" t="s">
        <v>325</v>
      </c>
      <c r="B522" s="210"/>
      <c r="C522" s="210"/>
      <c r="D522" s="210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0" t="s">
        <v>326</v>
      </c>
      <c r="B533" s="210"/>
      <c r="C533" s="210"/>
      <c r="D533" s="210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0" t="s">
        <v>327</v>
      </c>
      <c r="B544" s="210"/>
      <c r="C544" s="210"/>
      <c r="D544" s="210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0" t="s">
        <v>328</v>
      </c>
      <c r="B555" s="210"/>
      <c r="C555" s="210"/>
      <c r="D555" s="210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0" t="s">
        <v>328</v>
      </c>
      <c r="B567" s="210"/>
      <c r="C567" s="210"/>
      <c r="D567" s="210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0" t="s">
        <v>333</v>
      </c>
      <c r="B579" s="210"/>
      <c r="C579" s="210"/>
      <c r="D579" s="210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0" t="s">
        <v>334</v>
      </c>
      <c r="B590" s="210"/>
      <c r="C590" s="210"/>
      <c r="D590" s="210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0" t="s">
        <v>335</v>
      </c>
      <c r="B601" s="210"/>
      <c r="C601" s="210"/>
      <c r="D601" s="210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0" t="s">
        <v>336</v>
      </c>
      <c r="B612" s="210"/>
      <c r="C612" s="210"/>
      <c r="D612" s="210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0" t="s">
        <v>337</v>
      </c>
      <c r="B623" s="210"/>
      <c r="C623" s="210"/>
      <c r="D623" s="210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0" t="s">
        <v>338</v>
      </c>
      <c r="B635" s="210"/>
      <c r="C635" s="210"/>
      <c r="D635" s="210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0" t="s">
        <v>340</v>
      </c>
      <c r="B647" s="210"/>
      <c r="C647" s="210"/>
      <c r="D647" s="210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0" t="s">
        <v>341</v>
      </c>
      <c r="B658" s="210"/>
      <c r="C658" s="210"/>
      <c r="D658" s="210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0" t="s">
        <v>342</v>
      </c>
      <c r="B670" s="210"/>
      <c r="C670" s="210"/>
      <c r="D670" s="210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0" t="s">
        <v>343</v>
      </c>
      <c r="B681" s="210"/>
      <c r="C681" s="210"/>
      <c r="D681" s="210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0" t="s">
        <v>344</v>
      </c>
      <c r="B692" s="210"/>
      <c r="C692" s="210"/>
      <c r="D692" s="210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0" t="s">
        <v>345</v>
      </c>
      <c r="B703" s="210"/>
      <c r="C703" s="210"/>
      <c r="D703" s="210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0" t="s">
        <v>348</v>
      </c>
      <c r="B715" s="210"/>
      <c r="C715" s="210"/>
      <c r="D715" s="210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0" t="s">
        <v>349</v>
      </c>
      <c r="B726" s="210"/>
      <c r="C726" s="210"/>
      <c r="D726" s="210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0" t="s">
        <v>350</v>
      </c>
      <c r="B738" s="210"/>
      <c r="C738" s="210"/>
      <c r="D738" s="210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0" t="s">
        <v>351</v>
      </c>
      <c r="B749" s="210"/>
      <c r="C749" s="210"/>
      <c r="D749" s="210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0" t="s">
        <v>352</v>
      </c>
      <c r="B760" s="210"/>
      <c r="C760" s="210"/>
      <c r="D760" s="210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0" t="s">
        <v>353</v>
      </c>
      <c r="B772" s="210"/>
      <c r="C772" s="210"/>
      <c r="D772" s="210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0" t="s">
        <v>355</v>
      </c>
      <c r="B784" s="210"/>
      <c r="C784" s="210"/>
      <c r="D784" s="210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0" t="s">
        <v>356</v>
      </c>
      <c r="B796" s="210"/>
      <c r="C796" s="210"/>
      <c r="D796" s="210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0" t="s">
        <v>357</v>
      </c>
      <c r="B809" s="210"/>
      <c r="C809" s="210"/>
      <c r="D809" s="210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0" t="s">
        <v>358</v>
      </c>
      <c r="B820" s="210"/>
      <c r="C820" s="210"/>
      <c r="D820" s="210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0" t="s">
        <v>359</v>
      </c>
      <c r="B831" s="210"/>
      <c r="C831" s="210"/>
      <c r="D831" s="210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0" t="s">
        <v>360</v>
      </c>
      <c r="B842" s="210"/>
      <c r="C842" s="210"/>
      <c r="D842" s="210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0" t="s">
        <v>361</v>
      </c>
      <c r="B854" s="210"/>
      <c r="C854" s="210"/>
      <c r="D854" s="210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0" t="s">
        <v>363</v>
      </c>
      <c r="B865" s="210"/>
      <c r="C865" s="210"/>
      <c r="D865" s="210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0" t="s">
        <v>364</v>
      </c>
      <c r="B876" s="210"/>
      <c r="C876" s="210"/>
      <c r="D876" s="210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0" t="s">
        <v>367</v>
      </c>
      <c r="B888" s="210"/>
      <c r="C888" s="210"/>
      <c r="D888" s="210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0" t="s">
        <v>368</v>
      </c>
      <c r="B901" s="210"/>
      <c r="C901" s="210"/>
      <c r="D901" s="210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0" t="s">
        <v>369</v>
      </c>
      <c r="B913" s="210"/>
      <c r="C913" s="210"/>
      <c r="D913" s="210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0" t="s">
        <v>370</v>
      </c>
      <c r="B925" s="210"/>
      <c r="C925" s="210"/>
      <c r="D925" s="210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0" t="s">
        <v>371</v>
      </c>
      <c r="B937" s="210"/>
      <c r="C937" s="210"/>
      <c r="D937" s="210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0" t="s">
        <v>372</v>
      </c>
      <c r="B949" s="210"/>
      <c r="C949" s="210"/>
      <c r="D949" s="210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0" t="s">
        <v>400</v>
      </c>
      <c r="B961" s="210"/>
      <c r="C961" s="210"/>
      <c r="D961" s="210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0" t="s">
        <v>402</v>
      </c>
      <c r="B974" s="210"/>
      <c r="C974" s="210"/>
      <c r="D974" s="210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0" t="s">
        <v>404</v>
      </c>
      <c r="B987" s="210"/>
      <c r="C987" s="210"/>
      <c r="D987" s="210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0" t="s">
        <v>405</v>
      </c>
      <c r="B1000" s="210"/>
      <c r="C1000" s="210"/>
      <c r="D1000" s="210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0" t="s">
        <v>408</v>
      </c>
      <c r="B1012" s="210"/>
      <c r="C1012" s="210"/>
      <c r="D1012" s="210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0" t="s">
        <v>410</v>
      </c>
      <c r="B1025" s="210"/>
      <c r="C1025" s="210"/>
      <c r="D1025" s="210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0" t="s">
        <v>413</v>
      </c>
      <c r="B1037" s="210"/>
      <c r="C1037" s="210"/>
      <c r="D1037" s="210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0" t="s">
        <v>415</v>
      </c>
      <c r="B1049" s="210"/>
      <c r="C1049" s="210"/>
      <c r="D1049" s="210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0" t="s">
        <v>417</v>
      </c>
      <c r="B1061" s="210"/>
      <c r="C1061" s="210"/>
      <c r="D1061" s="210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0" t="s">
        <v>419</v>
      </c>
      <c r="B1073" s="210"/>
      <c r="C1073" s="210"/>
      <c r="D1073" s="210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0" t="s">
        <v>421</v>
      </c>
      <c r="B1085" s="210"/>
      <c r="C1085" s="210"/>
      <c r="D1085" s="210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0" t="s">
        <v>423</v>
      </c>
      <c r="B1098" s="210"/>
      <c r="C1098" s="210"/>
      <c r="D1098" s="210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0" t="s">
        <v>426</v>
      </c>
      <c r="B1110" s="210"/>
      <c r="C1110" s="210"/>
      <c r="D1110" s="210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0" t="s">
        <v>428</v>
      </c>
      <c r="B1123" s="210"/>
      <c r="C1123" s="210"/>
      <c r="D1123" s="210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0" t="s">
        <v>430</v>
      </c>
      <c r="B1136" s="210"/>
      <c r="C1136" s="210"/>
      <c r="D1136" s="210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0" t="s">
        <v>432</v>
      </c>
      <c r="B1149" s="210"/>
      <c r="C1149" s="210"/>
      <c r="D1149" s="210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0" t="s">
        <v>434</v>
      </c>
      <c r="B1162" s="210"/>
      <c r="C1162" s="210"/>
      <c r="D1162" s="210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0" t="s">
        <v>437</v>
      </c>
      <c r="B1173" s="210"/>
      <c r="C1173" s="210"/>
      <c r="D1173" s="210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0" t="s">
        <v>439</v>
      </c>
      <c r="B1185" s="210"/>
      <c r="C1185" s="210"/>
      <c r="D1185" s="210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0" t="s">
        <v>441</v>
      </c>
      <c r="B1197" s="210"/>
      <c r="C1197" s="210"/>
      <c r="D1197" s="210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0" t="s">
        <v>443</v>
      </c>
      <c r="B1209" s="210"/>
      <c r="C1209" s="210"/>
      <c r="D1209" s="210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0" t="s">
        <v>445</v>
      </c>
      <c r="B1222" s="210"/>
      <c r="C1222" s="210"/>
      <c r="D1222" s="210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0" t="s">
        <v>447</v>
      </c>
      <c r="B1234" s="210"/>
      <c r="C1234" s="210"/>
      <c r="D1234" s="210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0" t="s">
        <v>449</v>
      </c>
      <c r="B1246" s="210"/>
      <c r="C1246" s="210"/>
      <c r="D1246" s="210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0" t="s">
        <v>452</v>
      </c>
      <c r="B1258" s="210"/>
      <c r="C1258" s="210"/>
      <c r="D1258" s="210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0" t="s">
        <v>454</v>
      </c>
      <c r="B1270" s="210"/>
      <c r="C1270" s="210"/>
      <c r="D1270" s="210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0" t="s">
        <v>456</v>
      </c>
      <c r="B1282" s="210"/>
      <c r="C1282" s="210"/>
      <c r="D1282" s="210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0" t="s">
        <v>458</v>
      </c>
      <c r="B1294" s="210"/>
      <c r="C1294" s="210"/>
      <c r="D1294" s="210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0" t="s">
        <v>460</v>
      </c>
      <c r="B1306" s="210"/>
      <c r="C1306" s="210"/>
      <c r="D1306" s="210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0" t="s">
        <v>462</v>
      </c>
      <c r="B1318" s="210"/>
      <c r="C1318" s="210"/>
      <c r="D1318" s="210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0" t="s">
        <v>464</v>
      </c>
      <c r="B1330" s="210"/>
      <c r="C1330" s="210"/>
      <c r="D1330" s="210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0" t="s">
        <v>467</v>
      </c>
      <c r="B1343" s="210"/>
      <c r="C1343" s="210"/>
      <c r="D1343" s="210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0" t="s">
        <v>469</v>
      </c>
      <c r="B1355" s="210"/>
      <c r="C1355" s="210"/>
      <c r="D1355" s="210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0" t="s">
        <v>471</v>
      </c>
      <c r="B1368" s="210"/>
      <c r="C1368" s="210"/>
      <c r="D1368" s="210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0" t="s">
        <v>473</v>
      </c>
      <c r="B1380" s="210"/>
      <c r="C1380" s="210"/>
      <c r="D1380" s="210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0" t="s">
        <v>476</v>
      </c>
      <c r="B1392" s="210"/>
      <c r="C1392" s="210"/>
      <c r="D1392" s="210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0" t="s">
        <v>478</v>
      </c>
      <c r="B1404" s="210"/>
      <c r="C1404" s="210"/>
      <c r="D1404" s="210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0" t="s">
        <v>479</v>
      </c>
      <c r="B1416" s="210"/>
      <c r="C1416" s="210"/>
      <c r="D1416" s="210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0" t="s">
        <v>480</v>
      </c>
      <c r="B1428" s="210"/>
      <c r="C1428" s="210"/>
      <c r="D1428" s="210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0" t="s">
        <v>481</v>
      </c>
      <c r="B1441" s="210"/>
      <c r="C1441" s="210"/>
      <c r="D1441" s="210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0" t="s">
        <v>482</v>
      </c>
      <c r="B1453" s="210"/>
      <c r="C1453" s="210"/>
      <c r="D1453" s="210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0" t="s">
        <v>489</v>
      </c>
      <c r="B1465" s="210"/>
      <c r="C1465" s="210"/>
      <c r="D1465" s="210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0" t="s">
        <v>491</v>
      </c>
      <c r="B1477" s="210"/>
      <c r="C1477" s="210"/>
      <c r="D1477" s="210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0" t="s">
        <v>493</v>
      </c>
      <c r="B1490" s="210"/>
      <c r="C1490" s="210"/>
      <c r="D1490" s="210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0" t="s">
        <v>495</v>
      </c>
      <c r="B1502" s="210"/>
      <c r="C1502" s="210"/>
      <c r="D1502" s="210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0" t="s">
        <v>497</v>
      </c>
      <c r="B1514" s="210"/>
      <c r="C1514" s="210"/>
      <c r="D1514" s="210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0" t="s">
        <v>499</v>
      </c>
      <c r="B1526" s="210"/>
      <c r="C1526" s="210"/>
      <c r="D1526" s="210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0" t="s">
        <v>502</v>
      </c>
      <c r="B1539" s="210"/>
      <c r="C1539" s="210"/>
      <c r="D1539" s="210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0" t="s">
        <v>504</v>
      </c>
      <c r="B1551" s="210"/>
      <c r="C1551" s="210"/>
      <c r="D1551" s="210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0" t="s">
        <v>506</v>
      </c>
      <c r="B1563" s="210"/>
      <c r="C1563" s="210"/>
      <c r="D1563" s="210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0" t="s">
        <v>508</v>
      </c>
      <c r="B1576" s="210"/>
      <c r="C1576" s="210"/>
      <c r="D1576" s="210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0" t="s">
        <v>510</v>
      </c>
      <c r="B1589" s="210"/>
      <c r="C1589" s="210"/>
      <c r="D1589" s="210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09" t="s">
        <v>510</v>
      </c>
      <c r="B1601" s="209"/>
      <c r="C1601" s="209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09" t="s">
        <v>510</v>
      </c>
      <c r="B1613" s="209"/>
      <c r="C1613" s="209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09" t="s">
        <v>514</v>
      </c>
      <c r="B1629" s="209"/>
      <c r="C1629" s="209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09" t="s">
        <v>516</v>
      </c>
      <c r="B1640" s="209"/>
      <c r="C1640" s="209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09" t="s">
        <v>518</v>
      </c>
      <c r="B1653" s="209"/>
      <c r="C1653" s="209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09" t="s">
        <v>520</v>
      </c>
      <c r="B1665" s="209"/>
      <c r="C1665" s="209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09" t="s">
        <v>522</v>
      </c>
      <c r="B1677" s="209"/>
      <c r="C1677" s="209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09" t="s">
        <v>526</v>
      </c>
      <c r="B1690" s="209"/>
      <c r="C1690" s="209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09" t="s">
        <v>529</v>
      </c>
      <c r="B1703" s="209"/>
      <c r="C1703" s="209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09" t="s">
        <v>531</v>
      </c>
      <c r="B1716" s="209"/>
      <c r="C1716" s="209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09" t="s">
        <v>533</v>
      </c>
      <c r="B1729" s="209"/>
      <c r="C1729" s="209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09" t="s">
        <v>536</v>
      </c>
      <c r="B1742" s="209"/>
      <c r="C1742" s="209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09" t="s">
        <v>538</v>
      </c>
      <c r="B1754" s="209"/>
      <c r="C1754" s="209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09" t="s">
        <v>540</v>
      </c>
      <c r="B1767" s="209"/>
      <c r="C1767" s="209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09" t="s">
        <v>542</v>
      </c>
      <c r="B1779" s="209"/>
      <c r="C1779" s="209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09" t="s">
        <v>545</v>
      </c>
      <c r="B1791" s="209"/>
      <c r="C1791" s="209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09" t="s">
        <v>547</v>
      </c>
      <c r="B1803" s="209"/>
      <c r="C1803" s="209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09" t="s">
        <v>549</v>
      </c>
      <c r="B1816" s="209"/>
      <c r="C1816" s="209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09" t="s">
        <v>551</v>
      </c>
      <c r="B1829" s="209"/>
      <c r="C1829" s="209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09" t="s">
        <v>553</v>
      </c>
      <c r="B1842" s="209"/>
      <c r="C1842" s="209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</sheetData>
  <mergeCells count="160"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53:D1453"/>
    <mergeCell ref="A1803:C1803"/>
    <mergeCell ref="A1563:D1563"/>
    <mergeCell ref="A1767:C1767"/>
    <mergeCell ref="A1441:D1441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842:C1842"/>
    <mergeCell ref="A1816:C1816"/>
    <mergeCell ref="A1791:C1791"/>
    <mergeCell ref="A1779:C1779"/>
    <mergeCell ref="A1754:C1754"/>
    <mergeCell ref="A1742:C1742"/>
    <mergeCell ref="A1729:C1729"/>
    <mergeCell ref="A1716:C1716"/>
    <mergeCell ref="A1703:C1703"/>
    <mergeCell ref="A1829:C1829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B8" sqref="B8"/>
    </sheetView>
  </sheetViews>
  <sheetFormatPr defaultColWidth="8.5546875" defaultRowHeight="14.4"/>
  <cols>
    <col min="1" max="1" width="23.6640625" style="82" customWidth="1"/>
    <col min="2" max="2" width="22.109375" style="82" customWidth="1"/>
    <col min="3" max="3" width="22.5546875" style="82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211" t="s">
        <v>373</v>
      </c>
      <c r="B1" s="211"/>
      <c r="C1" s="211"/>
    </row>
    <row r="2" spans="1:6" ht="24.9" customHeight="1">
      <c r="A2" s="83"/>
      <c r="B2" s="83" t="s">
        <v>374</v>
      </c>
      <c r="C2" s="83" t="s">
        <v>375</v>
      </c>
    </row>
    <row r="3" spans="1:6" ht="24.9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42"/>
  <sheetViews>
    <sheetView topLeftCell="A127" zoomScale="85" zoomScaleNormal="85" workbookViewId="0">
      <selection activeCell="B143" sqref="B143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4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42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42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2021-12-30T14:18:57Z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