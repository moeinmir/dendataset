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set'!$BN$1:$BN$213</definedName>
    <definedName name="_xlnm._FilterDatabase" localSheetId="1" hidden="1">weekly!$A$1:$K$50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N197" i="1" l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1" i="2" l="1"/>
  <c r="J40" i="2"/>
  <c r="G36" i="2"/>
  <c r="E36" i="2"/>
  <c r="M190" i="1" l="1"/>
  <c r="H122" i="5" l="1"/>
  <c r="G122" i="5"/>
  <c r="F122" i="5"/>
  <c r="H121" i="5" l="1"/>
  <c r="G121" i="5"/>
  <c r="F121" i="5"/>
  <c r="L190" i="1"/>
  <c r="T200" i="1" l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9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9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0" i="2"/>
  <c r="G49" i="2"/>
  <c r="G48" i="2"/>
  <c r="G47" i="2"/>
  <c r="G46" i="2"/>
  <c r="G45" i="2"/>
  <c r="G44" i="2"/>
  <c r="G43" i="2"/>
  <c r="G42" i="2"/>
  <c r="D38" i="2"/>
  <c r="C38" i="2"/>
  <c r="B3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2" i="2" s="1"/>
  <c r="G16" i="2"/>
  <c r="E16" i="2"/>
  <c r="C4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<sst xmlns="http://schemas.openxmlformats.org/spreadsheetml/2006/main" count="1748" uniqueCount="512">
  <si>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</si>
  <si>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</si>
  <si>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</si>
  <si>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</si>
  <si>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</si>
  <si>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</si>
  <si>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</si>
  <si>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</si>
  <si>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</si>
  <si>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</si>
  <si>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</si>
  <si>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</si>
  <si>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</si>
  <si>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</si>
  <si>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</si>
  <si>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</si>
  <si>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</si>
  <si>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</si>
  <si>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</si>
  <si>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</si>
  <si>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</si>
  <si>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</si>
  <si>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</si>
  <si>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</si>
  <si>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</si>
  <si>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</si>
  <si>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</si>
  <si>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</si>
  <si>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</si>
  <si>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</si>
  <si>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</si>
  <si>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</si>
  <si>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</si>
  <si>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</si>
  <si>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</si>
  <si>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</si>
  <si>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</si>
  <si>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</si>
  <si>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</si>
  <si>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</si>
  <si>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</si>
  <si>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</si>
  <si>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</si>
  <si>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</si>
  <si>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</si>
  <si>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</si>
  <si>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</si>
  <si>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</si>
  <si>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</si>
  <si>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</si>
  <si>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</si>
  <si>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</si>
  <si>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</si>
  <si>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</si>
  <si>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</si>
  <si>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</si>
  <si>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</si>
  <si>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</si>
  <si>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</si>
  <si>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</si>
  <si>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</si>
  <si>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</si>
  <si>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</si>
  <si>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</si>
  <si>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</si>
  <si>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</si>
  <si>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</si>
  <si>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</si>
  <si>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</si>
  <si>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</si>
  <si>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</si>
  <si>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</si>
  <si>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</si>
  <si>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</si>
  <si>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</si>
  <si>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</si>
  <si>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</si>
  <si>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</si>
  <si>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</si>
  <si>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</si>
  <si>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</si>
  <si>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</si>
  <si>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</si>
  <si>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</si>
  <si>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</si>
  <si>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</si>
  <si>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</si>
  <si>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</si>
  <si>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</si>
  <si>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</si>
  <si>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</si>
  <si>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</si>
  <si>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</si>
  <si>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</si>
  <si>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</si>
  <si>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</si>
  <si>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</si>
  <si>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</si>
  <si>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</si>
  <si>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</si>
  <si>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</si>
  <si>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</si>
  <si>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</si>
  <si>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</si>
  <si>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</si>
  <si>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</si>
  <si>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</si>
  <si>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</si>
  <si>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</si>
  <si>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</si>
  <si>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</si>
  <si>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</si>
  <si>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</si>
  <si>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</si>
  <si>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</si>
  <si>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</si>
  <si>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</si>
  <si>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</si>
  <si>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</si>
  <si>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</si>
  <si>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</si>
  <si>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</si>
  <si>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</si>
  <si>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</si>
  <si>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</si>
  <si>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</si>
  <si>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</si>
  <si>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</si>
  <si>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</si>
  <si>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</si>
  <si>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</si>
  <si>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</si>
  <si>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</si>
  <si>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</si>
  <si>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</si>
  <si>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</si>
  <si>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</si>
  <si>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</si>
  <si>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</si>
  <si>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</si>
  <si>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</si>
  <si>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</si>
  <si>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</si>
  <si>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</si>
  <si>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</si>
  <si>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</si>
  <si>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</si>
  <si>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</si>
  <si>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</si>
  <si>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</si>
  <si>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</si>
  <si>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</si>
  <si>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</si>
  <si>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</si>
  <si>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</si>
  <si>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</si>
  <si>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</si>
  <si>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</si>
  <si>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</si>
  <si>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</si>
  <si>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</si>
  <si>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</si>
  <si>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</si>
  <si>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</si>
  <si>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</si>
  <si>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</si>
  <si>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</si>
  <si>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</si>
  <si>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</si>
  <si>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</si>
  <si>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</si>
  <si>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</si>
  <si>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</si>
  <si>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</si>
  <si>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</si>
  <si>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</si>
  <si>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</si>
  <si>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</si>
  <si>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</si>
  <si>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</si>
  <si>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</si>
  <si>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</si>
  <si>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</si>
  <si>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</si>
  <si>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</si>
  <si>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</si>
  <si>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</si>
  <si>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</si>
  <si>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</si>
  <si>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</si>
  <si>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</si>
  <si>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</si>
  <si>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</si>
  <si>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</si>
  <si>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</si>
  <si>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</si>
  <si>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</si>
  <si>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</si>
  <si>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</si>
  <si>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</si>
  <si>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</si>
  <si>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</si>
  <si>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</si>
  <si>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</si>
  <si>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</si>
  <si>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</si>
  <si>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</si>
  <si>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</si>
  <si>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</si>
  <si>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</si>
  <si>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</si>
  <si>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</si>
  <si>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</si>
  <si>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</si>
  <si>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</si>
  <si>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</si>
  <si>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</si>
  <si>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</si>
  <si>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</si>
  <si>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</si>
  <si>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</si>
  <si>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</si>
  <si>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</si>
  <si>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</si>
  <si>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</si>
  <si>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</si>
  <si>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</si>
  <si>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</si>
  <si>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</si>
  <si>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</si>
  <si>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</si>
  <si>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</si>
  <si>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</si>
  <si>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</si>
  <si>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</si>
  <si>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</si>
  <si>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</si>
  <si>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</si>
  <si>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</si>
  <si>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</si>
  <si>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</si>
  <si>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</si>
  <si>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</si>
  <si>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</si>
  <si>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</si>
  <si>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</si>
  <si>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</si>
  <si>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</si>
  <si>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</si>
  <si>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</si>
  <si>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</si>
  <si>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</si>
  <si>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</si>
  <si>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</si>
  <si>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</si>
  <si>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</si>
  <si>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</si>
  <si>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</si>
  <si>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</si>
  <si>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</si>
  <si>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</si>
  <si>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</si>
  <si>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</si>
  <si>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</si>
  <si>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</si>
  <si>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</si>
  <si>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</si>
  <si>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</si>
  <si>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</si>
  <si>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</si>
  <si>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</si>
  <si>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</si>
  <si>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</si>
  <si>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</si>
  <si>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</si>
  <si>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</si>
  <si>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</si>
  <si>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</si>
  <si>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</si>
  <si>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</si>
  <si>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</si>
  <si>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</si>
  <si>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</si>
  <si>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</si>
  <si>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</si>
  <si>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</si>
  <si>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</si>
  <si>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</si>
  <si>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</si>
  <si>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</si>
  <si>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</si>
  <si>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</si>
  <si>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</si>
  <si>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</si>
  <si>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</si>
  <si>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</si>
  <si>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</si>
  <si>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</si>
  <si>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</si>
  <si>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</si>
  <si>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</si>
  <si>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</si>
  <si>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</si>
  <si>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</si>
  <si>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</si>
  <si>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</si>
  <si>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</si>
  <si>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</si>
  <si>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</si>
  <si>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</si>
  <si>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</si>
  <si>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</si>
  <si>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</si>
  <si>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</si>
  <si>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</si>
  <si>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</si>
  <si>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</si>
  <si>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</si>
  <si>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</si>
  <si>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</si>
  <si>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</si>
  <si>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</si>
  <si>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</si>
  <si>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</si>
  <si>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</si>
  <si>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</si>
  <si>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</si>
  <si>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</si>
  <si>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</si>
  <si>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</si>
  <si>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</si>
  <si>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</si>
  <si>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</si>
  <si>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</si>
  <si>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</si>
  <si>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</si>
  <si>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</si>
  <si>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</si>
  <si>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</si>
  <si>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</si>
  <si>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</si>
  <si>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</si>
  <si>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</si>
  <si>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</si>
  <si>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</si>
  <si>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</si>
  <si>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</si>
  <si>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</si>
  <si>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</si>
  <si>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</si>
  <si>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</si>
  <si>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</si>
  <si>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</si>
  <si>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</si>
  <si>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</si>
  <si>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</si>
  <si>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</si>
  <si>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</si>
  <si>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</si>
  <si>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</si>
  <si>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</si>
  <si>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</si>
  <si>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</si>
  <si>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</si>
  <si>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</si>
  <si>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</si>
  <si>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</si>
  <si>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</si>
  <si>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</si>
  <si>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</si>
  <si>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</si>
  <si>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</si>
  <si>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</si>
  <si>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</si>
  <si>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</si>
  <si>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</si>
  <si>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</si>
  <si>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</si>
  <si>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</si>
  <si>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</si>
  <si>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</si>
  <si>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</si>
  <si>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</si>
  <si>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</si>
  <si>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</si>
  <si>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</si>
  <si>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</si>
  <si>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</si>
  <si>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</si>
  <si>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</si>
  <si>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</si>
  <si>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</si>
  <si>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</si>
  <si>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</si>
  <si>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</si>
  <si>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</si>
  <si>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</si>
  <si>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</si>
  <si>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</si>
  <si>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</si>
  <si>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</si>
  <si>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</si>
  <si>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</si>
  <si>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</si>
  <si>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</si>
  <si>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</si>
  <si>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</si>
  <si>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</si>
  <si>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</si>
  <si>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</si>
  <si>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</si>
  <si>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</si>
  <si>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</si>
  <si>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</si>
  <si>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</si>
  <si>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</si>
  <si>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</si>
  <si>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</si>
  <si>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</si>
  <si>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</si>
  <si>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</si>
  <si>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</si>
  <si>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</si>
  <si>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</si>
  <si>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</si>
  <si>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</si>
  <si>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</si>
  <si>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</si>
  <si>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</si>
  <si>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</si>
  <si>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</si>
  <si>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</si>
  <si>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</si>
  <si>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</si>
  <si>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</si>
  <si>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</si>
  <si>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</si>
  <si>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</si>
  <si>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</si>
  <si>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</si>
  <si>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</si>
  <si>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</si>
  <si>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</si>
  <si>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</si>
  <si>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</si>
  <si>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</si>
  <si>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</si>
  <si>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</si>
  <si>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</si>
  <si>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</si>
  <si>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</si>
  <si>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</si>
  <si>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</si>
  <si>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</si>
  <si>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</si>
  <si>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</si>
  <si>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</si>
  <si>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</si>
  <si>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</si>
  <si>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</si>
  <si>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</si>
  <si>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</si>
  <si>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</si>
  <si>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</si>
  <si>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</si>
  <si>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</si>
  <si>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</si>
  <si>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</si>
  <si>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</si>
  <si>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</si>
  <si>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</si>
  <si>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</si>
  <si>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</si>
  <si>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</si>
  <si>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</si>
  <si>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</si>
  <si>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</si>
  <si>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</si>
  <si>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</si>
  <si>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</si>
  <si>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</si>
  <si>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</si>
  <si>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</si>
  <si>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</si>
  <si>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</si>
  <si>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</si>
  <si>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</si>
  <si>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</si>
  <si>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</si>
  <si>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</si>
  <si>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</si>
  <si>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</si>
  <si>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</si>
  <si>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</si>
  <si>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</si>
  <si>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</si>
  <si>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</si>
  <si>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</si>
  <si>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</si>
  <si>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</si>
  <si>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</si>
  <si>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</si>
  <si>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</si>
  <si>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</si>
  <si>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</si>
  <si>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</si>
  <si>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</si>
  <si>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itji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</si>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</sst>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1" fillId="14" borderId="2" xfId="0" applyFont="1" applyFill="1" applyBorder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1" fillId="14" borderId="0" xfId="0" applyFont="1" applyFill="1" applyBorder="1"/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1792"/>
        <c:axId val="1766186144"/>
      </c:lineChart>
      <c:catAx>
        <c:axId val="176618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6144"/>
        <c:crosses val="autoZero"/>
        <c:auto val="1"/>
        <c:lblAlgn val="ctr"/>
        <c:lblOffset val="100"/>
        <c:noMultiLvlLbl val="0"/>
      </c:catAx>
      <c:valAx>
        <c:axId val="1766186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1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weekly!$B$27:$B$36</c15:sqref>
                  </c15:fullRef>
                </c:ext>
              </c:extLst>
              <c:f>weekly!$B$28:$B$36</c:f>
              <c:numCache>
                <c:formatCode>General</c:formatCode>
                <c:ptCount val="9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weekly!$H$27:$H$36</c15:sqref>
                  </c15:fullRef>
                </c:ext>
              </c:extLst>
              <c:f>weekly!$H$28:$H$36</c:f>
              <c:numCache>
                <c:formatCode>General</c:formatCode>
                <c:ptCount val="9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weekly!$J$27:$J$36</c15:sqref>
                  </c15:fullRef>
                </c:ext>
              </c:extLst>
              <c:f>weekly!$J$28:$J$36</c:f>
              <c:numCache>
                <c:formatCode>General</c:formatCode>
                <c:ptCount val="9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  <c:pt idx="8">
                  <c:v>29273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6688"/>
        <c:axId val="1766187232"/>
      </c:lineChart>
      <c:catAx>
        <c:axId val="176618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7232"/>
        <c:crosses val="autoZero"/>
        <c:auto val="1"/>
        <c:lblAlgn val="ctr"/>
        <c:lblOffset val="100"/>
        <c:noMultiLvlLbl val="0"/>
      </c:catAx>
      <c:valAx>
        <c:axId val="176618723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ششم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weekly!$D$2:$D$36</c:f>
              <c:numCache>
                <c:formatCode>General</c:formatCode>
                <c:ptCount val="3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8320"/>
        <c:axId val="1766188864"/>
      </c:lineChart>
      <c:catAx>
        <c:axId val="176618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8864"/>
        <c:crosses val="autoZero"/>
        <c:auto val="1"/>
        <c:lblAlgn val="ctr"/>
        <c:lblOffset val="100"/>
        <c:noMultiLvlLbl val="0"/>
      </c:catAx>
      <c:valAx>
        <c:axId val="176618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8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89408"/>
        <c:axId val="1766189952"/>
      </c:lineChart>
      <c:catAx>
        <c:axId val="176618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9952"/>
        <c:crosses val="autoZero"/>
        <c:auto val="1"/>
        <c:lblAlgn val="ctr"/>
        <c:lblOffset val="100"/>
        <c:noMultiLvlLbl val="0"/>
      </c:catAx>
      <c:valAx>
        <c:axId val="17661899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894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ششم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weekly!$A$2:$A$36</c:f>
              <c:strCache>
                <c:ptCount val="35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</c:strCache>
            </c:strRef>
          </c:cat>
          <c:val>
            <c:numRef>
              <c:f>weekly!$F$2:$F$36</c:f>
              <c:numCache>
                <c:formatCode>General</c:formatCode>
                <c:ptCount val="3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766190496"/>
        <c:axId val="1562159456"/>
      </c:lineChart>
      <c:catAx>
        <c:axId val="176619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2159456"/>
        <c:crosses val="autoZero"/>
        <c:auto val="1"/>
        <c:lblAlgn val="ctr"/>
        <c:lblOffset val="100"/>
        <c:noMultiLvlLbl val="0"/>
      </c:catAx>
      <c:valAx>
        <c:axId val="15621594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7661904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9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weekly!$C$27:$C$36</c15:sqref>
                  </c15:fullRef>
                </c:ext>
              </c:extLst>
              <c:f>weekly!$C$28:$C$36</c:f>
              <c:numCache>
                <c:formatCode>General</c:formatCode>
                <c:ptCount val="9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weekly!$K$27:$K$36</c15:sqref>
                  </c15:fullRef>
                </c:ext>
              </c:extLst>
              <c:f>weekly!$K$28:$K$36</c:f>
              <c:numCache>
                <c:formatCode>General</c:formatCode>
                <c:ptCount val="9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  <c:pt idx="8">
                  <c:v>33079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weekly!$A$27:$A$36</c15:sqref>
                  </c15:fullRef>
                </c:ext>
              </c:extLst>
              <c:f>weekly!$A$28:$A$36</c:f>
              <c:strCache>
                <c:ptCount val="9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weekly!$I$27:$I$36</c15:sqref>
                  </c15:fullRef>
                </c:ext>
              </c:extLst>
              <c:f>weekly!$I$28:$I$36</c:f>
              <c:numCache>
                <c:formatCode>General</c:formatCode>
                <c:ptCount val="9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62154560"/>
        <c:axId val="1852894064"/>
      </c:lineChart>
      <c:catAx>
        <c:axId val="156215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4064"/>
        <c:crosses val="autoZero"/>
        <c:auto val="1"/>
        <c:lblAlgn val="ctr"/>
        <c:lblOffset val="100"/>
        <c:noMultiLvlLbl val="0"/>
      </c:catAx>
      <c:valAx>
        <c:axId val="185289406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21545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2891344"/>
        <c:axId val="1852903312"/>
      </c:barChart>
      <c:catAx>
        <c:axId val="185289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903312"/>
        <c:crosses val="autoZero"/>
        <c:auto val="1"/>
        <c:lblAlgn val="ctr"/>
        <c:lblOffset val="100"/>
        <c:noMultiLvlLbl val="0"/>
      </c:catAx>
      <c:valAx>
        <c:axId val="1852903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134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(چهارشنبه 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17  آذر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45"/>
          <c:order val="4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change'!$F$127:$I$127</c:f>
              <c:numCache>
                <c:formatCode>General</c:formatCode>
                <c:ptCount val="4"/>
                <c:pt idx="0">
                  <c:v>-0.22639068564036222</c:v>
                </c:pt>
                <c:pt idx="1">
                  <c:v>-0.64078401809272523</c:v>
                </c:pt>
                <c:pt idx="2">
                  <c:v>0</c:v>
                </c:pt>
                <c:pt idx="3">
                  <c:v>0.85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52897328"/>
        <c:axId val="18528967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85289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6784"/>
        <c:crosses val="autoZero"/>
        <c:auto val="1"/>
        <c:lblAlgn val="ctr"/>
        <c:lblOffset val="100"/>
        <c:noMultiLvlLbl val="0"/>
      </c:catAx>
      <c:valAx>
        <c:axId val="1852896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289732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592</xdr:row>
      <xdr:rowOff>102960</xdr:rowOff>
    </xdr:from>
    <xdr:to>
      <xdr:col>11</xdr:col>
      <xdr:colOff>279360</xdr:colOff>
      <xdr:row>622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172</xdr:row>
      <xdr:rowOff>27711</xdr:rowOff>
    </xdr:from>
    <xdr:to>
      <xdr:col>41</xdr:col>
      <xdr:colOff>533400</xdr:colOff>
      <xdr:row>277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308</xdr:row>
      <xdr:rowOff>0</xdr:rowOff>
    </xdr:from>
    <xdr:to>
      <xdr:col>82</xdr:col>
      <xdr:colOff>0</xdr:colOff>
      <xdr:row>384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627</xdr:row>
      <xdr:rowOff>0</xdr:rowOff>
    </xdr:from>
    <xdr:to>
      <xdr:col>13</xdr:col>
      <xdr:colOff>354240</xdr:colOff>
      <xdr:row>657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407</xdr:row>
      <xdr:rowOff>0</xdr:rowOff>
    </xdr:from>
    <xdr:to>
      <xdr:col>83</xdr:col>
      <xdr:colOff>533400</xdr:colOff>
      <xdr:row>506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55</xdr:row>
      <xdr:rowOff>76321</xdr:rowOff>
    </xdr:from>
    <xdr:to>
      <xdr:col>44</xdr:col>
      <xdr:colOff>533400</xdr:colOff>
      <xdr:row>154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213"/>
  <sheetViews>
    <sheetView tabSelected="1" topLeftCell="B1" zoomScaleNormal="100" workbookViewId="0">
      <selection activeCell="E198" sqref="E19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  <col min="65" max="65" width="8.5703125" customWidth="1"/>
  </cols>
  <sheetData>
    <row r="1" spans="1:66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#REF!/#REF!</f>
        <v>#REF!</v>
      </c>
      <c r="T1" s="3" t="s">
        <v>15</v>
      </c>
      <c r="U1" s="3" t="e">
        <f>#REF!/#REF!</f>
        <v>#REF!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6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6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6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6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6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6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6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6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6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6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6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6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</row>
    <row r="14" spans="1:66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</row>
    <row r="15" spans="1:66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</row>
    <row r="16" spans="1:66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</row>
    <row r="17" spans="1:66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</row>
    <row r="18" spans="1:66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</row>
    <row r="19" spans="1:66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</row>
    <row r="20" spans="1:66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</row>
    <row r="21" spans="1:66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</row>
    <row r="22" spans="1:66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</row>
    <row r="23" spans="1:66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</row>
    <row r="24" spans="1:66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</row>
    <row r="25" spans="1:66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</row>
    <row r="26" spans="1:66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</row>
    <row r="27" spans="1:66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</row>
    <row r="28" spans="1:66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</row>
    <row r="29" spans="1:66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</row>
    <row r="30" spans="1:66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</row>
    <row r="31" spans="1:66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</row>
    <row r="32" spans="1:66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</row>
    <row r="33" spans="1:66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</row>
    <row r="34" spans="1:66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9">F34*G34</f>
        <v>99936563800</v>
      </c>
      <c r="M34" s="17">
        <f t="shared" ref="M34:M65" si="10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1">X34-N34</f>
        <v>414</v>
      </c>
      <c r="BJ34" s="28">
        <f t="shared" ref="BJ34:BJ65" si="12">(Y34-O34)/O34</f>
        <v>-5.6385129880230211E-3</v>
      </c>
      <c r="BK34" s="28">
        <f t="shared" ref="BK34:BK61" si="13">K35/K34</f>
        <v>7.9474358974358976</v>
      </c>
      <c r="BL34" s="28">
        <f t="shared" ref="BL34:BL69" si="14">(Y34-O34)/O34</f>
        <v>-5.6385129880230211E-3</v>
      </c>
      <c r="BM34" s="28">
        <f t="shared" ref="BM34:BM65" si="15">(X34-D34)/D34</f>
        <v>3.1361612603356327E-2</v>
      </c>
      <c r="BN34" s="14">
        <f t="shared" si="8"/>
        <v>3.1613976705490847</v>
      </c>
    </row>
    <row r="35" spans="1:66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9"/>
        <v>228276501400</v>
      </c>
      <c r="M35" s="17">
        <f t="shared" si="10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1"/>
        <v>752</v>
      </c>
      <c r="BJ35" s="34">
        <f t="shared" si="12"/>
        <v>5.3257745129351643E-2</v>
      </c>
      <c r="BK35" s="34">
        <f t="shared" si="13"/>
        <v>1.6778512663332796</v>
      </c>
      <c r="BL35" s="34">
        <f t="shared" si="14"/>
        <v>5.3257745129351643E-2</v>
      </c>
      <c r="BM35" s="34">
        <f t="shared" si="15"/>
        <v>5.0932041685013946E-2</v>
      </c>
      <c r="BN35" s="14">
        <f t="shared" si="8"/>
        <v>4.9956007429856291</v>
      </c>
    </row>
    <row r="36" spans="1:66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9"/>
        <v>188026209000</v>
      </c>
      <c r="M36" s="17">
        <f t="shared" si="10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1"/>
        <v>434</v>
      </c>
      <c r="BJ36" s="34">
        <f t="shared" si="12"/>
        <v>3.2792079207920793E-2</v>
      </c>
      <c r="BK36" s="34">
        <f t="shared" si="13"/>
        <v>1.9736563791943083</v>
      </c>
      <c r="BL36" s="34">
        <f t="shared" si="14"/>
        <v>3.2792079207920793E-2</v>
      </c>
      <c r="BM36" s="34">
        <f t="shared" si="15"/>
        <v>3.7201877025784917E-2</v>
      </c>
      <c r="BN36" s="14">
        <f t="shared" si="8"/>
        <v>3.4848923641278118</v>
      </c>
    </row>
    <row r="37" spans="1:66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9"/>
        <v>184332592500</v>
      </c>
      <c r="M37" s="17">
        <f t="shared" si="10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1"/>
        <v>208</v>
      </c>
      <c r="BJ37" s="34">
        <f t="shared" si="12"/>
        <v>5.292938818814099E-2</v>
      </c>
      <c r="BK37" s="34">
        <f t="shared" si="13"/>
        <v>1.6885717069368666</v>
      </c>
      <c r="BL37" s="34">
        <f t="shared" si="14"/>
        <v>5.292938818814099E-2</v>
      </c>
      <c r="BM37" s="34">
        <f t="shared" si="15"/>
        <v>4.660045836516425E-2</v>
      </c>
      <c r="BN37" s="14">
        <f t="shared" si="8"/>
        <v>3.7240335021057116</v>
      </c>
    </row>
    <row r="38" spans="1:66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9"/>
        <v>90016369300</v>
      </c>
      <c r="M38" s="17">
        <f t="shared" si="10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1"/>
        <v>388</v>
      </c>
      <c r="BJ38" s="34">
        <f t="shared" si="12"/>
        <v>4.1247714808043873E-2</v>
      </c>
      <c r="BK38" s="34">
        <f t="shared" si="13"/>
        <v>0.74653088307417126</v>
      </c>
      <c r="BL38" s="34">
        <f t="shared" si="14"/>
        <v>4.1247714808043873E-2</v>
      </c>
      <c r="BM38" s="34">
        <f t="shared" si="15"/>
        <v>3.2269893656032271E-2</v>
      </c>
      <c r="BN38" s="14">
        <f t="shared" si="8"/>
        <v>2.4148437855291283</v>
      </c>
    </row>
    <row r="39" spans="1:66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9"/>
        <v>98570761800</v>
      </c>
      <c r="M39" s="17">
        <f t="shared" si="10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1"/>
        <v>184</v>
      </c>
      <c r="BJ39" s="34">
        <f t="shared" si="12"/>
        <v>3.5491241431835491E-2</v>
      </c>
      <c r="BK39" s="34">
        <f t="shared" si="13"/>
        <v>1.1472736406847779</v>
      </c>
      <c r="BL39" s="34">
        <f t="shared" si="14"/>
        <v>3.5491241431835491E-2</v>
      </c>
      <c r="BM39" s="34">
        <f t="shared" si="15"/>
        <v>3.0200265799000963E-2</v>
      </c>
      <c r="BN39" s="14">
        <f t="shared" si="8"/>
        <v>2.9209779324237708</v>
      </c>
    </row>
    <row r="40" spans="1:66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9"/>
        <v>112956976000</v>
      </c>
      <c r="M40" s="17">
        <f t="shared" si="10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1"/>
        <v>552</v>
      </c>
      <c r="BJ40" s="23">
        <f t="shared" si="12"/>
        <v>4.4714828897338403E-2</v>
      </c>
      <c r="BK40" s="23">
        <f t="shared" si="13"/>
        <v>0.87021692266235517</v>
      </c>
      <c r="BL40" s="23">
        <f t="shared" si="14"/>
        <v>4.4714828897338403E-2</v>
      </c>
      <c r="BM40" s="23">
        <f t="shared" si="15"/>
        <v>3.7372593431483581E-2</v>
      </c>
      <c r="BN40" s="14">
        <f t="shared" si="8"/>
        <v>4.7719266138994376</v>
      </c>
    </row>
    <row r="41" spans="1:66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9"/>
        <v>146140919000</v>
      </c>
      <c r="M41" s="17">
        <f t="shared" si="10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1"/>
        <v>807</v>
      </c>
      <c r="BJ41" s="23">
        <f t="shared" si="12"/>
        <v>5.6398478972930238E-2</v>
      </c>
      <c r="BK41" s="23">
        <f t="shared" si="13"/>
        <v>1.2627830462550804</v>
      </c>
      <c r="BL41" s="23">
        <f t="shared" si="14"/>
        <v>5.6398478972930238E-2</v>
      </c>
      <c r="BM41" s="23">
        <f t="shared" si="15"/>
        <v>4.6139995498537027E-2</v>
      </c>
      <c r="BN41" s="14">
        <f t="shared" si="8"/>
        <v>5.3013140009062072</v>
      </c>
    </row>
    <row r="42" spans="1:66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9"/>
        <v>94660711500</v>
      </c>
      <c r="M42" s="17">
        <f t="shared" si="10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1"/>
        <v>630</v>
      </c>
      <c r="BJ42" s="23">
        <f t="shared" si="12"/>
        <v>6.3093391837197865E-2</v>
      </c>
      <c r="BK42" s="23">
        <f t="shared" si="13"/>
        <v>0.9125183913683178</v>
      </c>
      <c r="BL42" s="23">
        <f t="shared" si="14"/>
        <v>6.3093391837197865E-2</v>
      </c>
      <c r="BM42" s="23">
        <f t="shared" si="15"/>
        <v>2.4709628234449974E-2</v>
      </c>
      <c r="BN42" s="14">
        <f t="shared" si="8"/>
        <v>3.1090654753846847</v>
      </c>
    </row>
    <row r="43" spans="1:66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9"/>
        <v>115815078600</v>
      </c>
      <c r="M43" s="17">
        <f t="shared" si="10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1"/>
        <v>545</v>
      </c>
      <c r="BJ43" s="23">
        <f t="shared" si="12"/>
        <v>2.9095066007817687E-2</v>
      </c>
      <c r="BK43" s="23">
        <f t="shared" si="13"/>
        <v>0.44763184413839435</v>
      </c>
      <c r="BL43" s="23">
        <f t="shared" si="14"/>
        <v>2.9095066007817687E-2</v>
      </c>
      <c r="BM43" s="23">
        <f t="shared" si="15"/>
        <v>4.1844961938651414E-2</v>
      </c>
      <c r="BN43" s="14">
        <f t="shared" si="8"/>
        <v>3.9036880643277483</v>
      </c>
    </row>
    <row r="44" spans="1:66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9"/>
        <v>84187811700</v>
      </c>
      <c r="M44" s="17">
        <f t="shared" si="10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1"/>
        <v>426</v>
      </c>
      <c r="BJ44" s="23">
        <f t="shared" si="12"/>
        <v>3.0301905009469346E-2</v>
      </c>
      <c r="BK44" s="23">
        <f t="shared" si="13"/>
        <v>0.3594476962329281</v>
      </c>
      <c r="BL44" s="23">
        <f t="shared" si="14"/>
        <v>3.0301905009469346E-2</v>
      </c>
      <c r="BM44" s="23">
        <f t="shared" si="15"/>
        <v>2.2023244245466467E-2</v>
      </c>
      <c r="BN44" s="14">
        <f t="shared" si="8"/>
        <v>2.4153713690125529</v>
      </c>
    </row>
    <row r="45" spans="1:66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9"/>
        <v>131139423800</v>
      </c>
      <c r="M45" s="17">
        <f t="shared" si="10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1"/>
        <v>644</v>
      </c>
      <c r="BJ45" s="23">
        <f t="shared" si="12"/>
        <v>3.1772328989028792E-2</v>
      </c>
      <c r="BK45" s="23">
        <f t="shared" si="13"/>
        <v>0.97620041753653441</v>
      </c>
      <c r="BL45" s="23">
        <f t="shared" si="14"/>
        <v>3.1772328989028792E-2</v>
      </c>
      <c r="BM45" s="23">
        <f t="shared" si="15"/>
        <v>3.4451659451659448E-2</v>
      </c>
      <c r="BN45" s="14">
        <f t="shared" si="8"/>
        <v>3.7727313851443047</v>
      </c>
    </row>
    <row r="46" spans="1:66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9"/>
        <v>134661530500</v>
      </c>
      <c r="M46" s="37">
        <f t="shared" si="10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1"/>
        <v>508</v>
      </c>
      <c r="BJ46" s="39">
        <f t="shared" si="12"/>
        <v>1.9754619148470022E-2</v>
      </c>
      <c r="BK46" s="39">
        <f t="shared" si="13"/>
        <v>1.3083832335329342</v>
      </c>
      <c r="BL46" s="39">
        <f t="shared" si="14"/>
        <v>1.9754619148470022E-2</v>
      </c>
      <c r="BM46" s="39">
        <f t="shared" si="15"/>
        <v>3.6231884057971016E-2</v>
      </c>
      <c r="BN46" s="14">
        <f t="shared" si="8"/>
        <v>3.3190336419056221</v>
      </c>
    </row>
    <row r="47" spans="1:66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9"/>
        <v>163131091200</v>
      </c>
      <c r="M47" s="37">
        <f t="shared" si="10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1"/>
        <v>512</v>
      </c>
      <c r="BJ47" s="39">
        <f t="shared" si="12"/>
        <v>2.377202300282041E-2</v>
      </c>
      <c r="BK47" s="39">
        <f t="shared" si="13"/>
        <v>1.0933311539718862</v>
      </c>
      <c r="BL47" s="39">
        <f t="shared" si="14"/>
        <v>2.377202300282041E-2</v>
      </c>
      <c r="BM47" s="39">
        <f t="shared" si="15"/>
        <v>3.3689622513868221E-2</v>
      </c>
      <c r="BN47" s="14">
        <f t="shared" si="8"/>
        <v>3.3549783549783552</v>
      </c>
    </row>
    <row r="48" spans="1:66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9"/>
        <v>195647008000</v>
      </c>
      <c r="M48" s="37">
        <f t="shared" si="10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1"/>
        <v>787</v>
      </c>
      <c r="BJ48" s="39">
        <f t="shared" si="12"/>
        <v>3.4446152719818435E-2</v>
      </c>
      <c r="BK48" s="39">
        <f t="shared" si="13"/>
        <v>1.1163103602930184</v>
      </c>
      <c r="BL48" s="39">
        <f t="shared" si="14"/>
        <v>3.4446152719818435E-2</v>
      </c>
      <c r="BM48" s="39">
        <f t="shared" si="15"/>
        <v>4.1601220661490822E-2</v>
      </c>
      <c r="BN48" s="14">
        <f t="shared" si="8"/>
        <v>4.2443296653941163</v>
      </c>
    </row>
    <row r="49" spans="1:66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9"/>
        <v>170682120000</v>
      </c>
      <c r="M49" s="37">
        <f t="shared" si="10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1"/>
        <v>547</v>
      </c>
      <c r="BJ49" s="39">
        <f t="shared" si="12"/>
        <v>2.3426650098676997E-2</v>
      </c>
      <c r="BK49" s="39">
        <f t="shared" si="13"/>
        <v>0.88536226061336543</v>
      </c>
      <c r="BL49" s="39">
        <f t="shared" si="14"/>
        <v>2.3426650098676997E-2</v>
      </c>
      <c r="BM49" s="39">
        <f t="shared" si="15"/>
        <v>3.6582615363796291E-2</v>
      </c>
      <c r="BN49" s="14">
        <f t="shared" si="8"/>
        <v>3.7237643872714963</v>
      </c>
    </row>
    <row r="50" spans="1:66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9"/>
        <v>224641944000</v>
      </c>
      <c r="M50" s="37">
        <f t="shared" si="10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1"/>
        <v>807</v>
      </c>
      <c r="BJ50" s="39">
        <f t="shared" si="12"/>
        <v>3.330182505635134E-2</v>
      </c>
      <c r="BK50" s="39">
        <f t="shared" si="13"/>
        <v>0.62895174708818635</v>
      </c>
      <c r="BL50" s="39">
        <f t="shared" si="14"/>
        <v>3.330182505635134E-2</v>
      </c>
      <c r="BM50" s="39">
        <f t="shared" si="15"/>
        <v>4.8256649892163911E-2</v>
      </c>
      <c r="BN50" s="14">
        <f t="shared" si="8"/>
        <v>4.7597665020206552</v>
      </c>
    </row>
    <row r="51" spans="1:66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9"/>
        <v>145968986800</v>
      </c>
      <c r="M51" s="37">
        <f t="shared" si="10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1"/>
        <v>527</v>
      </c>
      <c r="BJ51" s="39">
        <f t="shared" si="12"/>
        <v>3.1777737425095334E-2</v>
      </c>
      <c r="BK51" s="39">
        <f t="shared" si="13"/>
        <v>2.7195767195767195</v>
      </c>
      <c r="BL51" s="39">
        <f t="shared" si="14"/>
        <v>3.1777737425095334E-2</v>
      </c>
      <c r="BM51" s="39">
        <f t="shared" si="15"/>
        <v>3.9659421913511093E-2</v>
      </c>
      <c r="BN51" s="14">
        <f t="shared" si="8"/>
        <v>3.5575592554568582</v>
      </c>
    </row>
    <row r="52" spans="1:66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9"/>
        <v>241617762100</v>
      </c>
      <c r="M52" s="9">
        <f t="shared" si="10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1"/>
        <v>489</v>
      </c>
      <c r="BJ52" s="28">
        <f t="shared" si="12"/>
        <v>3.1826209819851639E-2</v>
      </c>
      <c r="BK52" s="28">
        <f t="shared" si="13"/>
        <v>0.59789529536611252</v>
      </c>
      <c r="BL52" s="28">
        <f t="shared" si="14"/>
        <v>3.1826209819851639E-2</v>
      </c>
      <c r="BM52" s="28">
        <f t="shared" si="15"/>
        <v>4.2074576861158244E-2</v>
      </c>
      <c r="BN52" s="14">
        <f t="shared" si="8"/>
        <v>3.4423184900444865</v>
      </c>
    </row>
    <row r="53" spans="1:66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9"/>
        <v>170596629000</v>
      </c>
      <c r="M53" s="9">
        <f t="shared" si="10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1"/>
        <v>981</v>
      </c>
      <c r="BJ53" s="28">
        <f t="shared" si="12"/>
        <v>6.2190987427602769E-2</v>
      </c>
      <c r="BK53" s="28">
        <f t="shared" si="13"/>
        <v>0.59784055613074993</v>
      </c>
      <c r="BL53" s="28">
        <f t="shared" si="14"/>
        <v>6.2190987427602769E-2</v>
      </c>
      <c r="BM53" s="28">
        <f t="shared" si="15"/>
        <v>1.6349794067479304E-2</v>
      </c>
      <c r="BN53" s="14">
        <f t="shared" si="8"/>
        <v>2.4963289280469896</v>
      </c>
    </row>
    <row r="54" spans="1:66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9"/>
        <v>144517830400</v>
      </c>
      <c r="M54" s="21">
        <f t="shared" si="10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1"/>
        <v>346</v>
      </c>
      <c r="BJ54" s="23">
        <f t="shared" si="12"/>
        <v>3.0363083020737491E-2</v>
      </c>
      <c r="BK54" s="23">
        <f t="shared" si="13"/>
        <v>1.6110836219693221</v>
      </c>
      <c r="BL54" s="23">
        <f t="shared" si="14"/>
        <v>3.0363083020737491E-2</v>
      </c>
      <c r="BM54" s="23">
        <f t="shared" si="15"/>
        <v>2.2913256955810146E-2</v>
      </c>
      <c r="BN54" s="14">
        <f t="shared" si="8"/>
        <v>2.7960526315789473</v>
      </c>
    </row>
    <row r="55" spans="1:66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9"/>
        <v>173237616800</v>
      </c>
      <c r="M55" s="9">
        <f t="shared" si="10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2"/>
        <v>2.9669635968296276E-2</v>
      </c>
      <c r="BK55" s="28">
        <f t="shared" si="13"/>
        <v>1.6933353808353808</v>
      </c>
      <c r="BL55" s="28">
        <f t="shared" si="14"/>
        <v>2.9669635968296276E-2</v>
      </c>
      <c r="BM55" s="28">
        <f t="shared" si="15"/>
        <v>2.8963741686333404E-2</v>
      </c>
      <c r="BN55" s="14">
        <f t="shared" si="8"/>
        <v>2.9891771173337913</v>
      </c>
    </row>
    <row r="56" spans="1:66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9"/>
        <v>160058868300</v>
      </c>
      <c r="M56" s="9">
        <f t="shared" si="10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2"/>
        <v>2.4687004055722096E-2</v>
      </c>
      <c r="BK56" s="28">
        <f t="shared" si="13"/>
        <v>0.2930987575949941</v>
      </c>
      <c r="BL56" s="28">
        <f t="shared" si="14"/>
        <v>2.4687004055722096E-2</v>
      </c>
      <c r="BM56" s="28">
        <f t="shared" si="15"/>
        <v>3.3635187580853813E-2</v>
      </c>
      <c r="BN56" s="14">
        <f t="shared" si="8"/>
        <v>3.5108174634019953</v>
      </c>
    </row>
    <row r="57" spans="1:66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9"/>
        <v>123449895100</v>
      </c>
      <c r="M57" s="9">
        <f t="shared" si="10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2"/>
        <v>1.4285216542977597E-2</v>
      </c>
      <c r="BK57" s="28">
        <f t="shared" si="13"/>
        <v>0.93440594059405946</v>
      </c>
      <c r="BL57" s="28">
        <f t="shared" si="14"/>
        <v>1.4285216542977597E-2</v>
      </c>
      <c r="BM57" s="28">
        <f t="shared" si="15"/>
        <v>2.8795924534818461E-2</v>
      </c>
      <c r="BN57" s="14">
        <f t="shared" si="8"/>
        <v>2.9507063550352099</v>
      </c>
    </row>
    <row r="58" spans="1:66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9"/>
        <v>168092112400</v>
      </c>
      <c r="M58" s="32">
        <f t="shared" si="10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2"/>
        <v>1.5034453956984757E-2</v>
      </c>
      <c r="BK58" s="34">
        <f t="shared" si="13"/>
        <v>0.74238410596026494</v>
      </c>
      <c r="BL58" s="34">
        <f t="shared" si="14"/>
        <v>1.5034453956984757E-2</v>
      </c>
      <c r="BM58" s="34">
        <f t="shared" si="15"/>
        <v>2.671690357938003E-2</v>
      </c>
      <c r="BN58" s="14">
        <f t="shared" si="8"/>
        <v>2.6409279630184481</v>
      </c>
    </row>
    <row r="59" spans="1:66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9"/>
        <v>134588505200</v>
      </c>
      <c r="M59" s="32">
        <f t="shared" si="10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2"/>
        <v>1.5932227025519455E-2</v>
      </c>
      <c r="BK59" s="34">
        <f t="shared" si="13"/>
        <v>0.91882247992863519</v>
      </c>
      <c r="BL59" s="34">
        <f t="shared" si="14"/>
        <v>1.5932227025519455E-2</v>
      </c>
      <c r="BM59" s="34">
        <f t="shared" si="15"/>
        <v>2.4057635404605687E-2</v>
      </c>
      <c r="BN59" s="14">
        <f t="shared" si="8"/>
        <v>2.5596976464524994</v>
      </c>
    </row>
    <row r="60" spans="1:66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9"/>
        <v>209969931600</v>
      </c>
      <c r="M60" s="32">
        <f t="shared" si="10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2"/>
        <v>1.994153267905617E-2</v>
      </c>
      <c r="BK60" s="34">
        <f t="shared" si="13"/>
        <v>0.3446601941747573</v>
      </c>
      <c r="BL60" s="34">
        <f t="shared" si="14"/>
        <v>1.994153267905617E-2</v>
      </c>
      <c r="BM60" s="34">
        <f t="shared" si="15"/>
        <v>3.2539072508326931E-2</v>
      </c>
      <c r="BN60" s="14">
        <f t="shared" si="8"/>
        <v>3.4925526450950182</v>
      </c>
    </row>
    <row r="61" spans="1:66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9"/>
        <v>99561013200</v>
      </c>
      <c r="M61" s="32">
        <f t="shared" si="10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3"/>
        <v>12.219718309859156</v>
      </c>
      <c r="BL61" s="34">
        <f t="shared" si="14"/>
        <v>9.4623061781261876E-3</v>
      </c>
      <c r="BM61" s="34">
        <f t="shared" si="15"/>
        <v>2.8253424657534245E-2</v>
      </c>
      <c r="BN61" s="14">
        <f t="shared" si="8"/>
        <v>2.8077384009587401</v>
      </c>
    </row>
    <row r="62" spans="1:66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9"/>
        <v>107593507600</v>
      </c>
      <c r="M62" s="9">
        <f t="shared" si="10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2"/>
        <v>1.6382373845060413E-2</v>
      </c>
      <c r="BK62" s="28" t="e">
        <f>#REF!/K62</f>
        <v>#REF!</v>
      </c>
      <c r="BL62" s="28">
        <f t="shared" si="14"/>
        <v>1.6382373845060413E-2</v>
      </c>
      <c r="BM62" s="28">
        <f t="shared" si="15"/>
        <v>2.3155161220515041E-2</v>
      </c>
      <c r="BN62" s="14">
        <f t="shared" si="8"/>
        <v>2.5018427784763473</v>
      </c>
    </row>
    <row r="63" spans="1:66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9"/>
        <v>204279672000</v>
      </c>
      <c r="M63" s="9">
        <f t="shared" si="10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2"/>
        <v>8.4291187739463595E-3</v>
      </c>
      <c r="BL63" s="28">
        <f t="shared" si="14"/>
        <v>8.4291187739463595E-3</v>
      </c>
      <c r="BM63" s="28">
        <f t="shared" si="15"/>
        <v>2.9020348587619128E-2</v>
      </c>
      <c r="BN63" s="14">
        <f t="shared" si="8"/>
        <v>2.963917525773196</v>
      </c>
    </row>
    <row r="64" spans="1:66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9"/>
        <v>136724924700</v>
      </c>
      <c r="M64" s="9">
        <f t="shared" si="10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2"/>
        <v>2.4972702617026523E-2</v>
      </c>
      <c r="BL64" s="28">
        <f t="shared" si="14"/>
        <v>2.4972702617026523E-2</v>
      </c>
      <c r="BM64" s="28">
        <f t="shared" si="15"/>
        <v>2.4806135127029689E-2</v>
      </c>
      <c r="BN64" s="14">
        <f t="shared" si="8"/>
        <v>2.3928770172509739</v>
      </c>
    </row>
    <row r="65" spans="1:66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9"/>
        <v>171765860400</v>
      </c>
      <c r="M65" s="9">
        <f t="shared" si="10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2"/>
        <v>2.6497085320614733E-2</v>
      </c>
      <c r="BL65" s="28">
        <f t="shared" si="14"/>
        <v>2.6497085320614733E-2</v>
      </c>
      <c r="BM65" s="28">
        <f t="shared" si="15"/>
        <v>3.0344591119492541E-2</v>
      </c>
      <c r="BN65" s="14">
        <f t="shared" si="8"/>
        <v>2.972671978069048</v>
      </c>
    </row>
    <row r="66" spans="1:66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6">F66*G66</f>
        <v>207179407500</v>
      </c>
      <c r="M66" s="9">
        <f t="shared" ref="M66:M97" si="17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8">(Y66-O66)/O66</f>
        <v>1.5780469922843279E-2</v>
      </c>
      <c r="BL66" s="28">
        <f t="shared" si="14"/>
        <v>1.5780469922843279E-2</v>
      </c>
      <c r="BM66" s="28">
        <f t="shared" ref="BM66:BM81" si="19">(X66-D66)/D66</f>
        <v>3.1046869654464591E-2</v>
      </c>
      <c r="BN66" s="14">
        <f t="shared" si="8"/>
        <v>3.1002779559546716</v>
      </c>
    </row>
    <row r="67" spans="1:66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6"/>
        <v>169137870000</v>
      </c>
      <c r="M67" s="9">
        <f t="shared" si="17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8"/>
        <v>1.3209902225920533E-2</v>
      </c>
      <c r="BL67" s="28">
        <f t="shared" si="14"/>
        <v>1.3209902225920533E-2</v>
      </c>
      <c r="BM67" s="28">
        <f t="shared" si="19"/>
        <v>3.9105191256830603E-2</v>
      </c>
      <c r="BN67" s="14">
        <f t="shared" si="8"/>
        <v>3.9060832443970117</v>
      </c>
    </row>
    <row r="68" spans="1:66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6"/>
        <v>90551202100</v>
      </c>
      <c r="M68" s="32">
        <f t="shared" si="17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8"/>
        <v>2.0969624102691042E-2</v>
      </c>
      <c r="BL68" s="34">
        <f t="shared" si="14"/>
        <v>2.0969624102691042E-2</v>
      </c>
      <c r="BM68" s="34">
        <f t="shared" si="19"/>
        <v>6.2370062370062374E-3</v>
      </c>
      <c r="BN68" s="14">
        <f t="shared" si="8"/>
        <v>2.2693656763723955</v>
      </c>
    </row>
    <row r="69" spans="1:66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6"/>
        <v>98062494600</v>
      </c>
      <c r="M69" s="32">
        <f t="shared" si="17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8"/>
        <v>8.953715069680122E-3</v>
      </c>
      <c r="BL69" s="34">
        <f t="shared" si="14"/>
        <v>8.953715069680122E-3</v>
      </c>
      <c r="BM69" s="34">
        <f t="shared" si="19"/>
        <v>1.5050453223875491E-2</v>
      </c>
      <c r="BN69" s="14">
        <f t="shared" si="8"/>
        <v>2.2130371135796092</v>
      </c>
    </row>
    <row r="70" spans="1:66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6"/>
        <v>98453559600</v>
      </c>
      <c r="M70" s="32">
        <f t="shared" si="17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8"/>
        <v>8.6535379794166877E-3</v>
      </c>
      <c r="BM70" s="34">
        <f t="shared" si="19"/>
        <v>2.6553987387928447E-2</v>
      </c>
      <c r="BN70" s="14">
        <f t="shared" si="8"/>
        <v>2.4225303886320835</v>
      </c>
    </row>
    <row r="71" spans="1:66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6"/>
        <v>156673599000</v>
      </c>
      <c r="M71" s="32">
        <f t="shared" si="17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8"/>
        <v>9.962465359385414E-3</v>
      </c>
      <c r="BM71" s="34">
        <f t="shared" si="19"/>
        <v>3.0769885517300082E-2</v>
      </c>
      <c r="BN71" s="14">
        <f t="shared" si="8"/>
        <v>2.5836509953409572</v>
      </c>
    </row>
    <row r="72" spans="1:66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6"/>
        <v>137749722900</v>
      </c>
      <c r="M72" s="32">
        <f t="shared" si="17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8"/>
        <v>2.6355153500961608E-2</v>
      </c>
      <c r="BM72" s="34">
        <f t="shared" si="19"/>
        <v>2.1202759321173135E-2</v>
      </c>
      <c r="BN72" s="14">
        <f t="shared" si="8"/>
        <v>2.2500953430230095</v>
      </c>
    </row>
    <row r="73" spans="1:66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6"/>
        <v>69480671200</v>
      </c>
      <c r="M73" s="32">
        <f t="shared" si="17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8"/>
        <v>1.4811157738829919E-2</v>
      </c>
      <c r="BM73" s="34">
        <f t="shared" si="19"/>
        <v>2.0840393087089123E-2</v>
      </c>
      <c r="BN73" s="14">
        <f t="shared" si="8"/>
        <v>2.0667457225139758</v>
      </c>
    </row>
    <row r="74" spans="1:66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6"/>
        <v>192127774500</v>
      </c>
      <c r="M74" s="9">
        <f t="shared" si="17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8"/>
        <v>3.2049706883841754E-2</v>
      </c>
      <c r="BM74" s="28">
        <f t="shared" si="19"/>
        <v>3.0037494207355606E-2</v>
      </c>
      <c r="BN74" s="14">
        <f t="shared" si="8"/>
        <v>2.7095148078134845</v>
      </c>
    </row>
    <row r="75" spans="1:66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6"/>
        <v>146286278600</v>
      </c>
      <c r="M75" s="9">
        <f t="shared" si="17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8"/>
        <v>2.1276595744680851E-2</v>
      </c>
      <c r="BM75" s="28">
        <f t="shared" si="19"/>
        <v>2.4134312696747113E-2</v>
      </c>
      <c r="BN75" s="14">
        <f t="shared" si="8"/>
        <v>2.5813503741696797</v>
      </c>
    </row>
    <row r="76" spans="1:66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6"/>
        <v>158219322900</v>
      </c>
      <c r="M76" s="9">
        <f t="shared" si="17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8"/>
        <v>1.9152036638678788E-2</v>
      </c>
      <c r="BM76" s="28">
        <f t="shared" si="19"/>
        <v>3.5059827629487075E-2</v>
      </c>
      <c r="BN76" s="14">
        <f t="shared" si="8"/>
        <v>2.6428245446624903</v>
      </c>
    </row>
    <row r="77" spans="1:66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6"/>
        <v>116670975200</v>
      </c>
      <c r="M77" s="9">
        <f t="shared" si="17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9"/>
        <v>3.1143572278527758E-2</v>
      </c>
      <c r="BN77" s="14">
        <f t="shared" ref="BN77:BN140" si="20">100*(X77-F77)/F77</f>
        <v>2.2875284923477697</v>
      </c>
    </row>
    <row r="78" spans="1:66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6"/>
        <v>121124707800</v>
      </c>
      <c r="M78" s="9">
        <f t="shared" si="17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9"/>
        <v>3.008315669329855E-2</v>
      </c>
      <c r="BN78" s="14">
        <f t="shared" si="20"/>
        <v>1.9815166068041488</v>
      </c>
    </row>
    <row r="79" spans="1:66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6"/>
        <v>81103056300</v>
      </c>
      <c r="M79" s="9">
        <f t="shared" si="17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9"/>
        <v>1.8148013419021058E-2</v>
      </c>
      <c r="BN79" s="14">
        <f t="shared" si="20"/>
        <v>1.7407811300941072</v>
      </c>
    </row>
    <row r="80" spans="1:66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6"/>
        <v>98864028900</v>
      </c>
      <c r="M80" s="32">
        <f t="shared" si="17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9"/>
        <v>1.5234563920683539E-2</v>
      </c>
      <c r="BN80" s="14">
        <f t="shared" si="20"/>
        <v>2.037509620448009</v>
      </c>
    </row>
    <row r="81" spans="1:66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6"/>
        <v>116578394000</v>
      </c>
      <c r="M81" s="32">
        <f t="shared" si="17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9"/>
        <v>1.6552280985062576E-2</v>
      </c>
      <c r="BN81" s="14">
        <f t="shared" si="20"/>
        <v>1.5486368769156316</v>
      </c>
    </row>
    <row r="82" spans="1:66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6"/>
        <v>50686928000</v>
      </c>
      <c r="M82" s="32">
        <f t="shared" si="17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0"/>
        <v>1.6693811074918568</v>
      </c>
    </row>
    <row r="83" spans="1:66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6"/>
        <v>146548297100</v>
      </c>
      <c r="M83" s="32">
        <f t="shared" si="17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0"/>
        <v>2.6532030579289483</v>
      </c>
    </row>
    <row r="84" spans="1:66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6"/>
        <v>129069256400</v>
      </c>
      <c r="M84" s="32">
        <f t="shared" si="17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0"/>
        <v>2.7142975002062535</v>
      </c>
    </row>
    <row r="85" spans="1:66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6"/>
        <v>153509496000</v>
      </c>
      <c r="M85" s="9">
        <f t="shared" si="17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0"/>
        <v>2.6402640264026402</v>
      </c>
    </row>
    <row r="86" spans="1:66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6"/>
        <v>131318287200</v>
      </c>
      <c r="M86" s="21">
        <f t="shared" si="17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0"/>
        <v>2.3784050695416017</v>
      </c>
    </row>
    <row r="87" spans="1:66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6"/>
        <v>128816847000</v>
      </c>
      <c r="M87" s="9">
        <f t="shared" si="17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0"/>
        <v>2.0851255581500143</v>
      </c>
    </row>
    <row r="88" spans="1:66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6"/>
        <v>62114144100</v>
      </c>
      <c r="M88" s="9">
        <f t="shared" si="17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0"/>
        <v>1.5634617752062046</v>
      </c>
    </row>
    <row r="89" spans="1:66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6"/>
        <v>81295333000</v>
      </c>
      <c r="M89" s="9">
        <f t="shared" si="17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0"/>
        <v>2.1453863778379505</v>
      </c>
    </row>
    <row r="90" spans="1:66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6"/>
        <v>150278360400</v>
      </c>
      <c r="M90" s="12">
        <f t="shared" si="17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0"/>
        <v>2.2039937028751346</v>
      </c>
    </row>
    <row r="91" spans="1:66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6"/>
        <v>138626774000</v>
      </c>
      <c r="M91" s="12">
        <f t="shared" si="17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0"/>
        <v>2.8840936600025042</v>
      </c>
    </row>
    <row r="92" spans="1:66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6"/>
        <v>115736048000</v>
      </c>
      <c r="M92" s="12">
        <f t="shared" si="17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0"/>
        <v>2.348993288590604</v>
      </c>
    </row>
    <row r="93" spans="1:66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6"/>
        <v>189431312000</v>
      </c>
      <c r="M93" s="12">
        <f t="shared" si="17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0"/>
        <v>2.7518407305335035</v>
      </c>
    </row>
    <row r="94" spans="1:66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6"/>
        <v>219900892400</v>
      </c>
      <c r="M94" s="12">
        <f t="shared" si="17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0"/>
        <v>3.6004454159277435</v>
      </c>
    </row>
    <row r="95" spans="1:66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6"/>
        <v>191656501200</v>
      </c>
      <c r="M95" s="12">
        <f t="shared" si="17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0"/>
        <v>4.3445971036019309</v>
      </c>
    </row>
    <row r="96" spans="1:66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6"/>
        <v>175612053600</v>
      </c>
      <c r="M96" s="12">
        <f t="shared" si="17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0"/>
        <v>3.390639923591213</v>
      </c>
    </row>
    <row r="97" spans="1:66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6"/>
        <v>154492022100</v>
      </c>
      <c r="M97" s="12">
        <f t="shared" si="17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0"/>
        <v>2.2713664125184625</v>
      </c>
    </row>
    <row r="98" spans="1:66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1">F98*G98</f>
        <v>92308365600</v>
      </c>
      <c r="M98" s="12">
        <f t="shared" ref="M98:M129" si="22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0"/>
        <v>2.0874233743339077</v>
      </c>
    </row>
    <row r="99" spans="1:66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1"/>
        <v>161276681600</v>
      </c>
      <c r="M99" s="12">
        <f t="shared" si="22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0"/>
        <v>2.8161103979460846</v>
      </c>
    </row>
    <row r="100" spans="1:66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1"/>
        <v>108209461200</v>
      </c>
      <c r="M100" s="12">
        <f t="shared" si="22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0"/>
        <v>1.9462094872717099</v>
      </c>
    </row>
    <row r="101" spans="1:66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1"/>
        <v>173032177800</v>
      </c>
      <c r="M101" s="12">
        <f t="shared" si="22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0"/>
        <v>3.0699100407438782</v>
      </c>
    </row>
    <row r="102" spans="1:66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1"/>
        <v>160986243600</v>
      </c>
      <c r="M102" s="12">
        <f t="shared" si="22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0"/>
        <v>2.9335254332252769</v>
      </c>
    </row>
    <row r="103" spans="1:66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1"/>
        <v>192982692300</v>
      </c>
      <c r="M103" s="12">
        <f t="shared" si="22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0"/>
        <v>2.9676079402484321</v>
      </c>
    </row>
    <row r="104" spans="1:66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1"/>
        <v>222103640000</v>
      </c>
      <c r="M104" s="12">
        <f t="shared" si="22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0"/>
        <v>3.0434782608695654</v>
      </c>
    </row>
    <row r="105" spans="1:66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1"/>
        <v>252384066300</v>
      </c>
      <c r="M105" s="9">
        <f t="shared" si="22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0"/>
        <v>3.1224481860248083</v>
      </c>
    </row>
    <row r="106" spans="1:66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1"/>
        <v>202671530200</v>
      </c>
      <c r="M106" s="12">
        <f t="shared" si="22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0"/>
        <v>3.195247893776449</v>
      </c>
    </row>
    <row r="107" spans="1:66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1"/>
        <v>198832945200</v>
      </c>
      <c r="M107" s="32">
        <f t="shared" si="22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0"/>
        <v>3.9862703799048287</v>
      </c>
    </row>
    <row r="108" spans="1:66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1"/>
        <v>220643213500</v>
      </c>
      <c r="M108" s="9">
        <f t="shared" si="22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0"/>
        <v>2.7420383360216061</v>
      </c>
    </row>
    <row r="109" spans="1:66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1"/>
        <v>251052283000</v>
      </c>
      <c r="M109" s="9">
        <f t="shared" si="22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0"/>
        <v>3.7596825996599281</v>
      </c>
    </row>
    <row r="110" spans="1:66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1"/>
        <v>251071692400</v>
      </c>
      <c r="M110" s="9">
        <f t="shared" si="22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0"/>
        <v>3.9589112993926672</v>
      </c>
    </row>
    <row r="111" spans="1:66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1"/>
        <v>276275204800</v>
      </c>
      <c r="M111" s="9">
        <f t="shared" si="22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0"/>
        <v>3.6312014345487147</v>
      </c>
    </row>
    <row r="112" spans="1:66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1"/>
        <v>106487939200</v>
      </c>
      <c r="M112" s="43">
        <f t="shared" si="22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0"/>
        <v>2.2748086010476576</v>
      </c>
    </row>
    <row r="113" spans="1:66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1"/>
        <v>157059448800</v>
      </c>
      <c r="M113" s="12">
        <f t="shared" si="22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0"/>
        <v>2.1581173408524021</v>
      </c>
    </row>
    <row r="114" spans="1:66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1"/>
        <v>143042812000</v>
      </c>
      <c r="M114" s="12">
        <f t="shared" si="22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0"/>
        <v>2.5121555915721232</v>
      </c>
    </row>
    <row r="115" spans="1:66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1"/>
        <v>139347162000</v>
      </c>
      <c r="M115" s="12">
        <f t="shared" si="22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0"/>
        <v>2.6795938621268798</v>
      </c>
    </row>
    <row r="116" spans="1:66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1"/>
        <v>215028928500</v>
      </c>
      <c r="M116" s="12">
        <f t="shared" si="22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0"/>
        <v>3.7502379592613746</v>
      </c>
    </row>
    <row r="117" spans="1:66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1"/>
        <v>186347507500</v>
      </c>
      <c r="M117" s="12">
        <f t="shared" si="22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0"/>
        <v>3.2147612706867035</v>
      </c>
    </row>
    <row r="118" spans="1:66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1"/>
        <v>134260629100</v>
      </c>
      <c r="M118" s="43">
        <f t="shared" si="22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0"/>
        <v>3.1761089818995938</v>
      </c>
    </row>
    <row r="119" spans="1:66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1"/>
        <v>160013174400</v>
      </c>
      <c r="M119" s="9">
        <f t="shared" si="22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0"/>
        <v>2.3690584317287313</v>
      </c>
    </row>
    <row r="120" spans="1:66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1"/>
        <v>183448909700</v>
      </c>
      <c r="M120" s="51">
        <f t="shared" si="22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0"/>
        <v>2.7860734132234528</v>
      </c>
    </row>
    <row r="121" spans="1:66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1"/>
        <v>149141857900</v>
      </c>
      <c r="M121" s="57">
        <f t="shared" si="22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0"/>
        <v>2.4697446792366935</v>
      </c>
    </row>
    <row r="122" spans="1:66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1"/>
        <v>205309734400</v>
      </c>
      <c r="M122" s="57">
        <f t="shared" si="22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0"/>
        <v>2.7895694360218313</v>
      </c>
    </row>
    <row r="123" spans="1:66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1"/>
        <v>266569104600</v>
      </c>
      <c r="M123" s="57">
        <f t="shared" si="22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0"/>
        <v>3.8319378441578036</v>
      </c>
    </row>
    <row r="124" spans="1:66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1"/>
        <v>172687578300</v>
      </c>
      <c r="M124" s="51">
        <f t="shared" si="22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0"/>
        <v>4.6297341005679042</v>
      </c>
    </row>
    <row r="125" spans="1:66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1"/>
        <v>242156832600</v>
      </c>
      <c r="M125" s="12">
        <f t="shared" si="22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0"/>
        <v>4.0685064692244408</v>
      </c>
    </row>
    <row r="126" spans="1:66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1"/>
        <v>232790298000</v>
      </c>
      <c r="M126" s="12">
        <f t="shared" si="22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0"/>
        <v>3.4612490594431904</v>
      </c>
    </row>
    <row r="127" spans="1:66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1"/>
        <v>210137737200</v>
      </c>
      <c r="M127" s="12">
        <f t="shared" si="22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0"/>
        <v>3.4193252938482672</v>
      </c>
    </row>
    <row r="128" spans="1:66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1"/>
        <v>238170715200</v>
      </c>
      <c r="M128" s="12">
        <f t="shared" si="22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0"/>
        <v>3.7567762235111264</v>
      </c>
    </row>
    <row r="129" spans="1:66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1"/>
        <v>238426614800</v>
      </c>
      <c r="M129" s="12">
        <f t="shared" si="22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0"/>
        <v>3.5947216745032611</v>
      </c>
    </row>
    <row r="130" spans="1:66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3">F130*G130</f>
        <v>134799608200</v>
      </c>
      <c r="M130" s="12">
        <f t="shared" ref="M130:M190" si="24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0"/>
        <v>3.1334065850793773</v>
      </c>
    </row>
    <row r="131" spans="1:66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3"/>
        <v>235378269800</v>
      </c>
      <c r="M131" s="9">
        <f t="shared" si="24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0"/>
        <v>3.9117503106057754</v>
      </c>
    </row>
    <row r="132" spans="1:66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3"/>
        <v>217216403700</v>
      </c>
      <c r="M132" s="9">
        <f t="shared" si="24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0"/>
        <v>3.5959228524875906</v>
      </c>
    </row>
    <row r="133" spans="1:66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3"/>
        <v>236360502800</v>
      </c>
      <c r="M133" s="9">
        <f t="shared" si="24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0"/>
        <v>4.2015527477546053</v>
      </c>
    </row>
    <row r="134" spans="1:66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3"/>
        <v>264502422700</v>
      </c>
      <c r="M134" s="9">
        <f t="shared" si="24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0"/>
        <v>4.0438239433940728</v>
      </c>
    </row>
    <row r="135" spans="1:66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3"/>
        <v>222222624000</v>
      </c>
      <c r="M135" s="9">
        <f t="shared" si="24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0"/>
        <v>4.7981721249047986</v>
      </c>
    </row>
    <row r="136" spans="1:66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3"/>
        <v>193055584200</v>
      </c>
      <c r="M136" s="21">
        <f t="shared" si="24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0"/>
        <v>4.2663022849768462</v>
      </c>
    </row>
    <row r="137" spans="1:66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3"/>
        <v>253536738000</v>
      </c>
      <c r="M137" s="32">
        <f t="shared" si="24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0"/>
        <v>3.6429324100556979</v>
      </c>
    </row>
    <row r="138" spans="1:66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3"/>
        <v>245049246200</v>
      </c>
      <c r="M138" s="32">
        <f t="shared" si="24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0"/>
        <v>3.7873953680417403</v>
      </c>
    </row>
    <row r="139" spans="1:66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3"/>
        <v>210771668200</v>
      </c>
      <c r="M139" s="32">
        <f t="shared" si="24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0"/>
        <v>2.6905664544149581</v>
      </c>
    </row>
    <row r="140" spans="1:66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3"/>
        <v>257844926400</v>
      </c>
      <c r="M140" s="32">
        <f t="shared" si="24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0"/>
        <v>3.1002950927174031</v>
      </c>
    </row>
    <row r="141" spans="1:66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3"/>
        <v>160400172600</v>
      </c>
      <c r="M141" s="32">
        <f t="shared" si="24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25">100*(X141-F141)/F141</f>
        <v>2.7171750063316327</v>
      </c>
    </row>
    <row r="142" spans="1:66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3"/>
        <v>178610115600</v>
      </c>
      <c r="M142" s="9">
        <f t="shared" si="24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25"/>
        <v>2.0667611056627075</v>
      </c>
    </row>
    <row r="143" spans="1:66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3"/>
        <v>185509825000</v>
      </c>
      <c r="M143" s="9">
        <f t="shared" si="24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25"/>
        <v>2.8256880733944953</v>
      </c>
    </row>
    <row r="144" spans="1:66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3"/>
        <v>214444712400</v>
      </c>
      <c r="M144" s="9">
        <f t="shared" si="24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25"/>
        <v>3.2355209519262549</v>
      </c>
    </row>
    <row r="145" spans="1:66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3"/>
        <v>110853636800</v>
      </c>
      <c r="M145" s="93">
        <f t="shared" si="24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25"/>
        <v>2.2063120981881941</v>
      </c>
    </row>
    <row r="146" spans="1:66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3"/>
        <v>214041993100</v>
      </c>
      <c r="M146" s="99">
        <f t="shared" si="24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25"/>
        <v>2.8272872123615076</v>
      </c>
    </row>
    <row r="147" spans="1:66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3"/>
        <v>176486960000</v>
      </c>
      <c r="M147" s="99">
        <f t="shared" si="24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25"/>
        <v>3.3771106941838651</v>
      </c>
    </row>
    <row r="148" spans="1:66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3"/>
        <v>220752610000</v>
      </c>
      <c r="M148" s="99">
        <f t="shared" si="24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25"/>
        <v>3.0769230769230771</v>
      </c>
    </row>
    <row r="149" spans="1:66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3"/>
        <v>156650915000</v>
      </c>
      <c r="M149" s="99">
        <f t="shared" si="24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25"/>
        <v>2.3097311624384704</v>
      </c>
    </row>
    <row r="150" spans="1:66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3"/>
        <v>225456814700</v>
      </c>
      <c r="M150" s="99">
        <f t="shared" si="24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25"/>
        <v>3.5348731022411628</v>
      </c>
    </row>
    <row r="151" spans="1:66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3"/>
        <v>167101812600</v>
      </c>
      <c r="M151" s="99">
        <f t="shared" si="24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25"/>
        <v>2.8150846042947113</v>
      </c>
    </row>
    <row r="152" spans="1:66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3"/>
        <v>239567814200</v>
      </c>
      <c r="M152" s="93">
        <f t="shared" si="24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25"/>
        <v>3.46267750018984</v>
      </c>
    </row>
    <row r="153" spans="1:66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3"/>
        <v>236480193600</v>
      </c>
      <c r="M153" s="93">
        <f t="shared" si="24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25"/>
        <v>3.1809371793410102</v>
      </c>
    </row>
    <row r="154" spans="1:66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3"/>
        <v>225618976500</v>
      </c>
      <c r="M154" s="93">
        <f t="shared" si="24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25"/>
        <v>3.102988768322863</v>
      </c>
    </row>
    <row r="155" spans="1:66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3"/>
        <v>247369613400</v>
      </c>
      <c r="M155" s="93">
        <f t="shared" si="24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25"/>
        <v>3.3948869000415391</v>
      </c>
    </row>
    <row r="156" spans="1:66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3"/>
        <v>255780758900</v>
      </c>
      <c r="M156" s="93">
        <f t="shared" si="24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25"/>
        <v>3.1605180681946909</v>
      </c>
    </row>
    <row r="157" spans="1:66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3"/>
        <v>184510967800</v>
      </c>
      <c r="M157" s="93">
        <f t="shared" si="24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25"/>
        <v>3.4026964764530381</v>
      </c>
    </row>
    <row r="158" spans="1:66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3"/>
        <v>249471569600</v>
      </c>
      <c r="M158" s="99">
        <f t="shared" si="24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25"/>
        <v>3.7778446718844072</v>
      </c>
    </row>
    <row r="159" spans="1:66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3"/>
        <v>205217875200</v>
      </c>
      <c r="M159" s="99">
        <f t="shared" si="24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25"/>
        <v>2.5888645396129704</v>
      </c>
    </row>
    <row r="160" spans="1:66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3"/>
        <v>261587595000</v>
      </c>
      <c r="M160" s="99">
        <f t="shared" si="24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25"/>
        <v>2.8524307507777653</v>
      </c>
    </row>
    <row r="161" spans="1:66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3"/>
        <v>322139986200</v>
      </c>
      <c r="M161" s="99">
        <f t="shared" si="24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25"/>
        <v>3.9585367685720723</v>
      </c>
    </row>
    <row r="162" spans="1:66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4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25"/>
        <v>3.5257971448911536</v>
      </c>
    </row>
    <row r="163" spans="1:66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25"/>
        <v>3.9098540421991985</v>
      </c>
    </row>
    <row r="164" spans="1:66" s="115" customFormat="1" ht="21" hidden="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190" si="26">F164*G164</f>
        <v>225462728400</v>
      </c>
      <c r="M164" s="99">
        <f t="shared" si="24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25"/>
        <v>4.1367314527716861</v>
      </c>
    </row>
    <row r="165" spans="1:66" s="121" customFormat="1" ht="21" hidden="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26"/>
        <v>297576936000</v>
      </c>
      <c r="M165" s="99">
        <f t="shared" si="24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25"/>
        <v>4.0558385210337669</v>
      </c>
    </row>
    <row r="166" spans="1:66" s="115" customFormat="1" ht="21" hidden="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26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25"/>
        <v>3.7092826209753342</v>
      </c>
    </row>
    <row r="167" spans="1:66" s="115" customFormat="1" ht="21" hidden="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26"/>
        <v>275474294400</v>
      </c>
      <c r="M167" s="99">
        <f t="shared" si="24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25"/>
        <v>3.9524361515162845</v>
      </c>
    </row>
    <row r="168" spans="1:66" s="121" customFormat="1" ht="21" hidden="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26"/>
        <v>180565344100</v>
      </c>
      <c r="M168" s="123">
        <f t="shared" si="24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25"/>
        <v>3.6337155021100198</v>
      </c>
    </row>
    <row r="169" spans="1:66" s="128" customFormat="1" ht="21" hidden="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26"/>
        <v>264826042800</v>
      </c>
      <c r="M169" s="99">
        <f t="shared" si="24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25"/>
        <v>3.7950169453651634</v>
      </c>
    </row>
    <row r="170" spans="1:66" s="128" customFormat="1" ht="21" hidden="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26"/>
        <v>269550278000</v>
      </c>
      <c r="M170" s="99">
        <f t="shared" si="24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25"/>
        <v>3.9880730525531121</v>
      </c>
    </row>
    <row r="171" spans="1:66" s="128" customFormat="1" ht="21" hidden="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26"/>
        <v>231825209400</v>
      </c>
      <c r="M171" s="99">
        <f t="shared" si="24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25"/>
        <v>2.9077858346151029</v>
      </c>
    </row>
    <row r="172" spans="1:66" s="128" customFormat="1" ht="21" hidden="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26"/>
        <v>280842822000</v>
      </c>
      <c r="M172" s="99">
        <f t="shared" si="24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25"/>
        <v>3.1903190319031904</v>
      </c>
    </row>
    <row r="173" spans="1:66" s="128" customFormat="1" ht="21" hidden="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26"/>
        <v>298348060000</v>
      </c>
      <c r="M173" s="99">
        <f t="shared" si="24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25"/>
        <v>3.4040995607613471</v>
      </c>
    </row>
    <row r="174" spans="1:66" s="128" customFormat="1" ht="21" hidden="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26"/>
        <v>194293123200</v>
      </c>
      <c r="M174" s="99">
        <f t="shared" si="24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25"/>
        <v>2.9241039036424321</v>
      </c>
    </row>
    <row r="175" spans="1:66" s="121" customFormat="1" ht="21" hidden="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26"/>
        <v>361436777500</v>
      </c>
      <c r="M175" s="123">
        <f t="shared" si="24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25"/>
        <v>3.7160088115272112</v>
      </c>
    </row>
    <row r="176" spans="1:66" s="115" customFormat="1" ht="21" hidden="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26"/>
        <v>321145765200</v>
      </c>
      <c r="M176" s="93">
        <f t="shared" si="24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25"/>
        <v>4.5393028274625991</v>
      </c>
    </row>
    <row r="177" spans="1:66" s="115" customFormat="1" ht="21" hidden="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26"/>
        <v>311738532300</v>
      </c>
      <c r="M177" s="93">
        <f t="shared" si="24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25"/>
        <v>4.9086375646607872</v>
      </c>
    </row>
    <row r="178" spans="1:66" s="115" customFormat="1" ht="21" hidden="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26"/>
        <v>340417605000</v>
      </c>
      <c r="M178" s="93">
        <f t="shared" si="24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25"/>
        <v>5.5826152116897712</v>
      </c>
    </row>
    <row r="179" spans="1:66" s="115" customFormat="1" ht="21" hidden="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26"/>
        <v>259574211400</v>
      </c>
      <c r="M179" s="93">
        <f t="shared" si="24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25"/>
        <v>5.8739577856230749</v>
      </c>
    </row>
    <row r="180" spans="1:66" s="115" customFormat="1" ht="21" hidden="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26"/>
        <v>232541672000</v>
      </c>
      <c r="M180" s="93">
        <f t="shared" si="24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25"/>
        <v>5.7475582268970697</v>
      </c>
    </row>
    <row r="181" spans="1:66" s="128" customFormat="1" ht="21" hidden="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26"/>
        <v>311949927000</v>
      </c>
      <c r="M181" s="93">
        <f t="shared" si="24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25"/>
        <v>5.9358670726664409</v>
      </c>
    </row>
    <row r="182" spans="1:66" s="128" customFormat="1" ht="21" hidden="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26"/>
        <v>303066802500</v>
      </c>
      <c r="M182" s="99">
        <f t="shared" si="24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25"/>
        <v>6.4935064935064934</v>
      </c>
    </row>
    <row r="183" spans="1:66" s="128" customFormat="1" ht="21" hidden="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26"/>
        <v>329025981000</v>
      </c>
      <c r="M183" s="99">
        <f t="shared" si="24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25"/>
        <v>6.8713780386844281</v>
      </c>
    </row>
    <row r="184" spans="1:66" s="128" customFormat="1" ht="21" hidden="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26"/>
        <v>417184732800</v>
      </c>
      <c r="M184" s="99">
        <f t="shared" si="24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25"/>
        <v>7.5030102347983139</v>
      </c>
    </row>
    <row r="185" spans="1:66" s="128" customFormat="1" ht="21" hidden="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26"/>
        <v>338444332800</v>
      </c>
      <c r="M185" s="99">
        <f t="shared" si="24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25"/>
        <v>6.0838445807770958</v>
      </c>
    </row>
    <row r="186" spans="1:66" s="128" customFormat="1" ht="21" hidden="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26"/>
        <v>209181897600</v>
      </c>
      <c r="M186" s="99">
        <f t="shared" si="24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25"/>
        <v>4.6168251224430996</v>
      </c>
    </row>
    <row r="187" spans="1:66" s="115" customFormat="1" ht="2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26"/>
        <v>103472865300</v>
      </c>
      <c r="M187" s="93">
        <f t="shared" si="24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25"/>
        <v>7.4100003684734146</v>
      </c>
    </row>
    <row r="188" spans="1:66" s="115" customFormat="1" ht="2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26"/>
        <v>102815271600</v>
      </c>
      <c r="M188" s="93">
        <f t="shared" si="24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25"/>
        <v>11.850407250200757</v>
      </c>
    </row>
    <row r="189" spans="1:66" s="115" customFormat="1" ht="2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26"/>
        <v>179335122400</v>
      </c>
      <c r="M189" s="93">
        <f t="shared" si="24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25"/>
        <v>11.624035114272742</v>
      </c>
    </row>
    <row r="190" spans="1:66" s="115" customFormat="1" ht="2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26"/>
        <v>170141241900</v>
      </c>
      <c r="M190" s="93">
        <f t="shared" si="24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25"/>
        <v>10.92481804671722</v>
      </c>
    </row>
    <row r="191" spans="1:66" s="115" customFormat="1" ht="2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/>
      <c r="M191" s="93"/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25"/>
        <v>10.795669619199032</v>
      </c>
    </row>
    <row r="192" spans="1:66" s="115" customFormat="1" ht="2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/>
      <c r="M192" s="93"/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25"/>
        <v>10.073857458853523</v>
      </c>
    </row>
    <row r="193" spans="1:66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136"/>
      <c r="M193" s="136"/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7"/>
      <c r="BF193" s="137"/>
      <c r="BG193" s="137"/>
      <c r="BH193" s="137"/>
      <c r="BN193" s="14">
        <f t="shared" si="25"/>
        <v>8.8941006675085692</v>
      </c>
    </row>
    <row r="194" spans="1:66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136"/>
      <c r="M194" s="136"/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7"/>
      <c r="BF194" s="137"/>
      <c r="BG194" s="137"/>
      <c r="BH194" s="137"/>
      <c r="BN194" s="14">
        <f t="shared" si="25"/>
        <v>9.8550724637681153</v>
      </c>
    </row>
    <row r="195" spans="1:66" s="135" customFormat="1" ht="21" customHeight="1">
      <c r="A195" s="131"/>
      <c r="B195" s="139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140"/>
      <c r="M195" s="140"/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41"/>
      <c r="AA195" s="134"/>
      <c r="AB195" s="141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2"/>
      <c r="BF195" s="142"/>
      <c r="BG195" s="142"/>
      <c r="BH195" s="142"/>
      <c r="BN195" s="143">
        <f t="shared" si="25"/>
        <v>10.812869527367695</v>
      </c>
    </row>
    <row r="196" spans="1:66" s="135" customFormat="1" ht="21" customHeight="1">
      <c r="A196" s="131"/>
      <c r="B196" s="139" t="s">
        <v>508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140"/>
      <c r="M196" s="140"/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41"/>
      <c r="AA196" s="134"/>
      <c r="AB196" s="141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2"/>
      <c r="BF196" s="142"/>
      <c r="BG196" s="142"/>
      <c r="BH196" s="142"/>
      <c r="BN196" s="143">
        <f t="shared" si="25"/>
        <v>12.163093553886894</v>
      </c>
    </row>
    <row r="197" spans="1:66" s="144" customFormat="1" ht="18">
      <c r="B197" s="138" t="s">
        <v>510</v>
      </c>
      <c r="C197" s="110">
        <v>17</v>
      </c>
      <c r="D197" s="145">
        <v>27560</v>
      </c>
      <c r="E197" s="144">
        <v>27400</v>
      </c>
      <c r="F197" s="144">
        <v>27541</v>
      </c>
      <c r="G197" s="144">
        <v>9655800</v>
      </c>
      <c r="H197" s="144">
        <v>31734</v>
      </c>
      <c r="I197" s="144">
        <v>31734</v>
      </c>
      <c r="J197" s="144">
        <v>31716</v>
      </c>
      <c r="K197" s="144">
        <v>468000</v>
      </c>
      <c r="N197" s="144">
        <v>27674</v>
      </c>
      <c r="O197" s="144">
        <v>32051</v>
      </c>
      <c r="P197" s="144">
        <v>27835</v>
      </c>
      <c r="Q197" s="144">
        <v>32051</v>
      </c>
      <c r="V197" s="144">
        <v>30880</v>
      </c>
      <c r="X197" s="144">
        <v>30850</v>
      </c>
      <c r="Y197" s="144">
        <v>34597</v>
      </c>
      <c r="Z197" s="146"/>
      <c r="AB197" s="146"/>
      <c r="AS197" s="146"/>
      <c r="AW197" s="145"/>
      <c r="BN197" s="144">
        <f t="shared" si="25"/>
        <v>12.014814276896264</v>
      </c>
    </row>
    <row r="198" spans="1:66" ht="18">
      <c r="D198" s="26"/>
      <c r="V198" s="135">
        <v>30870</v>
      </c>
      <c r="Z198" s="25"/>
      <c r="AS198" s="26"/>
      <c r="AW198" s="30"/>
    </row>
    <row r="199" spans="1:66" ht="18">
      <c r="V199" s="135">
        <v>30840</v>
      </c>
      <c r="Z199" s="25"/>
      <c r="AS199" s="26"/>
      <c r="AW199" s="30"/>
    </row>
    <row r="200" spans="1:66" ht="18">
      <c r="T200">
        <f>3.673*7960</f>
        <v>29237.08</v>
      </c>
      <c r="V200" s="135">
        <v>30850</v>
      </c>
      <c r="Z200" s="25"/>
      <c r="AS200" s="26"/>
      <c r="AW200" s="30"/>
    </row>
    <row r="201" spans="1:66" ht="18">
      <c r="D201" s="99"/>
      <c r="V201" s="135">
        <v>30870</v>
      </c>
      <c r="Z201" s="25"/>
      <c r="AW201" s="30"/>
    </row>
    <row r="202" spans="1:66" ht="17.25" customHeight="1">
      <c r="D202" s="99"/>
      <c r="V202" s="25"/>
      <c r="Z202" s="25"/>
    </row>
    <row r="203" spans="1:66" ht="18">
      <c r="D203" s="99"/>
      <c r="V203" s="25"/>
      <c r="Z203" s="25"/>
    </row>
    <row r="204" spans="1:66" ht="18">
      <c r="D204" s="99"/>
      <c r="V204" s="25"/>
    </row>
    <row r="205" spans="1:66" ht="18">
      <c r="D205" s="99"/>
      <c r="V205" s="25"/>
    </row>
    <row r="206" spans="1:66" ht="18">
      <c r="D206" s="113"/>
    </row>
    <row r="207" spans="1:66" ht="18">
      <c r="D207" s="113"/>
    </row>
    <row r="208" spans="1:66" ht="18">
      <c r="D208" s="119"/>
    </row>
    <row r="209" spans="4:7" ht="18">
      <c r="D209" s="113"/>
      <c r="G209" s="9"/>
    </row>
    <row r="210" spans="4:7" ht="18">
      <c r="D210" s="109"/>
      <c r="G210" s="9"/>
    </row>
    <row r="211" spans="4:7" ht="18">
      <c r="G211" s="9"/>
    </row>
    <row r="212" spans="4:7" ht="18">
      <c r="G212" s="9"/>
    </row>
    <row r="213" spans="4:7" ht="18">
      <c r="G213" s="9"/>
    </row>
  </sheetData>
  <autoFilter ref="BN1:BN21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topLeftCell="A16" zoomScale="70" zoomScaleNormal="70" workbookViewId="0">
      <selection activeCell="A39" sqref="A3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6" si="0">D29/6</f>
        <v>7281166.666666667</v>
      </c>
      <c r="F29" s="73">
        <v>5993000</v>
      </c>
      <c r="G29" s="73">
        <f t="shared" ref="G29:G36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507</v>
      </c>
    </row>
    <row r="38" spans="1:11">
      <c r="B38">
        <f>(B2-B8)/B2</f>
        <v>0.15346494762288476</v>
      </c>
      <c r="C38">
        <f>(C2-C8)/C2</f>
        <v>0.1154959674639829</v>
      </c>
      <c r="D38">
        <f>SUM(D2:D16)/15</f>
        <v>29639479.933333334</v>
      </c>
    </row>
    <row r="40" spans="1:11">
      <c r="J40">
        <f>(D36-D35)/D35</f>
        <v>-0.50773339408667473</v>
      </c>
    </row>
    <row r="41" spans="1:11">
      <c r="F41">
        <f>(F36-F35)/F35</f>
        <v>-0.62892307692307692</v>
      </c>
    </row>
    <row r="42" spans="1:11">
      <c r="D42">
        <v>5375132</v>
      </c>
      <c r="E42">
        <f>(E17-D42)/D42</f>
        <v>4.5958809321644006E-2</v>
      </c>
      <c r="G42">
        <f t="shared" ref="G42:G50" si="2">B3-B2</f>
        <v>-554</v>
      </c>
    </row>
    <row r="43" spans="1:11">
      <c r="G43">
        <f t="shared" si="2"/>
        <v>-302</v>
      </c>
    </row>
    <row r="44" spans="1:11">
      <c r="C44">
        <f>(D42-E16)/E16</f>
        <v>0.17110375179746395</v>
      </c>
      <c r="G44">
        <f t="shared" si="2"/>
        <v>-511</v>
      </c>
    </row>
    <row r="45" spans="1:11">
      <c r="G45">
        <f t="shared" si="2"/>
        <v>-362</v>
      </c>
    </row>
    <row r="46" spans="1:11">
      <c r="G46">
        <f t="shared" si="2"/>
        <v>-1699</v>
      </c>
    </row>
    <row r="47" spans="1:11">
      <c r="G47">
        <f t="shared" si="2"/>
        <v>-381</v>
      </c>
    </row>
    <row r="48" spans="1:11">
      <c r="G48">
        <f t="shared" si="2"/>
        <v>1075</v>
      </c>
    </row>
    <row r="49" spans="6:10">
      <c r="F49">
        <f>(F33-F32)/F32</f>
        <v>0.23948268173034043</v>
      </c>
      <c r="G49">
        <f t="shared" si="2"/>
        <v>151</v>
      </c>
      <c r="J49">
        <f>(F34-F35)/F34</f>
        <v>0.13877341459779063</v>
      </c>
    </row>
    <row r="50" spans="6:10">
      <c r="G50">
        <f t="shared" si="2"/>
        <v>1043</v>
      </c>
    </row>
  </sheetData>
  <autoFilter ref="A1:K50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09"/>
  <sheetViews>
    <sheetView topLeftCell="A1588" zoomScale="85" zoomScaleNormal="85" workbookViewId="0">
      <selection activeCell="B1611" sqref="B161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48" t="s">
        <v>246</v>
      </c>
      <c r="B1" s="148"/>
      <c r="C1" s="148"/>
      <c r="D1" s="14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48" t="s">
        <v>256</v>
      </c>
      <c r="B11" s="148"/>
      <c r="C11" s="148"/>
      <c r="D11" s="14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48" t="s">
        <v>258</v>
      </c>
      <c r="B21" s="148"/>
      <c r="C21" s="148"/>
      <c r="D21" s="14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48" t="s">
        <v>259</v>
      </c>
      <c r="B31" s="148"/>
      <c r="C31" s="148"/>
      <c r="D31" s="14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48" t="s">
        <v>260</v>
      </c>
      <c r="B41" s="148"/>
      <c r="C41" s="148"/>
      <c r="D41" s="14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48" t="s">
        <v>262</v>
      </c>
      <c r="B51" s="148"/>
      <c r="C51" s="148"/>
      <c r="D51" s="14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48" t="s">
        <v>263</v>
      </c>
      <c r="B61" s="148"/>
      <c r="C61" s="148"/>
      <c r="D61" s="14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48" t="s">
        <v>264</v>
      </c>
      <c r="B71" s="148"/>
      <c r="C71" s="148"/>
      <c r="D71" s="14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48" t="s">
        <v>265</v>
      </c>
      <c r="B81" s="148"/>
      <c r="C81" s="148"/>
      <c r="D81" s="14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48" t="s">
        <v>269</v>
      </c>
      <c r="B93" s="148"/>
      <c r="C93" s="148"/>
      <c r="D93" s="14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48" t="s">
        <v>270</v>
      </c>
      <c r="B103" s="148"/>
      <c r="C103" s="148"/>
      <c r="D103" s="14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48" t="s">
        <v>272</v>
      </c>
      <c r="B113" s="148"/>
      <c r="C113" s="148"/>
      <c r="D113" s="14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48" t="s">
        <v>273</v>
      </c>
      <c r="B123" s="148"/>
      <c r="C123" s="148"/>
      <c r="D123" s="14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48" t="s">
        <v>274</v>
      </c>
      <c r="B133" s="148"/>
      <c r="C133" s="148"/>
      <c r="D133" s="14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48" t="s">
        <v>275</v>
      </c>
      <c r="B143" s="148"/>
      <c r="C143" s="148"/>
      <c r="D143" s="14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48" t="s">
        <v>277</v>
      </c>
      <c r="B153" s="148"/>
      <c r="C153" s="148"/>
      <c r="D153" s="14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48" t="s">
        <v>278</v>
      </c>
      <c r="B163" s="148"/>
      <c r="C163" s="148"/>
      <c r="D163" s="14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48" t="s">
        <v>279</v>
      </c>
      <c r="B173" s="148"/>
      <c r="C173" s="148"/>
      <c r="D173" s="14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48" t="s">
        <v>280</v>
      </c>
      <c r="B183" s="148"/>
      <c r="C183" s="148"/>
      <c r="D183" s="14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48" t="s">
        <v>281</v>
      </c>
      <c r="B193" s="148"/>
      <c r="C193" s="148"/>
      <c r="D193" s="14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48" t="s">
        <v>282</v>
      </c>
      <c r="B203" s="148"/>
      <c r="C203" s="148"/>
      <c r="D203" s="14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48" t="s">
        <v>283</v>
      </c>
      <c r="B213" s="148"/>
      <c r="C213" s="148"/>
      <c r="D213" s="14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48" t="s">
        <v>284</v>
      </c>
      <c r="B223" s="148"/>
      <c r="C223" s="148"/>
      <c r="D223" s="14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48" t="s">
        <v>285</v>
      </c>
      <c r="B233" s="148"/>
      <c r="C233" s="148"/>
      <c r="D233" s="14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48" t="s">
        <v>286</v>
      </c>
      <c r="B243" s="148"/>
      <c r="C243" s="148"/>
      <c r="D243" s="14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48" t="s">
        <v>287</v>
      </c>
      <c r="B253" s="148"/>
      <c r="C253" s="148"/>
      <c r="D253" s="14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48" t="s">
        <v>288</v>
      </c>
      <c r="B263" s="148"/>
      <c r="C263" s="148"/>
      <c r="D263" s="14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48" t="s">
        <v>289</v>
      </c>
      <c r="B273" s="148"/>
      <c r="C273" s="148"/>
      <c r="D273" s="14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48" t="s">
        <v>290</v>
      </c>
      <c r="B283" s="148"/>
      <c r="C283" s="148"/>
      <c r="D283" s="14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48" t="s">
        <v>291</v>
      </c>
      <c r="B293" s="148"/>
      <c r="C293" s="148"/>
      <c r="D293" s="14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48" t="s">
        <v>292</v>
      </c>
      <c r="B303" s="148"/>
      <c r="C303" s="148"/>
      <c r="D303" s="14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48" t="s">
        <v>296</v>
      </c>
      <c r="B313" s="148"/>
      <c r="C313" s="148"/>
      <c r="D313" s="14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48" t="s">
        <v>300</v>
      </c>
      <c r="B324" s="148"/>
      <c r="C324" s="148"/>
      <c r="D324" s="14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48" t="s">
        <v>303</v>
      </c>
      <c r="B335" s="148"/>
      <c r="C335" s="148"/>
      <c r="D335" s="14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48" t="s">
        <v>304</v>
      </c>
      <c r="B346" s="148"/>
      <c r="C346" s="148"/>
      <c r="D346" s="14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48" t="s">
        <v>305</v>
      </c>
      <c r="B357" s="148"/>
      <c r="C357" s="148"/>
      <c r="D357" s="14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48" t="s">
        <v>306</v>
      </c>
      <c r="B368" s="148"/>
      <c r="C368" s="148"/>
      <c r="D368" s="14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48" t="s">
        <v>307</v>
      </c>
      <c r="B379" s="148"/>
      <c r="C379" s="148"/>
      <c r="D379" s="14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48" t="s">
        <v>308</v>
      </c>
      <c r="B390" s="148"/>
      <c r="C390" s="148"/>
      <c r="D390" s="14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48" t="s">
        <v>309</v>
      </c>
      <c r="B401" s="148"/>
      <c r="C401" s="148"/>
      <c r="D401" s="14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48" t="s">
        <v>310</v>
      </c>
      <c r="B412" s="148"/>
      <c r="C412" s="148"/>
      <c r="D412" s="14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48" t="s">
        <v>311</v>
      </c>
      <c r="B423" s="148"/>
      <c r="C423" s="148"/>
      <c r="D423" s="14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48" t="s">
        <v>315</v>
      </c>
      <c r="B434" s="148"/>
      <c r="C434" s="148"/>
      <c r="D434" s="14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48" t="s">
        <v>316</v>
      </c>
      <c r="B445" s="148"/>
      <c r="C445" s="148"/>
      <c r="D445" s="14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48" t="s">
        <v>317</v>
      </c>
      <c r="B456" s="148"/>
      <c r="C456" s="148"/>
      <c r="D456" s="14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48" t="s">
        <v>318</v>
      </c>
      <c r="B467" s="148"/>
      <c r="C467" s="148"/>
      <c r="D467" s="14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48" t="s">
        <v>319</v>
      </c>
      <c r="B478" s="148"/>
      <c r="C478" s="148"/>
      <c r="D478" s="14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48" t="s">
        <v>320</v>
      </c>
      <c r="B489" s="148"/>
      <c r="C489" s="148"/>
      <c r="D489" s="14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48" t="s">
        <v>323</v>
      </c>
      <c r="B500" s="148"/>
      <c r="C500" s="148"/>
      <c r="D500" s="14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48" t="s">
        <v>324</v>
      </c>
      <c r="B511" s="148"/>
      <c r="C511" s="148"/>
      <c r="D511" s="14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48" t="s">
        <v>325</v>
      </c>
      <c r="B522" s="148"/>
      <c r="C522" s="148"/>
      <c r="D522" s="14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48" t="s">
        <v>326</v>
      </c>
      <c r="B533" s="148"/>
      <c r="C533" s="148"/>
      <c r="D533" s="14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48" t="s">
        <v>327</v>
      </c>
      <c r="B544" s="148"/>
      <c r="C544" s="148"/>
      <c r="D544" s="14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48" t="s">
        <v>328</v>
      </c>
      <c r="B555" s="148"/>
      <c r="C555" s="148"/>
      <c r="D555" s="14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48" t="s">
        <v>328</v>
      </c>
      <c r="B567" s="148"/>
      <c r="C567" s="148"/>
      <c r="D567" s="14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48" t="s">
        <v>333</v>
      </c>
      <c r="B579" s="148"/>
      <c r="C579" s="148"/>
      <c r="D579" s="14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48" t="s">
        <v>334</v>
      </c>
      <c r="B590" s="148"/>
      <c r="C590" s="148"/>
      <c r="D590" s="14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48" t="s">
        <v>335</v>
      </c>
      <c r="B601" s="148"/>
      <c r="C601" s="148"/>
      <c r="D601" s="14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48" t="s">
        <v>336</v>
      </c>
      <c r="B612" s="148"/>
      <c r="C612" s="148"/>
      <c r="D612" s="14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48" t="s">
        <v>337</v>
      </c>
      <c r="B623" s="148"/>
      <c r="C623" s="148"/>
      <c r="D623" s="14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48" t="s">
        <v>338</v>
      </c>
      <c r="B635" s="148"/>
      <c r="C635" s="148"/>
      <c r="D635" s="14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48" t="s">
        <v>340</v>
      </c>
      <c r="B647" s="148"/>
      <c r="C647" s="148"/>
      <c r="D647" s="14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48" t="s">
        <v>341</v>
      </c>
      <c r="B658" s="148"/>
      <c r="C658" s="148"/>
      <c r="D658" s="14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48" t="s">
        <v>342</v>
      </c>
      <c r="B670" s="148"/>
      <c r="C670" s="148"/>
      <c r="D670" s="14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48" t="s">
        <v>343</v>
      </c>
      <c r="B681" s="148"/>
      <c r="C681" s="148"/>
      <c r="D681" s="14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48" t="s">
        <v>344</v>
      </c>
      <c r="B692" s="148"/>
      <c r="C692" s="148"/>
      <c r="D692" s="14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48" t="s">
        <v>345</v>
      </c>
      <c r="B703" s="148"/>
      <c r="C703" s="148"/>
      <c r="D703" s="14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48" t="s">
        <v>348</v>
      </c>
      <c r="B715" s="148"/>
      <c r="C715" s="148"/>
      <c r="D715" s="14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48" t="s">
        <v>349</v>
      </c>
      <c r="B726" s="148"/>
      <c r="C726" s="148"/>
      <c r="D726" s="14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48" t="s">
        <v>350</v>
      </c>
      <c r="B738" s="148"/>
      <c r="C738" s="148"/>
      <c r="D738" s="14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48" t="s">
        <v>351</v>
      </c>
      <c r="B749" s="148"/>
      <c r="C749" s="148"/>
      <c r="D749" s="14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48" t="s">
        <v>352</v>
      </c>
      <c r="B760" s="148"/>
      <c r="C760" s="148"/>
      <c r="D760" s="14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48" t="s">
        <v>353</v>
      </c>
      <c r="B772" s="148"/>
      <c r="C772" s="148"/>
      <c r="D772" s="14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48" t="s">
        <v>355</v>
      </c>
      <c r="B784" s="148"/>
      <c r="C784" s="148"/>
      <c r="D784" s="14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48" t="s">
        <v>356</v>
      </c>
      <c r="B796" s="148"/>
      <c r="C796" s="148"/>
      <c r="D796" s="14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48" t="s">
        <v>357</v>
      </c>
      <c r="B809" s="148"/>
      <c r="C809" s="148"/>
      <c r="D809" s="14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48" t="s">
        <v>358</v>
      </c>
      <c r="B820" s="148"/>
      <c r="C820" s="148"/>
      <c r="D820" s="14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48" t="s">
        <v>359</v>
      </c>
      <c r="B831" s="148"/>
      <c r="C831" s="148"/>
      <c r="D831" s="14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48" t="s">
        <v>360</v>
      </c>
      <c r="B842" s="148"/>
      <c r="C842" s="148"/>
      <c r="D842" s="14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48" t="s">
        <v>361</v>
      </c>
      <c r="B854" s="148"/>
      <c r="C854" s="148"/>
      <c r="D854" s="14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48" t="s">
        <v>363</v>
      </c>
      <c r="B865" s="148"/>
      <c r="C865" s="148"/>
      <c r="D865" s="14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48" t="s">
        <v>364</v>
      </c>
      <c r="B876" s="148"/>
      <c r="C876" s="148"/>
      <c r="D876" s="14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48" t="s">
        <v>367</v>
      </c>
      <c r="B888" s="148"/>
      <c r="C888" s="148"/>
      <c r="D888" s="14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48" t="s">
        <v>368</v>
      </c>
      <c r="B901" s="148"/>
      <c r="C901" s="148"/>
      <c r="D901" s="14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48" t="s">
        <v>369</v>
      </c>
      <c r="B913" s="148"/>
      <c r="C913" s="148"/>
      <c r="D913" s="14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48" t="s">
        <v>370</v>
      </c>
      <c r="B925" s="148"/>
      <c r="C925" s="148"/>
      <c r="D925" s="14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48" t="s">
        <v>371</v>
      </c>
      <c r="B937" s="148"/>
      <c r="C937" s="148"/>
      <c r="D937" s="14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48" t="s">
        <v>372</v>
      </c>
      <c r="B949" s="148"/>
      <c r="C949" s="148"/>
      <c r="D949" s="14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48" t="s">
        <v>400</v>
      </c>
      <c r="B961" s="148"/>
      <c r="C961" s="148"/>
      <c r="D961" s="14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48" t="s">
        <v>402</v>
      </c>
      <c r="B974" s="148"/>
      <c r="C974" s="148"/>
      <c r="D974" s="14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48" t="s">
        <v>404</v>
      </c>
      <c r="B987" s="148"/>
      <c r="C987" s="148"/>
      <c r="D987" s="14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48" t="s">
        <v>405</v>
      </c>
      <c r="B1000" s="148"/>
      <c r="C1000" s="148"/>
      <c r="D1000" s="14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48" t="s">
        <v>408</v>
      </c>
      <c r="B1012" s="148"/>
      <c r="C1012" s="148"/>
      <c r="D1012" s="14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48" t="s">
        <v>410</v>
      </c>
      <c r="B1025" s="148"/>
      <c r="C1025" s="148"/>
      <c r="D1025" s="14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48" t="s">
        <v>413</v>
      </c>
      <c r="B1037" s="148"/>
      <c r="C1037" s="148"/>
      <c r="D1037" s="14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48" t="s">
        <v>415</v>
      </c>
      <c r="B1049" s="148"/>
      <c r="C1049" s="148"/>
      <c r="D1049" s="14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48" t="s">
        <v>417</v>
      </c>
      <c r="B1061" s="148"/>
      <c r="C1061" s="148"/>
      <c r="D1061" s="14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48" t="s">
        <v>419</v>
      </c>
      <c r="B1073" s="148"/>
      <c r="C1073" s="148"/>
      <c r="D1073" s="14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48" t="s">
        <v>421</v>
      </c>
      <c r="B1085" s="148"/>
      <c r="C1085" s="148"/>
      <c r="D1085" s="14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48" t="s">
        <v>423</v>
      </c>
      <c r="B1098" s="148"/>
      <c r="C1098" s="148"/>
      <c r="D1098" s="14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48" t="s">
        <v>426</v>
      </c>
      <c r="B1110" s="148"/>
      <c r="C1110" s="148"/>
      <c r="D1110" s="14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48" t="s">
        <v>428</v>
      </c>
      <c r="B1123" s="148"/>
      <c r="C1123" s="148"/>
      <c r="D1123" s="14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48" t="s">
        <v>430</v>
      </c>
      <c r="B1136" s="148"/>
      <c r="C1136" s="148"/>
      <c r="D1136" s="14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48" t="s">
        <v>432</v>
      </c>
      <c r="B1149" s="148"/>
      <c r="C1149" s="148"/>
      <c r="D1149" s="14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48" t="s">
        <v>434</v>
      </c>
      <c r="B1162" s="148"/>
      <c r="C1162" s="148"/>
      <c r="D1162" s="14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48" t="s">
        <v>437</v>
      </c>
      <c r="B1173" s="148"/>
      <c r="C1173" s="148"/>
      <c r="D1173" s="14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48" t="s">
        <v>439</v>
      </c>
      <c r="B1185" s="148"/>
      <c r="C1185" s="148"/>
      <c r="D1185" s="14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48" t="s">
        <v>441</v>
      </c>
      <c r="B1197" s="148"/>
      <c r="C1197" s="148"/>
      <c r="D1197" s="14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48" t="s">
        <v>443</v>
      </c>
      <c r="B1209" s="148"/>
      <c r="C1209" s="148"/>
      <c r="D1209" s="14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48" t="s">
        <v>445</v>
      </c>
      <c r="B1222" s="148"/>
      <c r="C1222" s="148"/>
      <c r="D1222" s="14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48" t="s">
        <v>447</v>
      </c>
      <c r="B1234" s="148"/>
      <c r="C1234" s="148"/>
      <c r="D1234" s="14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48" t="s">
        <v>449</v>
      </c>
      <c r="B1246" s="148"/>
      <c r="C1246" s="148"/>
      <c r="D1246" s="14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48" t="s">
        <v>452</v>
      </c>
      <c r="B1258" s="148"/>
      <c r="C1258" s="148"/>
      <c r="D1258" s="14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48" t="s">
        <v>454</v>
      </c>
      <c r="B1270" s="148"/>
      <c r="C1270" s="148"/>
      <c r="D1270" s="14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48" t="s">
        <v>456</v>
      </c>
      <c r="B1282" s="148"/>
      <c r="C1282" s="148"/>
      <c r="D1282" s="14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48" t="s">
        <v>458</v>
      </c>
      <c r="B1294" s="148"/>
      <c r="C1294" s="148"/>
      <c r="D1294" s="14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48" t="s">
        <v>460</v>
      </c>
      <c r="B1306" s="148"/>
      <c r="C1306" s="148"/>
      <c r="D1306" s="14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48" t="s">
        <v>462</v>
      </c>
      <c r="B1318" s="148"/>
      <c r="C1318" s="148"/>
      <c r="D1318" s="14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48" t="s">
        <v>464</v>
      </c>
      <c r="B1330" s="148"/>
      <c r="C1330" s="148"/>
      <c r="D1330" s="14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48" t="s">
        <v>467</v>
      </c>
      <c r="B1343" s="148"/>
      <c r="C1343" s="148"/>
      <c r="D1343" s="14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48" t="s">
        <v>469</v>
      </c>
      <c r="B1355" s="148"/>
      <c r="C1355" s="148"/>
      <c r="D1355" s="14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48" t="s">
        <v>471</v>
      </c>
      <c r="B1368" s="148"/>
      <c r="C1368" s="148"/>
      <c r="D1368" s="14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48" t="s">
        <v>473</v>
      </c>
      <c r="B1380" s="148"/>
      <c r="C1380" s="148"/>
      <c r="D1380" s="14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48" t="s">
        <v>476</v>
      </c>
      <c r="B1392" s="148"/>
      <c r="C1392" s="148"/>
      <c r="D1392" s="14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48" t="s">
        <v>478</v>
      </c>
      <c r="B1404" s="148"/>
      <c r="C1404" s="148"/>
      <c r="D1404" s="14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48" t="s">
        <v>479</v>
      </c>
      <c r="B1416" s="148"/>
      <c r="C1416" s="148"/>
      <c r="D1416" s="14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48" t="s">
        <v>480</v>
      </c>
      <c r="B1428" s="148"/>
      <c r="C1428" s="148"/>
      <c r="D1428" s="14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48" t="s">
        <v>481</v>
      </c>
      <c r="B1441" s="148"/>
      <c r="C1441" s="148"/>
      <c r="D1441" s="14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48" t="s">
        <v>482</v>
      </c>
      <c r="B1453" s="148"/>
      <c r="C1453" s="148"/>
      <c r="D1453" s="14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48" t="s">
        <v>489</v>
      </c>
      <c r="B1465" s="148"/>
      <c r="C1465" s="148"/>
      <c r="D1465" s="14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48" t="s">
        <v>491</v>
      </c>
      <c r="B1477" s="148"/>
      <c r="C1477" s="148"/>
      <c r="D1477" s="14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48" t="s">
        <v>493</v>
      </c>
      <c r="B1490" s="148"/>
      <c r="C1490" s="148"/>
      <c r="D1490" s="14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48" t="s">
        <v>495</v>
      </c>
      <c r="B1502" s="148"/>
      <c r="C1502" s="148"/>
      <c r="D1502" s="148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48" t="s">
        <v>497</v>
      </c>
      <c r="B1514" s="148"/>
      <c r="C1514" s="148"/>
      <c r="D1514" s="148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48" t="s">
        <v>499</v>
      </c>
      <c r="B1526" s="148"/>
      <c r="C1526" s="148"/>
      <c r="D1526" s="148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48" t="s">
        <v>502</v>
      </c>
      <c r="B1539" s="148"/>
      <c r="C1539" s="148"/>
      <c r="D1539" s="148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48" t="s">
        <v>504</v>
      </c>
      <c r="B1551" s="148"/>
      <c r="C1551" s="148"/>
      <c r="D1551" s="148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48" t="s">
        <v>506</v>
      </c>
      <c r="B1563" s="148"/>
      <c r="C1563" s="148"/>
      <c r="D1563" s="148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48" t="s">
        <v>509</v>
      </c>
      <c r="B1576" s="148"/>
      <c r="C1576" s="148"/>
      <c r="D1576" s="148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48" t="s">
        <v>511</v>
      </c>
      <c r="B1589" s="148"/>
      <c r="C1589" s="148"/>
      <c r="D1589" s="148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47" t="s">
        <v>511</v>
      </c>
      <c r="B1601" s="147"/>
      <c r="C1601" s="147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</sheetData>
  <mergeCells count="141">
    <mergeCell ref="A1453:D1453"/>
    <mergeCell ref="A1318:D1318"/>
    <mergeCell ref="A1563:D1563"/>
    <mergeCell ref="A1551:D1551"/>
    <mergeCell ref="A1539:D1539"/>
    <mergeCell ref="A1526:D1526"/>
    <mergeCell ref="A1514:D1514"/>
    <mergeCell ref="A1589:D1589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692:D692"/>
    <mergeCell ref="A703:D703"/>
    <mergeCell ref="A715:D715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273:D273"/>
    <mergeCell ref="A283:D283"/>
    <mergeCell ref="A293:D293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03:D203"/>
    <mergeCell ref="A213:D213"/>
    <mergeCell ref="A1601:C1601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185:D1185"/>
    <mergeCell ref="A1162:D1162"/>
    <mergeCell ref="A1136:D113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20" sqref="D20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49" t="s">
        <v>373</v>
      </c>
      <c r="B1" s="149"/>
      <c r="C1" s="14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7"/>
  <sheetViews>
    <sheetView topLeftCell="B109" zoomScale="85" zoomScaleNormal="85" workbookViewId="0">
      <selection activeCell="E130" sqref="E130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2021-12-08T13:29:39Z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