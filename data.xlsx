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set'!$BN$1:$BN$212</definedName>
    <definedName name="_xlnm._FilterDatabase" localSheetId="1" hidden="1">weekly!$A$1:$K$50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78" i="3" l="1"/>
  <c r="E1574" i="3"/>
  <c r="D1577" i="3"/>
  <c r="C1575" i="3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1" i="2" l="1"/>
  <c r="J40" i="2"/>
  <c r="G36" i="2"/>
  <c r="E36" i="2"/>
  <c r="M190" i="1" l="1"/>
  <c r="H122" i="5" l="1"/>
  <c r="G122" i="5"/>
  <c r="F122" i="5"/>
  <c r="H121" i="5" l="1"/>
  <c r="G121" i="5"/>
  <c r="F121" i="5"/>
  <c r="L190" i="1"/>
  <c r="T199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9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9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0" i="2"/>
  <c r="G49" i="2"/>
  <c r="G48" i="2"/>
  <c r="G47" i="2"/>
  <c r="G46" i="2"/>
  <c r="G45" i="2"/>
  <c r="G44" i="2"/>
  <c r="G43" i="2"/>
  <c r="G42" i="2"/>
  <c r="D38" i="2"/>
  <c r="C38" i="2"/>
  <c r="B3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2" i="2" s="1"/>
  <c r="G16" i="2"/>
  <c r="E16" i="2"/>
  <c r="C4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U1" i="1" l="1"/>
  <c r="S1" i="1"/>
</calcChain>
</file>

<file path=xl/sharedStrings.xml><?xml version="1.0" encoding="utf-8"?>
<sst xmlns="http://schemas.openxmlformats.org/spreadsheetml/2006/main" count="1720" uniqueCount="508">
  <si>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</si>
  <si>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</si>
  <si>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</si>
  <si>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</si>
  <si>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</si>
  <si>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</si>
  <si>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</si>
  <si>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</si>
  <si>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</si>
  <si>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</si>
  <si>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</si>
  <si>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</si>
  <si>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</si>
  <si>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</si>
  <si>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</si>
  <si>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</si>
  <si>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</si>
  <si>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</si>
  <si>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</si>
  <si>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</si>
  <si>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</si>
  <si>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</si>
  <si>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</si>
  <si>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</si>
  <si>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</si>
  <si>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</si>
  <si>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</si>
  <si>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</si>
  <si>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</si>
  <si>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</si>
  <si>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</si>
  <si>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</si>
  <si>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</si>
  <si>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</si>
  <si>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</si>
  <si>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</si>
  <si>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</si>
  <si>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</si>
  <si>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</si>
  <si>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</si>
  <si>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</si>
  <si>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</si>
  <si>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</si>
  <si>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</si>
  <si>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</si>
  <si>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</si>
  <si>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</si>
  <si>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</si>
  <si>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</si>
  <si>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</si>
  <si>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</si>
  <si>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</si>
  <si>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</si>
  <si>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</si>
  <si>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</si>
  <si>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</si>
  <si>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</si>
  <si>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</si>
  <si>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</si>
  <si>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</si>
  <si>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</si>
  <si>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</si>
  <si>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</si>
  <si>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</si>
  <si>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</si>
  <si>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</si>
  <si>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</si>
  <si>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</si>
  <si>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</si>
  <si>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</si>
  <si>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</si>
  <si>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</si>
  <si>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</si>
  <si>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</si>
  <si>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</si>
  <si>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</si>
  <si>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</si>
  <si>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</si>
  <si>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</si>
  <si>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</si>
  <si>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</si>
  <si>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</si>
  <si>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</si>
  <si>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</si>
  <si>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</si>
  <si>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</si>
  <si>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</si>
  <si>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</si>
  <si>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</si>
  <si>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</si>
  <si>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</si>
  <si>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</si>
  <si>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</si>
  <si>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</si>
  <si>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</si>
  <si>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</si>
  <si>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</si>
  <si>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</si>
  <si>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</si>
  <si>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</si>
  <si>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</si>
  <si>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</si>
  <si>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</si>
  <si>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</si>
  <si>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</si>
  <si>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</si>
  <si>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</si>
  <si>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</si>
  <si>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</si>
  <si>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</si>
  <si>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</si>
  <si>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</si>
  <si>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</si>
  <si>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</si>
  <si>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</si>
  <si>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</si>
  <si>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</si>
  <si>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</si>
  <si>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</si>
  <si>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</si>
  <si>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</si>
  <si>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</si>
  <si>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</si>
  <si>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</si>
  <si>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</si>
  <si>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</si>
  <si>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</si>
  <si>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</si>
  <si>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</si>
  <si>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</si>
  <si>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</si>
  <si>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</si>
  <si>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</si>
  <si>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</si>
  <si>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</si>
  <si>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</si>
  <si>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</si>
  <si>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</si>
  <si>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</si>
  <si>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</si>
  <si>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</si>
  <si>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</si>
  <si>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</si>
  <si>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</si>
  <si>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</si>
  <si>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</si>
  <si>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</si>
  <si>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</si>
  <si>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</si>
  <si>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</si>
  <si>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</si>
  <si>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</si>
  <si>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</si>
  <si>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</si>
  <si>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</si>
  <si>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</si>
  <si>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</si>
  <si>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</si>
  <si>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</si>
  <si>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</si>
  <si>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</si>
  <si>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</si>
  <si>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</si>
  <si>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</si>
  <si>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</si>
  <si>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</si>
  <si>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</si>
  <si>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</si>
  <si>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</si>
  <si>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</si>
  <si>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</si>
  <si>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</si>
  <si>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</si>
  <si>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</si>
  <si>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</si>
  <si>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</si>
  <si>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</si>
  <si>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</si>
  <si>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</si>
  <si>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</si>
  <si>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</si>
  <si>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</si>
  <si>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</si>
  <si>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</si>
  <si>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</si>
  <si>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</si>
  <si>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</si>
  <si>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</si>
  <si>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</si>
  <si>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</si>
  <si>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</si>
  <si>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</si>
  <si>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</si>
  <si>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</si>
  <si>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</si>
  <si>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</si>
  <si>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</si>
  <si>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</si>
  <si>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</si>
  <si>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</si>
  <si>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</si>
  <si>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</si>
  <si>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</si>
  <si>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</si>
  <si>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</si>
  <si>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</si>
  <si>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</si>
  <si>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</si>
  <si>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</si>
  <si>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</si>
  <si>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</si>
  <si>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</si>
  <si>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</si>
  <si>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</si>
  <si>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</si>
  <si>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</si>
  <si>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</si>
  <si>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</si>
  <si>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</si>
  <si>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</si>
  <si>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</si>
  <si>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</si>
  <si>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</si>
  <si>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</si>
  <si>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</si>
  <si>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</si>
  <si>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</si>
  <si>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</si>
  <si>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</si>
  <si>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</si>
  <si>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</si>
  <si>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</si>
  <si>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</si>
  <si>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</si>
  <si>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</si>
  <si>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</si>
  <si>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</si>
  <si>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</si>
  <si>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</si>
  <si>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</si>
  <si>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</si>
  <si>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</si>
  <si>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</si>
  <si>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</si>
  <si>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</si>
  <si>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</si>
  <si>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</si>
  <si>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</si>
  <si>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</si>
  <si>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</si>
  <si>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</si>
  <si>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</si>
  <si>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</si>
  <si>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</si>
  <si>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</si>
  <si>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</si>
  <si>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</si>
  <si>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</si>
  <si>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</si>
  <si>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</si>
  <si>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</si>
  <si>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</si>
  <si>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</si>
  <si>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</si>
  <si>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</si>
  <si>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</si>
  <si>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</si>
  <si>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</si>
  <si>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</si>
  <si>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</si>
  <si>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</si>
  <si>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</si>
  <si>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</si>
  <si>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</si>
  <si>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</si>
  <si>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</si>
  <si>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</si>
  <si>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</si>
  <si>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</si>
  <si>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</si>
  <si>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</si>
  <si>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</si>
  <si>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</si>
  <si>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</si>
  <si>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</si>
  <si>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</si>
  <si>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</si>
  <si>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</si>
  <si>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</si>
  <si>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</si>
  <si>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</si>
  <si>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</si>
  <si>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</si>
  <si>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</si>
  <si>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</si>
  <si>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</si>
  <si>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</si>
  <si>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</si>
  <si>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</si>
  <si>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</si>
  <si>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</si>
  <si>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</si>
  <si>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</si>
  <si>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</si>
  <si>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</si>
  <si>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</si>
  <si>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</si>
  <si>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</si>
  <si>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</si>
  <si>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</si>
  <si>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</si>
  <si>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</si>
  <si>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</si>
  <si>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</si>
  <si>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</si>
  <si>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</si>
  <si>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</si>
  <si>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</si>
  <si>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</si>
  <si>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</si>
  <si>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</si>
  <si>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</si>
  <si>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</si>
  <si>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</si>
  <si>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</si>
  <si>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</si>
  <si>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</si>
  <si>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</si>
  <si>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</si>
  <si>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</si>
  <si>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</si>
  <si>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</si>
  <si>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</si>
  <si>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</si>
  <si>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</si>
  <si>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</si>
  <si>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</si>
  <si>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</si>
  <si>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</si>
  <si>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</si>
  <si>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</si>
  <si>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</si>
  <si>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</si>
  <si>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</si>
  <si>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</si>
  <si>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</si>
  <si>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</si>
  <si>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</si>
  <si>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</si>
  <si>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</si>
  <si>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</si>
  <si>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</si>
  <si>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</si>
  <si>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</si>
  <si>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</si>
  <si>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</si>
  <si>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</si>
  <si>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</si>
  <si>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</si>
  <si>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</si>
  <si>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</si>
  <si>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</si>
  <si>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</si>
  <si>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</si>
  <si>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</si>
  <si>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</si>
  <si>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</si>
  <si>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</si>
  <si>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</si>
  <si>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</si>
  <si>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</si>
  <si>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</si>
  <si>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</si>
  <si>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</si>
  <si>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</si>
  <si>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</si>
  <si>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</si>
  <si>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</si>
  <si>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</si>
  <si>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</si>
  <si>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</si>
  <si>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</si>
  <si>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</si>
  <si>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</si>
  <si>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</si>
  <si>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</si>
  <si>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</si>
  <si>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</si>
  <si>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</si>
  <si>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</si>
  <si>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</si>
  <si>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</si>
  <si>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</si>
  <si>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</si>
  <si>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</si>
  <si>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</si>
  <si>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</si>
  <si>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</si>
  <si>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</si>
  <si>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</si>
  <si>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</si>
  <si>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</si>
  <si>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</si>
  <si>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</si>
  <si>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</si>
  <si>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</si>
  <si>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</si>
  <si>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</si>
  <si>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</si>
  <si>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</si>
  <si>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</si>
  <si>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</si>
  <si>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</si>
  <si>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</si>
  <si>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</si>
  <si>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</si>
  <si>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</si>
  <si>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</si>
  <si>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</si>
  <si>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</si>
  <si>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</si>
  <si>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</si>
  <si>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</si>
  <si>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</si>
  <si>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</si>
  <si>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</si>
  <si>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</si>
  <si>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</si>
  <si>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</si>
  <si>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</si>
  <si>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</si>
  <si>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</si>
  <si>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</si>
  <si>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</si>
  <si>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</si>
  <si>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</si>
  <si>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</si>
  <si>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</si>
  <si>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</si>
  <si>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</si>
  <si>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</si>
  <si>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</si>
  <si>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</si>
  <si>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</si>
  <si>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</si>
  <si>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</si>
  <si>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</si>
  <si>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</si>
  <si>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</si>
  <si>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</si>
  <si>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</si>
  <si>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</si>
  <si>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</si>
  <si>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</si>
  <si>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</si>
  <si>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</si>
  <si>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</si>
  <si>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</si>
  <si>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</si>
  <si>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</si>
  <si>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</si>
  <si>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</si>
  <si>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</si>
  <si>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</si>
  <si>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</si>
  <si>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</si>
  <si>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</si>
  <si>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</si>
  <si>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</si>
  <si>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</si>
  <si>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</si>
  <si>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</si>
  <si>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</si>
  <si>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</si>
  <si>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</si>
  <si>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</si>
  <si>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</si>
  <si>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</si>
  <si>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</si>
  <si>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</si>
  <si>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</si>
  <si>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</si>
  <si>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</si>
  <si>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</si>
  <si>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</si>
  <si>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</si>
  <si>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</si>
  <si>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</si>
  <si>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</si>
  <si>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</si>
  <si>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</si>
  <si>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</si>
  <si>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</si>
  <si>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</si>
  <si>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</si>
  <si>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</si>
  <si>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</si>
  <si>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</si>
  <si>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</si>
  <si>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</si>
  <si>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</si>
  <si>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</si>
  <si>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</si>
  <si>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</si>
  <si>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</si>
  <si>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</si>
  <si>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</si>
  <si>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itji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</si>
</sst>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rgb="FFFFFF00"/>
        <bgColor rgb="FFA5A5A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1" fillId="14" borderId="2" xfId="0" applyFont="1" applyFill="1" applyBorder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1" fillId="9" borderId="0" xfId="0" applyFont="1" applyFill="1" applyBorder="1"/>
    <xf numFmtId="0" fontId="8" fillId="9" borderId="3" xfId="0" applyFont="1" applyFill="1" applyBorder="1"/>
    <xf numFmtId="0" fontId="7" fillId="9" borderId="0" xfId="0" applyFont="1" applyFill="1" applyBorder="1"/>
    <xf numFmtId="0" fontId="0" fillId="15" borderId="0" xfId="0" applyFill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8838304"/>
        <c:axId val="-568849728"/>
      </c:lineChart>
      <c:catAx>
        <c:axId val="-56883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9728"/>
        <c:crosses val="autoZero"/>
        <c:auto val="1"/>
        <c:lblAlgn val="ctr"/>
        <c:lblOffset val="100"/>
        <c:noMultiLvlLbl val="0"/>
      </c:catAx>
      <c:valAx>
        <c:axId val="-5688497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3830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weekly!$B$27:$B$36</c15:sqref>
                  </c15:fullRef>
                </c:ext>
              </c:extLst>
              <c:f>weekly!$B$28:$B$36</c:f>
              <c:numCache>
                <c:formatCode>General</c:formatCode>
                <c:ptCount val="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weekly!$H$27:$H$36</c15:sqref>
                  </c15:fullRef>
                </c:ext>
              </c:extLst>
              <c:f>weekly!$H$28:$H$36</c:f>
              <c:numCache>
                <c:formatCode>General</c:formatCode>
                <c:ptCount val="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weekly!$J$27:$J$36</c15:sqref>
                  </c15:fullRef>
                </c:ext>
              </c:extLst>
              <c:f>weekly!$J$28:$J$36</c:f>
              <c:numCache>
                <c:formatCode>General</c:formatCode>
                <c:ptCount val="9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  <c:pt idx="8">
                  <c:v>29273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8848640"/>
        <c:axId val="-568844288"/>
      </c:lineChart>
      <c:catAx>
        <c:axId val="-56884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4288"/>
        <c:crosses val="autoZero"/>
        <c:auto val="1"/>
        <c:lblAlgn val="ctr"/>
        <c:lblOffset val="100"/>
        <c:noMultiLvlLbl val="0"/>
      </c:catAx>
      <c:valAx>
        <c:axId val="-56884428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86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ششم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weekly!$D$2:$D$36</c:f>
              <c:numCache>
                <c:formatCode>General</c:formatCode>
                <c:ptCount val="3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8845920"/>
        <c:axId val="-568849184"/>
      </c:lineChart>
      <c:catAx>
        <c:axId val="-56884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9184"/>
        <c:crosses val="autoZero"/>
        <c:auto val="1"/>
        <c:lblAlgn val="ctr"/>
        <c:lblOffset val="100"/>
        <c:noMultiLvlLbl val="0"/>
      </c:catAx>
      <c:valAx>
        <c:axId val="-5688491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5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8837216"/>
        <c:axId val="-568848096"/>
      </c:lineChart>
      <c:catAx>
        <c:axId val="-56883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8096"/>
        <c:crosses val="autoZero"/>
        <c:auto val="1"/>
        <c:lblAlgn val="ctr"/>
        <c:lblOffset val="100"/>
        <c:noMultiLvlLbl val="0"/>
      </c:catAx>
      <c:valAx>
        <c:axId val="-5688480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372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ششم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weekly!$F$2:$F$36</c:f>
              <c:numCache>
                <c:formatCode>General</c:formatCode>
                <c:ptCount val="3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8852448"/>
        <c:axId val="-568843200"/>
      </c:lineChart>
      <c:catAx>
        <c:axId val="-56885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3200"/>
        <c:crosses val="autoZero"/>
        <c:auto val="1"/>
        <c:lblAlgn val="ctr"/>
        <c:lblOffset val="100"/>
        <c:noMultiLvlLbl val="0"/>
      </c:catAx>
      <c:valAx>
        <c:axId val="-568843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524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weekly!$C$27:$C$36</c15:sqref>
                  </c15:fullRef>
                </c:ext>
              </c:extLst>
              <c:f>weekly!$C$28:$C$36</c:f>
              <c:numCache>
                <c:formatCode>General</c:formatCode>
                <c:ptCount val="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weekly!$K$27:$K$36</c15:sqref>
                  </c15:fullRef>
                </c:ext>
              </c:extLst>
              <c:f>weekly!$K$28:$K$36</c:f>
              <c:numCache>
                <c:formatCode>General</c:formatCode>
                <c:ptCount val="9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  <c:pt idx="8">
                  <c:v>33079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weekly!$I$27:$I$36</c15:sqref>
                  </c15:fullRef>
                </c:ext>
              </c:extLst>
              <c:f>weekly!$I$28:$I$36</c:f>
              <c:numCache>
                <c:formatCode>General</c:formatCode>
                <c:ptCount val="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8841568"/>
        <c:axId val="-568843744"/>
      </c:lineChart>
      <c:catAx>
        <c:axId val="-56884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3744"/>
        <c:crosses val="autoZero"/>
        <c:auto val="1"/>
        <c:lblAlgn val="ctr"/>
        <c:lblOffset val="100"/>
        <c:noMultiLvlLbl val="0"/>
      </c:catAx>
      <c:valAx>
        <c:axId val="-56884374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15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68850272"/>
        <c:axId val="-568841024"/>
      </c:barChart>
      <c:catAx>
        <c:axId val="-56885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1024"/>
        <c:crosses val="autoZero"/>
        <c:auto val="1"/>
        <c:lblAlgn val="ctr"/>
        <c:lblOffset val="100"/>
        <c:noMultiLvlLbl val="0"/>
      </c:catAx>
      <c:valAx>
        <c:axId val="-5688410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502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(دوشنبه 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15آذر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3"/>
          <c:order val="4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change'!$F$125:$I$125</c:f>
              <c:numCache>
                <c:formatCode>General</c:formatCode>
                <c:ptCount val="4"/>
                <c:pt idx="0">
                  <c:v>0.75857519788918204</c:v>
                </c:pt>
                <c:pt idx="1">
                  <c:v>1.4570552147239264</c:v>
                </c:pt>
                <c:pt idx="2">
                  <c:v>0.43829296424452135</c:v>
                </c:pt>
                <c:pt idx="3">
                  <c:v>-0.06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68839936"/>
        <c:axId val="-56884537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56883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45376"/>
        <c:crosses val="autoZero"/>
        <c:auto val="1"/>
        <c:lblAlgn val="ctr"/>
        <c:lblOffset val="100"/>
        <c:noMultiLvlLbl val="0"/>
      </c:catAx>
      <c:valAx>
        <c:axId val="-568845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883993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592</xdr:row>
      <xdr:rowOff>102960</xdr:rowOff>
    </xdr:from>
    <xdr:to>
      <xdr:col>11</xdr:col>
      <xdr:colOff>279360</xdr:colOff>
      <xdr:row>622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172</xdr:row>
      <xdr:rowOff>27711</xdr:rowOff>
    </xdr:from>
    <xdr:to>
      <xdr:col>41</xdr:col>
      <xdr:colOff>533400</xdr:colOff>
      <xdr:row>277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308</xdr:row>
      <xdr:rowOff>0</xdr:rowOff>
    </xdr:from>
    <xdr:to>
      <xdr:col>82</xdr:col>
      <xdr:colOff>0</xdr:colOff>
      <xdr:row>384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627</xdr:row>
      <xdr:rowOff>0</xdr:rowOff>
    </xdr:from>
    <xdr:to>
      <xdr:col>13</xdr:col>
      <xdr:colOff>354240</xdr:colOff>
      <xdr:row>657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407</xdr:row>
      <xdr:rowOff>0</xdr:rowOff>
    </xdr:from>
    <xdr:to>
      <xdr:col>83</xdr:col>
      <xdr:colOff>533400</xdr:colOff>
      <xdr:row>506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55</xdr:row>
      <xdr:rowOff>76321</xdr:rowOff>
    </xdr:from>
    <xdr:to>
      <xdr:col>44</xdr:col>
      <xdr:colOff>533400</xdr:colOff>
      <xdr:row>154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212"/>
  <sheetViews>
    <sheetView topLeftCell="B1" zoomScaleNormal="100" workbookViewId="0">
      <selection activeCell="D198" sqref="D19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  <col min="65" max="65" width="8.5703125" customWidth="1"/>
  </cols>
  <sheetData>
    <row r="1" spans="1:66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#REF!/#REF!</f>
        <v>#REF!</v>
      </c>
      <c r="T1" s="3" t="s">
        <v>15</v>
      </c>
      <c r="U1" s="3" t="e">
        <f>#REF!/#REF!</f>
        <v>#REF!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6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6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6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6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6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6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6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6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6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6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6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6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</row>
    <row r="14" spans="1:66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</row>
    <row r="15" spans="1:66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</row>
    <row r="16" spans="1:66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</row>
    <row r="17" spans="1:66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</row>
    <row r="18" spans="1:66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</row>
    <row r="19" spans="1:66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</row>
    <row r="20" spans="1:66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</row>
    <row r="21" spans="1:66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</row>
    <row r="22" spans="1:66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</row>
    <row r="23" spans="1:66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</row>
    <row r="24" spans="1:66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</row>
    <row r="25" spans="1:66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</row>
    <row r="26" spans="1:66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</row>
    <row r="27" spans="1:66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</row>
    <row r="28" spans="1:66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</row>
    <row r="29" spans="1:66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</row>
    <row r="30" spans="1:66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</row>
    <row r="31" spans="1:66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</row>
    <row r="32" spans="1:66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</row>
    <row r="33" spans="1:66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</row>
    <row r="34" spans="1:66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9">F34*G34</f>
        <v>99936563800</v>
      </c>
      <c r="M34" s="17">
        <f t="shared" ref="M34:M65" si="10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1">X34-N34</f>
        <v>414</v>
      </c>
      <c r="BJ34" s="28">
        <f t="shared" ref="BJ34:BJ65" si="12">(Y34-O34)/O34</f>
        <v>-5.6385129880230211E-3</v>
      </c>
      <c r="BK34" s="28">
        <f t="shared" ref="BK34:BK61" si="13">K35/K34</f>
        <v>7.9474358974358976</v>
      </c>
      <c r="BL34" s="28">
        <f t="shared" ref="BL34:BL69" si="14">(Y34-O34)/O34</f>
        <v>-5.6385129880230211E-3</v>
      </c>
      <c r="BM34" s="28">
        <f t="shared" ref="BM34:BM65" si="15">(X34-D34)/D34</f>
        <v>3.1361612603356327E-2</v>
      </c>
      <c r="BN34" s="14">
        <f t="shared" si="8"/>
        <v>3.1613976705490847</v>
      </c>
    </row>
    <row r="35" spans="1:66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9"/>
        <v>228276501400</v>
      </c>
      <c r="M35" s="17">
        <f t="shared" si="10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1"/>
        <v>752</v>
      </c>
      <c r="BJ35" s="34">
        <f t="shared" si="12"/>
        <v>5.3257745129351643E-2</v>
      </c>
      <c r="BK35" s="34">
        <f t="shared" si="13"/>
        <v>1.6778512663332796</v>
      </c>
      <c r="BL35" s="34">
        <f t="shared" si="14"/>
        <v>5.3257745129351643E-2</v>
      </c>
      <c r="BM35" s="34">
        <f t="shared" si="15"/>
        <v>5.0932041685013946E-2</v>
      </c>
      <c r="BN35" s="14">
        <f t="shared" si="8"/>
        <v>4.9956007429856291</v>
      </c>
    </row>
    <row r="36" spans="1:66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9"/>
        <v>188026209000</v>
      </c>
      <c r="M36" s="17">
        <f t="shared" si="10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1"/>
        <v>434</v>
      </c>
      <c r="BJ36" s="34">
        <f t="shared" si="12"/>
        <v>3.2792079207920793E-2</v>
      </c>
      <c r="BK36" s="34">
        <f t="shared" si="13"/>
        <v>1.9736563791943083</v>
      </c>
      <c r="BL36" s="34">
        <f t="shared" si="14"/>
        <v>3.2792079207920793E-2</v>
      </c>
      <c r="BM36" s="34">
        <f t="shared" si="15"/>
        <v>3.7201877025784917E-2</v>
      </c>
      <c r="BN36" s="14">
        <f t="shared" si="8"/>
        <v>3.4848923641278118</v>
      </c>
    </row>
    <row r="37" spans="1:66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9"/>
        <v>184332592500</v>
      </c>
      <c r="M37" s="17">
        <f t="shared" si="10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1"/>
        <v>208</v>
      </c>
      <c r="BJ37" s="34">
        <f t="shared" si="12"/>
        <v>5.292938818814099E-2</v>
      </c>
      <c r="BK37" s="34">
        <f t="shared" si="13"/>
        <v>1.6885717069368666</v>
      </c>
      <c r="BL37" s="34">
        <f t="shared" si="14"/>
        <v>5.292938818814099E-2</v>
      </c>
      <c r="BM37" s="34">
        <f t="shared" si="15"/>
        <v>4.660045836516425E-2</v>
      </c>
      <c r="BN37" s="14">
        <f t="shared" si="8"/>
        <v>3.7240335021057116</v>
      </c>
    </row>
    <row r="38" spans="1:66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9"/>
        <v>90016369300</v>
      </c>
      <c r="M38" s="17">
        <f t="shared" si="10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1"/>
        <v>388</v>
      </c>
      <c r="BJ38" s="34">
        <f t="shared" si="12"/>
        <v>4.1247714808043873E-2</v>
      </c>
      <c r="BK38" s="34">
        <f t="shared" si="13"/>
        <v>0.74653088307417126</v>
      </c>
      <c r="BL38" s="34">
        <f t="shared" si="14"/>
        <v>4.1247714808043873E-2</v>
      </c>
      <c r="BM38" s="34">
        <f t="shared" si="15"/>
        <v>3.2269893656032271E-2</v>
      </c>
      <c r="BN38" s="14">
        <f t="shared" si="8"/>
        <v>2.4148437855291283</v>
      </c>
    </row>
    <row r="39" spans="1:66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9"/>
        <v>98570761800</v>
      </c>
      <c r="M39" s="17">
        <f t="shared" si="10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1"/>
        <v>184</v>
      </c>
      <c r="BJ39" s="34">
        <f t="shared" si="12"/>
        <v>3.5491241431835491E-2</v>
      </c>
      <c r="BK39" s="34">
        <f t="shared" si="13"/>
        <v>1.1472736406847779</v>
      </c>
      <c r="BL39" s="34">
        <f t="shared" si="14"/>
        <v>3.5491241431835491E-2</v>
      </c>
      <c r="BM39" s="34">
        <f t="shared" si="15"/>
        <v>3.0200265799000963E-2</v>
      </c>
      <c r="BN39" s="14">
        <f t="shared" si="8"/>
        <v>2.9209779324237708</v>
      </c>
    </row>
    <row r="40" spans="1:66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9"/>
        <v>112956976000</v>
      </c>
      <c r="M40" s="17">
        <f t="shared" si="10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1"/>
        <v>552</v>
      </c>
      <c r="BJ40" s="23">
        <f t="shared" si="12"/>
        <v>4.4714828897338403E-2</v>
      </c>
      <c r="BK40" s="23">
        <f t="shared" si="13"/>
        <v>0.87021692266235517</v>
      </c>
      <c r="BL40" s="23">
        <f t="shared" si="14"/>
        <v>4.4714828897338403E-2</v>
      </c>
      <c r="BM40" s="23">
        <f t="shared" si="15"/>
        <v>3.7372593431483581E-2</v>
      </c>
      <c r="BN40" s="14">
        <f t="shared" si="8"/>
        <v>4.7719266138994376</v>
      </c>
    </row>
    <row r="41" spans="1:66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9"/>
        <v>146140919000</v>
      </c>
      <c r="M41" s="17">
        <f t="shared" si="10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1"/>
        <v>807</v>
      </c>
      <c r="BJ41" s="23">
        <f t="shared" si="12"/>
        <v>5.6398478972930238E-2</v>
      </c>
      <c r="BK41" s="23">
        <f t="shared" si="13"/>
        <v>1.2627830462550804</v>
      </c>
      <c r="BL41" s="23">
        <f t="shared" si="14"/>
        <v>5.6398478972930238E-2</v>
      </c>
      <c r="BM41" s="23">
        <f t="shared" si="15"/>
        <v>4.6139995498537027E-2</v>
      </c>
      <c r="BN41" s="14">
        <f t="shared" si="8"/>
        <v>5.3013140009062072</v>
      </c>
    </row>
    <row r="42" spans="1:66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9"/>
        <v>94660711500</v>
      </c>
      <c r="M42" s="17">
        <f t="shared" si="10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1"/>
        <v>630</v>
      </c>
      <c r="BJ42" s="23">
        <f t="shared" si="12"/>
        <v>6.3093391837197865E-2</v>
      </c>
      <c r="BK42" s="23">
        <f t="shared" si="13"/>
        <v>0.9125183913683178</v>
      </c>
      <c r="BL42" s="23">
        <f t="shared" si="14"/>
        <v>6.3093391837197865E-2</v>
      </c>
      <c r="BM42" s="23">
        <f t="shared" si="15"/>
        <v>2.4709628234449974E-2</v>
      </c>
      <c r="BN42" s="14">
        <f t="shared" si="8"/>
        <v>3.1090654753846847</v>
      </c>
    </row>
    <row r="43" spans="1:66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9"/>
        <v>115815078600</v>
      </c>
      <c r="M43" s="17">
        <f t="shared" si="10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1"/>
        <v>545</v>
      </c>
      <c r="BJ43" s="23">
        <f t="shared" si="12"/>
        <v>2.9095066007817687E-2</v>
      </c>
      <c r="BK43" s="23">
        <f t="shared" si="13"/>
        <v>0.44763184413839435</v>
      </c>
      <c r="BL43" s="23">
        <f t="shared" si="14"/>
        <v>2.9095066007817687E-2</v>
      </c>
      <c r="BM43" s="23">
        <f t="shared" si="15"/>
        <v>4.1844961938651414E-2</v>
      </c>
      <c r="BN43" s="14">
        <f t="shared" si="8"/>
        <v>3.9036880643277483</v>
      </c>
    </row>
    <row r="44" spans="1:66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9"/>
        <v>84187811700</v>
      </c>
      <c r="M44" s="17">
        <f t="shared" si="10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1"/>
        <v>426</v>
      </c>
      <c r="BJ44" s="23">
        <f t="shared" si="12"/>
        <v>3.0301905009469346E-2</v>
      </c>
      <c r="BK44" s="23">
        <f t="shared" si="13"/>
        <v>0.3594476962329281</v>
      </c>
      <c r="BL44" s="23">
        <f t="shared" si="14"/>
        <v>3.0301905009469346E-2</v>
      </c>
      <c r="BM44" s="23">
        <f t="shared" si="15"/>
        <v>2.2023244245466467E-2</v>
      </c>
      <c r="BN44" s="14">
        <f t="shared" si="8"/>
        <v>2.4153713690125529</v>
      </c>
    </row>
    <row r="45" spans="1:66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9"/>
        <v>131139423800</v>
      </c>
      <c r="M45" s="17">
        <f t="shared" si="10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1"/>
        <v>644</v>
      </c>
      <c r="BJ45" s="23">
        <f t="shared" si="12"/>
        <v>3.1772328989028792E-2</v>
      </c>
      <c r="BK45" s="23">
        <f t="shared" si="13"/>
        <v>0.97620041753653441</v>
      </c>
      <c r="BL45" s="23">
        <f t="shared" si="14"/>
        <v>3.1772328989028792E-2</v>
      </c>
      <c r="BM45" s="23">
        <f t="shared" si="15"/>
        <v>3.4451659451659448E-2</v>
      </c>
      <c r="BN45" s="14">
        <f t="shared" si="8"/>
        <v>3.7727313851443047</v>
      </c>
    </row>
    <row r="46" spans="1:66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9"/>
        <v>134661530500</v>
      </c>
      <c r="M46" s="37">
        <f t="shared" si="10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1"/>
        <v>508</v>
      </c>
      <c r="BJ46" s="39">
        <f t="shared" si="12"/>
        <v>1.9754619148470022E-2</v>
      </c>
      <c r="BK46" s="39">
        <f t="shared" si="13"/>
        <v>1.3083832335329342</v>
      </c>
      <c r="BL46" s="39">
        <f t="shared" si="14"/>
        <v>1.9754619148470022E-2</v>
      </c>
      <c r="BM46" s="39">
        <f t="shared" si="15"/>
        <v>3.6231884057971016E-2</v>
      </c>
      <c r="BN46" s="14">
        <f t="shared" si="8"/>
        <v>3.3190336419056221</v>
      </c>
    </row>
    <row r="47" spans="1:66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9"/>
        <v>163131091200</v>
      </c>
      <c r="M47" s="37">
        <f t="shared" si="10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1"/>
        <v>512</v>
      </c>
      <c r="BJ47" s="39">
        <f t="shared" si="12"/>
        <v>2.377202300282041E-2</v>
      </c>
      <c r="BK47" s="39">
        <f t="shared" si="13"/>
        <v>1.0933311539718862</v>
      </c>
      <c r="BL47" s="39">
        <f t="shared" si="14"/>
        <v>2.377202300282041E-2</v>
      </c>
      <c r="BM47" s="39">
        <f t="shared" si="15"/>
        <v>3.3689622513868221E-2</v>
      </c>
      <c r="BN47" s="14">
        <f t="shared" si="8"/>
        <v>3.3549783549783552</v>
      </c>
    </row>
    <row r="48" spans="1:66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9"/>
        <v>195647008000</v>
      </c>
      <c r="M48" s="37">
        <f t="shared" si="10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1"/>
        <v>787</v>
      </c>
      <c r="BJ48" s="39">
        <f t="shared" si="12"/>
        <v>3.4446152719818435E-2</v>
      </c>
      <c r="BK48" s="39">
        <f t="shared" si="13"/>
        <v>1.1163103602930184</v>
      </c>
      <c r="BL48" s="39">
        <f t="shared" si="14"/>
        <v>3.4446152719818435E-2</v>
      </c>
      <c r="BM48" s="39">
        <f t="shared" si="15"/>
        <v>4.1601220661490822E-2</v>
      </c>
      <c r="BN48" s="14">
        <f t="shared" si="8"/>
        <v>4.2443296653941163</v>
      </c>
    </row>
    <row r="49" spans="1:66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9"/>
        <v>170682120000</v>
      </c>
      <c r="M49" s="37">
        <f t="shared" si="10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1"/>
        <v>547</v>
      </c>
      <c r="BJ49" s="39">
        <f t="shared" si="12"/>
        <v>2.3426650098676997E-2</v>
      </c>
      <c r="BK49" s="39">
        <f t="shared" si="13"/>
        <v>0.88536226061336543</v>
      </c>
      <c r="BL49" s="39">
        <f t="shared" si="14"/>
        <v>2.3426650098676997E-2</v>
      </c>
      <c r="BM49" s="39">
        <f t="shared" si="15"/>
        <v>3.6582615363796291E-2</v>
      </c>
      <c r="BN49" s="14">
        <f t="shared" si="8"/>
        <v>3.7237643872714963</v>
      </c>
    </row>
    <row r="50" spans="1:66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9"/>
        <v>224641944000</v>
      </c>
      <c r="M50" s="37">
        <f t="shared" si="10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1"/>
        <v>807</v>
      </c>
      <c r="BJ50" s="39">
        <f t="shared" si="12"/>
        <v>3.330182505635134E-2</v>
      </c>
      <c r="BK50" s="39">
        <f t="shared" si="13"/>
        <v>0.62895174708818635</v>
      </c>
      <c r="BL50" s="39">
        <f t="shared" si="14"/>
        <v>3.330182505635134E-2</v>
      </c>
      <c r="BM50" s="39">
        <f t="shared" si="15"/>
        <v>4.8256649892163911E-2</v>
      </c>
      <c r="BN50" s="14">
        <f t="shared" si="8"/>
        <v>4.7597665020206552</v>
      </c>
    </row>
    <row r="51" spans="1:66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9"/>
        <v>145968986800</v>
      </c>
      <c r="M51" s="37">
        <f t="shared" si="10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1"/>
        <v>527</v>
      </c>
      <c r="BJ51" s="39">
        <f t="shared" si="12"/>
        <v>3.1777737425095334E-2</v>
      </c>
      <c r="BK51" s="39">
        <f t="shared" si="13"/>
        <v>2.7195767195767195</v>
      </c>
      <c r="BL51" s="39">
        <f t="shared" si="14"/>
        <v>3.1777737425095334E-2</v>
      </c>
      <c r="BM51" s="39">
        <f t="shared" si="15"/>
        <v>3.9659421913511093E-2</v>
      </c>
      <c r="BN51" s="14">
        <f t="shared" si="8"/>
        <v>3.5575592554568582</v>
      </c>
    </row>
    <row r="52" spans="1:66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9"/>
        <v>241617762100</v>
      </c>
      <c r="M52" s="9">
        <f t="shared" si="10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1"/>
        <v>489</v>
      </c>
      <c r="BJ52" s="28">
        <f t="shared" si="12"/>
        <v>3.1826209819851639E-2</v>
      </c>
      <c r="BK52" s="28">
        <f t="shared" si="13"/>
        <v>0.59789529536611252</v>
      </c>
      <c r="BL52" s="28">
        <f t="shared" si="14"/>
        <v>3.1826209819851639E-2</v>
      </c>
      <c r="BM52" s="28">
        <f t="shared" si="15"/>
        <v>4.2074576861158244E-2</v>
      </c>
      <c r="BN52" s="14">
        <f t="shared" si="8"/>
        <v>3.4423184900444865</v>
      </c>
    </row>
    <row r="53" spans="1:66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9"/>
        <v>170596629000</v>
      </c>
      <c r="M53" s="9">
        <f t="shared" si="10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1"/>
        <v>981</v>
      </c>
      <c r="BJ53" s="28">
        <f t="shared" si="12"/>
        <v>6.2190987427602769E-2</v>
      </c>
      <c r="BK53" s="28">
        <f t="shared" si="13"/>
        <v>0.59784055613074993</v>
      </c>
      <c r="BL53" s="28">
        <f t="shared" si="14"/>
        <v>6.2190987427602769E-2</v>
      </c>
      <c r="BM53" s="28">
        <f t="shared" si="15"/>
        <v>1.6349794067479304E-2</v>
      </c>
      <c r="BN53" s="14">
        <f t="shared" si="8"/>
        <v>2.4963289280469896</v>
      </c>
    </row>
    <row r="54" spans="1:66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9"/>
        <v>144517830400</v>
      </c>
      <c r="M54" s="21">
        <f t="shared" si="10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1"/>
        <v>346</v>
      </c>
      <c r="BJ54" s="23">
        <f t="shared" si="12"/>
        <v>3.0363083020737491E-2</v>
      </c>
      <c r="BK54" s="23">
        <f t="shared" si="13"/>
        <v>1.6110836219693221</v>
      </c>
      <c r="BL54" s="23">
        <f t="shared" si="14"/>
        <v>3.0363083020737491E-2</v>
      </c>
      <c r="BM54" s="23">
        <f t="shared" si="15"/>
        <v>2.2913256955810146E-2</v>
      </c>
      <c r="BN54" s="14">
        <f t="shared" si="8"/>
        <v>2.7960526315789473</v>
      </c>
    </row>
    <row r="55" spans="1:66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9"/>
        <v>173237616800</v>
      </c>
      <c r="M55" s="9">
        <f t="shared" si="10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2"/>
        <v>2.9669635968296276E-2</v>
      </c>
      <c r="BK55" s="28">
        <f t="shared" si="13"/>
        <v>1.6933353808353808</v>
      </c>
      <c r="BL55" s="28">
        <f t="shared" si="14"/>
        <v>2.9669635968296276E-2</v>
      </c>
      <c r="BM55" s="28">
        <f t="shared" si="15"/>
        <v>2.8963741686333404E-2</v>
      </c>
      <c r="BN55" s="14">
        <f t="shared" si="8"/>
        <v>2.9891771173337913</v>
      </c>
    </row>
    <row r="56" spans="1:66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9"/>
        <v>160058868300</v>
      </c>
      <c r="M56" s="9">
        <f t="shared" si="10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2"/>
        <v>2.4687004055722096E-2</v>
      </c>
      <c r="BK56" s="28">
        <f t="shared" si="13"/>
        <v>0.2930987575949941</v>
      </c>
      <c r="BL56" s="28">
        <f t="shared" si="14"/>
        <v>2.4687004055722096E-2</v>
      </c>
      <c r="BM56" s="28">
        <f t="shared" si="15"/>
        <v>3.3635187580853813E-2</v>
      </c>
      <c r="BN56" s="14">
        <f t="shared" si="8"/>
        <v>3.5108174634019953</v>
      </c>
    </row>
    <row r="57" spans="1:66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9"/>
        <v>123449895100</v>
      </c>
      <c r="M57" s="9">
        <f t="shared" si="10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2"/>
        <v>1.4285216542977597E-2</v>
      </c>
      <c r="BK57" s="28">
        <f t="shared" si="13"/>
        <v>0.93440594059405946</v>
      </c>
      <c r="BL57" s="28">
        <f t="shared" si="14"/>
        <v>1.4285216542977597E-2</v>
      </c>
      <c r="BM57" s="28">
        <f t="shared" si="15"/>
        <v>2.8795924534818461E-2</v>
      </c>
      <c r="BN57" s="14">
        <f t="shared" si="8"/>
        <v>2.9507063550352099</v>
      </c>
    </row>
    <row r="58" spans="1:66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9"/>
        <v>168092112400</v>
      </c>
      <c r="M58" s="32">
        <f t="shared" si="10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2"/>
        <v>1.5034453956984757E-2</v>
      </c>
      <c r="BK58" s="34">
        <f t="shared" si="13"/>
        <v>0.74238410596026494</v>
      </c>
      <c r="BL58" s="34">
        <f t="shared" si="14"/>
        <v>1.5034453956984757E-2</v>
      </c>
      <c r="BM58" s="34">
        <f t="shared" si="15"/>
        <v>2.671690357938003E-2</v>
      </c>
      <c r="BN58" s="14">
        <f t="shared" si="8"/>
        <v>2.6409279630184481</v>
      </c>
    </row>
    <row r="59" spans="1:66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9"/>
        <v>134588505200</v>
      </c>
      <c r="M59" s="32">
        <f t="shared" si="10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2"/>
        <v>1.5932227025519455E-2</v>
      </c>
      <c r="BK59" s="34">
        <f t="shared" si="13"/>
        <v>0.91882247992863519</v>
      </c>
      <c r="BL59" s="34">
        <f t="shared" si="14"/>
        <v>1.5932227025519455E-2</v>
      </c>
      <c r="BM59" s="34">
        <f t="shared" si="15"/>
        <v>2.4057635404605687E-2</v>
      </c>
      <c r="BN59" s="14">
        <f t="shared" si="8"/>
        <v>2.5596976464524994</v>
      </c>
    </row>
    <row r="60" spans="1:66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9"/>
        <v>209969931600</v>
      </c>
      <c r="M60" s="32">
        <f t="shared" si="10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2"/>
        <v>1.994153267905617E-2</v>
      </c>
      <c r="BK60" s="34">
        <f t="shared" si="13"/>
        <v>0.3446601941747573</v>
      </c>
      <c r="BL60" s="34">
        <f t="shared" si="14"/>
        <v>1.994153267905617E-2</v>
      </c>
      <c r="BM60" s="34">
        <f t="shared" si="15"/>
        <v>3.2539072508326931E-2</v>
      </c>
      <c r="BN60" s="14">
        <f t="shared" si="8"/>
        <v>3.4925526450950182</v>
      </c>
    </row>
    <row r="61" spans="1:66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9"/>
        <v>99561013200</v>
      </c>
      <c r="M61" s="32">
        <f t="shared" si="10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3"/>
        <v>12.219718309859156</v>
      </c>
      <c r="BL61" s="34">
        <f t="shared" si="14"/>
        <v>9.4623061781261876E-3</v>
      </c>
      <c r="BM61" s="34">
        <f t="shared" si="15"/>
        <v>2.8253424657534245E-2</v>
      </c>
      <c r="BN61" s="14">
        <f t="shared" si="8"/>
        <v>2.8077384009587401</v>
      </c>
    </row>
    <row r="62" spans="1:66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9"/>
        <v>107593507600</v>
      </c>
      <c r="M62" s="9">
        <f t="shared" si="10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2"/>
        <v>1.6382373845060413E-2</v>
      </c>
      <c r="BK62" s="28" t="e">
        <f>#REF!/K62</f>
        <v>#REF!</v>
      </c>
      <c r="BL62" s="28">
        <f t="shared" si="14"/>
        <v>1.6382373845060413E-2</v>
      </c>
      <c r="BM62" s="28">
        <f t="shared" si="15"/>
        <v>2.3155161220515041E-2</v>
      </c>
      <c r="BN62" s="14">
        <f t="shared" si="8"/>
        <v>2.5018427784763473</v>
      </c>
    </row>
    <row r="63" spans="1:66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9"/>
        <v>204279672000</v>
      </c>
      <c r="M63" s="9">
        <f t="shared" si="10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2"/>
        <v>8.4291187739463595E-3</v>
      </c>
      <c r="BL63" s="28">
        <f t="shared" si="14"/>
        <v>8.4291187739463595E-3</v>
      </c>
      <c r="BM63" s="28">
        <f t="shared" si="15"/>
        <v>2.9020348587619128E-2</v>
      </c>
      <c r="BN63" s="14">
        <f t="shared" si="8"/>
        <v>2.963917525773196</v>
      </c>
    </row>
    <row r="64" spans="1:66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9"/>
        <v>136724924700</v>
      </c>
      <c r="M64" s="9">
        <f t="shared" si="10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2"/>
        <v>2.4972702617026523E-2</v>
      </c>
      <c r="BL64" s="28">
        <f t="shared" si="14"/>
        <v>2.4972702617026523E-2</v>
      </c>
      <c r="BM64" s="28">
        <f t="shared" si="15"/>
        <v>2.4806135127029689E-2</v>
      </c>
      <c r="BN64" s="14">
        <f t="shared" si="8"/>
        <v>2.3928770172509739</v>
      </c>
    </row>
    <row r="65" spans="1:66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9"/>
        <v>171765860400</v>
      </c>
      <c r="M65" s="9">
        <f t="shared" si="10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2"/>
        <v>2.6497085320614733E-2</v>
      </c>
      <c r="BL65" s="28">
        <f t="shared" si="14"/>
        <v>2.6497085320614733E-2</v>
      </c>
      <c r="BM65" s="28">
        <f t="shared" si="15"/>
        <v>3.0344591119492541E-2</v>
      </c>
      <c r="BN65" s="14">
        <f t="shared" si="8"/>
        <v>2.972671978069048</v>
      </c>
    </row>
    <row r="66" spans="1:66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6">F66*G66</f>
        <v>207179407500</v>
      </c>
      <c r="M66" s="9">
        <f t="shared" ref="M66:M97" si="17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8">(Y66-O66)/O66</f>
        <v>1.5780469922843279E-2</v>
      </c>
      <c r="BL66" s="28">
        <f t="shared" si="14"/>
        <v>1.5780469922843279E-2</v>
      </c>
      <c r="BM66" s="28">
        <f t="shared" ref="BM66:BM81" si="19">(X66-D66)/D66</f>
        <v>3.1046869654464591E-2</v>
      </c>
      <c r="BN66" s="14">
        <f t="shared" si="8"/>
        <v>3.1002779559546716</v>
      </c>
    </row>
    <row r="67" spans="1:66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6"/>
        <v>169137870000</v>
      </c>
      <c r="M67" s="9">
        <f t="shared" si="17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8"/>
        <v>1.3209902225920533E-2</v>
      </c>
      <c r="BL67" s="28">
        <f t="shared" si="14"/>
        <v>1.3209902225920533E-2</v>
      </c>
      <c r="BM67" s="28">
        <f t="shared" si="19"/>
        <v>3.9105191256830603E-2</v>
      </c>
      <c r="BN67" s="14">
        <f t="shared" si="8"/>
        <v>3.9060832443970117</v>
      </c>
    </row>
    <row r="68" spans="1:66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6"/>
        <v>90551202100</v>
      </c>
      <c r="M68" s="32">
        <f t="shared" si="17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8"/>
        <v>2.0969624102691042E-2</v>
      </c>
      <c r="BL68" s="34">
        <f t="shared" si="14"/>
        <v>2.0969624102691042E-2</v>
      </c>
      <c r="BM68" s="34">
        <f t="shared" si="19"/>
        <v>6.2370062370062374E-3</v>
      </c>
      <c r="BN68" s="14">
        <f t="shared" si="8"/>
        <v>2.2693656763723955</v>
      </c>
    </row>
    <row r="69" spans="1:66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6"/>
        <v>98062494600</v>
      </c>
      <c r="M69" s="32">
        <f t="shared" si="17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8"/>
        <v>8.953715069680122E-3</v>
      </c>
      <c r="BL69" s="34">
        <f t="shared" si="14"/>
        <v>8.953715069680122E-3</v>
      </c>
      <c r="BM69" s="34">
        <f t="shared" si="19"/>
        <v>1.5050453223875491E-2</v>
      </c>
      <c r="BN69" s="14">
        <f t="shared" si="8"/>
        <v>2.2130371135796092</v>
      </c>
    </row>
    <row r="70" spans="1:66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6"/>
        <v>98453559600</v>
      </c>
      <c r="M70" s="32">
        <f t="shared" si="17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8"/>
        <v>8.6535379794166877E-3</v>
      </c>
      <c r="BM70" s="34">
        <f t="shared" si="19"/>
        <v>2.6553987387928447E-2</v>
      </c>
      <c r="BN70" s="14">
        <f t="shared" si="8"/>
        <v>2.4225303886320835</v>
      </c>
    </row>
    <row r="71" spans="1:66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6"/>
        <v>156673599000</v>
      </c>
      <c r="M71" s="32">
        <f t="shared" si="17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8"/>
        <v>9.962465359385414E-3</v>
      </c>
      <c r="BM71" s="34">
        <f t="shared" si="19"/>
        <v>3.0769885517300082E-2</v>
      </c>
      <c r="BN71" s="14">
        <f t="shared" si="8"/>
        <v>2.5836509953409572</v>
      </c>
    </row>
    <row r="72" spans="1:66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6"/>
        <v>137749722900</v>
      </c>
      <c r="M72" s="32">
        <f t="shared" si="17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8"/>
        <v>2.6355153500961608E-2</v>
      </c>
      <c r="BM72" s="34">
        <f t="shared" si="19"/>
        <v>2.1202759321173135E-2</v>
      </c>
      <c r="BN72" s="14">
        <f t="shared" si="8"/>
        <v>2.2500953430230095</v>
      </c>
    </row>
    <row r="73" spans="1:66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6"/>
        <v>69480671200</v>
      </c>
      <c r="M73" s="32">
        <f t="shared" si="17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8"/>
        <v>1.4811157738829919E-2</v>
      </c>
      <c r="BM73" s="34">
        <f t="shared" si="19"/>
        <v>2.0840393087089123E-2</v>
      </c>
      <c r="BN73" s="14">
        <f t="shared" si="8"/>
        <v>2.0667457225139758</v>
      </c>
    </row>
    <row r="74" spans="1:66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6"/>
        <v>192127774500</v>
      </c>
      <c r="M74" s="9">
        <f t="shared" si="17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8"/>
        <v>3.2049706883841754E-2</v>
      </c>
      <c r="BM74" s="28">
        <f t="shared" si="19"/>
        <v>3.0037494207355606E-2</v>
      </c>
      <c r="BN74" s="14">
        <f t="shared" si="8"/>
        <v>2.7095148078134845</v>
      </c>
    </row>
    <row r="75" spans="1:66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6"/>
        <v>146286278600</v>
      </c>
      <c r="M75" s="9">
        <f t="shared" si="17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8"/>
        <v>2.1276595744680851E-2</v>
      </c>
      <c r="BM75" s="28">
        <f t="shared" si="19"/>
        <v>2.4134312696747113E-2</v>
      </c>
      <c r="BN75" s="14">
        <f t="shared" si="8"/>
        <v>2.5813503741696797</v>
      </c>
    </row>
    <row r="76" spans="1:66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6"/>
        <v>158219322900</v>
      </c>
      <c r="M76" s="9">
        <f t="shared" si="17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8"/>
        <v>1.9152036638678788E-2</v>
      </c>
      <c r="BM76" s="28">
        <f t="shared" si="19"/>
        <v>3.5059827629487075E-2</v>
      </c>
      <c r="BN76" s="14">
        <f t="shared" si="8"/>
        <v>2.6428245446624903</v>
      </c>
    </row>
    <row r="77" spans="1:66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6"/>
        <v>116670975200</v>
      </c>
      <c r="M77" s="9">
        <f t="shared" si="17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9"/>
        <v>3.1143572278527758E-2</v>
      </c>
      <c r="BN77" s="14">
        <f t="shared" ref="BN77:BN140" si="20">100*(X77-F77)/F77</f>
        <v>2.2875284923477697</v>
      </c>
    </row>
    <row r="78" spans="1:66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6"/>
        <v>121124707800</v>
      </c>
      <c r="M78" s="9">
        <f t="shared" si="17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9"/>
        <v>3.008315669329855E-2</v>
      </c>
      <c r="BN78" s="14">
        <f t="shared" si="20"/>
        <v>1.9815166068041488</v>
      </c>
    </row>
    <row r="79" spans="1:66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6"/>
        <v>81103056300</v>
      </c>
      <c r="M79" s="9">
        <f t="shared" si="17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9"/>
        <v>1.8148013419021058E-2</v>
      </c>
      <c r="BN79" s="14">
        <f t="shared" si="20"/>
        <v>1.7407811300941072</v>
      </c>
    </row>
    <row r="80" spans="1:66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6"/>
        <v>98864028900</v>
      </c>
      <c r="M80" s="32">
        <f t="shared" si="17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9"/>
        <v>1.5234563920683539E-2</v>
      </c>
      <c r="BN80" s="14">
        <f t="shared" si="20"/>
        <v>2.037509620448009</v>
      </c>
    </row>
    <row r="81" spans="1:66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6"/>
        <v>116578394000</v>
      </c>
      <c r="M81" s="32">
        <f t="shared" si="17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9"/>
        <v>1.6552280985062576E-2</v>
      </c>
      <c r="BN81" s="14">
        <f t="shared" si="20"/>
        <v>1.5486368769156316</v>
      </c>
    </row>
    <row r="82" spans="1:66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6"/>
        <v>50686928000</v>
      </c>
      <c r="M82" s="32">
        <f t="shared" si="17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0"/>
        <v>1.6693811074918568</v>
      </c>
    </row>
    <row r="83" spans="1:66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6"/>
        <v>146548297100</v>
      </c>
      <c r="M83" s="32">
        <f t="shared" si="17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0"/>
        <v>2.6532030579289483</v>
      </c>
    </row>
    <row r="84" spans="1:66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6"/>
        <v>129069256400</v>
      </c>
      <c r="M84" s="32">
        <f t="shared" si="17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0"/>
        <v>2.7142975002062535</v>
      </c>
    </row>
    <row r="85" spans="1:66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6"/>
        <v>153509496000</v>
      </c>
      <c r="M85" s="9">
        <f t="shared" si="17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0"/>
        <v>2.6402640264026402</v>
      </c>
    </row>
    <row r="86" spans="1:66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6"/>
        <v>131318287200</v>
      </c>
      <c r="M86" s="21">
        <f t="shared" si="17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0"/>
        <v>2.3784050695416017</v>
      </c>
    </row>
    <row r="87" spans="1:66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6"/>
        <v>128816847000</v>
      </c>
      <c r="M87" s="9">
        <f t="shared" si="17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0"/>
        <v>2.0851255581500143</v>
      </c>
    </row>
    <row r="88" spans="1:66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6"/>
        <v>62114144100</v>
      </c>
      <c r="M88" s="9">
        <f t="shared" si="17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0"/>
        <v>1.5634617752062046</v>
      </c>
    </row>
    <row r="89" spans="1:66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6"/>
        <v>81295333000</v>
      </c>
      <c r="M89" s="9">
        <f t="shared" si="17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0"/>
        <v>2.1453863778379505</v>
      </c>
    </row>
    <row r="90" spans="1:66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6"/>
        <v>150278360400</v>
      </c>
      <c r="M90" s="12">
        <f t="shared" si="17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0"/>
        <v>2.2039937028751346</v>
      </c>
    </row>
    <row r="91" spans="1:66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6"/>
        <v>138626774000</v>
      </c>
      <c r="M91" s="12">
        <f t="shared" si="17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0"/>
        <v>2.8840936600025042</v>
      </c>
    </row>
    <row r="92" spans="1:66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6"/>
        <v>115736048000</v>
      </c>
      <c r="M92" s="12">
        <f t="shared" si="17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0"/>
        <v>2.348993288590604</v>
      </c>
    </row>
    <row r="93" spans="1:66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6"/>
        <v>189431312000</v>
      </c>
      <c r="M93" s="12">
        <f t="shared" si="17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0"/>
        <v>2.7518407305335035</v>
      </c>
    </row>
    <row r="94" spans="1:66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6"/>
        <v>219900892400</v>
      </c>
      <c r="M94" s="12">
        <f t="shared" si="17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0"/>
        <v>3.6004454159277435</v>
      </c>
    </row>
    <row r="95" spans="1:66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6"/>
        <v>191656501200</v>
      </c>
      <c r="M95" s="12">
        <f t="shared" si="17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0"/>
        <v>4.3445971036019309</v>
      </c>
    </row>
    <row r="96" spans="1:66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6"/>
        <v>175612053600</v>
      </c>
      <c r="M96" s="12">
        <f t="shared" si="17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0"/>
        <v>3.390639923591213</v>
      </c>
    </row>
    <row r="97" spans="1:66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6"/>
        <v>154492022100</v>
      </c>
      <c r="M97" s="12">
        <f t="shared" si="17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0"/>
        <v>2.2713664125184625</v>
      </c>
    </row>
    <row r="98" spans="1:66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1">F98*G98</f>
        <v>92308365600</v>
      </c>
      <c r="M98" s="12">
        <f t="shared" ref="M98:M129" si="22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0"/>
        <v>2.0874233743339077</v>
      </c>
    </row>
    <row r="99" spans="1:66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1"/>
        <v>161276681600</v>
      </c>
      <c r="M99" s="12">
        <f t="shared" si="22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0"/>
        <v>2.8161103979460846</v>
      </c>
    </row>
    <row r="100" spans="1:66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1"/>
        <v>108209461200</v>
      </c>
      <c r="M100" s="12">
        <f t="shared" si="22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0"/>
        <v>1.9462094872717099</v>
      </c>
    </row>
    <row r="101" spans="1:66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1"/>
        <v>173032177800</v>
      </c>
      <c r="M101" s="12">
        <f t="shared" si="22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0"/>
        <v>3.0699100407438782</v>
      </c>
    </row>
    <row r="102" spans="1:66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1"/>
        <v>160986243600</v>
      </c>
      <c r="M102" s="12">
        <f t="shared" si="22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0"/>
        <v>2.9335254332252769</v>
      </c>
    </row>
    <row r="103" spans="1:66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1"/>
        <v>192982692300</v>
      </c>
      <c r="M103" s="12">
        <f t="shared" si="22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0"/>
        <v>2.9676079402484321</v>
      </c>
    </row>
    <row r="104" spans="1:66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1"/>
        <v>222103640000</v>
      </c>
      <c r="M104" s="12">
        <f t="shared" si="22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0"/>
        <v>3.0434782608695654</v>
      </c>
    </row>
    <row r="105" spans="1:66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1"/>
        <v>252384066300</v>
      </c>
      <c r="M105" s="9">
        <f t="shared" si="22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0"/>
        <v>3.1224481860248083</v>
      </c>
    </row>
    <row r="106" spans="1:66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1"/>
        <v>202671530200</v>
      </c>
      <c r="M106" s="12">
        <f t="shared" si="22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0"/>
        <v>3.195247893776449</v>
      </c>
    </row>
    <row r="107" spans="1:66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1"/>
        <v>198832945200</v>
      </c>
      <c r="M107" s="32">
        <f t="shared" si="22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0"/>
        <v>3.9862703799048287</v>
      </c>
    </row>
    <row r="108" spans="1:66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1"/>
        <v>220643213500</v>
      </c>
      <c r="M108" s="9">
        <f t="shared" si="22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0"/>
        <v>2.7420383360216061</v>
      </c>
    </row>
    <row r="109" spans="1:66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1"/>
        <v>251052283000</v>
      </c>
      <c r="M109" s="9">
        <f t="shared" si="22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0"/>
        <v>3.7596825996599281</v>
      </c>
    </row>
    <row r="110" spans="1:66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1"/>
        <v>251071692400</v>
      </c>
      <c r="M110" s="9">
        <f t="shared" si="22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0"/>
        <v>3.9589112993926672</v>
      </c>
    </row>
    <row r="111" spans="1:66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1"/>
        <v>276275204800</v>
      </c>
      <c r="M111" s="9">
        <f t="shared" si="22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0"/>
        <v>3.6312014345487147</v>
      </c>
    </row>
    <row r="112" spans="1:66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1"/>
        <v>106487939200</v>
      </c>
      <c r="M112" s="43">
        <f t="shared" si="22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0"/>
        <v>2.2748086010476576</v>
      </c>
    </row>
    <row r="113" spans="1:66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1"/>
        <v>157059448800</v>
      </c>
      <c r="M113" s="12">
        <f t="shared" si="22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0"/>
        <v>2.1581173408524021</v>
      </c>
    </row>
    <row r="114" spans="1:66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1"/>
        <v>143042812000</v>
      </c>
      <c r="M114" s="12">
        <f t="shared" si="22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0"/>
        <v>2.5121555915721232</v>
      </c>
    </row>
    <row r="115" spans="1:66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1"/>
        <v>139347162000</v>
      </c>
      <c r="M115" s="12">
        <f t="shared" si="22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0"/>
        <v>2.6795938621268798</v>
      </c>
    </row>
    <row r="116" spans="1:66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1"/>
        <v>215028928500</v>
      </c>
      <c r="M116" s="12">
        <f t="shared" si="22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0"/>
        <v>3.7502379592613746</v>
      </c>
    </row>
    <row r="117" spans="1:66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1"/>
        <v>186347507500</v>
      </c>
      <c r="M117" s="12">
        <f t="shared" si="22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0"/>
        <v>3.2147612706867035</v>
      </c>
    </row>
    <row r="118" spans="1:66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1"/>
        <v>134260629100</v>
      </c>
      <c r="M118" s="43">
        <f t="shared" si="22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0"/>
        <v>3.1761089818995938</v>
      </c>
    </row>
    <row r="119" spans="1:66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1"/>
        <v>160013174400</v>
      </c>
      <c r="M119" s="9">
        <f t="shared" si="22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0"/>
        <v>2.3690584317287313</v>
      </c>
    </row>
    <row r="120" spans="1:66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1"/>
        <v>183448909700</v>
      </c>
      <c r="M120" s="51">
        <f t="shared" si="22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0"/>
        <v>2.7860734132234528</v>
      </c>
    </row>
    <row r="121" spans="1:66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1"/>
        <v>149141857900</v>
      </c>
      <c r="M121" s="57">
        <f t="shared" si="22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0"/>
        <v>2.4697446792366935</v>
      </c>
    </row>
    <row r="122" spans="1:66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1"/>
        <v>205309734400</v>
      </c>
      <c r="M122" s="57">
        <f t="shared" si="22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0"/>
        <v>2.7895694360218313</v>
      </c>
    </row>
    <row r="123" spans="1:66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1"/>
        <v>266569104600</v>
      </c>
      <c r="M123" s="57">
        <f t="shared" si="22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0"/>
        <v>3.8319378441578036</v>
      </c>
    </row>
    <row r="124" spans="1:66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1"/>
        <v>172687578300</v>
      </c>
      <c r="M124" s="51">
        <f t="shared" si="22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0"/>
        <v>4.6297341005679042</v>
      </c>
    </row>
    <row r="125" spans="1:66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1"/>
        <v>242156832600</v>
      </c>
      <c r="M125" s="12">
        <f t="shared" si="22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0"/>
        <v>4.0685064692244408</v>
      </c>
    </row>
    <row r="126" spans="1:66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1"/>
        <v>232790298000</v>
      </c>
      <c r="M126" s="12">
        <f t="shared" si="22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0"/>
        <v>3.4612490594431904</v>
      </c>
    </row>
    <row r="127" spans="1:66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1"/>
        <v>210137737200</v>
      </c>
      <c r="M127" s="12">
        <f t="shared" si="22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0"/>
        <v>3.4193252938482672</v>
      </c>
    </row>
    <row r="128" spans="1:66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1"/>
        <v>238170715200</v>
      </c>
      <c r="M128" s="12">
        <f t="shared" si="22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0"/>
        <v>3.7567762235111264</v>
      </c>
    </row>
    <row r="129" spans="1:66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1"/>
        <v>238426614800</v>
      </c>
      <c r="M129" s="12">
        <f t="shared" si="22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0"/>
        <v>3.5947216745032611</v>
      </c>
    </row>
    <row r="130" spans="1:66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3">F130*G130</f>
        <v>134799608200</v>
      </c>
      <c r="M130" s="12">
        <f t="shared" ref="M130:M190" si="24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0"/>
        <v>3.1334065850793773</v>
      </c>
    </row>
    <row r="131" spans="1:66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3"/>
        <v>235378269800</v>
      </c>
      <c r="M131" s="9">
        <f t="shared" si="24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0"/>
        <v>3.9117503106057754</v>
      </c>
    </row>
    <row r="132" spans="1:66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3"/>
        <v>217216403700</v>
      </c>
      <c r="M132" s="9">
        <f t="shared" si="24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0"/>
        <v>3.5959228524875906</v>
      </c>
    </row>
    <row r="133" spans="1:66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3"/>
        <v>236360502800</v>
      </c>
      <c r="M133" s="9">
        <f t="shared" si="24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0"/>
        <v>4.2015527477546053</v>
      </c>
    </row>
    <row r="134" spans="1:66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3"/>
        <v>264502422700</v>
      </c>
      <c r="M134" s="9">
        <f t="shared" si="24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0"/>
        <v>4.0438239433940728</v>
      </c>
    </row>
    <row r="135" spans="1:66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3"/>
        <v>222222624000</v>
      </c>
      <c r="M135" s="9">
        <f t="shared" si="24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0"/>
        <v>4.7981721249047986</v>
      </c>
    </row>
    <row r="136" spans="1:66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3"/>
        <v>193055584200</v>
      </c>
      <c r="M136" s="21">
        <f t="shared" si="24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0"/>
        <v>4.2663022849768462</v>
      </c>
    </row>
    <row r="137" spans="1:66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3"/>
        <v>253536738000</v>
      </c>
      <c r="M137" s="32">
        <f t="shared" si="24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0"/>
        <v>3.6429324100556979</v>
      </c>
    </row>
    <row r="138" spans="1:66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3"/>
        <v>245049246200</v>
      </c>
      <c r="M138" s="32">
        <f t="shared" si="24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0"/>
        <v>3.7873953680417403</v>
      </c>
    </row>
    <row r="139" spans="1:66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3"/>
        <v>210771668200</v>
      </c>
      <c r="M139" s="32">
        <f t="shared" si="24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0"/>
        <v>2.6905664544149581</v>
      </c>
    </row>
    <row r="140" spans="1:66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3"/>
        <v>257844926400</v>
      </c>
      <c r="M140" s="32">
        <f t="shared" si="24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0"/>
        <v>3.1002950927174031</v>
      </c>
    </row>
    <row r="141" spans="1:66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3"/>
        <v>160400172600</v>
      </c>
      <c r="M141" s="32">
        <f t="shared" si="24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5" si="25">100*(X141-F141)/F141</f>
        <v>2.7171750063316327</v>
      </c>
    </row>
    <row r="142" spans="1:66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3"/>
        <v>178610115600</v>
      </c>
      <c r="M142" s="9">
        <f t="shared" si="24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25"/>
        <v>2.0667611056627075</v>
      </c>
    </row>
    <row r="143" spans="1:66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3"/>
        <v>185509825000</v>
      </c>
      <c r="M143" s="9">
        <f t="shared" si="24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25"/>
        <v>2.8256880733944953</v>
      </c>
    </row>
    <row r="144" spans="1:66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3"/>
        <v>214444712400</v>
      </c>
      <c r="M144" s="9">
        <f t="shared" si="24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25"/>
        <v>3.2355209519262549</v>
      </c>
    </row>
    <row r="145" spans="1:66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3"/>
        <v>110853636800</v>
      </c>
      <c r="M145" s="93">
        <f t="shared" si="24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25"/>
        <v>2.2063120981881941</v>
      </c>
    </row>
    <row r="146" spans="1:66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3"/>
        <v>214041993100</v>
      </c>
      <c r="M146" s="99">
        <f t="shared" si="24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25"/>
        <v>2.8272872123615076</v>
      </c>
    </row>
    <row r="147" spans="1:66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3"/>
        <v>176486960000</v>
      </c>
      <c r="M147" s="99">
        <f t="shared" si="24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25"/>
        <v>3.3771106941838651</v>
      </c>
    </row>
    <row r="148" spans="1:66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3"/>
        <v>220752610000</v>
      </c>
      <c r="M148" s="99">
        <f t="shared" si="24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25"/>
        <v>3.0769230769230771</v>
      </c>
    </row>
    <row r="149" spans="1:66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3"/>
        <v>156650915000</v>
      </c>
      <c r="M149" s="99">
        <f t="shared" si="24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25"/>
        <v>2.3097311624384704</v>
      </c>
    </row>
    <row r="150" spans="1:66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3"/>
        <v>225456814700</v>
      </c>
      <c r="M150" s="99">
        <f t="shared" si="24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25"/>
        <v>3.5348731022411628</v>
      </c>
    </row>
    <row r="151" spans="1:66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3"/>
        <v>167101812600</v>
      </c>
      <c r="M151" s="99">
        <f t="shared" si="24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25"/>
        <v>2.8150846042947113</v>
      </c>
    </row>
    <row r="152" spans="1:66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3"/>
        <v>239567814200</v>
      </c>
      <c r="M152" s="93">
        <f t="shared" si="24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25"/>
        <v>3.46267750018984</v>
      </c>
    </row>
    <row r="153" spans="1:66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3"/>
        <v>236480193600</v>
      </c>
      <c r="M153" s="93">
        <f t="shared" si="24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25"/>
        <v>3.1809371793410102</v>
      </c>
    </row>
    <row r="154" spans="1:66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3"/>
        <v>225618976500</v>
      </c>
      <c r="M154" s="93">
        <f t="shared" si="24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25"/>
        <v>3.102988768322863</v>
      </c>
    </row>
    <row r="155" spans="1:66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3"/>
        <v>247369613400</v>
      </c>
      <c r="M155" s="93">
        <f t="shared" si="24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25"/>
        <v>3.3948869000415391</v>
      </c>
    </row>
    <row r="156" spans="1:66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3"/>
        <v>255780758900</v>
      </c>
      <c r="M156" s="93">
        <f t="shared" si="24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25"/>
        <v>3.1605180681946909</v>
      </c>
    </row>
    <row r="157" spans="1:66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3"/>
        <v>184510967800</v>
      </c>
      <c r="M157" s="93">
        <f t="shared" si="24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25"/>
        <v>3.4026964764530381</v>
      </c>
    </row>
    <row r="158" spans="1:66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3"/>
        <v>249471569600</v>
      </c>
      <c r="M158" s="99">
        <f t="shared" si="24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25"/>
        <v>3.7778446718844072</v>
      </c>
    </row>
    <row r="159" spans="1:66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3"/>
        <v>205217875200</v>
      </c>
      <c r="M159" s="99">
        <f t="shared" si="24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25"/>
        <v>2.5888645396129704</v>
      </c>
    </row>
    <row r="160" spans="1:66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3"/>
        <v>261587595000</v>
      </c>
      <c r="M160" s="99">
        <f t="shared" si="24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25"/>
        <v>2.8524307507777653</v>
      </c>
    </row>
    <row r="161" spans="1:66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3"/>
        <v>322139986200</v>
      </c>
      <c r="M161" s="99">
        <f t="shared" si="24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25"/>
        <v>3.9585367685720723</v>
      </c>
    </row>
    <row r="162" spans="1:66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4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25"/>
        <v>3.5257971448911536</v>
      </c>
    </row>
    <row r="163" spans="1:66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5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25"/>
        <v>3.9098540421991985</v>
      </c>
    </row>
    <row r="164" spans="1:66" s="117" customFormat="1" ht="21" hidden="1" customHeight="1">
      <c r="A164" s="113"/>
      <c r="B164" s="114" t="s">
        <v>438</v>
      </c>
      <c r="C164" s="115">
        <v>9</v>
      </c>
      <c r="D164" s="116">
        <v>26546</v>
      </c>
      <c r="E164" s="115">
        <v>26393</v>
      </c>
      <c r="F164" s="115">
        <v>26446</v>
      </c>
      <c r="G164" s="115">
        <v>8525400</v>
      </c>
      <c r="H164" s="115">
        <v>30695</v>
      </c>
      <c r="I164" s="115">
        <v>30400</v>
      </c>
      <c r="J164" s="117">
        <v>30455</v>
      </c>
      <c r="K164" s="115">
        <v>1495700</v>
      </c>
      <c r="L164" s="99">
        <f t="shared" ref="L164:L190" si="26">F164*G164</f>
        <v>225462728400</v>
      </c>
      <c r="M164" s="99">
        <f t="shared" si="24"/>
        <v>45551543500</v>
      </c>
      <c r="N164" s="117">
        <v>26657</v>
      </c>
      <c r="O164" s="117">
        <v>30704</v>
      </c>
      <c r="P164" s="117">
        <v>26812</v>
      </c>
      <c r="Q164" s="117">
        <v>31002</v>
      </c>
      <c r="R164" s="115"/>
      <c r="S164" s="115"/>
      <c r="T164" s="115"/>
      <c r="U164" s="115"/>
      <c r="V164" s="117">
        <v>27480</v>
      </c>
      <c r="X164" s="117">
        <v>27540</v>
      </c>
      <c r="Y164" s="117">
        <v>31700</v>
      </c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/>
      <c r="AM164" s="115"/>
      <c r="AN164" s="115"/>
      <c r="AO164" s="115"/>
      <c r="AP164" s="115"/>
      <c r="AQ164" s="115"/>
      <c r="AR164" s="115"/>
      <c r="AS164" s="116"/>
      <c r="AT164" s="116"/>
      <c r="AU164" s="116"/>
      <c r="AV164" s="116"/>
      <c r="AW164" s="116"/>
      <c r="AX164" s="116"/>
      <c r="AY164" s="115"/>
      <c r="AZ164" s="115"/>
      <c r="BA164" s="115"/>
      <c r="BB164" s="115"/>
      <c r="BC164" s="115"/>
      <c r="BE164" s="118"/>
      <c r="BF164" s="118"/>
      <c r="BG164" s="118"/>
      <c r="BH164" s="118"/>
      <c r="BN164" s="14">
        <f t="shared" si="25"/>
        <v>4.1367314527716861</v>
      </c>
    </row>
    <row r="165" spans="1:66" s="123" customFormat="1" ht="21" hidden="1" customHeight="1">
      <c r="A165" s="119"/>
      <c r="B165" s="120" t="s">
        <v>440</v>
      </c>
      <c r="C165" s="121">
        <v>10</v>
      </c>
      <c r="D165" s="122">
        <v>26413</v>
      </c>
      <c r="E165" s="121">
        <v>26457</v>
      </c>
      <c r="F165" s="121">
        <v>26505</v>
      </c>
      <c r="G165" s="121">
        <v>11227200</v>
      </c>
      <c r="H165" s="121">
        <v>30400</v>
      </c>
      <c r="I165" s="121">
        <v>30801</v>
      </c>
      <c r="J165" s="123">
        <v>30635</v>
      </c>
      <c r="K165" s="121">
        <v>1476900</v>
      </c>
      <c r="L165" s="99">
        <f t="shared" si="26"/>
        <v>297576936000</v>
      </c>
      <c r="M165" s="99">
        <f t="shared" si="24"/>
        <v>45244831500</v>
      </c>
      <c r="N165" s="123">
        <v>26722</v>
      </c>
      <c r="O165" s="123">
        <v>31109</v>
      </c>
      <c r="P165" s="123">
        <v>26677</v>
      </c>
      <c r="Q165" s="123">
        <v>30704</v>
      </c>
      <c r="R165" s="121"/>
      <c r="S165" s="121"/>
      <c r="T165" s="121"/>
      <c r="U165" s="121"/>
      <c r="V165" s="123">
        <v>27570</v>
      </c>
      <c r="X165" s="123">
        <v>27580</v>
      </c>
      <c r="Y165" s="123">
        <v>31935</v>
      </c>
      <c r="Z165" s="121"/>
      <c r="AA165" s="121"/>
      <c r="AB165" s="121"/>
      <c r="AC165" s="121"/>
      <c r="AD165" s="121"/>
      <c r="AE165" s="121"/>
      <c r="AF165" s="121"/>
      <c r="AG165" s="121"/>
      <c r="AH165" s="121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  <c r="AS165" s="122"/>
      <c r="AT165" s="122"/>
      <c r="AU165" s="122"/>
      <c r="AV165" s="122"/>
      <c r="AW165" s="122"/>
      <c r="AX165" s="122"/>
      <c r="AY165" s="121"/>
      <c r="AZ165" s="121"/>
      <c r="BA165" s="121"/>
      <c r="BB165" s="121"/>
      <c r="BC165" s="121"/>
      <c r="BE165" s="124"/>
      <c r="BF165" s="124"/>
      <c r="BG165" s="124"/>
      <c r="BH165" s="124"/>
      <c r="BN165" s="14">
        <f t="shared" si="25"/>
        <v>4.0558385210337669</v>
      </c>
    </row>
    <row r="166" spans="1:66" s="117" customFormat="1" ht="21" hidden="1" customHeight="1">
      <c r="A166" s="113"/>
      <c r="B166" s="114" t="s">
        <v>442</v>
      </c>
      <c r="C166" s="115">
        <v>11</v>
      </c>
      <c r="D166" s="116">
        <v>26563</v>
      </c>
      <c r="E166" s="115">
        <v>26559</v>
      </c>
      <c r="F166" s="115">
        <v>26555</v>
      </c>
      <c r="G166" s="115">
        <v>10481400</v>
      </c>
      <c r="H166" s="115">
        <v>30600</v>
      </c>
      <c r="I166" s="115">
        <v>30573</v>
      </c>
      <c r="J166" s="117">
        <v>30658</v>
      </c>
      <c r="K166" s="115">
        <v>1737100</v>
      </c>
      <c r="L166" s="99">
        <f t="shared" si="26"/>
        <v>278333577000</v>
      </c>
      <c r="M166" s="99">
        <f>J166*K166</f>
        <v>53256011800</v>
      </c>
      <c r="N166" s="117">
        <v>26825</v>
      </c>
      <c r="O166" s="117">
        <v>30878</v>
      </c>
      <c r="P166" s="117">
        <v>26828</v>
      </c>
      <c r="Q166" s="117">
        <v>30906</v>
      </c>
      <c r="R166" s="115"/>
      <c r="S166" s="115"/>
      <c r="T166" s="115"/>
      <c r="U166" s="115"/>
      <c r="V166" s="117">
        <v>27550</v>
      </c>
      <c r="X166" s="117">
        <v>27540</v>
      </c>
      <c r="Y166" s="117">
        <v>31878</v>
      </c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  <c r="AM166" s="115"/>
      <c r="AN166" s="115"/>
      <c r="AO166" s="115"/>
      <c r="AP166" s="115"/>
      <c r="AQ166" s="115"/>
      <c r="AR166" s="115"/>
      <c r="AS166" s="116"/>
      <c r="AT166" s="116"/>
      <c r="AU166" s="116"/>
      <c r="AV166" s="116"/>
      <c r="AW166" s="116"/>
      <c r="AX166" s="116"/>
      <c r="AY166" s="115"/>
      <c r="AZ166" s="115"/>
      <c r="BA166" s="115"/>
      <c r="BB166" s="115"/>
      <c r="BC166" s="115"/>
      <c r="BE166" s="118"/>
      <c r="BF166" s="118"/>
      <c r="BG166" s="118"/>
      <c r="BH166" s="118"/>
      <c r="BN166" s="14">
        <f t="shared" si="25"/>
        <v>3.7092826209753342</v>
      </c>
    </row>
    <row r="167" spans="1:66" s="117" customFormat="1" ht="21" hidden="1" customHeight="1">
      <c r="A167" s="113"/>
      <c r="B167" s="114" t="s">
        <v>444</v>
      </c>
      <c r="C167" s="115">
        <v>12</v>
      </c>
      <c r="D167" s="116">
        <v>26614</v>
      </c>
      <c r="E167" s="115">
        <v>26744</v>
      </c>
      <c r="F167" s="115">
        <v>26743</v>
      </c>
      <c r="G167" s="115">
        <v>10300800</v>
      </c>
      <c r="H167" s="115">
        <v>30573</v>
      </c>
      <c r="I167" s="115">
        <v>30800</v>
      </c>
      <c r="J167" s="117">
        <v>30787</v>
      </c>
      <c r="K167" s="115">
        <v>1773700</v>
      </c>
      <c r="L167" s="99">
        <f t="shared" si="26"/>
        <v>275474294400</v>
      </c>
      <c r="M167" s="99">
        <f t="shared" si="24"/>
        <v>54606901900</v>
      </c>
      <c r="N167" s="117">
        <v>27012</v>
      </c>
      <c r="O167" s="117">
        <v>31108</v>
      </c>
      <c r="P167" s="117">
        <v>26880</v>
      </c>
      <c r="Q167" s="117">
        <v>30878</v>
      </c>
      <c r="R167" s="115"/>
      <c r="S167" s="115"/>
      <c r="T167" s="115"/>
      <c r="U167" s="115"/>
      <c r="V167" s="117">
        <v>27620</v>
      </c>
      <c r="X167" s="117">
        <v>27800</v>
      </c>
      <c r="Y167" s="117">
        <v>31998</v>
      </c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  <c r="AM167" s="115"/>
      <c r="AN167" s="115"/>
      <c r="AO167" s="115"/>
      <c r="AP167" s="115"/>
      <c r="AQ167" s="115"/>
      <c r="AR167" s="115"/>
      <c r="AS167" s="116"/>
      <c r="AT167" s="116"/>
      <c r="AU167" s="116"/>
      <c r="AV167" s="116"/>
      <c r="AW167" s="116"/>
      <c r="AX167" s="116"/>
      <c r="AY167" s="115"/>
      <c r="AZ167" s="115"/>
      <c r="BA167" s="115"/>
      <c r="BB167" s="115"/>
      <c r="BC167" s="115"/>
      <c r="BE167" s="118"/>
      <c r="BF167" s="118"/>
      <c r="BG167" s="118"/>
      <c r="BH167" s="118"/>
      <c r="BN167" s="14">
        <f t="shared" si="25"/>
        <v>3.9524361515162845</v>
      </c>
    </row>
    <row r="168" spans="1:66" s="123" customFormat="1" ht="21" hidden="1" customHeight="1">
      <c r="A168" s="119"/>
      <c r="B168" s="120" t="s">
        <v>446</v>
      </c>
      <c r="C168" s="121">
        <v>13</v>
      </c>
      <c r="D168" s="122">
        <v>26823</v>
      </c>
      <c r="E168" s="121">
        <v>26805</v>
      </c>
      <c r="F168" s="121">
        <v>26777</v>
      </c>
      <c r="G168" s="121">
        <v>6743300</v>
      </c>
      <c r="H168" s="121">
        <v>30753</v>
      </c>
      <c r="I168" s="121">
        <v>30774</v>
      </c>
      <c r="J168" s="123">
        <v>30771</v>
      </c>
      <c r="K168" s="121">
        <v>1438700</v>
      </c>
      <c r="L168" s="125">
        <f t="shared" si="26"/>
        <v>180565344100</v>
      </c>
      <c r="M168" s="125">
        <f t="shared" si="24"/>
        <v>44270237700</v>
      </c>
      <c r="N168" s="123">
        <v>27073</v>
      </c>
      <c r="O168" s="123">
        <v>31082</v>
      </c>
      <c r="P168" s="123">
        <v>27068</v>
      </c>
      <c r="Q168" s="123">
        <v>31087</v>
      </c>
      <c r="R168" s="121"/>
      <c r="S168" s="121"/>
      <c r="T168" s="121"/>
      <c r="U168" s="121"/>
      <c r="V168" s="123">
        <v>27750</v>
      </c>
      <c r="X168" s="123">
        <v>27750</v>
      </c>
      <c r="Y168" s="123">
        <v>32035</v>
      </c>
      <c r="Z168" s="121"/>
      <c r="AA168" s="121"/>
      <c r="AB168" s="121"/>
      <c r="AC168" s="121"/>
      <c r="AD168" s="121"/>
      <c r="AE168" s="121"/>
      <c r="AF168" s="121"/>
      <c r="AG168" s="121"/>
      <c r="AH168" s="121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  <c r="AS168" s="122"/>
      <c r="AT168" s="122"/>
      <c r="AU168" s="122"/>
      <c r="AV168" s="122"/>
      <c r="AW168" s="122"/>
      <c r="AX168" s="122"/>
      <c r="AY168" s="121"/>
      <c r="AZ168" s="121"/>
      <c r="BA168" s="121"/>
      <c r="BB168" s="121"/>
      <c r="BC168" s="121"/>
      <c r="BE168" s="124"/>
      <c r="BF168" s="124"/>
      <c r="BG168" s="124"/>
      <c r="BH168" s="124"/>
      <c r="BN168" s="14">
        <f t="shared" si="25"/>
        <v>3.6337155021100198</v>
      </c>
    </row>
    <row r="169" spans="1:66" s="130" customFormat="1" ht="21" hidden="1" customHeight="1">
      <c r="A169" s="126"/>
      <c r="B169" s="127" t="s">
        <v>450</v>
      </c>
      <c r="C169" s="128">
        <v>15</v>
      </c>
      <c r="D169" s="129">
        <v>26897</v>
      </c>
      <c r="E169" s="128">
        <v>26764</v>
      </c>
      <c r="F169" s="128">
        <v>26851</v>
      </c>
      <c r="G169" s="128">
        <v>9862800</v>
      </c>
      <c r="H169" s="128">
        <v>30700</v>
      </c>
      <c r="I169" s="128">
        <v>30670</v>
      </c>
      <c r="J169" s="130">
        <v>30693</v>
      </c>
      <c r="K169" s="128">
        <v>2610400</v>
      </c>
      <c r="L169" s="99">
        <f t="shared" si="26"/>
        <v>264826042800</v>
      </c>
      <c r="M169" s="99">
        <f t="shared" si="24"/>
        <v>80121007200</v>
      </c>
      <c r="N169" s="130">
        <v>27032</v>
      </c>
      <c r="O169" s="130">
        <v>30977</v>
      </c>
      <c r="P169" s="130">
        <v>27165</v>
      </c>
      <c r="Q169" s="130">
        <v>31007</v>
      </c>
      <c r="R169" s="128"/>
      <c r="S169" s="128"/>
      <c r="T169" s="128"/>
      <c r="U169" s="128"/>
      <c r="V169" s="130">
        <v>27810</v>
      </c>
      <c r="X169" s="130">
        <v>27870</v>
      </c>
      <c r="Y169" s="130">
        <v>32072</v>
      </c>
      <c r="Z169" s="128"/>
      <c r="AA169" s="128"/>
      <c r="AB169" s="128"/>
      <c r="AC169" s="128"/>
      <c r="AD169" s="128"/>
      <c r="AE169" s="128"/>
      <c r="AF169" s="128"/>
      <c r="AG169" s="128"/>
      <c r="AH169" s="128"/>
      <c r="AI169" s="128"/>
      <c r="AJ169" s="128"/>
      <c r="AK169" s="128"/>
      <c r="AL169" s="128"/>
      <c r="AM169" s="128"/>
      <c r="AN169" s="128"/>
      <c r="AO169" s="128"/>
      <c r="AP169" s="128"/>
      <c r="AQ169" s="128"/>
      <c r="AR169" s="128"/>
      <c r="AS169" s="129"/>
      <c r="AT169" s="129"/>
      <c r="AU169" s="129"/>
      <c r="AV169" s="129"/>
      <c r="AW169" s="129"/>
      <c r="AX169" s="129"/>
      <c r="AY169" s="128"/>
      <c r="AZ169" s="128"/>
      <c r="BA169" s="128"/>
      <c r="BB169" s="128"/>
      <c r="BC169" s="128"/>
      <c r="BE169" s="131"/>
      <c r="BF169" s="131"/>
      <c r="BG169" s="131"/>
      <c r="BH169" s="131"/>
      <c r="BN169" s="14">
        <f t="shared" si="25"/>
        <v>3.7950169453651634</v>
      </c>
    </row>
    <row r="170" spans="1:66" s="130" customFormat="1" ht="21" hidden="1" customHeight="1">
      <c r="A170" s="126"/>
      <c r="B170" s="127" t="s">
        <v>451</v>
      </c>
      <c r="C170" s="128">
        <v>16</v>
      </c>
      <c r="D170" s="129">
        <v>26818</v>
      </c>
      <c r="E170" s="128">
        <v>27022</v>
      </c>
      <c r="F170" s="128">
        <v>26830</v>
      </c>
      <c r="G170" s="128">
        <v>10046600</v>
      </c>
      <c r="H170" s="128">
        <v>30680</v>
      </c>
      <c r="I170" s="128">
        <v>30679</v>
      </c>
      <c r="J170" s="130">
        <v>30683</v>
      </c>
      <c r="K170" s="128">
        <v>2758900</v>
      </c>
      <c r="L170" s="99">
        <f t="shared" si="26"/>
        <v>269550278000</v>
      </c>
      <c r="M170" s="99">
        <f t="shared" si="24"/>
        <v>84651328700</v>
      </c>
      <c r="N170" s="130">
        <v>27292</v>
      </c>
      <c r="O170" s="130">
        <v>30986</v>
      </c>
      <c r="P170" s="130">
        <v>27086</v>
      </c>
      <c r="Q170" s="130">
        <v>30987</v>
      </c>
      <c r="R170" s="128"/>
      <c r="S170" s="128"/>
      <c r="T170" s="128"/>
      <c r="U170" s="128"/>
      <c r="V170" s="130">
        <v>27830</v>
      </c>
      <c r="X170" s="130">
        <v>27900</v>
      </c>
      <c r="Y170" s="130">
        <v>32107</v>
      </c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  <c r="AN170" s="128"/>
      <c r="AO170" s="128"/>
      <c r="AP170" s="128"/>
      <c r="AQ170" s="128"/>
      <c r="AR170" s="128"/>
      <c r="AS170" s="129"/>
      <c r="AT170" s="129"/>
      <c r="AU170" s="129"/>
      <c r="AV170" s="129"/>
      <c r="AW170" s="129"/>
      <c r="AX170" s="129"/>
      <c r="AY170" s="128"/>
      <c r="AZ170" s="128"/>
      <c r="BA170" s="128"/>
      <c r="BB170" s="128"/>
      <c r="BC170" s="128"/>
      <c r="BE170" s="131"/>
      <c r="BF170" s="131"/>
      <c r="BG170" s="131"/>
      <c r="BH170" s="131"/>
      <c r="BN170" s="14">
        <f t="shared" si="25"/>
        <v>3.9880730525531121</v>
      </c>
    </row>
    <row r="171" spans="1:66" s="130" customFormat="1" ht="21" hidden="1" customHeight="1">
      <c r="A171" s="126"/>
      <c r="B171" s="127" t="s">
        <v>453</v>
      </c>
      <c r="C171" s="128">
        <v>17</v>
      </c>
      <c r="D171" s="129">
        <v>27207</v>
      </c>
      <c r="E171" s="128">
        <v>27354</v>
      </c>
      <c r="F171" s="128">
        <v>27306</v>
      </c>
      <c r="G171" s="128">
        <v>8489900</v>
      </c>
      <c r="H171" s="128">
        <v>31137</v>
      </c>
      <c r="I171" s="128">
        <v>31294</v>
      </c>
      <c r="J171" s="130">
        <v>31148</v>
      </c>
      <c r="K171" s="128">
        <v>2332400</v>
      </c>
      <c r="L171" s="99">
        <f t="shared" si="26"/>
        <v>231825209400</v>
      </c>
      <c r="M171" s="99">
        <f t="shared" si="24"/>
        <v>72649595200</v>
      </c>
      <c r="N171" s="130">
        <v>27627</v>
      </c>
      <c r="O171" s="130">
        <v>31607</v>
      </c>
      <c r="P171" s="130">
        <v>27479</v>
      </c>
      <c r="Q171" s="130">
        <v>31449</v>
      </c>
      <c r="R171" s="128"/>
      <c r="S171" s="128"/>
      <c r="T171" s="128"/>
      <c r="U171" s="128"/>
      <c r="V171" s="130">
        <v>28020</v>
      </c>
      <c r="X171" s="130">
        <v>28100</v>
      </c>
      <c r="Y171" s="130">
        <v>32413</v>
      </c>
      <c r="Z171" s="128"/>
      <c r="AA171" s="128"/>
      <c r="AB171" s="128"/>
      <c r="AC171" s="128"/>
      <c r="AD171" s="128"/>
      <c r="AE171" s="128"/>
      <c r="AF171" s="128"/>
      <c r="AG171" s="128"/>
      <c r="AH171" s="128"/>
      <c r="AI171" s="128"/>
      <c r="AJ171" s="128"/>
      <c r="AK171" s="128"/>
      <c r="AL171" s="128"/>
      <c r="AM171" s="128"/>
      <c r="AN171" s="128"/>
      <c r="AO171" s="128"/>
      <c r="AP171" s="128"/>
      <c r="AQ171" s="128"/>
      <c r="AR171" s="128"/>
      <c r="AS171" s="129"/>
      <c r="AT171" s="129"/>
      <c r="AU171" s="129"/>
      <c r="AV171" s="129"/>
      <c r="AW171" s="129"/>
      <c r="AX171" s="129"/>
      <c r="AY171" s="128"/>
      <c r="AZ171" s="128"/>
      <c r="BA171" s="128"/>
      <c r="BB171" s="128"/>
      <c r="BC171" s="128"/>
      <c r="BE171" s="131"/>
      <c r="BF171" s="131"/>
      <c r="BG171" s="131"/>
      <c r="BH171" s="131"/>
      <c r="BN171" s="14">
        <f t="shared" si="25"/>
        <v>2.9077858346151029</v>
      </c>
    </row>
    <row r="172" spans="1:66" s="130" customFormat="1" ht="21" hidden="1" customHeight="1">
      <c r="A172" s="126"/>
      <c r="B172" s="127" t="s">
        <v>455</v>
      </c>
      <c r="C172" s="128">
        <v>18</v>
      </c>
      <c r="D172" s="129">
        <v>27352</v>
      </c>
      <c r="E172" s="128">
        <v>27227</v>
      </c>
      <c r="F172" s="128">
        <v>27270</v>
      </c>
      <c r="G172" s="128">
        <v>10298600</v>
      </c>
      <c r="H172" s="128">
        <v>31233</v>
      </c>
      <c r="I172" s="128">
        <v>31400</v>
      </c>
      <c r="J172" s="130">
        <v>31345</v>
      </c>
      <c r="K172" s="128">
        <v>1564600</v>
      </c>
      <c r="L172" s="99">
        <f t="shared" si="26"/>
        <v>280842822000</v>
      </c>
      <c r="M172" s="99">
        <f t="shared" si="24"/>
        <v>49042387000</v>
      </c>
      <c r="N172" s="130">
        <v>27499</v>
      </c>
      <c r="O172" s="130">
        <v>31714</v>
      </c>
      <c r="P172" s="130">
        <v>27625</v>
      </c>
      <c r="Q172" s="130">
        <v>31545</v>
      </c>
      <c r="R172" s="128"/>
      <c r="S172" s="128"/>
      <c r="T172" s="128"/>
      <c r="U172" s="128"/>
      <c r="V172" s="130">
        <v>28080</v>
      </c>
      <c r="X172" s="130">
        <v>28140</v>
      </c>
      <c r="Y172" s="130">
        <v>32543</v>
      </c>
      <c r="Z172" s="128"/>
      <c r="AA172" s="128"/>
      <c r="AB172" s="128"/>
      <c r="AC172" s="128"/>
      <c r="AD172" s="128"/>
      <c r="AE172" s="128"/>
      <c r="AF172" s="128"/>
      <c r="AG172" s="128"/>
      <c r="AH172" s="128"/>
      <c r="AI172" s="128"/>
      <c r="AJ172" s="128"/>
      <c r="AK172" s="128"/>
      <c r="AL172" s="128"/>
      <c r="AM172" s="128"/>
      <c r="AN172" s="128"/>
      <c r="AO172" s="128"/>
      <c r="AP172" s="128"/>
      <c r="AQ172" s="128"/>
      <c r="AR172" s="128"/>
      <c r="AS172" s="129"/>
      <c r="AT172" s="129"/>
      <c r="AU172" s="129"/>
      <c r="AV172" s="129"/>
      <c r="AW172" s="129"/>
      <c r="AX172" s="129"/>
      <c r="AY172" s="128"/>
      <c r="AZ172" s="128"/>
      <c r="BA172" s="128"/>
      <c r="BB172" s="128"/>
      <c r="BC172" s="128"/>
      <c r="BE172" s="131"/>
      <c r="BF172" s="131"/>
      <c r="BG172" s="131"/>
      <c r="BH172" s="131"/>
      <c r="BN172" s="14">
        <f t="shared" si="25"/>
        <v>3.1903190319031904</v>
      </c>
    </row>
    <row r="173" spans="1:66" s="130" customFormat="1" ht="21" hidden="1" customHeight="1">
      <c r="A173" s="126"/>
      <c r="B173" s="127" t="s">
        <v>457</v>
      </c>
      <c r="C173" s="128">
        <v>19</v>
      </c>
      <c r="D173" s="129">
        <v>27425</v>
      </c>
      <c r="E173" s="128">
        <v>27317</v>
      </c>
      <c r="F173" s="128">
        <v>27320</v>
      </c>
      <c r="G173" s="128">
        <v>10920500</v>
      </c>
      <c r="H173" s="128">
        <v>31417</v>
      </c>
      <c r="I173" s="128">
        <v>31511</v>
      </c>
      <c r="J173" s="130">
        <v>31482</v>
      </c>
      <c r="K173" s="128">
        <v>1261900</v>
      </c>
      <c r="L173" s="99">
        <f t="shared" si="26"/>
        <v>298348060000</v>
      </c>
      <c r="M173" s="99">
        <f t="shared" si="24"/>
        <v>39727135800</v>
      </c>
      <c r="N173" s="130">
        <v>27590</v>
      </c>
      <c r="O173" s="130">
        <v>31826</v>
      </c>
      <c r="P173" s="130">
        <v>27699</v>
      </c>
      <c r="Q173" s="130">
        <v>31731</v>
      </c>
      <c r="R173" s="128"/>
      <c r="S173" s="128"/>
      <c r="T173" s="128"/>
      <c r="U173" s="128"/>
      <c r="V173" s="130">
        <v>28180</v>
      </c>
      <c r="X173" s="130">
        <v>28250</v>
      </c>
      <c r="Y173" s="130">
        <v>32578</v>
      </c>
      <c r="Z173" s="128"/>
      <c r="AA173" s="128"/>
      <c r="AB173" s="128"/>
      <c r="AC173" s="128"/>
      <c r="AD173" s="128"/>
      <c r="AE173" s="128"/>
      <c r="AF173" s="128"/>
      <c r="AG173" s="128"/>
      <c r="AH173" s="128"/>
      <c r="AI173" s="128"/>
      <c r="AJ173" s="128"/>
      <c r="AK173" s="128"/>
      <c r="AL173" s="128"/>
      <c r="AM173" s="128"/>
      <c r="AN173" s="128"/>
      <c r="AO173" s="128"/>
      <c r="AP173" s="128"/>
      <c r="AQ173" s="128"/>
      <c r="AR173" s="128"/>
      <c r="AS173" s="129"/>
      <c r="AT173" s="129"/>
      <c r="AU173" s="129"/>
      <c r="AV173" s="129"/>
      <c r="AW173" s="129"/>
      <c r="AX173" s="129"/>
      <c r="AY173" s="128"/>
      <c r="AZ173" s="128"/>
      <c r="BA173" s="128"/>
      <c r="BB173" s="128"/>
      <c r="BC173" s="128"/>
      <c r="BE173" s="131"/>
      <c r="BF173" s="131"/>
      <c r="BG173" s="131"/>
      <c r="BH173" s="131"/>
      <c r="BN173" s="14">
        <f t="shared" si="25"/>
        <v>3.4040995607613471</v>
      </c>
    </row>
    <row r="174" spans="1:66" s="130" customFormat="1" ht="21" hidden="1" customHeight="1">
      <c r="A174" s="126"/>
      <c r="B174" s="127" t="s">
        <v>459</v>
      </c>
      <c r="C174" s="128">
        <v>20</v>
      </c>
      <c r="D174" s="129">
        <v>27338</v>
      </c>
      <c r="E174" s="128">
        <v>27719</v>
      </c>
      <c r="F174" s="128">
        <v>27564</v>
      </c>
      <c r="G174" s="128">
        <v>7048800</v>
      </c>
      <c r="H174" s="128">
        <v>31502</v>
      </c>
      <c r="I174" s="128">
        <v>31582</v>
      </c>
      <c r="J174" s="130">
        <v>31542</v>
      </c>
      <c r="K174" s="128">
        <v>1145000</v>
      </c>
      <c r="L174" s="99">
        <f t="shared" si="26"/>
        <v>194293123200</v>
      </c>
      <c r="M174" s="99">
        <f t="shared" si="24"/>
        <v>36115590000</v>
      </c>
      <c r="N174" s="130">
        <v>27996</v>
      </c>
      <c r="O174" s="130">
        <v>31897</v>
      </c>
      <c r="P174" s="130">
        <v>27611</v>
      </c>
      <c r="Q174" s="130">
        <v>31817</v>
      </c>
      <c r="R174" s="128"/>
      <c r="S174" s="128"/>
      <c r="T174" s="128"/>
      <c r="U174" s="128"/>
      <c r="V174" s="130">
        <v>28340</v>
      </c>
      <c r="X174" s="130">
        <v>28370</v>
      </c>
      <c r="Y174" s="130">
        <v>32678</v>
      </c>
      <c r="Z174" s="128"/>
      <c r="AA174" s="128"/>
      <c r="AB174" s="128"/>
      <c r="AC174" s="128"/>
      <c r="AD174" s="128"/>
      <c r="AE174" s="128"/>
      <c r="AF174" s="128"/>
      <c r="AG174" s="128"/>
      <c r="AH174" s="128"/>
      <c r="AI174" s="128"/>
      <c r="AJ174" s="128"/>
      <c r="AK174" s="128"/>
      <c r="AL174" s="128"/>
      <c r="AM174" s="128"/>
      <c r="AN174" s="128"/>
      <c r="AO174" s="128"/>
      <c r="AP174" s="128"/>
      <c r="AQ174" s="128"/>
      <c r="AR174" s="128"/>
      <c r="AS174" s="129"/>
      <c r="AT174" s="129"/>
      <c r="AU174" s="129"/>
      <c r="AV174" s="129"/>
      <c r="AW174" s="129"/>
      <c r="AX174" s="129"/>
      <c r="AY174" s="128"/>
      <c r="AZ174" s="128"/>
      <c r="BA174" s="128"/>
      <c r="BB174" s="128"/>
      <c r="BC174" s="128"/>
      <c r="BE174" s="131"/>
      <c r="BF174" s="131"/>
      <c r="BG174" s="131"/>
      <c r="BH174" s="131"/>
      <c r="BN174" s="14">
        <f t="shared" si="25"/>
        <v>2.9241039036424321</v>
      </c>
    </row>
    <row r="175" spans="1:66" s="123" customFormat="1" ht="21" hidden="1" customHeight="1">
      <c r="A175" s="119"/>
      <c r="B175" s="120" t="s">
        <v>463</v>
      </c>
      <c r="C175" s="121">
        <v>22</v>
      </c>
      <c r="D175" s="122">
        <v>27657</v>
      </c>
      <c r="E175" s="121">
        <v>27585</v>
      </c>
      <c r="F175" s="121">
        <v>27691</v>
      </c>
      <c r="G175" s="121">
        <v>13052500</v>
      </c>
      <c r="H175" s="121">
        <v>31582</v>
      </c>
      <c r="I175" s="121">
        <v>31743</v>
      </c>
      <c r="J175" s="123">
        <v>31748</v>
      </c>
      <c r="K175" s="121">
        <v>1317900</v>
      </c>
      <c r="L175" s="125">
        <f t="shared" si="26"/>
        <v>361436777500</v>
      </c>
      <c r="M175" s="125">
        <f t="shared" si="24"/>
        <v>41840689200</v>
      </c>
      <c r="N175" s="123">
        <v>27860</v>
      </c>
      <c r="O175" s="123">
        <v>32061</v>
      </c>
      <c r="P175" s="123">
        <v>27933</v>
      </c>
      <c r="Q175" s="123">
        <v>31897</v>
      </c>
      <c r="R175" s="121"/>
      <c r="S175" s="121"/>
      <c r="T175" s="121"/>
      <c r="U175" s="121"/>
      <c r="V175" s="123">
        <v>28470</v>
      </c>
      <c r="X175" s="123">
        <v>28720</v>
      </c>
      <c r="Y175" s="123">
        <v>32655</v>
      </c>
      <c r="Z175" s="121"/>
      <c r="AA175" s="121"/>
      <c r="AB175" s="121"/>
      <c r="AC175" s="121"/>
      <c r="AD175" s="121"/>
      <c r="AE175" s="121"/>
      <c r="AF175" s="121"/>
      <c r="AG175" s="121"/>
      <c r="AH175" s="121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  <c r="AS175" s="122"/>
      <c r="AT175" s="122"/>
      <c r="AU175" s="122"/>
      <c r="AV175" s="122"/>
      <c r="AW175" s="122"/>
      <c r="AX175" s="122"/>
      <c r="AY175" s="121"/>
      <c r="AZ175" s="121"/>
      <c r="BA175" s="121"/>
      <c r="BB175" s="121"/>
      <c r="BC175" s="121"/>
      <c r="BE175" s="124"/>
      <c r="BF175" s="124"/>
      <c r="BG175" s="124"/>
      <c r="BH175" s="124"/>
      <c r="BN175" s="14">
        <f t="shared" si="25"/>
        <v>3.7160088115272112</v>
      </c>
    </row>
    <row r="176" spans="1:66" s="117" customFormat="1" ht="21" hidden="1" customHeight="1">
      <c r="A176" s="113"/>
      <c r="B176" s="114" t="s">
        <v>465</v>
      </c>
      <c r="C176" s="115">
        <v>23</v>
      </c>
      <c r="D176" s="116">
        <v>27494</v>
      </c>
      <c r="E176" s="115">
        <v>26882</v>
      </c>
      <c r="F176" s="115">
        <v>27339</v>
      </c>
      <c r="G176" s="115">
        <v>11746800</v>
      </c>
      <c r="H176" s="115">
        <v>31600</v>
      </c>
      <c r="I176" s="115">
        <v>31595</v>
      </c>
      <c r="J176" s="117">
        <v>31558</v>
      </c>
      <c r="K176" s="115">
        <v>915600</v>
      </c>
      <c r="L176" s="93">
        <f t="shared" si="26"/>
        <v>321145765200</v>
      </c>
      <c r="M176" s="93">
        <f t="shared" si="24"/>
        <v>28894504800</v>
      </c>
      <c r="N176" s="117">
        <v>27150</v>
      </c>
      <c r="O176" s="117">
        <v>31911</v>
      </c>
      <c r="P176" s="117">
        <v>27768</v>
      </c>
      <c r="Q176" s="117">
        <v>31916</v>
      </c>
      <c r="R176" s="115"/>
      <c r="S176" s="115"/>
      <c r="T176" s="115"/>
      <c r="U176" s="115"/>
      <c r="V176" s="117">
        <v>28720</v>
      </c>
      <c r="X176" s="117">
        <v>28580</v>
      </c>
      <c r="Y176" s="117">
        <v>32804</v>
      </c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  <c r="AM176" s="115"/>
      <c r="AN176" s="115"/>
      <c r="AO176" s="115"/>
      <c r="AP176" s="115"/>
      <c r="AQ176" s="115"/>
      <c r="AR176" s="115"/>
      <c r="AS176" s="116"/>
      <c r="AT176" s="116"/>
      <c r="AU176" s="116"/>
      <c r="AV176" s="116"/>
      <c r="AW176" s="116"/>
      <c r="AX176" s="116"/>
      <c r="AY176" s="115"/>
      <c r="AZ176" s="115"/>
      <c r="BA176" s="115"/>
      <c r="BB176" s="115"/>
      <c r="BC176" s="115"/>
      <c r="BE176" s="118"/>
      <c r="BF176" s="118"/>
      <c r="BG176" s="118"/>
      <c r="BH176" s="118"/>
      <c r="BN176" s="14">
        <f t="shared" si="25"/>
        <v>4.5393028274625991</v>
      </c>
    </row>
    <row r="177" spans="1:66" s="117" customFormat="1" ht="21" hidden="1" customHeight="1">
      <c r="A177" s="113"/>
      <c r="B177" s="114" t="s">
        <v>466</v>
      </c>
      <c r="C177" s="115">
        <v>24</v>
      </c>
      <c r="D177" s="116">
        <v>26862</v>
      </c>
      <c r="E177" s="115">
        <v>26874</v>
      </c>
      <c r="F177" s="115">
        <v>26871</v>
      </c>
      <c r="G177" s="115">
        <v>11601300</v>
      </c>
      <c r="H177" s="115">
        <v>31350</v>
      </c>
      <c r="I177" s="115">
        <v>31256</v>
      </c>
      <c r="J177" s="117">
        <v>31234</v>
      </c>
      <c r="K177" s="115">
        <v>1080600</v>
      </c>
      <c r="L177" s="93">
        <f t="shared" si="26"/>
        <v>311738532300</v>
      </c>
      <c r="M177" s="93">
        <f t="shared" si="24"/>
        <v>33751460400</v>
      </c>
      <c r="N177" s="117">
        <v>27143</v>
      </c>
      <c r="O177" s="117">
        <v>31569</v>
      </c>
      <c r="P177" s="117">
        <v>27130</v>
      </c>
      <c r="Q177" s="117">
        <v>31663</v>
      </c>
      <c r="R177" s="115"/>
      <c r="S177" s="115"/>
      <c r="T177" s="115"/>
      <c r="U177" s="115"/>
      <c r="V177" s="117">
        <v>28420</v>
      </c>
      <c r="X177" s="117">
        <v>28190</v>
      </c>
      <c r="Y177" s="117">
        <v>32283</v>
      </c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  <c r="AM177" s="115"/>
      <c r="AN177" s="115"/>
      <c r="AO177" s="115"/>
      <c r="AP177" s="115"/>
      <c r="AQ177" s="115"/>
      <c r="AR177" s="115"/>
      <c r="AS177" s="116"/>
      <c r="AT177" s="116"/>
      <c r="AU177" s="116"/>
      <c r="AV177" s="116"/>
      <c r="AW177" s="116"/>
      <c r="AX177" s="116"/>
      <c r="AY177" s="115"/>
      <c r="AZ177" s="115"/>
      <c r="BA177" s="115"/>
      <c r="BB177" s="115"/>
      <c r="BC177" s="115"/>
      <c r="BE177" s="118"/>
      <c r="BF177" s="118"/>
      <c r="BG177" s="118"/>
      <c r="BH177" s="118"/>
      <c r="BN177" s="14">
        <f t="shared" si="25"/>
        <v>4.9086375646607872</v>
      </c>
    </row>
    <row r="178" spans="1:66" s="117" customFormat="1" ht="21" hidden="1" customHeight="1">
      <c r="A178" s="113"/>
      <c r="B178" s="114" t="s">
        <v>468</v>
      </c>
      <c r="C178" s="115">
        <v>25</v>
      </c>
      <c r="D178" s="116">
        <v>26797</v>
      </c>
      <c r="E178" s="115">
        <v>26635</v>
      </c>
      <c r="F178" s="115">
        <v>26690</v>
      </c>
      <c r="G178" s="115">
        <v>12754500</v>
      </c>
      <c r="H178" s="115">
        <v>31269</v>
      </c>
      <c r="I178" s="115">
        <v>30757</v>
      </c>
      <c r="J178" s="117">
        <v>31087</v>
      </c>
      <c r="K178" s="115">
        <v>902900</v>
      </c>
      <c r="L178" s="93">
        <f t="shared" si="26"/>
        <v>340417605000</v>
      </c>
      <c r="M178" s="93">
        <f t="shared" si="24"/>
        <v>28068452300</v>
      </c>
      <c r="N178" s="117">
        <v>26901</v>
      </c>
      <c r="O178" s="117">
        <v>31064</v>
      </c>
      <c r="P178" s="117">
        <v>27065</v>
      </c>
      <c r="Q178" s="117">
        <v>31582</v>
      </c>
      <c r="R178" s="115"/>
      <c r="S178" s="115"/>
      <c r="T178" s="115"/>
      <c r="U178" s="115"/>
      <c r="V178" s="117">
        <v>28170</v>
      </c>
      <c r="X178" s="117">
        <v>28180</v>
      </c>
      <c r="Y178" s="117">
        <v>32023</v>
      </c>
      <c r="Z178" s="115"/>
      <c r="AA178" s="115"/>
      <c r="AB178" s="115"/>
      <c r="AC178" s="115"/>
      <c r="AD178" s="115"/>
      <c r="AE178" s="115"/>
      <c r="AF178" s="115"/>
      <c r="AG178" s="115"/>
      <c r="AH178" s="115"/>
      <c r="AI178" s="115"/>
      <c r="AJ178" s="115"/>
      <c r="AK178" s="115"/>
      <c r="AL178" s="115"/>
      <c r="AM178" s="115"/>
      <c r="AN178" s="115"/>
      <c r="AO178" s="115"/>
      <c r="AP178" s="115"/>
      <c r="AQ178" s="115"/>
      <c r="AR178" s="115"/>
      <c r="AS178" s="116"/>
      <c r="AT178" s="116"/>
      <c r="AU178" s="116"/>
      <c r="AV178" s="116"/>
      <c r="AW178" s="116"/>
      <c r="AX178" s="116"/>
      <c r="AY178" s="115"/>
      <c r="AZ178" s="115"/>
      <c r="BA178" s="115"/>
      <c r="BB178" s="115"/>
      <c r="BC178" s="115"/>
      <c r="BE178" s="118"/>
      <c r="BF178" s="118"/>
      <c r="BG178" s="118"/>
      <c r="BH178" s="118"/>
      <c r="BN178" s="14">
        <f t="shared" si="25"/>
        <v>5.5826152116897712</v>
      </c>
    </row>
    <row r="179" spans="1:66" s="117" customFormat="1" ht="21" hidden="1" customHeight="1">
      <c r="A179" s="113"/>
      <c r="B179" s="114" t="s">
        <v>470</v>
      </c>
      <c r="C179" s="115">
        <v>26</v>
      </c>
      <c r="D179" s="116">
        <v>26633</v>
      </c>
      <c r="E179" s="115">
        <v>26635</v>
      </c>
      <c r="F179" s="115">
        <v>26626</v>
      </c>
      <c r="G179" s="115">
        <v>9748900</v>
      </c>
      <c r="H179" s="115">
        <v>30627</v>
      </c>
      <c r="I179" s="115">
        <v>30205</v>
      </c>
      <c r="J179" s="117">
        <v>30213</v>
      </c>
      <c r="K179" s="115">
        <v>1327100</v>
      </c>
      <c r="L179" s="93">
        <f t="shared" si="26"/>
        <v>259574211400</v>
      </c>
      <c r="M179" s="93">
        <f t="shared" si="24"/>
        <v>40095672300</v>
      </c>
      <c r="N179" s="117">
        <v>26901</v>
      </c>
      <c r="O179" s="117">
        <v>30507</v>
      </c>
      <c r="P179" s="117">
        <v>26900</v>
      </c>
      <c r="Q179" s="117">
        <v>30933</v>
      </c>
      <c r="R179" s="115"/>
      <c r="S179" s="115"/>
      <c r="T179" s="115"/>
      <c r="U179" s="115"/>
      <c r="V179" s="117">
        <v>28340</v>
      </c>
      <c r="X179" s="117">
        <v>28190</v>
      </c>
      <c r="Y179" s="117">
        <v>32007</v>
      </c>
      <c r="Z179" s="115"/>
      <c r="AA179" s="115"/>
      <c r="AB179" s="115"/>
      <c r="AC179" s="115"/>
      <c r="AD179" s="115"/>
      <c r="AE179" s="115"/>
      <c r="AF179" s="115"/>
      <c r="AG179" s="115"/>
      <c r="AH179" s="115"/>
      <c r="AI179" s="115"/>
      <c r="AJ179" s="115"/>
      <c r="AK179" s="115"/>
      <c r="AL179" s="115"/>
      <c r="AM179" s="115"/>
      <c r="AN179" s="115"/>
      <c r="AO179" s="115"/>
      <c r="AP179" s="115"/>
      <c r="AQ179" s="115"/>
      <c r="AR179" s="115"/>
      <c r="AS179" s="116"/>
      <c r="AT179" s="116"/>
      <c r="AU179" s="116"/>
      <c r="AV179" s="116"/>
      <c r="AW179" s="116"/>
      <c r="AX179" s="116"/>
      <c r="AY179" s="115"/>
      <c r="AZ179" s="115"/>
      <c r="BA179" s="115"/>
      <c r="BB179" s="115"/>
      <c r="BC179" s="115"/>
      <c r="BE179" s="118"/>
      <c r="BF179" s="118"/>
      <c r="BG179" s="118"/>
      <c r="BH179" s="118"/>
      <c r="BN179" s="14">
        <f t="shared" si="25"/>
        <v>5.8739577856230749</v>
      </c>
    </row>
    <row r="180" spans="1:66" s="117" customFormat="1" ht="21" hidden="1" customHeight="1">
      <c r="A180" s="113"/>
      <c r="B180" s="114" t="s">
        <v>472</v>
      </c>
      <c r="C180" s="115">
        <v>27</v>
      </c>
      <c r="D180" s="116">
        <v>26632</v>
      </c>
      <c r="E180" s="115">
        <v>26632</v>
      </c>
      <c r="F180" s="115">
        <v>26620</v>
      </c>
      <c r="G180" s="115">
        <v>8735600</v>
      </c>
      <c r="H180" s="115">
        <v>30205</v>
      </c>
      <c r="I180" s="115">
        <v>30590</v>
      </c>
      <c r="J180" s="117">
        <v>30480</v>
      </c>
      <c r="K180" s="115">
        <v>493800</v>
      </c>
      <c r="L180" s="93">
        <f t="shared" si="26"/>
        <v>232541672000</v>
      </c>
      <c r="M180" s="93">
        <f t="shared" si="24"/>
        <v>15051024000</v>
      </c>
      <c r="N180" s="117">
        <v>26899</v>
      </c>
      <c r="O180" s="117">
        <v>30896</v>
      </c>
      <c r="P180" s="117">
        <v>26898</v>
      </c>
      <c r="Q180" s="117">
        <v>30507</v>
      </c>
      <c r="R180" s="115"/>
      <c r="S180" s="115"/>
      <c r="T180" s="115"/>
      <c r="U180" s="115"/>
      <c r="V180" s="117">
        <v>28210</v>
      </c>
      <c r="X180" s="117">
        <v>28150</v>
      </c>
      <c r="Y180" s="117">
        <v>31964</v>
      </c>
      <c r="Z180" s="115"/>
      <c r="AA180" s="115"/>
      <c r="AB180" s="115"/>
      <c r="AC180" s="115"/>
      <c r="AD180" s="115"/>
      <c r="AE180" s="115"/>
      <c r="AF180" s="115"/>
      <c r="AG180" s="115"/>
      <c r="AH180" s="115"/>
      <c r="AI180" s="115"/>
      <c r="AJ180" s="115"/>
      <c r="AK180" s="115"/>
      <c r="AL180" s="115"/>
      <c r="AM180" s="115"/>
      <c r="AN180" s="115"/>
      <c r="AO180" s="115"/>
      <c r="AP180" s="115"/>
      <c r="AQ180" s="115"/>
      <c r="AR180" s="115"/>
      <c r="AS180" s="116"/>
      <c r="AT180" s="116"/>
      <c r="AU180" s="116"/>
      <c r="AV180" s="116"/>
      <c r="AW180" s="116"/>
      <c r="AX180" s="116"/>
      <c r="AY180" s="115"/>
      <c r="AZ180" s="115"/>
      <c r="BA180" s="115"/>
      <c r="BB180" s="115"/>
      <c r="BC180" s="115"/>
      <c r="BE180" s="118"/>
      <c r="BF180" s="118"/>
      <c r="BG180" s="118"/>
      <c r="BH180" s="118"/>
      <c r="BN180" s="14">
        <f t="shared" si="25"/>
        <v>5.7475582268970697</v>
      </c>
    </row>
    <row r="181" spans="1:66" s="130" customFormat="1" ht="21" hidden="1" customHeight="1">
      <c r="A181" s="126"/>
      <c r="B181" s="127" t="s">
        <v>475</v>
      </c>
      <c r="C181" s="128">
        <v>29</v>
      </c>
      <c r="D181" s="129">
        <v>26630</v>
      </c>
      <c r="E181" s="128">
        <v>26609</v>
      </c>
      <c r="F181" s="128">
        <v>26601</v>
      </c>
      <c r="G181" s="128">
        <v>11727000</v>
      </c>
      <c r="H181" s="128">
        <v>30583</v>
      </c>
      <c r="I181" s="128">
        <v>30350</v>
      </c>
      <c r="J181" s="130">
        <v>30413</v>
      </c>
      <c r="K181" s="128">
        <v>675800</v>
      </c>
      <c r="L181" s="93">
        <f t="shared" si="26"/>
        <v>311949927000</v>
      </c>
      <c r="M181" s="93">
        <f t="shared" si="24"/>
        <v>20553105400</v>
      </c>
      <c r="N181" s="130">
        <v>26875</v>
      </c>
      <c r="O181" s="130">
        <v>30654</v>
      </c>
      <c r="P181" s="130">
        <v>26896</v>
      </c>
      <c r="Q181" s="130">
        <v>30890</v>
      </c>
      <c r="R181" s="128"/>
      <c r="S181" s="128"/>
      <c r="T181" s="128"/>
      <c r="U181" s="128"/>
      <c r="V181" s="130">
        <v>28180</v>
      </c>
      <c r="X181" s="130">
        <v>28180</v>
      </c>
      <c r="Y181" s="130">
        <v>31753</v>
      </c>
      <c r="Z181" s="128"/>
      <c r="AA181" s="128"/>
      <c r="AB181" s="128"/>
      <c r="AC181" s="128"/>
      <c r="AD181" s="128"/>
      <c r="AE181" s="128"/>
      <c r="AF181" s="128"/>
      <c r="AG181" s="128"/>
      <c r="AH181" s="128"/>
      <c r="AI181" s="128"/>
      <c r="AJ181" s="128"/>
      <c r="AK181" s="128"/>
      <c r="AL181" s="128"/>
      <c r="AM181" s="128"/>
      <c r="AN181" s="128"/>
      <c r="AO181" s="128"/>
      <c r="AP181" s="128"/>
      <c r="AQ181" s="128"/>
      <c r="AR181" s="128"/>
      <c r="AS181" s="129"/>
      <c r="AT181" s="129"/>
      <c r="AU181" s="129"/>
      <c r="AV181" s="129"/>
      <c r="AW181" s="129"/>
      <c r="AX181" s="129"/>
      <c r="AY181" s="128"/>
      <c r="AZ181" s="128"/>
      <c r="BA181" s="128"/>
      <c r="BB181" s="128"/>
      <c r="BC181" s="128"/>
      <c r="BE181" s="131"/>
      <c r="BF181" s="131"/>
      <c r="BG181" s="131"/>
      <c r="BH181" s="131"/>
      <c r="BN181" s="14">
        <f t="shared" si="25"/>
        <v>5.9358670726664409</v>
      </c>
    </row>
    <row r="182" spans="1:66" s="130" customFormat="1" ht="21" hidden="1" customHeight="1">
      <c r="A182" s="126"/>
      <c r="B182" s="127" t="s">
        <v>477</v>
      </c>
      <c r="C182" s="128">
        <v>30</v>
      </c>
      <c r="D182" s="129">
        <v>26579</v>
      </c>
      <c r="E182" s="128">
        <v>26600</v>
      </c>
      <c r="F182" s="128">
        <v>26565</v>
      </c>
      <c r="G182" s="128">
        <v>11408500</v>
      </c>
      <c r="H182" s="128">
        <v>30288</v>
      </c>
      <c r="I182" s="128">
        <v>30399</v>
      </c>
      <c r="J182" s="130">
        <v>30341</v>
      </c>
      <c r="K182" s="128">
        <v>908000</v>
      </c>
      <c r="L182" s="99">
        <f t="shared" si="26"/>
        <v>303066802500</v>
      </c>
      <c r="M182" s="99">
        <f t="shared" si="24"/>
        <v>27549628000</v>
      </c>
      <c r="N182" s="130">
        <v>26865</v>
      </c>
      <c r="O182" s="130">
        <v>30703</v>
      </c>
      <c r="P182" s="130">
        <v>26844</v>
      </c>
      <c r="Q182" s="130">
        <v>30591</v>
      </c>
      <c r="R182" s="128"/>
      <c r="S182" s="128"/>
      <c r="T182" s="128"/>
      <c r="U182" s="128"/>
      <c r="V182" s="130">
        <v>28090</v>
      </c>
      <c r="X182" s="130">
        <v>28290</v>
      </c>
      <c r="Y182" s="130">
        <v>31741</v>
      </c>
      <c r="Z182" s="128"/>
      <c r="AA182" s="128"/>
      <c r="AB182" s="128"/>
      <c r="AC182" s="128"/>
      <c r="AD182" s="128"/>
      <c r="AE182" s="128"/>
      <c r="AF182" s="128"/>
      <c r="AG182" s="128"/>
      <c r="AH182" s="128"/>
      <c r="AI182" s="128"/>
      <c r="AJ182" s="128"/>
      <c r="AK182" s="128"/>
      <c r="AL182" s="128"/>
      <c r="AM182" s="128"/>
      <c r="AN182" s="128"/>
      <c r="AO182" s="128"/>
      <c r="AP182" s="128"/>
      <c r="AQ182" s="128"/>
      <c r="AR182" s="128"/>
      <c r="AS182" s="129"/>
      <c r="AT182" s="129"/>
      <c r="AU182" s="129"/>
      <c r="AV182" s="129"/>
      <c r="AW182" s="129"/>
      <c r="AX182" s="129"/>
      <c r="AY182" s="128"/>
      <c r="AZ182" s="128"/>
      <c r="BA182" s="128"/>
      <c r="BB182" s="128"/>
      <c r="BC182" s="128"/>
      <c r="BE182" s="131"/>
      <c r="BF182" s="131"/>
      <c r="BG182" s="131"/>
      <c r="BH182" s="131"/>
      <c r="BN182" s="14">
        <f t="shared" si="25"/>
        <v>6.4935064935064934</v>
      </c>
    </row>
    <row r="183" spans="1:66" s="130" customFormat="1" ht="21" hidden="1" customHeight="1">
      <c r="A183" s="126"/>
      <c r="B183" s="127" t="s">
        <v>484</v>
      </c>
      <c r="C183" s="128">
        <v>1</v>
      </c>
      <c r="D183" s="129">
        <v>26577</v>
      </c>
      <c r="E183" s="128">
        <v>26580</v>
      </c>
      <c r="F183" s="128">
        <v>26574</v>
      </c>
      <c r="G183" s="128">
        <v>12381500</v>
      </c>
      <c r="H183" s="128">
        <v>30211</v>
      </c>
      <c r="I183" s="128">
        <v>30399</v>
      </c>
      <c r="J183" s="130">
        <v>30309</v>
      </c>
      <c r="K183" s="128">
        <v>953300</v>
      </c>
      <c r="L183" s="99">
        <f t="shared" si="26"/>
        <v>329025981000</v>
      </c>
      <c r="M183" s="99">
        <f t="shared" si="24"/>
        <v>28893569700</v>
      </c>
      <c r="N183" s="130">
        <v>26846</v>
      </c>
      <c r="O183" s="130">
        <v>30703</v>
      </c>
      <c r="P183" s="130">
        <v>26843</v>
      </c>
      <c r="Q183" s="130">
        <v>30513</v>
      </c>
      <c r="R183" s="128"/>
      <c r="S183" s="128"/>
      <c r="T183" s="128"/>
      <c r="U183" s="128"/>
      <c r="V183" s="130">
        <v>28350</v>
      </c>
      <c r="X183" s="130">
        <v>28400</v>
      </c>
      <c r="Y183" s="130">
        <v>31874</v>
      </c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  <c r="AN183" s="128"/>
      <c r="AO183" s="128"/>
      <c r="AP183" s="128"/>
      <c r="AQ183" s="128"/>
      <c r="AR183" s="128"/>
      <c r="AS183" s="129"/>
      <c r="AT183" s="129"/>
      <c r="AU183" s="129"/>
      <c r="AV183" s="129"/>
      <c r="AW183" s="129"/>
      <c r="AX183" s="129"/>
      <c r="AY183" s="128"/>
      <c r="AZ183" s="128"/>
      <c r="BA183" s="128"/>
      <c r="BB183" s="128"/>
      <c r="BC183" s="128"/>
      <c r="BE183" s="131"/>
      <c r="BF183" s="131"/>
      <c r="BG183" s="131"/>
      <c r="BH183" s="131"/>
      <c r="BN183" s="14">
        <f t="shared" si="25"/>
        <v>6.8713780386844281</v>
      </c>
    </row>
    <row r="184" spans="1:66" s="130" customFormat="1" ht="21" hidden="1" customHeight="1">
      <c r="A184" s="126"/>
      <c r="B184" s="127" t="s">
        <v>485</v>
      </c>
      <c r="C184" s="128">
        <v>2</v>
      </c>
      <c r="D184" s="129">
        <v>26578</v>
      </c>
      <c r="E184" s="128">
        <v>26579</v>
      </c>
      <c r="F184" s="128">
        <v>26576</v>
      </c>
      <c r="G184" s="128">
        <v>15697800</v>
      </c>
      <c r="H184" s="128">
        <v>30399</v>
      </c>
      <c r="I184" s="128">
        <v>30399</v>
      </c>
      <c r="J184" s="130">
        <v>30386</v>
      </c>
      <c r="K184" s="128">
        <v>1164500</v>
      </c>
      <c r="L184" s="99">
        <f t="shared" si="26"/>
        <v>417184732800</v>
      </c>
      <c r="M184" s="99">
        <f t="shared" si="24"/>
        <v>35384497000</v>
      </c>
      <c r="N184" s="130">
        <v>26845</v>
      </c>
      <c r="O184" s="130">
        <v>30703</v>
      </c>
      <c r="P184" s="130">
        <v>26844</v>
      </c>
      <c r="Q184" s="130">
        <v>30703</v>
      </c>
      <c r="R184" s="128"/>
      <c r="S184" s="128"/>
      <c r="T184" s="128"/>
      <c r="U184" s="128"/>
      <c r="V184" s="130">
        <v>28550</v>
      </c>
      <c r="X184" s="130">
        <v>28570</v>
      </c>
      <c r="Y184" s="130">
        <v>32223</v>
      </c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28"/>
      <c r="AL184" s="128"/>
      <c r="AM184" s="128"/>
      <c r="AN184" s="128"/>
      <c r="AO184" s="128"/>
      <c r="AP184" s="128"/>
      <c r="AQ184" s="128"/>
      <c r="AR184" s="128"/>
      <c r="AS184" s="129"/>
      <c r="AT184" s="129"/>
      <c r="AU184" s="129"/>
      <c r="AV184" s="129"/>
      <c r="AW184" s="129"/>
      <c r="AX184" s="129"/>
      <c r="AY184" s="128"/>
      <c r="AZ184" s="128"/>
      <c r="BA184" s="128"/>
      <c r="BB184" s="128"/>
      <c r="BC184" s="128"/>
      <c r="BE184" s="131"/>
      <c r="BF184" s="131"/>
      <c r="BG184" s="131"/>
      <c r="BH184" s="131"/>
      <c r="BN184" s="14">
        <f t="shared" si="25"/>
        <v>7.5030102347983139</v>
      </c>
    </row>
    <row r="185" spans="1:66" s="130" customFormat="1" ht="21" hidden="1" customHeight="1">
      <c r="A185" s="126"/>
      <c r="B185" s="127" t="s">
        <v>486</v>
      </c>
      <c r="C185" s="128">
        <v>3</v>
      </c>
      <c r="D185" s="129">
        <v>27064</v>
      </c>
      <c r="E185" s="128">
        <v>27750</v>
      </c>
      <c r="F185" s="128">
        <v>27384</v>
      </c>
      <c r="G185" s="128">
        <v>12359200</v>
      </c>
      <c r="H185" s="128">
        <v>30399</v>
      </c>
      <c r="I185" s="128">
        <v>31492</v>
      </c>
      <c r="J185" s="130">
        <v>31335</v>
      </c>
      <c r="K185" s="128">
        <v>1055500</v>
      </c>
      <c r="L185" s="99">
        <f t="shared" si="26"/>
        <v>338444332800</v>
      </c>
      <c r="M185" s="99">
        <f t="shared" si="24"/>
        <v>33074092500</v>
      </c>
      <c r="N185" s="130">
        <v>28028</v>
      </c>
      <c r="O185" s="130">
        <v>31807</v>
      </c>
      <c r="P185" s="130">
        <v>27335</v>
      </c>
      <c r="Q185" s="130">
        <v>30703</v>
      </c>
      <c r="R185" s="128"/>
      <c r="S185" s="128"/>
      <c r="T185" s="128"/>
      <c r="U185" s="128"/>
      <c r="V185" s="130">
        <v>28850</v>
      </c>
      <c r="X185" s="130">
        <v>29050</v>
      </c>
      <c r="Y185" s="130">
        <v>32426</v>
      </c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28"/>
      <c r="AL185" s="128"/>
      <c r="AM185" s="128"/>
      <c r="AN185" s="128"/>
      <c r="AO185" s="128"/>
      <c r="AP185" s="128"/>
      <c r="AQ185" s="128"/>
      <c r="AR185" s="128"/>
      <c r="AS185" s="129"/>
      <c r="AT185" s="129"/>
      <c r="AU185" s="129"/>
      <c r="AV185" s="129"/>
      <c r="AW185" s="129"/>
      <c r="AX185" s="129"/>
      <c r="AY185" s="128"/>
      <c r="AZ185" s="128"/>
      <c r="BA185" s="128"/>
      <c r="BB185" s="128"/>
      <c r="BC185" s="128"/>
      <c r="BE185" s="131"/>
      <c r="BF185" s="131"/>
      <c r="BG185" s="131"/>
      <c r="BH185" s="131"/>
      <c r="BN185" s="14">
        <f t="shared" si="25"/>
        <v>6.0838445807770958</v>
      </c>
    </row>
    <row r="186" spans="1:66" s="130" customFormat="1" ht="21" hidden="1" customHeight="1">
      <c r="A186" s="126"/>
      <c r="B186" s="127" t="s">
        <v>487</v>
      </c>
      <c r="C186" s="128">
        <v>4</v>
      </c>
      <c r="D186" s="129">
        <v>28042</v>
      </c>
      <c r="E186" s="128">
        <v>27723</v>
      </c>
      <c r="F186" s="128">
        <v>27768</v>
      </c>
      <c r="G186" s="128">
        <v>7533200</v>
      </c>
      <c r="H186" s="128">
        <v>31492</v>
      </c>
      <c r="I186" s="128">
        <v>31765</v>
      </c>
      <c r="J186" s="130">
        <v>31703</v>
      </c>
      <c r="K186" s="128">
        <v>442900</v>
      </c>
      <c r="L186" s="99">
        <f t="shared" si="26"/>
        <v>209181897600</v>
      </c>
      <c r="M186" s="99">
        <f t="shared" si="24"/>
        <v>14041258700</v>
      </c>
      <c r="N186" s="130">
        <v>28001</v>
      </c>
      <c r="O186" s="130">
        <v>32083</v>
      </c>
      <c r="P186" s="130">
        <v>28322</v>
      </c>
      <c r="Q186" s="130">
        <v>31807</v>
      </c>
      <c r="R186" s="128"/>
      <c r="S186" s="128"/>
      <c r="T186" s="128"/>
      <c r="U186" s="128"/>
      <c r="V186" s="130">
        <v>29030</v>
      </c>
      <c r="X186" s="130">
        <v>29050</v>
      </c>
      <c r="Y186" s="130">
        <v>32534</v>
      </c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28"/>
      <c r="AL186" s="128"/>
      <c r="AM186" s="128"/>
      <c r="AN186" s="128"/>
      <c r="AO186" s="128"/>
      <c r="AP186" s="128"/>
      <c r="AQ186" s="128"/>
      <c r="AR186" s="128"/>
      <c r="AS186" s="129"/>
      <c r="AT186" s="129"/>
      <c r="AU186" s="129"/>
      <c r="AV186" s="129"/>
      <c r="AW186" s="129"/>
      <c r="AX186" s="129"/>
      <c r="AY186" s="128"/>
      <c r="AZ186" s="128"/>
      <c r="BA186" s="128"/>
      <c r="BB186" s="128"/>
      <c r="BC186" s="128"/>
      <c r="BE186" s="131"/>
      <c r="BF186" s="131"/>
      <c r="BG186" s="131"/>
      <c r="BH186" s="131"/>
      <c r="BN186" s="14">
        <f t="shared" si="25"/>
        <v>4.6168251224430996</v>
      </c>
    </row>
    <row r="187" spans="1:66" s="117" customFormat="1" ht="21" customHeight="1">
      <c r="A187" s="113"/>
      <c r="B187" s="114" t="s">
        <v>488</v>
      </c>
      <c r="C187" s="115">
        <v>6</v>
      </c>
      <c r="D187" s="116">
        <v>27760</v>
      </c>
      <c r="E187" s="115">
        <v>26482</v>
      </c>
      <c r="F187" s="115">
        <v>27139</v>
      </c>
      <c r="G187" s="115">
        <v>3812700</v>
      </c>
      <c r="H187" s="115">
        <v>31765</v>
      </c>
      <c r="I187" s="115">
        <v>30300</v>
      </c>
      <c r="J187" s="117">
        <v>30744</v>
      </c>
      <c r="K187" s="115">
        <v>280400</v>
      </c>
      <c r="L187" s="93">
        <f t="shared" si="26"/>
        <v>103472865300</v>
      </c>
      <c r="M187" s="93">
        <f t="shared" si="24"/>
        <v>8620617600</v>
      </c>
      <c r="N187" s="117">
        <v>26746</v>
      </c>
      <c r="O187" s="117">
        <v>30603</v>
      </c>
      <c r="P187" s="117">
        <v>28037</v>
      </c>
      <c r="Q187" s="117">
        <v>32083</v>
      </c>
      <c r="R187" s="115"/>
      <c r="S187" s="115"/>
      <c r="T187" s="115"/>
      <c r="U187" s="115"/>
      <c r="V187" s="117">
        <v>29270</v>
      </c>
      <c r="X187" s="117">
        <v>29150</v>
      </c>
      <c r="Y187" s="117">
        <v>33100</v>
      </c>
      <c r="Z187" s="115"/>
      <c r="AA187" s="115"/>
      <c r="AB187" s="115"/>
      <c r="AC187" s="115"/>
      <c r="AD187" s="115"/>
      <c r="AE187" s="115"/>
      <c r="AF187" s="115"/>
      <c r="AG187" s="115"/>
      <c r="AH187" s="115"/>
      <c r="AI187" s="115"/>
      <c r="AJ187" s="115"/>
      <c r="AK187" s="115"/>
      <c r="AL187" s="115"/>
      <c r="AM187" s="115"/>
      <c r="AN187" s="115"/>
      <c r="AO187" s="115"/>
      <c r="AP187" s="115"/>
      <c r="AQ187" s="115"/>
      <c r="AR187" s="115"/>
      <c r="AS187" s="116"/>
      <c r="AT187" s="116"/>
      <c r="AU187" s="116"/>
      <c r="AV187" s="116"/>
      <c r="AW187" s="116"/>
      <c r="AX187" s="116"/>
      <c r="AY187" s="115"/>
      <c r="AZ187" s="115"/>
      <c r="BA187" s="115"/>
      <c r="BB187" s="115"/>
      <c r="BC187" s="115"/>
      <c r="BE187" s="118"/>
      <c r="BF187" s="118"/>
      <c r="BG187" s="118"/>
      <c r="BH187" s="118"/>
      <c r="BN187" s="14">
        <f t="shared" si="25"/>
        <v>7.4100003684734146</v>
      </c>
    </row>
    <row r="188" spans="1:66" s="117" customFormat="1" ht="21" customHeight="1">
      <c r="A188" s="113"/>
      <c r="B188" s="114" t="s">
        <v>490</v>
      </c>
      <c r="C188" s="115">
        <v>7</v>
      </c>
      <c r="D188" s="116">
        <v>26482</v>
      </c>
      <c r="E188" s="115">
        <v>26063</v>
      </c>
      <c r="F188" s="115">
        <v>26151</v>
      </c>
      <c r="G188" s="115">
        <v>3931600</v>
      </c>
      <c r="H188" s="115">
        <v>30300</v>
      </c>
      <c r="I188" s="115">
        <v>30555</v>
      </c>
      <c r="J188" s="117">
        <v>30360</v>
      </c>
      <c r="K188" s="115">
        <v>292500</v>
      </c>
      <c r="L188" s="93">
        <f t="shared" si="26"/>
        <v>102815271600</v>
      </c>
      <c r="M188" s="93">
        <f t="shared" si="24"/>
        <v>8880300000</v>
      </c>
      <c r="N188" s="117">
        <v>26323</v>
      </c>
      <c r="O188" s="117">
        <v>30860</v>
      </c>
      <c r="P188" s="117">
        <v>26746</v>
      </c>
      <c r="Q188" s="117">
        <v>30603</v>
      </c>
      <c r="R188" s="115"/>
      <c r="S188" s="115"/>
      <c r="T188" s="115"/>
      <c r="U188" s="115"/>
      <c r="V188" s="117">
        <v>29080</v>
      </c>
      <c r="X188" s="117">
        <v>29250</v>
      </c>
      <c r="Y188" s="117">
        <v>32986</v>
      </c>
      <c r="Z188" s="115"/>
      <c r="AA188" s="115"/>
      <c r="AB188" s="115"/>
      <c r="AC188" s="115"/>
      <c r="AD188" s="115"/>
      <c r="AE188" s="115"/>
      <c r="AF188" s="115"/>
      <c r="AG188" s="115"/>
      <c r="AH188" s="115"/>
      <c r="AI188" s="115"/>
      <c r="AJ188" s="115"/>
      <c r="AK188" s="115"/>
      <c r="AL188" s="115"/>
      <c r="AM188" s="115"/>
      <c r="AN188" s="115"/>
      <c r="AO188" s="115"/>
      <c r="AP188" s="115"/>
      <c r="AQ188" s="115"/>
      <c r="AR188" s="115"/>
      <c r="AS188" s="116"/>
      <c r="AT188" s="116"/>
      <c r="AU188" s="116"/>
      <c r="AV188" s="116"/>
      <c r="AW188" s="116"/>
      <c r="AX188" s="116"/>
      <c r="AY188" s="115"/>
      <c r="AZ188" s="115"/>
      <c r="BA188" s="115"/>
      <c r="BB188" s="115"/>
      <c r="BC188" s="115"/>
      <c r="BE188" s="118"/>
      <c r="BF188" s="118"/>
      <c r="BG188" s="118"/>
      <c r="BH188" s="118"/>
      <c r="BN188" s="14">
        <f t="shared" si="25"/>
        <v>11.850407250200757</v>
      </c>
    </row>
    <row r="189" spans="1:66" s="117" customFormat="1" ht="21" customHeight="1">
      <c r="A189" s="113"/>
      <c r="B189" s="114" t="s">
        <v>492</v>
      </c>
      <c r="C189" s="115">
        <v>8</v>
      </c>
      <c r="D189" s="116">
        <v>26850</v>
      </c>
      <c r="E189" s="115">
        <v>26196</v>
      </c>
      <c r="F189" s="115">
        <v>26428</v>
      </c>
      <c r="G189" s="115">
        <v>6785800</v>
      </c>
      <c r="H189" s="115">
        <v>30555</v>
      </c>
      <c r="I189" s="115">
        <v>30649</v>
      </c>
      <c r="J189" s="117">
        <v>30420</v>
      </c>
      <c r="K189" s="115">
        <v>469600</v>
      </c>
      <c r="L189" s="93">
        <f t="shared" si="26"/>
        <v>179335122400</v>
      </c>
      <c r="M189" s="93">
        <f t="shared" si="24"/>
        <v>14285232000</v>
      </c>
      <c r="N189" s="117">
        <v>26458</v>
      </c>
      <c r="O189" s="117">
        <v>30955</v>
      </c>
      <c r="P189" s="117">
        <v>27118</v>
      </c>
      <c r="Q189" s="117">
        <v>30860</v>
      </c>
      <c r="R189" s="115"/>
      <c r="S189" s="115"/>
      <c r="T189" s="115"/>
      <c r="U189" s="115"/>
      <c r="V189" s="117">
        <v>29540</v>
      </c>
      <c r="X189" s="117">
        <v>29500</v>
      </c>
      <c r="Y189" s="117">
        <v>33180</v>
      </c>
      <c r="Z189" s="115"/>
      <c r="AA189" s="115"/>
      <c r="AB189" s="115"/>
      <c r="AC189" s="115"/>
      <c r="AD189" s="115"/>
      <c r="AE189" s="115"/>
      <c r="AF189" s="115"/>
      <c r="AG189" s="115"/>
      <c r="AH189" s="115"/>
      <c r="AI189" s="115"/>
      <c r="AJ189" s="115"/>
      <c r="AK189" s="115"/>
      <c r="AL189" s="115"/>
      <c r="AM189" s="115"/>
      <c r="AN189" s="115"/>
      <c r="AO189" s="115"/>
      <c r="AP189" s="115"/>
      <c r="AQ189" s="115"/>
      <c r="AR189" s="115"/>
      <c r="AS189" s="116"/>
      <c r="AT189" s="116"/>
      <c r="AU189" s="116"/>
      <c r="AV189" s="116"/>
      <c r="AW189" s="116"/>
      <c r="AX189" s="116"/>
      <c r="AY189" s="115"/>
      <c r="AZ189" s="115"/>
      <c r="BA189" s="115"/>
      <c r="BB189" s="115"/>
      <c r="BC189" s="115"/>
      <c r="BE189" s="118"/>
      <c r="BF189" s="118"/>
      <c r="BG189" s="118"/>
      <c r="BH189" s="118"/>
      <c r="BN189" s="14">
        <f t="shared" si="25"/>
        <v>11.624035114272742</v>
      </c>
    </row>
    <row r="190" spans="1:66" s="117" customFormat="1" ht="21" customHeight="1">
      <c r="A190" s="113"/>
      <c r="B190" s="114" t="s">
        <v>494</v>
      </c>
      <c r="C190" s="115">
        <v>9</v>
      </c>
      <c r="D190" s="116">
        <v>26196</v>
      </c>
      <c r="E190" s="115">
        <v>26218</v>
      </c>
      <c r="F190" s="115">
        <v>26243</v>
      </c>
      <c r="G190" s="115">
        <v>6483300</v>
      </c>
      <c r="H190" s="115">
        <v>30649</v>
      </c>
      <c r="I190" s="115">
        <v>30582</v>
      </c>
      <c r="J190" s="117">
        <v>30477</v>
      </c>
      <c r="K190" s="115">
        <v>324600</v>
      </c>
      <c r="L190" s="93">
        <f t="shared" si="26"/>
        <v>170141241900</v>
      </c>
      <c r="M190" s="93">
        <f t="shared" si="24"/>
        <v>9892834200</v>
      </c>
      <c r="N190" s="117">
        <v>26480</v>
      </c>
      <c r="O190" s="117">
        <v>30888</v>
      </c>
      <c r="P190" s="117">
        <v>26458</v>
      </c>
      <c r="Q190" s="117">
        <v>30955</v>
      </c>
      <c r="R190" s="115"/>
      <c r="S190" s="115"/>
      <c r="T190" s="115"/>
      <c r="U190" s="115"/>
      <c r="V190" s="117">
        <v>29140</v>
      </c>
      <c r="X190" s="117">
        <v>29110</v>
      </c>
      <c r="Y190" s="117">
        <v>33057</v>
      </c>
      <c r="Z190" s="115"/>
      <c r="AA190" s="115"/>
      <c r="AB190" s="115"/>
      <c r="AC190" s="115"/>
      <c r="AD190" s="115"/>
      <c r="AE190" s="115"/>
      <c r="AF190" s="115"/>
      <c r="AG190" s="115"/>
      <c r="AH190" s="115"/>
      <c r="AI190" s="115"/>
      <c r="AJ190" s="115"/>
      <c r="AK190" s="115"/>
      <c r="AL190" s="115"/>
      <c r="AM190" s="115"/>
      <c r="AN190" s="115"/>
      <c r="AO190" s="115"/>
      <c r="AP190" s="115"/>
      <c r="AQ190" s="115"/>
      <c r="AR190" s="115"/>
      <c r="AS190" s="116"/>
      <c r="AT190" s="116"/>
      <c r="AU190" s="116"/>
      <c r="AV190" s="116"/>
      <c r="AW190" s="116"/>
      <c r="AX190" s="116"/>
      <c r="AY190" s="115"/>
      <c r="AZ190" s="115"/>
      <c r="BA190" s="115"/>
      <c r="BB190" s="115"/>
      <c r="BC190" s="115"/>
      <c r="BE190" s="118"/>
      <c r="BF190" s="118"/>
      <c r="BG190" s="118"/>
      <c r="BH190" s="118"/>
      <c r="BN190" s="14">
        <f t="shared" si="25"/>
        <v>10.92481804671722</v>
      </c>
    </row>
    <row r="191" spans="1:66" s="117" customFormat="1" ht="21" customHeight="1">
      <c r="A191" s="113"/>
      <c r="B191" s="114" t="s">
        <v>496</v>
      </c>
      <c r="C191" s="115">
        <v>10</v>
      </c>
      <c r="D191" s="116">
        <v>26232</v>
      </c>
      <c r="E191" s="115">
        <v>26361</v>
      </c>
      <c r="F191" s="115">
        <v>26418</v>
      </c>
      <c r="G191" s="115">
        <v>8065200</v>
      </c>
      <c r="H191" s="115">
        <v>30582</v>
      </c>
      <c r="I191" s="115">
        <v>30349</v>
      </c>
      <c r="J191" s="117">
        <v>30400</v>
      </c>
      <c r="K191" s="115">
        <v>384900</v>
      </c>
      <c r="L191" s="93"/>
      <c r="M191" s="93"/>
      <c r="N191" s="117">
        <v>26624</v>
      </c>
      <c r="O191" s="117">
        <v>30652</v>
      </c>
      <c r="P191" s="117">
        <v>26494</v>
      </c>
      <c r="Q191" s="117">
        <v>30888</v>
      </c>
      <c r="R191" s="115"/>
      <c r="S191" s="115"/>
      <c r="T191" s="115"/>
      <c r="U191" s="115"/>
      <c r="V191" s="117">
        <v>29220</v>
      </c>
      <c r="X191" s="117">
        <v>29270</v>
      </c>
      <c r="Y191" s="117">
        <v>33055</v>
      </c>
      <c r="Z191" s="115"/>
      <c r="AA191" s="115"/>
      <c r="AB191" s="115"/>
      <c r="AC191" s="115"/>
      <c r="AD191" s="115"/>
      <c r="AE191" s="115"/>
      <c r="AF191" s="115"/>
      <c r="AG191" s="115"/>
      <c r="AH191" s="115"/>
      <c r="AI191" s="115"/>
      <c r="AJ191" s="115"/>
      <c r="AK191" s="115"/>
      <c r="AL191" s="115"/>
      <c r="AM191" s="115"/>
      <c r="AN191" s="115"/>
      <c r="AO191" s="115"/>
      <c r="AP191" s="115"/>
      <c r="AQ191" s="115"/>
      <c r="AR191" s="115"/>
      <c r="AS191" s="116"/>
      <c r="AT191" s="116"/>
      <c r="AU191" s="116"/>
      <c r="AV191" s="116"/>
      <c r="AW191" s="116"/>
      <c r="AX191" s="116"/>
      <c r="AY191" s="115"/>
      <c r="AZ191" s="115"/>
      <c r="BA191" s="115"/>
      <c r="BB191" s="115"/>
      <c r="BC191" s="115"/>
      <c r="BE191" s="118"/>
      <c r="BF191" s="118"/>
      <c r="BG191" s="118"/>
      <c r="BH191" s="118"/>
      <c r="BN191" s="14">
        <f t="shared" si="25"/>
        <v>10.795669619199032</v>
      </c>
    </row>
    <row r="192" spans="1:66" s="117" customFormat="1" ht="21" customHeight="1">
      <c r="A192" s="113"/>
      <c r="B192" s="114" t="s">
        <v>498</v>
      </c>
      <c r="C192" s="115">
        <v>11</v>
      </c>
      <c r="D192" s="116">
        <v>26407</v>
      </c>
      <c r="E192" s="115">
        <v>27059</v>
      </c>
      <c r="F192" s="115">
        <v>26673</v>
      </c>
      <c r="G192" s="115">
        <v>5925100</v>
      </c>
      <c r="H192" s="115">
        <v>30349</v>
      </c>
      <c r="I192" s="115">
        <v>31287</v>
      </c>
      <c r="J192" s="117">
        <v>31272</v>
      </c>
      <c r="K192" s="115">
        <v>177600</v>
      </c>
      <c r="L192" s="93"/>
      <c r="M192" s="93"/>
      <c r="N192" s="117">
        <v>27329</v>
      </c>
      <c r="O192" s="117">
        <v>31599</v>
      </c>
      <c r="P192" s="117">
        <v>26671</v>
      </c>
      <c r="Q192" s="117">
        <v>30652</v>
      </c>
      <c r="R192" s="115"/>
      <c r="S192" s="115"/>
      <c r="T192" s="115"/>
      <c r="U192" s="115"/>
      <c r="V192" s="117">
        <v>29300</v>
      </c>
      <c r="X192" s="117">
        <v>29360</v>
      </c>
      <c r="Y192" s="117">
        <v>33098</v>
      </c>
      <c r="Z192" s="115"/>
      <c r="AA192" s="115"/>
      <c r="AB192" s="115"/>
      <c r="AC192" s="115"/>
      <c r="AD192" s="115"/>
      <c r="AE192" s="115"/>
      <c r="AF192" s="115"/>
      <c r="AG192" s="115"/>
      <c r="AH192" s="115"/>
      <c r="AI192" s="115"/>
      <c r="AJ192" s="115"/>
      <c r="AK192" s="115"/>
      <c r="AL192" s="115"/>
      <c r="AM192" s="115"/>
      <c r="AN192" s="115"/>
      <c r="AO192" s="115"/>
      <c r="AP192" s="115"/>
      <c r="AQ192" s="115"/>
      <c r="AR192" s="115"/>
      <c r="AS192" s="116"/>
      <c r="AT192" s="116"/>
      <c r="AU192" s="116"/>
      <c r="AV192" s="116"/>
      <c r="AW192" s="116"/>
      <c r="AX192" s="116"/>
      <c r="AY192" s="115"/>
      <c r="AZ192" s="115"/>
      <c r="BA192" s="115"/>
      <c r="BB192" s="115"/>
      <c r="BC192" s="115"/>
      <c r="BE192" s="118"/>
      <c r="BF192" s="118"/>
      <c r="BG192" s="118"/>
      <c r="BH192" s="118"/>
      <c r="BN192" s="14">
        <f t="shared" si="25"/>
        <v>10.073857458853523</v>
      </c>
    </row>
    <row r="193" spans="1:66" s="139" customFormat="1" ht="21" customHeight="1">
      <c r="A193" s="135"/>
      <c r="B193" s="136" t="s">
        <v>501</v>
      </c>
      <c r="C193" s="137">
        <v>13</v>
      </c>
      <c r="D193" s="138">
        <v>27796</v>
      </c>
      <c r="E193" s="137">
        <v>27699</v>
      </c>
      <c r="F193" s="137">
        <v>27715</v>
      </c>
      <c r="G193" s="137">
        <v>10546800</v>
      </c>
      <c r="H193" s="137">
        <v>31287</v>
      </c>
      <c r="I193" s="137">
        <v>32270</v>
      </c>
      <c r="J193" s="139">
        <v>31905</v>
      </c>
      <c r="K193" s="137">
        <v>581800</v>
      </c>
      <c r="L193" s="140"/>
      <c r="M193" s="140"/>
      <c r="N193" s="139">
        <v>27976</v>
      </c>
      <c r="O193" s="139">
        <v>32593</v>
      </c>
      <c r="P193" s="139">
        <v>28073</v>
      </c>
      <c r="Q193" s="139">
        <v>31599</v>
      </c>
      <c r="R193" s="137"/>
      <c r="S193" s="137"/>
      <c r="T193" s="137"/>
      <c r="U193" s="137"/>
      <c r="V193" s="139">
        <v>29850</v>
      </c>
      <c r="X193" s="139">
        <v>30180</v>
      </c>
      <c r="Y193" s="139">
        <v>33906</v>
      </c>
      <c r="Z193" s="137"/>
      <c r="AA193" s="137"/>
      <c r="AB193" s="137"/>
      <c r="AC193" s="137"/>
      <c r="AD193" s="137"/>
      <c r="AE193" s="137"/>
      <c r="AF193" s="137"/>
      <c r="AG193" s="137"/>
      <c r="AH193" s="137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  <c r="AS193" s="138"/>
      <c r="AT193" s="138"/>
      <c r="AU193" s="138"/>
      <c r="AV193" s="138"/>
      <c r="AW193" s="138"/>
      <c r="AX193" s="138"/>
      <c r="AY193" s="137"/>
      <c r="AZ193" s="137"/>
      <c r="BA193" s="137"/>
      <c r="BB193" s="137"/>
      <c r="BC193" s="137"/>
      <c r="BE193" s="141"/>
      <c r="BF193" s="141"/>
      <c r="BG193" s="141"/>
      <c r="BH193" s="141"/>
      <c r="BN193" s="14">
        <f t="shared" si="25"/>
        <v>8.8941006675085692</v>
      </c>
    </row>
    <row r="194" spans="1:66" s="139" customFormat="1" ht="21" customHeight="1">
      <c r="A194" s="135"/>
      <c r="B194" s="136" t="s">
        <v>503</v>
      </c>
      <c r="C194" s="137">
        <v>14</v>
      </c>
      <c r="D194" s="138">
        <v>27606</v>
      </c>
      <c r="E194" s="137">
        <v>27521</v>
      </c>
      <c r="F194" s="137">
        <v>27600</v>
      </c>
      <c r="G194" s="137">
        <v>8650200</v>
      </c>
      <c r="H194" s="137">
        <v>31849</v>
      </c>
      <c r="I194" s="137">
        <v>31849</v>
      </c>
      <c r="J194" s="139">
        <v>31779</v>
      </c>
      <c r="K194" s="137">
        <v>753800</v>
      </c>
      <c r="L194" s="140"/>
      <c r="M194" s="140"/>
      <c r="N194" s="139">
        <v>27796</v>
      </c>
      <c r="O194" s="139">
        <v>32167</v>
      </c>
      <c r="P194" s="139">
        <v>27882</v>
      </c>
      <c r="Q194" s="139">
        <v>32168</v>
      </c>
      <c r="R194" s="137"/>
      <c r="S194" s="137"/>
      <c r="T194" s="137"/>
      <c r="U194" s="137"/>
      <c r="V194" s="139">
        <v>30540</v>
      </c>
      <c r="X194" s="139">
        <v>30320</v>
      </c>
      <c r="Y194" s="139">
        <v>34030</v>
      </c>
      <c r="Z194" s="137"/>
      <c r="AA194" s="137"/>
      <c r="AB194" s="137"/>
      <c r="AC194" s="137"/>
      <c r="AD194" s="137"/>
      <c r="AE194" s="137"/>
      <c r="AF194" s="137"/>
      <c r="AG194" s="137"/>
      <c r="AH194" s="137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  <c r="AS194" s="138"/>
      <c r="AT194" s="138"/>
      <c r="AU194" s="138"/>
      <c r="AV194" s="138"/>
      <c r="AW194" s="138"/>
      <c r="AX194" s="138"/>
      <c r="AY194" s="137"/>
      <c r="AZ194" s="137"/>
      <c r="BA194" s="137"/>
      <c r="BB194" s="137"/>
      <c r="BC194" s="137"/>
      <c r="BE194" s="141"/>
      <c r="BF194" s="141"/>
      <c r="BG194" s="141"/>
      <c r="BH194" s="141"/>
      <c r="BN194" s="14">
        <f t="shared" si="25"/>
        <v>9.8550724637681153</v>
      </c>
    </row>
    <row r="195" spans="1:66" s="112" customFormat="1" ht="21" customHeight="1">
      <c r="A195" s="109"/>
      <c r="B195" s="142" t="s">
        <v>505</v>
      </c>
      <c r="C195" s="111">
        <v>15</v>
      </c>
      <c r="D195" s="111">
        <v>27580</v>
      </c>
      <c r="E195" s="111">
        <v>27580</v>
      </c>
      <c r="F195" s="111">
        <v>27569</v>
      </c>
      <c r="G195" s="111">
        <v>9482800</v>
      </c>
      <c r="H195" s="111">
        <v>31747</v>
      </c>
      <c r="I195" s="111">
        <v>31749</v>
      </c>
      <c r="J195" s="112">
        <v>31730</v>
      </c>
      <c r="K195" s="111">
        <v>1007900</v>
      </c>
      <c r="L195" s="143"/>
      <c r="M195" s="143"/>
      <c r="N195" s="112">
        <v>27855</v>
      </c>
      <c r="O195" s="112">
        <v>32066</v>
      </c>
      <c r="P195" s="112">
        <v>27856</v>
      </c>
      <c r="Q195" s="112">
        <v>32065</v>
      </c>
      <c r="R195" s="111"/>
      <c r="S195" s="111"/>
      <c r="T195" s="111"/>
      <c r="U195" s="111"/>
      <c r="V195" s="112">
        <v>30580</v>
      </c>
      <c r="X195" s="112">
        <v>30550</v>
      </c>
      <c r="Y195" s="112">
        <v>34239</v>
      </c>
      <c r="Z195" s="144"/>
      <c r="AA195" s="111"/>
      <c r="AB195" s="144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  <c r="AU195" s="111"/>
      <c r="AV195" s="111"/>
      <c r="AW195" s="111"/>
      <c r="AX195" s="111"/>
      <c r="AY195" s="111"/>
      <c r="AZ195" s="111"/>
      <c r="BA195" s="111"/>
      <c r="BB195" s="111"/>
      <c r="BC195" s="111"/>
      <c r="BE195" s="145"/>
      <c r="BF195" s="145"/>
      <c r="BG195" s="145"/>
      <c r="BH195" s="145"/>
      <c r="BN195" s="146">
        <f t="shared" si="25"/>
        <v>10.812869527367695</v>
      </c>
    </row>
    <row r="196" spans="1:66" ht="18">
      <c r="D196" s="26"/>
      <c r="V196" s="133"/>
      <c r="Z196" s="25"/>
      <c r="AB196" s="25"/>
      <c r="AS196" s="25"/>
      <c r="AW196" s="30"/>
    </row>
    <row r="197" spans="1:66" ht="18">
      <c r="D197" s="26"/>
      <c r="V197" s="133"/>
      <c r="Z197" s="25"/>
      <c r="AS197" s="26"/>
      <c r="AW197" s="30"/>
    </row>
    <row r="198" spans="1:66" ht="18">
      <c r="V198" s="132"/>
      <c r="Z198" s="25"/>
      <c r="AS198" s="26"/>
      <c r="AW198" s="30"/>
    </row>
    <row r="199" spans="1:66" ht="18">
      <c r="T199">
        <f>3.673*7960</f>
        <v>29237.08</v>
      </c>
      <c r="V199" s="25"/>
      <c r="Z199" s="25"/>
      <c r="AS199" s="26"/>
      <c r="AW199" s="30"/>
    </row>
    <row r="200" spans="1:66" ht="18">
      <c r="D200" s="99"/>
      <c r="V200" s="25"/>
      <c r="Z200" s="25"/>
      <c r="AW200" s="30"/>
    </row>
    <row r="201" spans="1:66" ht="17.25" customHeight="1">
      <c r="D201" s="99"/>
      <c r="V201" s="25"/>
      <c r="Z201" s="25"/>
    </row>
    <row r="202" spans="1:66" ht="18">
      <c r="D202" s="99"/>
      <c r="V202" s="25"/>
      <c r="Z202" s="25"/>
    </row>
    <row r="203" spans="1:66" ht="18">
      <c r="D203" s="99"/>
      <c r="V203" s="25"/>
    </row>
    <row r="204" spans="1:66" ht="18">
      <c r="D204" s="99"/>
      <c r="V204" s="25"/>
    </row>
    <row r="205" spans="1:66" ht="18">
      <c r="D205" s="115"/>
    </row>
    <row r="206" spans="1:66" ht="18">
      <c r="D206" s="115"/>
    </row>
    <row r="207" spans="1:66" ht="18">
      <c r="D207" s="121"/>
    </row>
    <row r="208" spans="1:66" ht="18">
      <c r="D208" s="115"/>
      <c r="G208" s="9"/>
    </row>
    <row r="209" spans="4:7" ht="18">
      <c r="D209" s="110"/>
      <c r="G209" s="9"/>
    </row>
    <row r="210" spans="4:7" ht="18">
      <c r="G210" s="9"/>
    </row>
    <row r="211" spans="4:7" ht="18">
      <c r="G211" s="9"/>
    </row>
    <row r="212" spans="4:7" ht="18">
      <c r="G212" s="9"/>
    </row>
  </sheetData>
  <autoFilter ref="BN1:BN212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topLeftCell="A16" zoomScale="70" zoomScaleNormal="70" workbookViewId="0">
      <selection activeCell="A39" sqref="A3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6" si="0">D29/6</f>
        <v>7281166.666666667</v>
      </c>
      <c r="F29" s="73">
        <v>5993000</v>
      </c>
      <c r="G29" s="73">
        <f t="shared" ref="G29:G36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" customHeight="1">
      <c r="A37" s="73" t="s">
        <v>507</v>
      </c>
    </row>
    <row r="38" spans="1:11">
      <c r="B38">
        <f>(B2-B8)/B2</f>
        <v>0.15346494762288476</v>
      </c>
      <c r="C38">
        <f>(C2-C8)/C2</f>
        <v>0.1154959674639829</v>
      </c>
      <c r="D38">
        <f>SUM(D2:D16)/15</f>
        <v>29639479.933333334</v>
      </c>
    </row>
    <row r="40" spans="1:11">
      <c r="J40">
        <f>(D36-D35)/D35</f>
        <v>-0.50773339408667473</v>
      </c>
    </row>
    <row r="41" spans="1:11">
      <c r="F41">
        <f>(F36-F35)/F35</f>
        <v>-0.62892307692307692</v>
      </c>
    </row>
    <row r="42" spans="1:11">
      <c r="D42">
        <v>5375132</v>
      </c>
      <c r="E42">
        <f>(E17-D42)/D42</f>
        <v>4.5958809321644006E-2</v>
      </c>
      <c r="G42">
        <f t="shared" ref="G42:G50" si="2">B3-B2</f>
        <v>-554</v>
      </c>
    </row>
    <row r="43" spans="1:11">
      <c r="G43">
        <f t="shared" si="2"/>
        <v>-302</v>
      </c>
    </row>
    <row r="44" spans="1:11">
      <c r="C44">
        <f>(D42-E16)/E16</f>
        <v>0.17110375179746395</v>
      </c>
      <c r="G44">
        <f t="shared" si="2"/>
        <v>-511</v>
      </c>
    </row>
    <row r="45" spans="1:11">
      <c r="G45">
        <f t="shared" si="2"/>
        <v>-362</v>
      </c>
    </row>
    <row r="46" spans="1:11">
      <c r="G46">
        <f t="shared" si="2"/>
        <v>-1699</v>
      </c>
    </row>
    <row r="47" spans="1:11">
      <c r="G47">
        <f t="shared" si="2"/>
        <v>-381</v>
      </c>
    </row>
    <row r="48" spans="1:11">
      <c r="G48">
        <f t="shared" si="2"/>
        <v>1075</v>
      </c>
    </row>
    <row r="49" spans="6:10">
      <c r="F49">
        <f>(F33-F32)/F32</f>
        <v>0.23948268173034043</v>
      </c>
      <c r="G49">
        <f t="shared" si="2"/>
        <v>151</v>
      </c>
      <c r="J49">
        <f>(F34-F35)/F34</f>
        <v>0.13877341459779063</v>
      </c>
    </row>
    <row r="50" spans="6:10">
      <c r="G50">
        <f t="shared" si="2"/>
        <v>1043</v>
      </c>
    </row>
  </sheetData>
  <autoFilter ref="A1:K50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78"/>
  <sheetViews>
    <sheetView tabSelected="1" topLeftCell="A1555" zoomScale="85" zoomScaleNormal="85" workbookViewId="0">
      <selection activeCell="A1563" sqref="A1563:D156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47" t="s">
        <v>246</v>
      </c>
      <c r="B1" s="147"/>
      <c r="C1" s="147"/>
      <c r="D1" s="147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47" t="s">
        <v>256</v>
      </c>
      <c r="B11" s="147"/>
      <c r="C11" s="147"/>
      <c r="D11" s="147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47" t="s">
        <v>258</v>
      </c>
      <c r="B21" s="147"/>
      <c r="C21" s="147"/>
      <c r="D21" s="147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47" t="s">
        <v>259</v>
      </c>
      <c r="B31" s="147"/>
      <c r="C31" s="147"/>
      <c r="D31" s="147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47" t="s">
        <v>260</v>
      </c>
      <c r="B41" s="147"/>
      <c r="C41" s="147"/>
      <c r="D41" s="147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47" t="s">
        <v>262</v>
      </c>
      <c r="B51" s="147"/>
      <c r="C51" s="147"/>
      <c r="D51" s="147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47" t="s">
        <v>263</v>
      </c>
      <c r="B61" s="147"/>
      <c r="C61" s="147"/>
      <c r="D61" s="147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47" t="s">
        <v>264</v>
      </c>
      <c r="B71" s="147"/>
      <c r="C71" s="147"/>
      <c r="D71" s="147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47" t="s">
        <v>265</v>
      </c>
      <c r="B81" s="147"/>
      <c r="C81" s="147"/>
      <c r="D81" s="147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47" t="s">
        <v>269</v>
      </c>
      <c r="B93" s="147"/>
      <c r="C93" s="147"/>
      <c r="D93" s="147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47" t="s">
        <v>270</v>
      </c>
      <c r="B103" s="147"/>
      <c r="C103" s="147"/>
      <c r="D103" s="147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47" t="s">
        <v>272</v>
      </c>
      <c r="B113" s="147"/>
      <c r="C113" s="147"/>
      <c r="D113" s="147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47" t="s">
        <v>273</v>
      </c>
      <c r="B123" s="147"/>
      <c r="C123" s="147"/>
      <c r="D123" s="147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47" t="s">
        <v>274</v>
      </c>
      <c r="B133" s="147"/>
      <c r="C133" s="147"/>
      <c r="D133" s="147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47" t="s">
        <v>275</v>
      </c>
      <c r="B143" s="147"/>
      <c r="C143" s="147"/>
      <c r="D143" s="147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47" t="s">
        <v>277</v>
      </c>
      <c r="B153" s="147"/>
      <c r="C153" s="147"/>
      <c r="D153" s="147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47" t="s">
        <v>278</v>
      </c>
      <c r="B163" s="147"/>
      <c r="C163" s="147"/>
      <c r="D163" s="147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47" t="s">
        <v>279</v>
      </c>
      <c r="B173" s="147"/>
      <c r="C173" s="147"/>
      <c r="D173" s="147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47" t="s">
        <v>280</v>
      </c>
      <c r="B183" s="147"/>
      <c r="C183" s="147"/>
      <c r="D183" s="147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47" t="s">
        <v>281</v>
      </c>
      <c r="B193" s="147"/>
      <c r="C193" s="147"/>
      <c r="D193" s="147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47" t="s">
        <v>282</v>
      </c>
      <c r="B203" s="147"/>
      <c r="C203" s="147"/>
      <c r="D203" s="147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47" t="s">
        <v>283</v>
      </c>
      <c r="B213" s="147"/>
      <c r="C213" s="147"/>
      <c r="D213" s="147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47" t="s">
        <v>284</v>
      </c>
      <c r="B223" s="147"/>
      <c r="C223" s="147"/>
      <c r="D223" s="147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47" t="s">
        <v>285</v>
      </c>
      <c r="B233" s="147"/>
      <c r="C233" s="147"/>
      <c r="D233" s="147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47" t="s">
        <v>286</v>
      </c>
      <c r="B243" s="147"/>
      <c r="C243" s="147"/>
      <c r="D243" s="147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47" t="s">
        <v>287</v>
      </c>
      <c r="B253" s="147"/>
      <c r="C253" s="147"/>
      <c r="D253" s="147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47" t="s">
        <v>288</v>
      </c>
      <c r="B263" s="147"/>
      <c r="C263" s="147"/>
      <c r="D263" s="147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47" t="s">
        <v>289</v>
      </c>
      <c r="B273" s="147"/>
      <c r="C273" s="147"/>
      <c r="D273" s="147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47" t="s">
        <v>290</v>
      </c>
      <c r="B283" s="147"/>
      <c r="C283" s="147"/>
      <c r="D283" s="147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47" t="s">
        <v>291</v>
      </c>
      <c r="B293" s="147"/>
      <c r="C293" s="147"/>
      <c r="D293" s="147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47" t="s">
        <v>292</v>
      </c>
      <c r="B303" s="147"/>
      <c r="C303" s="147"/>
      <c r="D303" s="147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47" t="s">
        <v>296</v>
      </c>
      <c r="B313" s="147"/>
      <c r="C313" s="147"/>
      <c r="D313" s="147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47" t="s">
        <v>300</v>
      </c>
      <c r="B324" s="147"/>
      <c r="C324" s="147"/>
      <c r="D324" s="147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47" t="s">
        <v>303</v>
      </c>
      <c r="B335" s="147"/>
      <c r="C335" s="147"/>
      <c r="D335" s="147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47" t="s">
        <v>304</v>
      </c>
      <c r="B346" s="147"/>
      <c r="C346" s="147"/>
      <c r="D346" s="147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47" t="s">
        <v>305</v>
      </c>
      <c r="B357" s="147"/>
      <c r="C357" s="147"/>
      <c r="D357" s="147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47" t="s">
        <v>306</v>
      </c>
      <c r="B368" s="147"/>
      <c r="C368" s="147"/>
      <c r="D368" s="147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47" t="s">
        <v>307</v>
      </c>
      <c r="B379" s="147"/>
      <c r="C379" s="147"/>
      <c r="D379" s="147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47" t="s">
        <v>308</v>
      </c>
      <c r="B390" s="147"/>
      <c r="C390" s="147"/>
      <c r="D390" s="147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47" t="s">
        <v>309</v>
      </c>
      <c r="B401" s="147"/>
      <c r="C401" s="147"/>
      <c r="D401" s="147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47" t="s">
        <v>310</v>
      </c>
      <c r="B412" s="147"/>
      <c r="C412" s="147"/>
      <c r="D412" s="147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47" t="s">
        <v>311</v>
      </c>
      <c r="B423" s="147"/>
      <c r="C423" s="147"/>
      <c r="D423" s="147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47" t="s">
        <v>315</v>
      </c>
      <c r="B434" s="147"/>
      <c r="C434" s="147"/>
      <c r="D434" s="147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47" t="s">
        <v>316</v>
      </c>
      <c r="B445" s="147"/>
      <c r="C445" s="147"/>
      <c r="D445" s="147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47" t="s">
        <v>317</v>
      </c>
      <c r="B456" s="147"/>
      <c r="C456" s="147"/>
      <c r="D456" s="147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47" t="s">
        <v>318</v>
      </c>
      <c r="B467" s="147"/>
      <c r="C467" s="147"/>
      <c r="D467" s="147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47" t="s">
        <v>319</v>
      </c>
      <c r="B478" s="147"/>
      <c r="C478" s="147"/>
      <c r="D478" s="147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47" t="s">
        <v>320</v>
      </c>
      <c r="B489" s="147"/>
      <c r="C489" s="147"/>
      <c r="D489" s="147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47" t="s">
        <v>323</v>
      </c>
      <c r="B500" s="147"/>
      <c r="C500" s="147"/>
      <c r="D500" s="147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47" t="s">
        <v>324</v>
      </c>
      <c r="B511" s="147"/>
      <c r="C511" s="147"/>
      <c r="D511" s="147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47" t="s">
        <v>325</v>
      </c>
      <c r="B522" s="147"/>
      <c r="C522" s="147"/>
      <c r="D522" s="147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47" t="s">
        <v>326</v>
      </c>
      <c r="B533" s="147"/>
      <c r="C533" s="147"/>
      <c r="D533" s="147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47" t="s">
        <v>327</v>
      </c>
      <c r="B544" s="147"/>
      <c r="C544" s="147"/>
      <c r="D544" s="147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47" t="s">
        <v>328</v>
      </c>
      <c r="B555" s="147"/>
      <c r="C555" s="147"/>
      <c r="D555" s="147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47" t="s">
        <v>328</v>
      </c>
      <c r="B567" s="147"/>
      <c r="C567" s="147"/>
      <c r="D567" s="147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47" t="s">
        <v>333</v>
      </c>
      <c r="B579" s="147"/>
      <c r="C579" s="147"/>
      <c r="D579" s="147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47" t="s">
        <v>334</v>
      </c>
      <c r="B590" s="147"/>
      <c r="C590" s="147"/>
      <c r="D590" s="147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47" t="s">
        <v>335</v>
      </c>
      <c r="B601" s="147"/>
      <c r="C601" s="147"/>
      <c r="D601" s="147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47" t="s">
        <v>336</v>
      </c>
      <c r="B612" s="147"/>
      <c r="C612" s="147"/>
      <c r="D612" s="147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47" t="s">
        <v>337</v>
      </c>
      <c r="B623" s="147"/>
      <c r="C623" s="147"/>
      <c r="D623" s="147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47" t="s">
        <v>338</v>
      </c>
      <c r="B635" s="147"/>
      <c r="C635" s="147"/>
      <c r="D635" s="147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47" t="s">
        <v>340</v>
      </c>
      <c r="B647" s="147"/>
      <c r="C647" s="147"/>
      <c r="D647" s="147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47" t="s">
        <v>341</v>
      </c>
      <c r="B658" s="147"/>
      <c r="C658" s="147"/>
      <c r="D658" s="147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47" t="s">
        <v>342</v>
      </c>
      <c r="B670" s="147"/>
      <c r="C670" s="147"/>
      <c r="D670" s="147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47" t="s">
        <v>343</v>
      </c>
      <c r="B681" s="147"/>
      <c r="C681" s="147"/>
      <c r="D681" s="147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47" t="s">
        <v>344</v>
      </c>
      <c r="B692" s="147"/>
      <c r="C692" s="147"/>
      <c r="D692" s="147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47" t="s">
        <v>345</v>
      </c>
      <c r="B703" s="147"/>
      <c r="C703" s="147"/>
      <c r="D703" s="147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47" t="s">
        <v>348</v>
      </c>
      <c r="B715" s="147"/>
      <c r="C715" s="147"/>
      <c r="D715" s="147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47" t="s">
        <v>349</v>
      </c>
      <c r="B726" s="147"/>
      <c r="C726" s="147"/>
      <c r="D726" s="147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47" t="s">
        <v>350</v>
      </c>
      <c r="B738" s="147"/>
      <c r="C738" s="147"/>
      <c r="D738" s="147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47" t="s">
        <v>351</v>
      </c>
      <c r="B749" s="147"/>
      <c r="C749" s="147"/>
      <c r="D749" s="147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47" t="s">
        <v>352</v>
      </c>
      <c r="B760" s="147"/>
      <c r="C760" s="147"/>
      <c r="D760" s="147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47" t="s">
        <v>353</v>
      </c>
      <c r="B772" s="147"/>
      <c r="C772" s="147"/>
      <c r="D772" s="147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47" t="s">
        <v>355</v>
      </c>
      <c r="B784" s="147"/>
      <c r="C784" s="147"/>
      <c r="D784" s="147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47" t="s">
        <v>356</v>
      </c>
      <c r="B796" s="147"/>
      <c r="C796" s="147"/>
      <c r="D796" s="147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47" t="s">
        <v>357</v>
      </c>
      <c r="B809" s="147"/>
      <c r="C809" s="147"/>
      <c r="D809" s="147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47" t="s">
        <v>358</v>
      </c>
      <c r="B820" s="147"/>
      <c r="C820" s="147"/>
      <c r="D820" s="147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47" t="s">
        <v>359</v>
      </c>
      <c r="B831" s="147"/>
      <c r="C831" s="147"/>
      <c r="D831" s="147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47" t="s">
        <v>360</v>
      </c>
      <c r="B842" s="147"/>
      <c r="C842" s="147"/>
      <c r="D842" s="147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47" t="s">
        <v>361</v>
      </c>
      <c r="B854" s="147"/>
      <c r="C854" s="147"/>
      <c r="D854" s="147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47" t="s">
        <v>363</v>
      </c>
      <c r="B865" s="147"/>
      <c r="C865" s="147"/>
      <c r="D865" s="147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47" t="s">
        <v>364</v>
      </c>
      <c r="B876" s="147"/>
      <c r="C876" s="147"/>
      <c r="D876" s="147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47" t="s">
        <v>367</v>
      </c>
      <c r="B888" s="147"/>
      <c r="C888" s="147"/>
      <c r="D888" s="147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47" t="s">
        <v>368</v>
      </c>
      <c r="B901" s="147"/>
      <c r="C901" s="147"/>
      <c r="D901" s="147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47" t="s">
        <v>369</v>
      </c>
      <c r="B913" s="147"/>
      <c r="C913" s="147"/>
      <c r="D913" s="147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47" t="s">
        <v>370</v>
      </c>
      <c r="B925" s="147"/>
      <c r="C925" s="147"/>
      <c r="D925" s="147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47" t="s">
        <v>371</v>
      </c>
      <c r="B937" s="147"/>
      <c r="C937" s="147"/>
      <c r="D937" s="147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47" t="s">
        <v>372</v>
      </c>
      <c r="B949" s="147"/>
      <c r="C949" s="147"/>
      <c r="D949" s="147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47" t="s">
        <v>400</v>
      </c>
      <c r="B961" s="147"/>
      <c r="C961" s="147"/>
      <c r="D961" s="147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47" t="s">
        <v>402</v>
      </c>
      <c r="B974" s="147"/>
      <c r="C974" s="147"/>
      <c r="D974" s="147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47" t="s">
        <v>404</v>
      </c>
      <c r="B987" s="147"/>
      <c r="C987" s="147"/>
      <c r="D987" s="147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47" t="s">
        <v>405</v>
      </c>
      <c r="B1000" s="147"/>
      <c r="C1000" s="147"/>
      <c r="D1000" s="147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47" t="s">
        <v>408</v>
      </c>
      <c r="B1012" s="147"/>
      <c r="C1012" s="147"/>
      <c r="D1012" s="147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47" t="s">
        <v>410</v>
      </c>
      <c r="B1025" s="147"/>
      <c r="C1025" s="147"/>
      <c r="D1025" s="147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47" t="s">
        <v>413</v>
      </c>
      <c r="B1037" s="147"/>
      <c r="C1037" s="147"/>
      <c r="D1037" s="147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47" t="s">
        <v>415</v>
      </c>
      <c r="B1049" s="147"/>
      <c r="C1049" s="147"/>
      <c r="D1049" s="147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47" t="s">
        <v>417</v>
      </c>
      <c r="B1061" s="147"/>
      <c r="C1061" s="147"/>
      <c r="D1061" s="147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47" t="s">
        <v>419</v>
      </c>
      <c r="B1073" s="147"/>
      <c r="C1073" s="147"/>
      <c r="D1073" s="147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47" t="s">
        <v>421</v>
      </c>
      <c r="B1085" s="147"/>
      <c r="C1085" s="147"/>
      <c r="D1085" s="147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47" t="s">
        <v>423</v>
      </c>
      <c r="B1098" s="147"/>
      <c r="C1098" s="147"/>
      <c r="D1098" s="147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47" t="s">
        <v>426</v>
      </c>
      <c r="B1110" s="147"/>
      <c r="C1110" s="147"/>
      <c r="D1110" s="147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47" t="s">
        <v>428</v>
      </c>
      <c r="B1123" s="147"/>
      <c r="C1123" s="147"/>
      <c r="D1123" s="147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47" t="s">
        <v>430</v>
      </c>
      <c r="B1136" s="147"/>
      <c r="C1136" s="147"/>
      <c r="D1136" s="147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47" t="s">
        <v>432</v>
      </c>
      <c r="B1149" s="147"/>
      <c r="C1149" s="147"/>
      <c r="D1149" s="147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47" t="s">
        <v>434</v>
      </c>
      <c r="B1162" s="147"/>
      <c r="C1162" s="147"/>
      <c r="D1162" s="147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47" t="s">
        <v>437</v>
      </c>
      <c r="B1173" s="147"/>
      <c r="C1173" s="147"/>
      <c r="D1173" s="147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47" t="s">
        <v>439</v>
      </c>
      <c r="B1185" s="147"/>
      <c r="C1185" s="147"/>
      <c r="D1185" s="147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47" t="s">
        <v>441</v>
      </c>
      <c r="B1197" s="147"/>
      <c r="C1197" s="147"/>
      <c r="D1197" s="147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47" t="s">
        <v>443</v>
      </c>
      <c r="B1209" s="147"/>
      <c r="C1209" s="147"/>
      <c r="D1209" s="147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47" t="s">
        <v>445</v>
      </c>
      <c r="B1222" s="147"/>
      <c r="C1222" s="147"/>
      <c r="D1222" s="147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47" t="s">
        <v>447</v>
      </c>
      <c r="B1234" s="147"/>
      <c r="C1234" s="147"/>
      <c r="D1234" s="147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47" t="s">
        <v>449</v>
      </c>
      <c r="B1246" s="147"/>
      <c r="C1246" s="147"/>
      <c r="D1246" s="147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47" t="s">
        <v>452</v>
      </c>
      <c r="B1258" s="147"/>
      <c r="C1258" s="147"/>
      <c r="D1258" s="147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47" t="s">
        <v>454</v>
      </c>
      <c r="B1270" s="147"/>
      <c r="C1270" s="147"/>
      <c r="D1270" s="147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47" t="s">
        <v>456</v>
      </c>
      <c r="B1282" s="147"/>
      <c r="C1282" s="147"/>
      <c r="D1282" s="147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47" t="s">
        <v>458</v>
      </c>
      <c r="B1294" s="147"/>
      <c r="C1294" s="147"/>
      <c r="D1294" s="147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47" t="s">
        <v>460</v>
      </c>
      <c r="B1306" s="147"/>
      <c r="C1306" s="147"/>
      <c r="D1306" s="147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47" t="s">
        <v>462</v>
      </c>
      <c r="B1318" s="147"/>
      <c r="C1318" s="147"/>
      <c r="D1318" s="147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47" t="s">
        <v>464</v>
      </c>
      <c r="B1330" s="147"/>
      <c r="C1330" s="147"/>
      <c r="D1330" s="147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47" t="s">
        <v>467</v>
      </c>
      <c r="B1343" s="147"/>
      <c r="C1343" s="147"/>
      <c r="D1343" s="147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47" t="s">
        <v>469</v>
      </c>
      <c r="B1355" s="147"/>
      <c r="C1355" s="147"/>
      <c r="D1355" s="147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47" t="s">
        <v>471</v>
      </c>
      <c r="B1368" s="147"/>
      <c r="C1368" s="147"/>
      <c r="D1368" s="147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47" t="s">
        <v>473</v>
      </c>
      <c r="B1380" s="147"/>
      <c r="C1380" s="147"/>
      <c r="D1380" s="147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47" t="s">
        <v>476</v>
      </c>
      <c r="B1392" s="147"/>
      <c r="C1392" s="147"/>
      <c r="D1392" s="147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47" t="s">
        <v>478</v>
      </c>
      <c r="B1404" s="147"/>
      <c r="C1404" s="147"/>
      <c r="D1404" s="147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47" t="s">
        <v>479</v>
      </c>
      <c r="B1416" s="147"/>
      <c r="C1416" s="147"/>
      <c r="D1416" s="147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4">
        <v>12550000</v>
      </c>
    </row>
    <row r="1428" spans="1:4">
      <c r="A1428" s="147" t="s">
        <v>480</v>
      </c>
      <c r="B1428" s="147"/>
      <c r="C1428" s="147"/>
      <c r="D1428" s="147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4">
        <v>12485000</v>
      </c>
    </row>
    <row r="1441" spans="1:6">
      <c r="A1441" s="147" t="s">
        <v>481</v>
      </c>
      <c r="B1441" s="147"/>
      <c r="C1441" s="147"/>
      <c r="D1441" s="147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4">
        <v>12680000</v>
      </c>
    </row>
    <row r="1450" spans="1:6">
      <c r="F1450">
        <f>3.673*7920</f>
        <v>29090.16</v>
      </c>
    </row>
    <row r="1453" spans="1:6">
      <c r="A1453" s="147" t="s">
        <v>482</v>
      </c>
      <c r="B1453" s="147"/>
      <c r="C1453" s="147"/>
      <c r="D1453" s="147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4"/>
    </row>
    <row r="1465" spans="1:5">
      <c r="A1465" s="147" t="s">
        <v>489</v>
      </c>
      <c r="B1465" s="147"/>
      <c r="C1465" s="147"/>
      <c r="D1465" s="147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4">
        <v>12585000</v>
      </c>
    </row>
    <row r="1477" spans="1:4">
      <c r="A1477" s="147" t="s">
        <v>491</v>
      </c>
      <c r="B1477" s="147"/>
      <c r="C1477" s="147"/>
      <c r="D1477" s="147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4">
        <v>12595000</v>
      </c>
    </row>
    <row r="1490" spans="1:4">
      <c r="A1490" s="147" t="s">
        <v>493</v>
      </c>
      <c r="B1490" s="147"/>
      <c r="C1490" s="147"/>
      <c r="D1490" s="147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4">
        <v>12685000</v>
      </c>
    </row>
    <row r="1502" spans="1:4">
      <c r="A1502" s="147" t="s">
        <v>495</v>
      </c>
      <c r="B1502" s="147"/>
      <c r="C1502" s="147"/>
      <c r="D1502" s="147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4">
        <v>12555000</v>
      </c>
    </row>
    <row r="1514" spans="1:4">
      <c r="A1514" s="147" t="s">
        <v>497</v>
      </c>
      <c r="B1514" s="147"/>
      <c r="C1514" s="147"/>
      <c r="D1514" s="147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4">
        <v>12630000</v>
      </c>
    </row>
    <row r="1526" spans="1:5">
      <c r="A1526" s="147" t="s">
        <v>499</v>
      </c>
      <c r="B1526" s="147"/>
      <c r="C1526" s="147"/>
      <c r="D1526" s="147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4"/>
    </row>
    <row r="1539" spans="1:4">
      <c r="A1539" s="147" t="s">
        <v>502</v>
      </c>
      <c r="B1539" s="147"/>
      <c r="C1539" s="147"/>
      <c r="D1539" s="147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4">
        <v>13015000</v>
      </c>
    </row>
    <row r="1551" spans="1:4">
      <c r="A1551" s="147" t="s">
        <v>504</v>
      </c>
      <c r="B1551" s="147"/>
      <c r="C1551" s="147"/>
      <c r="D1551" s="147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4">
        <v>13040000</v>
      </c>
    </row>
    <row r="1563" spans="1:4">
      <c r="A1563" s="147" t="s">
        <v>506</v>
      </c>
      <c r="B1563" s="147"/>
      <c r="C1563" s="147"/>
      <c r="D1563" s="147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5">
      <c r="A1569" s="83">
        <v>0.625</v>
      </c>
      <c r="B1569" s="85">
        <v>30550</v>
      </c>
      <c r="C1569" s="85">
        <v>8380</v>
      </c>
      <c r="D1569">
        <v>13230000</v>
      </c>
    </row>
    <row r="1570" spans="1:5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5">
      <c r="A1571" s="86">
        <v>0.70833333333333337</v>
      </c>
      <c r="B1571" s="85">
        <v>30550</v>
      </c>
      <c r="C1571" s="85">
        <v>8400</v>
      </c>
      <c r="D1571" s="134">
        <v>13230000</v>
      </c>
    </row>
    <row r="1574" spans="1:5">
      <c r="E1574">
        <f>(D1571-D1559)/D1559</f>
        <v>1.4570552147239263E-2</v>
      </c>
    </row>
    <row r="1575" spans="1:5">
      <c r="C1575">
        <f>3.673*C1571</f>
        <v>30853.200000000001</v>
      </c>
    </row>
    <row r="1577" spans="1:5">
      <c r="D1577">
        <f>C1575-B1571</f>
        <v>303.20000000000073</v>
      </c>
    </row>
    <row r="1578" spans="1:5">
      <c r="B1578">
        <f>D1571-D1559</f>
        <v>190000</v>
      </c>
    </row>
  </sheetData>
  <mergeCells count="138">
    <mergeCell ref="A1563:D1563"/>
    <mergeCell ref="A1551:D1551"/>
    <mergeCell ref="A1539:D1539"/>
    <mergeCell ref="A1526:D1526"/>
    <mergeCell ref="A1514:D1514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428:D1428"/>
    <mergeCell ref="A1355:D1355"/>
    <mergeCell ref="A1453:D1453"/>
    <mergeCell ref="A1318:D131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93:D193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273:D273"/>
    <mergeCell ref="A283:D283"/>
    <mergeCell ref="A293:D293"/>
    <mergeCell ref="A303:D303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502:D1502"/>
    <mergeCell ref="A1490:D149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20" sqref="D20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48" t="s">
        <v>373</v>
      </c>
      <c r="B1" s="148"/>
      <c r="C1" s="148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5"/>
  <sheetViews>
    <sheetView topLeftCell="A112" zoomScale="85" zoomScaleNormal="85" workbookViewId="0">
      <selection activeCell="B126" sqref="B126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5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5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2021-12-06T14:27:25Z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