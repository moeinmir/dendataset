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set'!$A$1:$BL$157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2" i="1" l="1"/>
  <c r="L152" i="1"/>
  <c r="H89" i="5"/>
  <c r="G89" i="5"/>
  <c r="F89" i="5"/>
  <c r="E1050" i="3"/>
  <c r="E1051" i="3"/>
  <c r="E1052" i="3"/>
  <c r="E1053" i="3"/>
  <c r="E1054" i="3"/>
  <c r="E1055" i="3"/>
  <c r="E1056" i="3"/>
  <c r="E1057" i="3"/>
  <c r="E1049" i="3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53" i="1"/>
  <c r="F157" i="1" s="1"/>
  <c r="M149" i="1" l="1"/>
  <c r="L149" i="1"/>
  <c r="G157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2" i="2"/>
  <c r="G41" i="2"/>
  <c r="G40" i="2"/>
  <c r="G39" i="2"/>
  <c r="G38" i="2"/>
  <c r="G37" i="2"/>
  <c r="G36" i="2"/>
  <c r="G35" i="2"/>
  <c r="G34" i="2"/>
  <c r="D30" i="2"/>
  <c r="C30" i="2"/>
  <c r="B3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4" i="2" s="1"/>
  <c r="G16" i="2"/>
  <c r="E16" i="2"/>
  <c r="C3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1" i="1"/>
  <c r="AW157" i="1"/>
  <c r="AW160" i="1" s="1"/>
  <c r="AU157" i="1"/>
  <c r="T157" i="1"/>
  <c r="BB156" i="1"/>
  <c r="AY155" i="1"/>
  <c r="BJ153" i="1"/>
  <c r="BI153" i="1"/>
  <c r="K153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3" i="1" l="1"/>
  <c r="U1" i="1" s="1"/>
  <c r="L153" i="1"/>
  <c r="S1" i="1" s="1"/>
</calcChain>
</file>

<file path=xl/sharedStrings.xml><?xml version="1.0" encoding="utf-8"?>
<sst xmlns="http://schemas.openxmlformats.org/spreadsheetml/2006/main" count="1282" uniqueCount="414">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</sst>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95342144"/>
        <c:axId val="195350848"/>
      </c:lineChart>
      <c:catAx>
        <c:axId val="195342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5350848"/>
        <c:crosses val="autoZero"/>
        <c:auto val="1"/>
        <c:lblAlgn val="ctr"/>
        <c:lblOffset val="100"/>
        <c:noMultiLvlLbl val="0"/>
      </c:catAx>
      <c:valAx>
        <c:axId val="1953508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53421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weekly!$B$4:$B$29</c:f>
              <c:numCache>
                <c:formatCode>General</c:formatCode>
                <c:ptCount val="26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  <c:pt idx="25">
                  <c:v>26563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weekly!$H$4:$H$29</c:f>
              <c:numCache>
                <c:formatCode>General</c:formatCode>
                <c:ptCount val="26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  <c:pt idx="25">
                  <c:v>26765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weekly!$J$4:$J$29</c:f>
              <c:numCache>
                <c:formatCode>General</c:formatCode>
                <c:ptCount val="26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  <c:pt idx="25">
                  <c:v>27350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95351392"/>
        <c:axId val="18676944"/>
      </c:lineChart>
      <c:catAx>
        <c:axId val="19535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76944"/>
        <c:crosses val="autoZero"/>
        <c:auto val="1"/>
        <c:lblAlgn val="ctr"/>
        <c:lblOffset val="100"/>
        <c:noMultiLvlLbl val="0"/>
      </c:catAx>
      <c:valAx>
        <c:axId val="18676944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953513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weekly!$D$2:$D$29</c:f>
              <c:numCache>
                <c:formatCode>General</c:formatCode>
                <c:ptCount val="2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8680208"/>
        <c:axId val="18680752"/>
      </c:lineChart>
      <c:catAx>
        <c:axId val="1868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80752"/>
        <c:crosses val="autoZero"/>
        <c:auto val="1"/>
        <c:lblAlgn val="ctr"/>
        <c:lblOffset val="100"/>
        <c:noMultiLvlLbl val="0"/>
      </c:catAx>
      <c:valAx>
        <c:axId val="186807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6802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008528"/>
        <c:axId val="314004176"/>
      </c:lineChart>
      <c:catAx>
        <c:axId val="31400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004176"/>
        <c:crosses val="autoZero"/>
        <c:auto val="1"/>
        <c:lblAlgn val="ctr"/>
        <c:lblOffset val="100"/>
        <c:noMultiLvlLbl val="0"/>
      </c:catAx>
      <c:valAx>
        <c:axId val="3140041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00852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weekly!$F$2:$F$29</c:f>
              <c:numCache>
                <c:formatCode>General</c:formatCode>
                <c:ptCount val="2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002000"/>
        <c:axId val="313995472"/>
      </c:lineChart>
      <c:catAx>
        <c:axId val="31400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3995472"/>
        <c:crosses val="autoZero"/>
        <c:auto val="1"/>
        <c:lblAlgn val="ctr"/>
        <c:lblOffset val="100"/>
        <c:noMultiLvlLbl val="0"/>
      </c:catAx>
      <c:valAx>
        <c:axId val="3139954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0020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weekly!$C$4:$C$29</c15:sqref>
                  </c15:fullRef>
                </c:ext>
              </c:extLst>
              <c:f>weekly!$C$6:$C$29</c:f>
              <c:numCache>
                <c:formatCode>General</c:formatCode>
                <c:ptCount val="24"/>
                <c:pt idx="0">
                  <c:v>27709</c:v>
                </c:pt>
                <c:pt idx="1">
                  <c:v>26056</c:v>
                </c:pt>
                <c:pt idx="2">
                  <c:v>25663</c:v>
                </c:pt>
                <c:pt idx="3">
                  <c:v>26443</c:v>
                </c:pt>
                <c:pt idx="4">
                  <c:v>27160</c:v>
                </c:pt>
                <c:pt idx="5">
                  <c:v>28146</c:v>
                </c:pt>
                <c:pt idx="6">
                  <c:v>28503</c:v>
                </c:pt>
                <c:pt idx="7">
                  <c:v>28179</c:v>
                </c:pt>
                <c:pt idx="8">
                  <c:v>28643</c:v>
                </c:pt>
                <c:pt idx="9">
                  <c:v>29419</c:v>
                </c:pt>
                <c:pt idx="10">
                  <c:v>29064</c:v>
                </c:pt>
                <c:pt idx="11">
                  <c:v>28534</c:v>
                </c:pt>
                <c:pt idx="12">
                  <c:v>28463</c:v>
                </c:pt>
                <c:pt idx="13">
                  <c:v>29286</c:v>
                </c:pt>
                <c:pt idx="14">
                  <c:v>29542</c:v>
                </c:pt>
                <c:pt idx="15">
                  <c:v>30113</c:v>
                </c:pt>
                <c:pt idx="16">
                  <c:v>31498</c:v>
                </c:pt>
                <c:pt idx="17">
                  <c:v>31196</c:v>
                </c:pt>
                <c:pt idx="18">
                  <c:v>31125</c:v>
                </c:pt>
                <c:pt idx="19">
                  <c:v>31241</c:v>
                </c:pt>
                <c:pt idx="20">
                  <c:v>31168</c:v>
                </c:pt>
                <c:pt idx="21">
                  <c:v>31502</c:v>
                </c:pt>
                <c:pt idx="22">
                  <c:v>31709</c:v>
                </c:pt>
                <c:pt idx="23">
                  <c:v>30553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weekly!$K$4:$K$29</c15:sqref>
                  </c15:fullRef>
                </c:ext>
              </c:extLst>
              <c:f>weekly!$K$6:$K$29</c:f>
              <c:numCache>
                <c:formatCode>General</c:formatCode>
                <c:ptCount val="24"/>
                <c:pt idx="0">
                  <c:v>28702</c:v>
                </c:pt>
                <c:pt idx="1">
                  <c:v>26548</c:v>
                </c:pt>
                <c:pt idx="2">
                  <c:v>26757</c:v>
                </c:pt>
                <c:pt idx="3">
                  <c:v>27886</c:v>
                </c:pt>
                <c:pt idx="4">
                  <c:v>28162</c:v>
                </c:pt>
                <c:pt idx="5">
                  <c:v>29322</c:v>
                </c:pt>
                <c:pt idx="6">
                  <c:v>29211</c:v>
                </c:pt>
                <c:pt idx="7">
                  <c:v>29004</c:v>
                </c:pt>
                <c:pt idx="8">
                  <c:v>29561</c:v>
                </c:pt>
                <c:pt idx="9">
                  <c:v>29729</c:v>
                </c:pt>
                <c:pt idx="10">
                  <c:v>29367</c:v>
                </c:pt>
                <c:pt idx="11">
                  <c:v>28996</c:v>
                </c:pt>
                <c:pt idx="12">
                  <c:v>29540</c:v>
                </c:pt>
                <c:pt idx="13">
                  <c:v>30411</c:v>
                </c:pt>
                <c:pt idx="14">
                  <c:v>30417</c:v>
                </c:pt>
                <c:pt idx="15">
                  <c:v>31126</c:v>
                </c:pt>
                <c:pt idx="16">
                  <c:v>32496</c:v>
                </c:pt>
                <c:pt idx="17">
                  <c:v>32582</c:v>
                </c:pt>
                <c:pt idx="18">
                  <c:v>32374</c:v>
                </c:pt>
                <c:pt idx="19">
                  <c:v>32329</c:v>
                </c:pt>
                <c:pt idx="20">
                  <c:v>32192</c:v>
                </c:pt>
                <c:pt idx="21">
                  <c:v>32547</c:v>
                </c:pt>
                <c:pt idx="22">
                  <c:v>32567</c:v>
                </c:pt>
                <c:pt idx="23">
                  <c:v>31679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weekly!$I$4:$I$29</c15:sqref>
                  </c15:fullRef>
                </c:ext>
              </c:extLst>
              <c:f>weekly!$I$6:$I$29</c:f>
              <c:numCache>
                <c:formatCode>General</c:formatCode>
                <c:ptCount val="24"/>
                <c:pt idx="0">
                  <c:v>27942</c:v>
                </c:pt>
                <c:pt idx="1">
                  <c:v>26241</c:v>
                </c:pt>
                <c:pt idx="2">
                  <c:v>25653</c:v>
                </c:pt>
                <c:pt idx="3">
                  <c:v>26751</c:v>
                </c:pt>
                <c:pt idx="4">
                  <c:v>27401</c:v>
                </c:pt>
                <c:pt idx="5">
                  <c:v>28409</c:v>
                </c:pt>
                <c:pt idx="6">
                  <c:v>28777</c:v>
                </c:pt>
                <c:pt idx="7">
                  <c:v>28505</c:v>
                </c:pt>
                <c:pt idx="8">
                  <c:v>29122</c:v>
                </c:pt>
                <c:pt idx="9">
                  <c:v>29654</c:v>
                </c:pt>
                <c:pt idx="10">
                  <c:v>29336</c:v>
                </c:pt>
                <c:pt idx="11">
                  <c:v>28822</c:v>
                </c:pt>
                <c:pt idx="12">
                  <c:v>28734</c:v>
                </c:pt>
                <c:pt idx="13">
                  <c:v>29694</c:v>
                </c:pt>
                <c:pt idx="14">
                  <c:v>29973</c:v>
                </c:pt>
                <c:pt idx="15">
                  <c:v>30500</c:v>
                </c:pt>
                <c:pt idx="16">
                  <c:v>31815</c:v>
                </c:pt>
                <c:pt idx="17">
                  <c:v>31388</c:v>
                </c:pt>
                <c:pt idx="18">
                  <c:v>31482</c:v>
                </c:pt>
                <c:pt idx="19">
                  <c:v>31595</c:v>
                </c:pt>
                <c:pt idx="20">
                  <c:v>31493</c:v>
                </c:pt>
                <c:pt idx="21">
                  <c:v>32099</c:v>
                </c:pt>
                <c:pt idx="22">
                  <c:v>31880</c:v>
                </c:pt>
                <c:pt idx="23">
                  <c:v>30811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14001456"/>
        <c:axId val="313999824"/>
      </c:lineChart>
      <c:catAx>
        <c:axId val="31400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3999824"/>
        <c:crosses val="autoZero"/>
        <c:auto val="1"/>
        <c:lblAlgn val="ctr"/>
        <c:lblOffset val="100"/>
        <c:noMultiLvlLbl val="0"/>
      </c:catAx>
      <c:valAx>
        <c:axId val="313999824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0014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4004720"/>
        <c:axId val="314002544"/>
      </c:barChart>
      <c:catAx>
        <c:axId val="31400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002544"/>
        <c:crosses val="autoZero"/>
        <c:auto val="1"/>
        <c:lblAlgn val="ctr"/>
        <c:lblOffset val="100"/>
        <c:noMultiLvlLbl val="0"/>
      </c:catAx>
      <c:valAx>
        <c:axId val="3140025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0047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امروز نسبت به چهارشنبه هفته گذشته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)</a:t>
            </a: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7"/>
          <c:order val="7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change'!$F$89:$I$89</c:f>
              <c:numCache>
                <c:formatCode>General</c:formatCode>
                <c:ptCount val="4"/>
                <c:pt idx="0">
                  <c:v>0.14700477765527378</c:v>
                </c:pt>
                <c:pt idx="1">
                  <c:v>0.59650617809970174</c:v>
                </c:pt>
                <c:pt idx="2">
                  <c:v>0.98447893569844791</c:v>
                </c:pt>
                <c:pt idx="3">
                  <c:v>2.87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4003088"/>
        <c:axId val="31400036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</c:ext>
        </c:extLst>
      </c:barChart>
      <c:catAx>
        <c:axId val="3140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000368"/>
        <c:crosses val="autoZero"/>
        <c:auto val="1"/>
        <c:lblAlgn val="ctr"/>
        <c:lblOffset val="100"/>
        <c:noMultiLvlLbl val="0"/>
      </c:catAx>
      <c:valAx>
        <c:axId val="3140003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400308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584</xdr:row>
      <xdr:rowOff>102960</xdr:rowOff>
    </xdr:from>
    <xdr:to>
      <xdr:col>11</xdr:col>
      <xdr:colOff>279360</xdr:colOff>
      <xdr:row>614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1531079</xdr:colOff>
      <xdr:row>226</xdr:row>
      <xdr:rowOff>27711</xdr:rowOff>
    </xdr:from>
    <xdr:to>
      <xdr:col>87</xdr:col>
      <xdr:colOff>249380</xdr:colOff>
      <xdr:row>403</xdr:row>
      <xdr:rowOff>75961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457200</xdr:colOff>
      <xdr:row>413</xdr:row>
      <xdr:rowOff>76200</xdr:rowOff>
    </xdr:from>
    <xdr:to>
      <xdr:col>83</xdr:col>
      <xdr:colOff>152400</xdr:colOff>
      <xdr:row>490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619</xdr:row>
      <xdr:rowOff>0</xdr:rowOff>
    </xdr:from>
    <xdr:to>
      <xdr:col>13</xdr:col>
      <xdr:colOff>354240</xdr:colOff>
      <xdr:row>649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171360</xdr:colOff>
      <xdr:row>516</xdr:row>
      <xdr:rowOff>0</xdr:rowOff>
    </xdr:from>
    <xdr:to>
      <xdr:col>83</xdr:col>
      <xdr:colOff>381000</xdr:colOff>
      <xdr:row>615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47</xdr:row>
      <xdr:rowOff>76320</xdr:rowOff>
    </xdr:from>
    <xdr:to>
      <xdr:col>83</xdr:col>
      <xdr:colOff>152400</xdr:colOff>
      <xdr:row>217</xdr:row>
      <xdr:rowOff>3166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71"/>
  <sheetViews>
    <sheetView topLeftCell="W1" zoomScaleNormal="100" workbookViewId="0">
      <selection activeCell="Y152" sqref="Y152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L153/G153</f>
        <v>3581474.6721000345</v>
      </c>
      <c r="T1" s="3" t="s">
        <v>15</v>
      </c>
      <c r="U1" s="3">
        <f>M153/K153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K153/K62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2" si="21">F130*G130</f>
        <v>134799608200</v>
      </c>
      <c r="M130" s="12">
        <f t="shared" ref="M130:M152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hidden="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2" s="73" customFormat="1" ht="21" customHeight="1">
      <c r="A152" s="104"/>
      <c r="B152" s="105" t="s">
        <v>412</v>
      </c>
      <c r="C152" s="106">
        <v>24</v>
      </c>
      <c r="D152" s="107">
        <v>26426</v>
      </c>
      <c r="E152" s="106">
        <v>26300</v>
      </c>
      <c r="F152" s="106">
        <v>26338</v>
      </c>
      <c r="G152" s="106">
        <v>9095900</v>
      </c>
      <c r="H152" s="106">
        <v>30105</v>
      </c>
      <c r="I152" s="106">
        <v>30117</v>
      </c>
      <c r="J152" s="106">
        <v>30200</v>
      </c>
      <c r="K152" s="106">
        <v>1397100</v>
      </c>
      <c r="L152" s="106">
        <f t="shared" si="21"/>
        <v>239567814200</v>
      </c>
      <c r="M152" s="106">
        <f t="shared" si="22"/>
        <v>42192420000</v>
      </c>
      <c r="N152" s="73">
        <v>26563</v>
      </c>
      <c r="O152" s="73">
        <v>30418</v>
      </c>
      <c r="P152" s="73">
        <v>26691</v>
      </c>
      <c r="Q152" s="73">
        <v>30406</v>
      </c>
      <c r="R152" s="106"/>
      <c r="S152" s="106"/>
      <c r="T152" s="106"/>
      <c r="U152" s="106"/>
      <c r="V152" s="73">
        <v>27330</v>
      </c>
      <c r="X152" s="73">
        <v>27250</v>
      </c>
      <c r="Y152" s="73">
        <v>31564</v>
      </c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7"/>
      <c r="AT152" s="107"/>
      <c r="AU152" s="107"/>
      <c r="AV152" s="107"/>
      <c r="AW152" s="107"/>
      <c r="AX152" s="107"/>
      <c r="AY152" s="106"/>
      <c r="AZ152" s="106"/>
      <c r="BA152" s="106"/>
      <c r="BB152" s="106"/>
      <c r="BC152" s="106"/>
      <c r="BE152" s="108"/>
      <c r="BF152" s="108"/>
      <c r="BG152" s="108"/>
      <c r="BH152" s="108"/>
    </row>
    <row r="153" spans="1:62" ht="18">
      <c r="A153" s="7"/>
      <c r="B153" s="8"/>
      <c r="C153" s="8"/>
      <c r="D153" s="26"/>
      <c r="E153" s="8"/>
      <c r="F153" s="8"/>
      <c r="G153" s="8">
        <f>SUM(G2:G149)/148</f>
        <v>6179374.9932432435</v>
      </c>
      <c r="H153" s="8"/>
      <c r="I153" s="8"/>
      <c r="J153" s="8"/>
      <c r="K153" s="8">
        <f>SUM(K2:K126)</f>
        <v>125564600</v>
      </c>
      <c r="L153" s="8">
        <f>SUM(L2:L147)</f>
        <v>22131275027709</v>
      </c>
      <c r="M153" s="9">
        <f>SUM(M2:M147)</f>
        <v>4038177022200</v>
      </c>
      <c r="N153" s="9"/>
      <c r="O153" s="9"/>
      <c r="P153" s="9"/>
      <c r="Q153" s="9"/>
      <c r="R153" s="9"/>
      <c r="S153" s="9"/>
      <c r="T153" s="9"/>
      <c r="U153" s="9"/>
      <c r="V153" s="59">
        <v>27320</v>
      </c>
      <c r="W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Y153" s="9"/>
      <c r="AZ153" s="9"/>
      <c r="BA153" s="9"/>
      <c r="BB153" s="9"/>
      <c r="BC153" s="9"/>
      <c r="BD153" s="9"/>
      <c r="BE153" s="10"/>
      <c r="BF153" s="10"/>
      <c r="BG153" s="10"/>
      <c r="BH153" s="10"/>
      <c r="BI153" t="e">
        <f>#REF!-N153</f>
        <v>#REF!</v>
      </c>
      <c r="BJ153" t="e">
        <f>(Y153-O153)/O153</f>
        <v>#DIV/0!</v>
      </c>
    </row>
    <row r="154" spans="1:62" ht="18">
      <c r="D154" s="26"/>
      <c r="V154" s="74"/>
      <c r="Z154" s="25"/>
      <c r="AB154" s="25"/>
      <c r="AS154" s="25"/>
      <c r="AW154" s="30"/>
    </row>
    <row r="155" spans="1:62" ht="18">
      <c r="D155" s="26"/>
      <c r="Z155" s="25"/>
      <c r="AS155" s="26"/>
      <c r="AW155" s="30"/>
      <c r="AY155">
        <f>AY51-AY50</f>
        <v>35000</v>
      </c>
    </row>
    <row r="156" spans="1:62" ht="18">
      <c r="Z156" s="25"/>
      <c r="AS156" s="26">
        <v>10290000</v>
      </c>
      <c r="AW156" s="30"/>
      <c r="BB156">
        <f>AY60-AY59</f>
        <v>70000</v>
      </c>
    </row>
    <row r="157" spans="1:62" ht="18">
      <c r="F157">
        <f>(G153-G149)/G153</f>
        <v>4.0113279015155934E-2</v>
      </c>
      <c r="G157">
        <f>(G148-G153)/G153</f>
        <v>0.34049155603234549</v>
      </c>
      <c r="T157">
        <f>V137-X140</f>
        <v>-620</v>
      </c>
      <c r="V157" s="25"/>
      <c r="Z157" s="25"/>
      <c r="AS157" s="26"/>
      <c r="AU157">
        <f>AS156-AS49</f>
        <v>195000</v>
      </c>
      <c r="AW157" s="30">
        <f>AC52-AY51</f>
        <v>305000</v>
      </c>
    </row>
    <row r="158" spans="1:62" ht="18">
      <c r="V158" s="25"/>
      <c r="Z158" s="25"/>
      <c r="AW158" s="30"/>
    </row>
    <row r="159" spans="1:62" ht="17.25" customHeight="1">
      <c r="V159" s="25"/>
      <c r="Z159" s="25"/>
    </row>
    <row r="160" spans="1:62" ht="18">
      <c r="V160" s="25"/>
      <c r="Z160" s="25"/>
      <c r="AW160">
        <f>AW157/AY51</f>
        <v>2.9539951573849879E-2</v>
      </c>
    </row>
    <row r="161" spans="7:22" ht="18">
      <c r="V161" s="25"/>
    </row>
    <row r="162" spans="7:22" ht="18">
      <c r="V162" s="25"/>
    </row>
    <row r="166" spans="7:22" ht="18">
      <c r="G166" s="9">
        <v>8861800</v>
      </c>
    </row>
    <row r="167" spans="7:22" ht="18">
      <c r="G167" s="9">
        <v>8230700</v>
      </c>
    </row>
    <row r="168" spans="7:22" ht="18">
      <c r="G168" s="9">
        <v>8995300</v>
      </c>
    </row>
    <row r="169" spans="7:22" ht="18">
      <c r="G169" s="9">
        <v>10062100</v>
      </c>
    </row>
    <row r="170" spans="7:22" ht="18">
      <c r="G170" s="9">
        <v>8462400</v>
      </c>
    </row>
    <row r="171" spans="7:22">
      <c r="G171">
        <f>SUM(G166:G170)</f>
        <v>44612300</v>
      </c>
    </row>
  </sheetData>
  <autoFilter ref="A1:BL157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E493" zoomScale="40" zoomScaleNormal="40" workbookViewId="0">
      <selection activeCell="BZ506" sqref="BZ506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>
      <c r="B30">
        <f>(B2-B8)/B2</f>
        <v>0.15346494762288476</v>
      </c>
      <c r="C30">
        <f>(C2-C8)/C2</f>
        <v>0.1154959674639829</v>
      </c>
      <c r="D30">
        <f>SUM(D2:D16)/15</f>
        <v>29639479.933333334</v>
      </c>
    </row>
    <row r="34" spans="3:7">
      <c r="D34">
        <v>5375132</v>
      </c>
      <c r="E34">
        <f>(E17-D34)/D34</f>
        <v>4.5958809321644006E-2</v>
      </c>
      <c r="G34">
        <f t="shared" ref="G34:G42" si="0">B3-B2</f>
        <v>-554</v>
      </c>
    </row>
    <row r="35" spans="3:7">
      <c r="G35">
        <f t="shared" si="0"/>
        <v>-302</v>
      </c>
    </row>
    <row r="36" spans="3:7">
      <c r="C36">
        <f>(D34-E16)/E16</f>
        <v>0.17110375179746395</v>
      </c>
      <c r="G36">
        <f t="shared" si="0"/>
        <v>-511</v>
      </c>
    </row>
    <row r="37" spans="3:7">
      <c r="G37">
        <f t="shared" si="0"/>
        <v>-362</v>
      </c>
    </row>
    <row r="38" spans="3:7">
      <c r="G38">
        <f t="shared" si="0"/>
        <v>-1699</v>
      </c>
    </row>
    <row r="39" spans="3:7">
      <c r="G39">
        <f t="shared" si="0"/>
        <v>-381</v>
      </c>
    </row>
    <row r="40" spans="3:7">
      <c r="G40">
        <f t="shared" si="0"/>
        <v>1075</v>
      </c>
    </row>
    <row r="41" spans="3:7">
      <c r="G41">
        <f t="shared" si="0"/>
        <v>151</v>
      </c>
    </row>
    <row r="42" spans="3:7">
      <c r="G42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57"/>
  <sheetViews>
    <sheetView topLeftCell="A1029" zoomScale="85" zoomScaleNormal="85" workbookViewId="0">
      <selection activeCell="A1037" sqref="A1037:D104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6">
      <c r="A1041" s="78" t="s">
        <v>252</v>
      </c>
      <c r="B1041" s="86">
        <v>27250</v>
      </c>
      <c r="C1041" s="86">
        <v>7430</v>
      </c>
      <c r="D1041">
        <v>11780000</v>
      </c>
      <c r="F1041">
        <v>3.673</v>
      </c>
    </row>
    <row r="1042" spans="1:6">
      <c r="A1042" s="76" t="s">
        <v>253</v>
      </c>
      <c r="B1042" s="86">
        <v>27250</v>
      </c>
      <c r="C1042" s="86">
        <v>7440</v>
      </c>
      <c r="D1042">
        <v>11770000</v>
      </c>
      <c r="F1042">
        <v>3.673</v>
      </c>
    </row>
    <row r="1043" spans="1:6">
      <c r="A1043" s="84">
        <v>0.625</v>
      </c>
      <c r="B1043" s="86">
        <v>27250</v>
      </c>
      <c r="C1043" s="86">
        <v>7450</v>
      </c>
      <c r="D1043" s="86">
        <v>11805000</v>
      </c>
      <c r="F1043">
        <v>3.673</v>
      </c>
    </row>
    <row r="1044" spans="1:6">
      <c r="A1044" s="77" t="s">
        <v>254</v>
      </c>
      <c r="B1044" s="86">
        <v>27250</v>
      </c>
      <c r="C1044" s="86">
        <v>7440</v>
      </c>
      <c r="D1044" s="86">
        <v>11805000</v>
      </c>
      <c r="F1044">
        <v>3.673</v>
      </c>
    </row>
    <row r="1045" spans="1:6">
      <c r="A1045" s="87">
        <v>0.70833333333333304</v>
      </c>
      <c r="B1045" s="86">
        <v>27250</v>
      </c>
      <c r="C1045" s="86">
        <v>7440</v>
      </c>
      <c r="D1045" s="86">
        <v>11805000</v>
      </c>
      <c r="F1045">
        <v>3.673</v>
      </c>
    </row>
    <row r="1046" spans="1:6">
      <c r="F1046">
        <v>3.673</v>
      </c>
    </row>
    <row r="1047" spans="1:6">
      <c r="F1047">
        <v>3.673</v>
      </c>
    </row>
    <row r="1049" spans="1:6">
      <c r="E1049">
        <f>C1039*F1041</f>
        <v>27327.119999999999</v>
      </c>
    </row>
    <row r="1050" spans="1:6">
      <c r="E1050">
        <f t="shared" ref="E1050:E1057" si="0">C1040*F1042</f>
        <v>27253.66</v>
      </c>
    </row>
    <row r="1051" spans="1:6">
      <c r="E1051">
        <f t="shared" si="0"/>
        <v>27290.39</v>
      </c>
    </row>
    <row r="1052" spans="1:6">
      <c r="E1052">
        <f t="shared" si="0"/>
        <v>27327.119999999999</v>
      </c>
    </row>
    <row r="1053" spans="1:6">
      <c r="E1053">
        <f t="shared" si="0"/>
        <v>27363.85</v>
      </c>
    </row>
    <row r="1054" spans="1:6">
      <c r="E1054">
        <f t="shared" si="0"/>
        <v>27327.119999999999</v>
      </c>
    </row>
    <row r="1055" spans="1:6">
      <c r="E1055">
        <f t="shared" si="0"/>
        <v>27327.119999999999</v>
      </c>
    </row>
    <row r="1056" spans="1:6">
      <c r="E1056">
        <f t="shared" si="0"/>
        <v>0</v>
      </c>
    </row>
    <row r="1057" spans="5:5">
      <c r="E1057">
        <f t="shared" si="0"/>
        <v>0</v>
      </c>
    </row>
  </sheetData>
  <mergeCells count="95"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1:D1"/>
    <mergeCell ref="A11:D11"/>
    <mergeCell ref="A21:D21"/>
    <mergeCell ref="A31:D31"/>
    <mergeCell ref="A41:D41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  <mergeCell ref="A357:D357"/>
    <mergeCell ref="A368:D368"/>
    <mergeCell ref="A379:D379"/>
    <mergeCell ref="A390:D390"/>
    <mergeCell ref="A401:D401"/>
    <mergeCell ref="A412:D412"/>
    <mergeCell ref="A423:D423"/>
    <mergeCell ref="A434:D434"/>
    <mergeCell ref="A445:D445"/>
    <mergeCell ref="A456:D456"/>
    <mergeCell ref="A467:D467"/>
    <mergeCell ref="A478:D478"/>
    <mergeCell ref="A489:D489"/>
    <mergeCell ref="A500:D500"/>
    <mergeCell ref="A511:D511"/>
    <mergeCell ref="A522:D522"/>
    <mergeCell ref="A533:D533"/>
    <mergeCell ref="A544:D544"/>
    <mergeCell ref="A555:D555"/>
    <mergeCell ref="A567:D567"/>
    <mergeCell ref="A579:D579"/>
    <mergeCell ref="A590:D590"/>
    <mergeCell ref="A601:D601"/>
    <mergeCell ref="A612:D612"/>
    <mergeCell ref="A623:D623"/>
    <mergeCell ref="A635:D635"/>
    <mergeCell ref="A647:D647"/>
    <mergeCell ref="A658:D658"/>
    <mergeCell ref="A670:D670"/>
    <mergeCell ref="A681:D681"/>
    <mergeCell ref="A692:D692"/>
    <mergeCell ref="A703:D703"/>
    <mergeCell ref="A715:D715"/>
    <mergeCell ref="A726:D726"/>
    <mergeCell ref="A738:D738"/>
    <mergeCell ref="A749:D749"/>
    <mergeCell ref="A760:D760"/>
    <mergeCell ref="A772:D772"/>
    <mergeCell ref="A784:D784"/>
    <mergeCell ref="A796:D796"/>
    <mergeCell ref="A809:D809"/>
    <mergeCell ref="A820:D820"/>
    <mergeCell ref="A831:D831"/>
    <mergeCell ref="A842:D842"/>
    <mergeCell ref="A854:D854"/>
    <mergeCell ref="A865:D865"/>
    <mergeCell ref="A876:D876"/>
    <mergeCell ref="A888:D888"/>
    <mergeCell ref="A901:D901"/>
    <mergeCell ref="A913:D913"/>
    <mergeCell ref="A925:D925"/>
    <mergeCell ref="A937:D937"/>
    <mergeCell ref="A949:D949"/>
    <mergeCell ref="A974:D974"/>
    <mergeCell ref="A1012:D1012"/>
    <mergeCell ref="A1037:D1037"/>
    <mergeCell ref="A1025:D1025"/>
    <mergeCell ref="A1000:D1000"/>
    <mergeCell ref="A987:D987"/>
    <mergeCell ref="A961:D96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F14" sqref="F14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9"/>
  <sheetViews>
    <sheetView tabSelected="1" zoomScale="85" zoomScaleNormal="85" workbookViewId="0">
      <selection activeCell="E97" sqref="E97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89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>(D87-D86)*100/D86</f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>(D88-D87)*100/D87</f>
        <v>0.4708904109589041</v>
      </c>
      <c r="H88">
        <f t="shared" si="8"/>
        <v>1.3127982100656848</v>
      </c>
      <c r="I88">
        <v>-1.5</v>
      </c>
    </row>
    <row r="89" spans="2:13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>(D89-D88)*100/D88</f>
        <v>0.59650617809970174</v>
      </c>
      <c r="H89">
        <f t="shared" si="8"/>
        <v>0.98447893569844791</v>
      </c>
      <c r="I89">
        <v>2.87</v>
      </c>
      <c r="J89">
        <v>0.15</v>
      </c>
      <c r="K89">
        <v>0.6</v>
      </c>
      <c r="L89">
        <v>0.98</v>
      </c>
      <c r="M89">
        <v>2.87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2021-10-16T14:00:12Z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