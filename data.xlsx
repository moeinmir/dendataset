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455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set'!$A$1:$BN$232</definedName>
    <definedName name="_xlnm._FilterDatabase" localSheetId="1" hidden="1">weekly!$A$1:$K$55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54" i="5" l="1"/>
  <c r="G154" i="5"/>
  <c r="F154" i="5"/>
  <c r="X231" i="1"/>
  <c r="Y241" i="1"/>
  <c r="Y243" i="1"/>
  <c r="D2012" i="3"/>
  <c r="D231" i="1"/>
  <c r="W231" i="1"/>
  <c r="BR228" i="1"/>
  <c r="D2001" i="3" l="1"/>
  <c r="X232" i="1"/>
  <c r="H153" i="5"/>
  <c r="G153" i="5"/>
  <c r="F153" i="5"/>
  <c r="O231" i="1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U231" i="1"/>
  <c r="D1946" i="3" l="1"/>
  <c r="H150" i="5" l="1"/>
  <c r="G150" i="5"/>
  <c r="F150" i="5"/>
  <c r="V238" i="1"/>
  <c r="W241" i="1"/>
  <c r="D1927" i="3" l="1"/>
  <c r="D1934" i="3"/>
  <c r="H149" i="5" l="1"/>
  <c r="G149" i="5"/>
  <c r="F149" i="5"/>
  <c r="Y236" i="1" l="1"/>
  <c r="H148" i="5" l="1"/>
  <c r="G148" i="5"/>
  <c r="F148" i="5"/>
  <c r="W239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G230" i="1" l="1"/>
  <c r="K230" i="1"/>
  <c r="M216" i="1"/>
  <c r="L216" i="1"/>
  <c r="D1850" i="3" l="1"/>
  <c r="M215" i="1"/>
  <c r="L215" i="1"/>
  <c r="Y240" i="1"/>
  <c r="H142" i="5" l="1"/>
  <c r="G142" i="5"/>
  <c r="F142" i="5"/>
  <c r="M214" i="1" l="1"/>
  <c r="L214" i="1"/>
  <c r="I232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3" i="2" l="1"/>
  <c r="E45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6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32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7" i="1"/>
  <c r="N238" i="1"/>
  <c r="N239" i="1"/>
  <c r="N240" i="1"/>
  <c r="N241" i="1"/>
  <c r="N242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6" i="2" l="1"/>
  <c r="J45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4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4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5" i="2"/>
  <c r="G54" i="2"/>
  <c r="G53" i="2"/>
  <c r="G52" i="2"/>
  <c r="G51" i="2"/>
  <c r="G50" i="2"/>
  <c r="G49" i="2"/>
  <c r="G48" i="2"/>
  <c r="G47" i="2"/>
  <c r="C43" i="2"/>
  <c r="B43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7" i="2" s="1"/>
  <c r="G16" i="2"/>
  <c r="E16" i="2"/>
  <c r="C49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0" i="1" l="1"/>
  <c r="S1" i="1" s="1"/>
  <c r="M230" i="1"/>
  <c r="U1" i="1" s="1"/>
</calcChain>
</file>

<file path=xl/sharedStrings.xml><?xml version="1.0" encoding="utf-8"?>
<sst xmlns="http://schemas.openxmlformats.org/spreadsheetml/2006/main" count="2055" uniqueCount="584">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</sst>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61393392"/>
        <c:axId val="-261402640"/>
      </c:lineChart>
      <c:catAx>
        <c:axId val="-26139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402640"/>
        <c:crosses val="autoZero"/>
        <c:auto val="1"/>
        <c:lblAlgn val="ctr"/>
        <c:lblOffset val="100"/>
        <c:noMultiLvlLbl val="0"/>
      </c:catAx>
      <c:valAx>
        <c:axId val="-26140264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3933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15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0869157614784573E-16"/>
                  <c:y val="1.613585457825752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weekly!$B$27:$B$42</c15:sqref>
                  </c15:fullRef>
                </c:ext>
              </c:extLst>
              <c:f>weekly!$B$28:$B$42</c:f>
              <c:numCache>
                <c:formatCode>General</c:formatCode>
                <c:ptCount val="15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weekly!$H$27:$H$42</c15:sqref>
                  </c15:fullRef>
                </c:ext>
              </c:extLst>
              <c:f>weekly!$H$28:$H$42</c:f>
              <c:numCache>
                <c:formatCode>General</c:formatCode>
                <c:ptCount val="15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61396656"/>
        <c:axId val="-26140100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26139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401008"/>
        <c:crosses val="autoZero"/>
        <c:auto val="1"/>
        <c:lblAlgn val="ctr"/>
        <c:lblOffset val="100"/>
        <c:noMultiLvlLbl val="0"/>
      </c:catAx>
      <c:valAx>
        <c:axId val="-261401008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3966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61403728"/>
        <c:axId val="-261399920"/>
      </c:lineChart>
      <c:catAx>
        <c:axId val="-26140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399920"/>
        <c:crosses val="autoZero"/>
        <c:auto val="1"/>
        <c:lblAlgn val="ctr"/>
        <c:lblOffset val="100"/>
        <c:noMultiLvlLbl val="0"/>
      </c:catAx>
      <c:valAx>
        <c:axId val="-26139992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403728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61399376"/>
        <c:axId val="-464586400"/>
      </c:lineChart>
      <c:catAx>
        <c:axId val="-26139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4586400"/>
        <c:crosses val="autoZero"/>
        <c:auto val="1"/>
        <c:lblAlgn val="ctr"/>
        <c:lblOffset val="100"/>
        <c:noMultiLvlLbl val="0"/>
      </c:catAx>
      <c:valAx>
        <c:axId val="-4645864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6139937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464584224"/>
        <c:axId val="-178159776"/>
      </c:lineChart>
      <c:catAx>
        <c:axId val="-46458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59776"/>
        <c:crosses val="autoZero"/>
        <c:auto val="1"/>
        <c:lblAlgn val="ctr"/>
        <c:lblOffset val="100"/>
        <c:noMultiLvlLbl val="0"/>
      </c:catAx>
      <c:valAx>
        <c:axId val="-17815977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645842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15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weekly!$C$27:$C$42</c15:sqref>
                  </c15:fullRef>
                </c:ext>
              </c:extLst>
              <c:f>weekly!$C$28:$C$42</c:f>
              <c:numCache>
                <c:formatCode>General</c:formatCode>
                <c:ptCount val="15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weekly!$A$27:$A$42</c15:sqref>
                  </c15:fullRef>
                </c:ext>
              </c:extLst>
              <c:f>weekly!$A$28:$A$42</c:f>
              <c:strCache>
                <c:ptCount val="15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weekly!$I$27:$I$42</c15:sqref>
                  </c15:fullRef>
                </c:ext>
              </c:extLst>
              <c:f>weekly!$I$28:$I$42</c:f>
              <c:numCache>
                <c:formatCode>General</c:formatCode>
                <c:ptCount val="15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8160320"/>
        <c:axId val="-17815433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weekly!$A$27:$A$42</c15:sqref>
                        </c15:fullRef>
                        <c15:formulaRef>
                          <c15:sqref>weekly!$A$28:$A$42</c15:sqref>
                        </c15:formulaRef>
                      </c:ext>
                    </c:extLst>
                    <c:strCache>
                      <c:ptCount val="15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7816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54336"/>
        <c:crosses val="autoZero"/>
        <c:auto val="1"/>
        <c:lblAlgn val="ctr"/>
        <c:lblOffset val="100"/>
        <c:noMultiLvlLbl val="0"/>
      </c:catAx>
      <c:valAx>
        <c:axId val="-178154336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603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8148352"/>
        <c:axId val="-178151072"/>
      </c:barChart>
      <c:catAx>
        <c:axId val="-17814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51072"/>
        <c:crosses val="autoZero"/>
        <c:auto val="1"/>
        <c:lblAlgn val="ctr"/>
        <c:lblOffset val="100"/>
        <c:noMultiLvlLbl val="0"/>
      </c:catAx>
      <c:valAx>
        <c:axId val="-17815107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483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شنبه 26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72"/>
          <c:order val="7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change'!$F$154:$I$154</c:f>
              <c:numCache>
                <c:formatCode>General</c:formatCode>
                <c:ptCount val="4"/>
                <c:pt idx="0">
                  <c:v>0.69216757741347901</c:v>
                </c:pt>
                <c:pt idx="1">
                  <c:v>0.36719706242350059</c:v>
                </c:pt>
                <c:pt idx="2">
                  <c:v>-0.74410913600661432</c:v>
                </c:pt>
                <c:pt idx="3">
                  <c:v>-0.88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78153248"/>
        <c:axId val="-17815052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</c:ext>
        </c:extLst>
      </c:barChart>
      <c:catAx>
        <c:axId val="-17815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50528"/>
        <c:crosses val="autoZero"/>
        <c:auto val="1"/>
        <c:lblAlgn val="ctr"/>
        <c:lblOffset val="100"/>
        <c:noMultiLvlLbl val="0"/>
      </c:catAx>
      <c:valAx>
        <c:axId val="-1781505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81532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597</xdr:row>
      <xdr:rowOff>102960</xdr:rowOff>
    </xdr:from>
    <xdr:to>
      <xdr:col>11</xdr:col>
      <xdr:colOff>279360</xdr:colOff>
      <xdr:row>627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177</xdr:row>
      <xdr:rowOff>27711</xdr:rowOff>
    </xdr:from>
    <xdr:to>
      <xdr:col>41</xdr:col>
      <xdr:colOff>533400</xdr:colOff>
      <xdr:row>282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313</xdr:row>
      <xdr:rowOff>0</xdr:rowOff>
    </xdr:from>
    <xdr:to>
      <xdr:col>82</xdr:col>
      <xdr:colOff>0</xdr:colOff>
      <xdr:row>389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632</xdr:row>
      <xdr:rowOff>0</xdr:rowOff>
    </xdr:from>
    <xdr:to>
      <xdr:col>13</xdr:col>
      <xdr:colOff>354240</xdr:colOff>
      <xdr:row>662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412</xdr:row>
      <xdr:rowOff>0</xdr:rowOff>
    </xdr:from>
    <xdr:to>
      <xdr:col>83</xdr:col>
      <xdr:colOff>533400</xdr:colOff>
      <xdr:row>511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60</xdr:row>
      <xdr:rowOff>76321</xdr:rowOff>
    </xdr:from>
    <xdr:to>
      <xdr:col>44</xdr:col>
      <xdr:colOff>533400</xdr:colOff>
      <xdr:row>159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45"/>
  <sheetViews>
    <sheetView tabSelected="1" topLeftCell="B1" zoomScaleNormal="100" workbookViewId="0">
      <pane ySplit="1" topLeftCell="A221" activePane="bottomLeft" state="frozen"/>
      <selection activeCell="B1" sqref="B1"/>
      <selection pane="bottomLeft" activeCell="G228" sqref="G22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L230/G230</f>
        <v>25525.574323740966</v>
      </c>
      <c r="T1" s="3" t="s">
        <v>15</v>
      </c>
      <c r="U1" s="3">
        <f>M230/K230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36" customFormat="1" ht="18">
      <c r="B229" s="131" t="s">
        <v>582</v>
      </c>
      <c r="C229" s="104">
        <v>26</v>
      </c>
      <c r="D229" s="137">
        <v>25907</v>
      </c>
      <c r="E229" s="136">
        <v>25559</v>
      </c>
      <c r="F229" s="136">
        <v>25824</v>
      </c>
      <c r="H229" s="136">
        <v>29000</v>
      </c>
      <c r="I229" s="136">
        <v>28731</v>
      </c>
      <c r="J229" s="136">
        <v>29080</v>
      </c>
      <c r="L229" s="208"/>
      <c r="M229" s="208"/>
      <c r="N229" s="136">
        <v>25815</v>
      </c>
      <c r="O229" s="136">
        <v>29018</v>
      </c>
      <c r="P229" s="136">
        <v>26166</v>
      </c>
      <c r="Q229" s="136">
        <v>29290</v>
      </c>
      <c r="V229" s="136">
        <v>27920</v>
      </c>
      <c r="X229" s="136">
        <v>27640</v>
      </c>
      <c r="Y229" s="136">
        <v>31567</v>
      </c>
      <c r="Z229" s="138"/>
      <c r="AB229" s="137"/>
      <c r="AS229" s="137"/>
      <c r="AW229" s="137"/>
      <c r="BI229" s="177"/>
      <c r="BO229" s="151"/>
      <c r="BP229" s="151"/>
      <c r="BQ229" s="151"/>
      <c r="BR229" s="151"/>
    </row>
    <row r="230" spans="2:70" ht="18">
      <c r="D230" s="26"/>
      <c r="G230">
        <f>SUM(G2:G216)</f>
        <v>1507843699</v>
      </c>
      <c r="K230">
        <f>SUM(K2:K216)</f>
        <v>210358000</v>
      </c>
      <c r="L230" s="142">
        <f>SUM(L2:L216)</f>
        <v>38488576407409</v>
      </c>
      <c r="M230" s="142">
        <f>SUM(M2:M216)</f>
        <v>6182194847600</v>
      </c>
      <c r="V230" s="144"/>
      <c r="Z230" s="25"/>
      <c r="AS230" s="26"/>
      <c r="AW230" s="30"/>
    </row>
    <row r="231" spans="2:70" ht="18">
      <c r="D231">
        <f>D229-F228</f>
        <v>-160</v>
      </c>
      <c r="O231">
        <f>P228-N227</f>
        <v>-190</v>
      </c>
      <c r="U231">
        <f>(X224-X210)/X210</f>
        <v>-8.9256198347107435E-2</v>
      </c>
      <c r="V231" s="144"/>
      <c r="W231">
        <f>V229-X228</f>
        <v>470</v>
      </c>
      <c r="X231">
        <f>X229-X228</f>
        <v>190</v>
      </c>
      <c r="Z231" s="25"/>
      <c r="AS231" s="26"/>
      <c r="AW231" s="30"/>
    </row>
    <row r="232" spans="2:70" ht="18">
      <c r="I232">
        <f>(G214-G230)/G214</f>
        <v>-187.200514110261</v>
      </c>
      <c r="J232">
        <f>J206-J205</f>
        <v>-347</v>
      </c>
      <c r="V232" s="144"/>
      <c r="W232" s="152"/>
      <c r="X232">
        <f>X228-X227</f>
        <v>-400</v>
      </c>
      <c r="Z232" s="25"/>
      <c r="AS232" s="26"/>
      <c r="AW232" s="30"/>
    </row>
    <row r="233" spans="2:70" ht="18">
      <c r="D233" s="93"/>
      <c r="V233" s="129"/>
      <c r="W233" s="152"/>
      <c r="Z233" s="25"/>
      <c r="AW233" s="30"/>
    </row>
    <row r="234" spans="2:70" ht="17.25" customHeight="1">
      <c r="D234" s="93"/>
      <c r="P234" t="s">
        <v>523</v>
      </c>
      <c r="Q234" t="s">
        <v>524</v>
      </c>
      <c r="V234" s="25"/>
      <c r="W234" s="152"/>
      <c r="Z234" s="25"/>
    </row>
    <row r="235" spans="2:70" ht="18">
      <c r="D235" s="93"/>
      <c r="O235" s="126" t="s">
        <v>503</v>
      </c>
      <c r="P235">
        <v>-178</v>
      </c>
      <c r="Q235">
        <v>-180</v>
      </c>
      <c r="V235" s="25"/>
      <c r="W235" s="152"/>
      <c r="Z235" s="25"/>
    </row>
    <row r="236" spans="2:70" ht="18">
      <c r="D236" s="93"/>
      <c r="H236">
        <f>(27376-26532)/26532</f>
        <v>3.1810643750942259E-2</v>
      </c>
      <c r="O236" s="132" t="s">
        <v>505</v>
      </c>
      <c r="P236">
        <v>59</v>
      </c>
      <c r="Q236">
        <v>59</v>
      </c>
      <c r="V236" s="25"/>
      <c r="W236" s="152"/>
      <c r="X236">
        <v>30920</v>
      </c>
      <c r="Y236">
        <f>(30920-28470)/30920</f>
        <v>7.923673997412678E-2</v>
      </c>
    </row>
    <row r="237" spans="2:70" ht="18">
      <c r="D237" s="93"/>
      <c r="N237">
        <f t="shared" ref="N237:N241" si="42">N199-N198</f>
        <v>-15</v>
      </c>
      <c r="O237" s="132" t="s">
        <v>507</v>
      </c>
      <c r="P237">
        <v>-17</v>
      </c>
      <c r="Q237">
        <v>-16</v>
      </c>
      <c r="V237" s="25"/>
      <c r="W237" s="152"/>
    </row>
    <row r="238" spans="2:70" ht="18">
      <c r="D238" s="107"/>
      <c r="N238">
        <f t="shared" si="42"/>
        <v>-12</v>
      </c>
      <c r="O238" s="132" t="s">
        <v>509</v>
      </c>
      <c r="P238">
        <v>-163</v>
      </c>
      <c r="Q238">
        <v>-165</v>
      </c>
      <c r="V238">
        <f>(3207-3086)/3086</f>
        <v>3.9209332469215812E-2</v>
      </c>
      <c r="W238" s="144"/>
    </row>
    <row r="239" spans="2:70" ht="18">
      <c r="D239" s="107"/>
      <c r="N239">
        <f t="shared" si="42"/>
        <v>-137</v>
      </c>
      <c r="O239" s="132" t="s">
        <v>511</v>
      </c>
      <c r="P239">
        <v>50</v>
      </c>
      <c r="Q239">
        <v>50</v>
      </c>
      <c r="W239" s="144">
        <f>V222-X221</f>
        <v>280</v>
      </c>
      <c r="X239" s="109"/>
    </row>
    <row r="240" spans="2:70" ht="18">
      <c r="D240" s="113"/>
      <c r="N240">
        <f t="shared" si="42"/>
        <v>-138</v>
      </c>
      <c r="O240" s="145" t="s">
        <v>513</v>
      </c>
      <c r="P240">
        <v>-15</v>
      </c>
      <c r="Q240">
        <v>-15</v>
      </c>
      <c r="W240" s="144"/>
      <c r="X240" s="109"/>
      <c r="Y240">
        <f>(W238-X215)/X215</f>
        <v>-1</v>
      </c>
    </row>
    <row r="241" spans="4:25" ht="18">
      <c r="D241" s="107"/>
      <c r="G241" s="9"/>
      <c r="N241">
        <f t="shared" si="42"/>
        <v>-43</v>
      </c>
      <c r="O241" s="145" t="s">
        <v>515</v>
      </c>
      <c r="P241">
        <v>-12</v>
      </c>
      <c r="Q241">
        <v>-12</v>
      </c>
      <c r="W241">
        <f>(42664-41338)/41338</f>
        <v>3.2077023561855919E-2</v>
      </c>
      <c r="X241" s="109"/>
      <c r="Y241">
        <f>(43725-42669)/42669</f>
        <v>2.4748646558391339E-2</v>
      </c>
    </row>
    <row r="242" spans="4:25" ht="18">
      <c r="D242" s="103"/>
      <c r="G242" s="9"/>
      <c r="N242">
        <f>N230-N203</f>
        <v>-27379</v>
      </c>
      <c r="O242" s="148" t="s">
        <v>517</v>
      </c>
      <c r="P242">
        <v>-136</v>
      </c>
      <c r="Q242">
        <v>-137</v>
      </c>
      <c r="X242" s="109"/>
    </row>
    <row r="243" spans="4:25" ht="18">
      <c r="G243" s="9"/>
      <c r="O243" s="145" t="s">
        <v>519</v>
      </c>
      <c r="P243">
        <v>-137</v>
      </c>
      <c r="Q243">
        <v>-138</v>
      </c>
      <c r="X243" s="109"/>
      <c r="Y243">
        <f>(3365-3279)/3279</f>
        <v>2.6227508386703263E-2</v>
      </c>
    </row>
    <row r="244" spans="4:25" ht="18">
      <c r="G244" s="9"/>
      <c r="O244" s="131" t="s">
        <v>521</v>
      </c>
      <c r="P244">
        <v>-42</v>
      </c>
      <c r="Q244">
        <v>-43</v>
      </c>
      <c r="X244" s="109"/>
    </row>
    <row r="245" spans="4:25" ht="18">
      <c r="G245" s="9"/>
    </row>
  </sheetData>
  <autoFilter ref="A1:BN23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"/>
  <sheetViews>
    <sheetView topLeftCell="A124" zoomScale="25" zoomScaleNormal="25" workbookViewId="0">
      <selection activeCell="BF153" sqref="BF15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>
      <c r="B43">
        <f>(B2-B8)/B2</f>
        <v>0.15346494762288476</v>
      </c>
      <c r="C43">
        <f>(C2-C8)/C2</f>
        <v>0.1154959674639829</v>
      </c>
      <c r="D43">
        <f>SUM(D2:D39)/38</f>
        <v>37702089.447368421</v>
      </c>
    </row>
    <row r="45" spans="1:11">
      <c r="E45">
        <f>(D39-D43)/D43</f>
        <v>0.21324840799221964</v>
      </c>
      <c r="J45">
        <f>(D36-D35)/D35</f>
        <v>-0.50773339408667473</v>
      </c>
    </row>
    <row r="46" spans="1:11">
      <c r="F46">
        <f>(F36-F35)/F35</f>
        <v>-0.62892307692307692</v>
      </c>
    </row>
    <row r="47" spans="1:11">
      <c r="D47">
        <v>5375132</v>
      </c>
      <c r="E47">
        <f>(E17-D47)/D47</f>
        <v>4.5958809321644006E-2</v>
      </c>
      <c r="G47">
        <f t="shared" ref="G47:G55" si="2">B3-B2</f>
        <v>-554</v>
      </c>
    </row>
    <row r="48" spans="1:11">
      <c r="G48">
        <f t="shared" si="2"/>
        <v>-302</v>
      </c>
    </row>
    <row r="49" spans="3:10">
      <c r="C49">
        <f>(D47-E16)/E16</f>
        <v>0.17110375179746395</v>
      </c>
      <c r="G49">
        <f t="shared" si="2"/>
        <v>-511</v>
      </c>
    </row>
    <row r="50" spans="3:10">
      <c r="G50">
        <f t="shared" si="2"/>
        <v>-362</v>
      </c>
    </row>
    <row r="51" spans="3:10">
      <c r="G51">
        <f t="shared" si="2"/>
        <v>-1699</v>
      </c>
    </row>
    <row r="52" spans="3:10">
      <c r="G52">
        <f t="shared" si="2"/>
        <v>-381</v>
      </c>
    </row>
    <row r="53" spans="3:10">
      <c r="G53">
        <f t="shared" si="2"/>
        <v>1075</v>
      </c>
    </row>
    <row r="54" spans="3:10">
      <c r="F54">
        <f>(F33-F32)/F32</f>
        <v>0.23948268173034043</v>
      </c>
      <c r="G54">
        <f t="shared" si="2"/>
        <v>151</v>
      </c>
      <c r="J54">
        <f>(F34-F35)/F34</f>
        <v>0.13877341459779063</v>
      </c>
    </row>
    <row r="55" spans="3:10">
      <c r="G55">
        <f t="shared" si="2"/>
        <v>1043</v>
      </c>
    </row>
  </sheetData>
  <autoFilter ref="A1:K55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13"/>
  <sheetViews>
    <sheetView topLeftCell="A1992" zoomScaleNormal="100" workbookViewId="0">
      <selection activeCell="D2009" sqref="D2009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2" t="s">
        <v>568</v>
      </c>
      <c r="B1916" s="212"/>
      <c r="C1916" s="212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2" t="s">
        <v>570</v>
      </c>
      <c r="B1928" s="212"/>
      <c r="C1928" s="212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2" t="s">
        <v>572</v>
      </c>
      <c r="B1940" s="212"/>
      <c r="C1940" s="212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2" t="s">
        <v>574</v>
      </c>
      <c r="B1953" s="212"/>
      <c r="C1953" s="212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2" t="s">
        <v>576</v>
      </c>
      <c r="B1966" s="212"/>
      <c r="C1966" s="212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2" t="s">
        <v>578</v>
      </c>
      <c r="B1979" s="212"/>
      <c r="C1979" s="212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2" t="s">
        <v>580</v>
      </c>
      <c r="B1992" s="212"/>
      <c r="C1992" s="212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2" t="s">
        <v>583</v>
      </c>
      <c r="B2005" s="212"/>
      <c r="C2005" s="212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  <c r="D2007">
        <v>12310000</v>
      </c>
    </row>
    <row r="2008" spans="1:4">
      <c r="A2008" s="70" t="s">
        <v>251</v>
      </c>
      <c r="B2008" s="79">
        <v>12280000</v>
      </c>
      <c r="C2008" s="79">
        <v>7590</v>
      </c>
      <c r="D2008">
        <v>12300000</v>
      </c>
    </row>
    <row r="2009" spans="1:4">
      <c r="A2009" s="71" t="s">
        <v>252</v>
      </c>
      <c r="B2009" s="79">
        <v>12290000</v>
      </c>
      <c r="C2009" s="79">
        <v>7610</v>
      </c>
      <c r="D2009">
        <v>12295000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  <c r="D2012">
        <f>D2007-B2000</f>
        <v>55000</v>
      </c>
    </row>
    <row r="2013" spans="1:4">
      <c r="A2013" s="80">
        <v>0.70833333333333337</v>
      </c>
      <c r="B2013" s="79">
        <v>12300000</v>
      </c>
      <c r="C2013" s="79">
        <v>7600</v>
      </c>
    </row>
  </sheetData>
  <mergeCells count="173"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2005:C2005"/>
    <mergeCell ref="A1928:C1928"/>
    <mergeCell ref="A1754:C1754"/>
    <mergeCell ref="A1742:C1742"/>
    <mergeCell ref="A1729:C1729"/>
    <mergeCell ref="A1716:C1716"/>
    <mergeCell ref="A1703:C1703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1816:C1816"/>
    <mergeCell ref="A1992:C1992"/>
    <mergeCell ref="A1979:C1979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4"/>
  <sheetViews>
    <sheetView topLeftCell="B1" zoomScale="85" zoomScaleNormal="85" workbookViewId="0">
      <selection activeCell="E4" sqref="E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4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4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4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2022-01-16T13:18:01Z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