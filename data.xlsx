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6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set'!$A$1:$BL$177</definedName>
    <definedName name="_xlnm._FilterDatabase" localSheetId="1" hidden="1">weekly!$A$1:$K$45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D188" i="1"/>
  <c r="H102" i="5" l="1"/>
  <c r="G102" i="5"/>
  <c r="F102" i="5"/>
  <c r="G173" i="1" l="1"/>
  <c r="I177" i="1" s="1"/>
  <c r="H101" i="5" l="1"/>
  <c r="G101" i="5"/>
  <c r="F101" i="5"/>
  <c r="G178" i="1" l="1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5" i="2"/>
  <c r="G44" i="2"/>
  <c r="G43" i="2"/>
  <c r="G42" i="2"/>
  <c r="G41" i="2"/>
  <c r="G40" i="2"/>
  <c r="G39" i="2"/>
  <c r="G38" i="2"/>
  <c r="G37" i="2"/>
  <c r="D33" i="2"/>
  <c r="C33" i="2"/>
  <c r="B33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7" i="2" s="1"/>
  <c r="G16" i="2"/>
  <c r="E16" i="2"/>
  <c r="C39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91" i="1"/>
  <c r="AW177" i="1"/>
  <c r="AW180" i="1" s="1"/>
  <c r="AU177" i="1"/>
  <c r="T177" i="1"/>
  <c r="BB176" i="1"/>
  <c r="AY175" i="1"/>
  <c r="BJ173" i="1"/>
  <c r="BI173" i="1"/>
  <c r="K173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73" i="1" l="1"/>
  <c r="S1" i="1" s="1"/>
  <c r="M173" i="1"/>
  <c r="U1" i="1" s="1"/>
</calcChain>
</file>

<file path=xl/sharedStrings.xml><?xml version="1.0" encoding="utf-8"?>
<sst xmlns="http://schemas.openxmlformats.org/spreadsheetml/2006/main" count="1485" uniqueCount="457">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</sst>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3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1" fillId="9" borderId="2" xfId="0" applyFont="1" applyFill="1" applyBorder="1"/>
    <xf numFmtId="0" fontId="7" fillId="11" borderId="0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339111952"/>
        <c:axId val="-339116304"/>
      </c:lineChart>
      <c:catAx>
        <c:axId val="-33911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39116304"/>
        <c:crosses val="autoZero"/>
        <c:auto val="1"/>
        <c:lblAlgn val="ctr"/>
        <c:lblOffset val="100"/>
        <c:noMultiLvlLbl val="0"/>
      </c:catAx>
      <c:valAx>
        <c:axId val="-3391163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3911195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</a:t>
            </a:r>
            <a:r>
              <a:rPr lang="en-US" sz="5000" b="0" strike="noStrike" spc="-1">
                <a:solidFill>
                  <a:srgbClr val="595959"/>
                </a:solidFill>
                <a:latin typeface="Calibri"/>
              </a:rPr>
              <a:t>5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weekly!$B$27:$B$32</c15:sqref>
                  </c15:fullRef>
                </c:ext>
              </c:extLst>
              <c:f>weekly!$B$28:$B$32</c:f>
              <c:numCache>
                <c:formatCode>General</c:formatCode>
                <c:ptCount val="5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weekly!$H$27:$H$32</c15:sqref>
                  </c15:fullRef>
                </c:ext>
              </c:extLst>
              <c:f>weekly!$H$28:$H$32</c:f>
              <c:numCache>
                <c:formatCode>General</c:formatCode>
                <c:ptCount val="5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weekly!$J$27:$J$32</c15:sqref>
                  </c15:fullRef>
                </c:ext>
              </c:extLst>
              <c:f>weekly!$J$28:$J$32</c:f>
              <c:numCache>
                <c:formatCode>General</c:formatCode>
                <c:ptCount val="5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339111408"/>
        <c:axId val="-339123920"/>
      </c:lineChart>
      <c:catAx>
        <c:axId val="-33911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39123920"/>
        <c:crosses val="autoZero"/>
        <c:auto val="1"/>
        <c:lblAlgn val="ctr"/>
        <c:lblOffset val="100"/>
        <c:noMultiLvlLbl val="0"/>
      </c:catAx>
      <c:valAx>
        <c:axId val="-339123920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3911140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دوم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5401540154015402E-3"/>
                  <c:y val="-4.50223816594469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1219338150031218E-3"/>
                  <c:y val="-6.05577950101914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weekly!$A$2:$A$32</c:f>
              <c:strCache>
                <c:ptCount val="31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</c:strCache>
            </c:strRef>
          </c:cat>
          <c:val>
            <c:numRef>
              <c:f>weekly!$D$2:$D$32</c:f>
              <c:numCache>
                <c:formatCode>General</c:formatCode>
                <c:ptCount val="31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339116848"/>
        <c:axId val="-339110864"/>
      </c:lineChart>
      <c:catAx>
        <c:axId val="-33911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39110864"/>
        <c:crosses val="autoZero"/>
        <c:auto val="1"/>
        <c:lblAlgn val="ctr"/>
        <c:lblOffset val="100"/>
        <c:noMultiLvlLbl val="0"/>
      </c:catAx>
      <c:valAx>
        <c:axId val="-3391108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3911684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339110320"/>
        <c:axId val="-339115760"/>
      </c:lineChart>
      <c:catAx>
        <c:axId val="-339110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39115760"/>
        <c:crosses val="autoZero"/>
        <c:auto val="1"/>
        <c:lblAlgn val="ctr"/>
        <c:lblOffset val="100"/>
        <c:noMultiLvlLbl val="0"/>
      </c:catAx>
      <c:valAx>
        <c:axId val="-3391157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3911032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دوم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weekly!$A$2:$A$32</c:f>
              <c:strCache>
                <c:ptCount val="31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</c:strCache>
            </c:strRef>
          </c:cat>
          <c:val>
            <c:numRef>
              <c:f>weekly!$F$2:$F$32</c:f>
              <c:numCache>
                <c:formatCode>General</c:formatCode>
                <c:ptCount val="31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339118480"/>
        <c:axId val="-339123376"/>
      </c:lineChart>
      <c:catAx>
        <c:axId val="-339118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39123376"/>
        <c:crosses val="autoZero"/>
        <c:auto val="1"/>
        <c:lblAlgn val="ctr"/>
        <c:lblOffset val="100"/>
        <c:noMultiLvlLbl val="0"/>
      </c:catAx>
      <c:valAx>
        <c:axId val="-3391233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3911848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</a:t>
            </a:r>
            <a:r>
              <a:rPr lang="en-US" sz="5000" b="0" strike="noStrike" spc="-1">
                <a:solidFill>
                  <a:srgbClr val="595959"/>
                </a:solidFill>
                <a:latin typeface="Calibri"/>
              </a:rPr>
              <a:t>5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weekly!$C$27:$C$32</c15:sqref>
                  </c15:fullRef>
                </c:ext>
              </c:extLst>
              <c:f>weekly!$C$28:$C$32</c:f>
              <c:numCache>
                <c:formatCode>General</c:formatCode>
                <c:ptCount val="5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weekly!$K$27:$K$32</c15:sqref>
                  </c15:fullRef>
                </c:ext>
              </c:extLst>
              <c:f>weekly!$K$28:$K$32</c:f>
              <c:numCache>
                <c:formatCode>General</c:formatCode>
                <c:ptCount val="5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weekly!$I$27:$I$32</c15:sqref>
                  </c15:fullRef>
                </c:ext>
              </c:extLst>
              <c:f>weekly!$I$28:$I$32</c:f>
              <c:numCache>
                <c:formatCode>General</c:formatCode>
                <c:ptCount val="5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339131616"/>
        <c:axId val="-339127808"/>
      </c:lineChart>
      <c:catAx>
        <c:axId val="-339131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39127808"/>
        <c:crosses val="autoZero"/>
        <c:auto val="1"/>
        <c:lblAlgn val="ctr"/>
        <c:lblOffset val="100"/>
        <c:noMultiLvlLbl val="0"/>
      </c:catAx>
      <c:valAx>
        <c:axId val="-339127808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3913161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layout/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339138688"/>
        <c:axId val="-339139232"/>
      </c:barChart>
      <c:catAx>
        <c:axId val="-339138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39139232"/>
        <c:crosses val="autoZero"/>
        <c:auto val="1"/>
        <c:lblAlgn val="ctr"/>
        <c:lblOffset val="100"/>
        <c:noMultiLvlLbl val="0"/>
      </c:catAx>
      <c:valAx>
        <c:axId val="-3391392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layout/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3913868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سه‌شنبه 18 آبان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24"/>
          <c:order val="24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change'!$F$106:$I$106</c:f>
              <c:numCache>
                <c:formatCode>General</c:formatCode>
                <c:ptCount val="4"/>
                <c:pt idx="0">
                  <c:v>0.14234875444839859</c:v>
                </c:pt>
                <c:pt idx="1">
                  <c:v>0.24610336341263331</c:v>
                </c:pt>
                <c:pt idx="2">
                  <c:v>7.4639243655664295E-2</c:v>
                </c:pt>
                <c:pt idx="3">
                  <c:v>0.93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339131072"/>
        <c:axId val="-33914086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3391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39140864"/>
        <c:crosses val="autoZero"/>
        <c:auto val="1"/>
        <c:lblAlgn val="ctr"/>
        <c:lblOffset val="100"/>
        <c:noMultiLvlLbl val="0"/>
      </c:catAx>
      <c:valAx>
        <c:axId val="-3391408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3913107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587</xdr:row>
      <xdr:rowOff>102960</xdr:rowOff>
    </xdr:from>
    <xdr:to>
      <xdr:col>11</xdr:col>
      <xdr:colOff>279360</xdr:colOff>
      <xdr:row>617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167</xdr:row>
      <xdr:rowOff>27711</xdr:rowOff>
    </xdr:from>
    <xdr:to>
      <xdr:col>41</xdr:col>
      <xdr:colOff>533400</xdr:colOff>
      <xdr:row>272</xdr:row>
      <xdr:rowOff>91440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303</xdr:row>
      <xdr:rowOff>0</xdr:rowOff>
    </xdr:from>
    <xdr:to>
      <xdr:col>82</xdr:col>
      <xdr:colOff>0</xdr:colOff>
      <xdr:row>379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622</xdr:row>
      <xdr:rowOff>0</xdr:rowOff>
    </xdr:from>
    <xdr:to>
      <xdr:col>13</xdr:col>
      <xdr:colOff>354240</xdr:colOff>
      <xdr:row>652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402</xdr:row>
      <xdr:rowOff>0</xdr:rowOff>
    </xdr:from>
    <xdr:to>
      <xdr:col>83</xdr:col>
      <xdr:colOff>533400</xdr:colOff>
      <xdr:row>501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50</xdr:row>
      <xdr:rowOff>76321</xdr:rowOff>
    </xdr:from>
    <xdr:to>
      <xdr:col>44</xdr:col>
      <xdr:colOff>533400</xdr:colOff>
      <xdr:row>149</xdr:row>
      <xdr:rowOff>76200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91"/>
  <sheetViews>
    <sheetView tabSelected="1" topLeftCell="B1" zoomScaleNormal="100" workbookViewId="0">
      <selection activeCell="J8" sqref="J8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L173/G173</f>
        <v>4217092.6780865043</v>
      </c>
      <c r="T1" s="3" t="s">
        <v>15</v>
      </c>
      <c r="U1" s="3">
        <f>M173/K173</f>
        <v>39890.334539352654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K173/K62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1">F130*G130</f>
        <v>134799608200</v>
      </c>
      <c r="M130" s="12">
        <f t="shared" ref="M130:M170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5" customFormat="1" ht="2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1"/>
        <v>110853636800</v>
      </c>
      <c r="M145" s="93">
        <f t="shared" si="22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</row>
    <row r="146" spans="1:60" s="101" customFormat="1" ht="2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1"/>
        <v>214041993100</v>
      </c>
      <c r="M146" s="99">
        <f t="shared" si="22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</row>
    <row r="147" spans="1:60" s="101" customFormat="1" ht="2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1"/>
        <v>176486960000</v>
      </c>
      <c r="M147" s="99">
        <f t="shared" si="22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</row>
    <row r="148" spans="1:60" s="101" customFormat="1" ht="2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1"/>
        <v>220752610000</v>
      </c>
      <c r="M148" s="99">
        <f t="shared" si="22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</row>
    <row r="149" spans="1:60" s="101" customFormat="1" ht="2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1"/>
        <v>156650915000</v>
      </c>
      <c r="M149" s="99">
        <f t="shared" si="22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</row>
    <row r="150" spans="1:60" s="101" customFormat="1" ht="2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1"/>
        <v>225456814700</v>
      </c>
      <c r="M150" s="99">
        <f t="shared" si="22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</row>
    <row r="151" spans="1:60" s="101" customFormat="1" ht="2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1"/>
        <v>167101812600</v>
      </c>
      <c r="M151" s="99">
        <f t="shared" si="22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</row>
    <row r="152" spans="1:60" s="95" customFormat="1" ht="2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1"/>
        <v>239567814200</v>
      </c>
      <c r="M152" s="93">
        <f t="shared" si="22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</row>
    <row r="153" spans="1:60" s="95" customFormat="1" ht="2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1"/>
        <v>236480193600</v>
      </c>
      <c r="M153" s="93">
        <f t="shared" si="22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</row>
    <row r="154" spans="1:60" s="95" customFormat="1" ht="2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1"/>
        <v>225618976500</v>
      </c>
      <c r="M154" s="93">
        <f t="shared" si="22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</row>
    <row r="155" spans="1:60" s="95" customFormat="1" ht="2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1"/>
        <v>247369613400</v>
      </c>
      <c r="M155" s="93">
        <f t="shared" si="22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</row>
    <row r="156" spans="1:60" s="95" customFormat="1" ht="2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1"/>
        <v>255780758900</v>
      </c>
      <c r="M156" s="93">
        <f t="shared" si="22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</row>
    <row r="157" spans="1:60" s="95" customFormat="1" ht="2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1"/>
        <v>184510967800</v>
      </c>
      <c r="M157" s="93">
        <f t="shared" si="22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</row>
    <row r="158" spans="1:60" s="101" customFormat="1" ht="2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1"/>
        <v>249471569600</v>
      </c>
      <c r="M158" s="99">
        <f t="shared" si="22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</row>
    <row r="159" spans="1:60" s="101" customFormat="1" ht="2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1"/>
        <v>205217875200</v>
      </c>
      <c r="M159" s="99">
        <f t="shared" si="22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</row>
    <row r="160" spans="1:60" s="101" customFormat="1" ht="2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1"/>
        <v>261587595000</v>
      </c>
      <c r="M160" s="99">
        <f t="shared" si="22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</row>
    <row r="161" spans="1:62" s="101" customFormat="1" ht="2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1"/>
        <v>322139986200</v>
      </c>
      <c r="M161" s="99">
        <f t="shared" si="22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</row>
    <row r="162" spans="1:62" s="101" customFormat="1" ht="2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2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</row>
    <row r="163" spans="1:62" s="107" customFormat="1" ht="2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7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</row>
    <row r="164" spans="1:62" s="119" customFormat="1" ht="21" customHeight="1">
      <c r="A164" s="115"/>
      <c r="B164" s="116" t="s">
        <v>438</v>
      </c>
      <c r="C164" s="117">
        <v>9</v>
      </c>
      <c r="D164" s="118">
        <v>26546</v>
      </c>
      <c r="E164" s="117">
        <v>26393</v>
      </c>
      <c r="F164" s="117">
        <v>26446</v>
      </c>
      <c r="G164" s="117">
        <v>8525400</v>
      </c>
      <c r="H164" s="117">
        <v>30695</v>
      </c>
      <c r="I164" s="117">
        <v>30400</v>
      </c>
      <c r="J164" s="119">
        <v>30455</v>
      </c>
      <c r="K164" s="117">
        <v>1495700</v>
      </c>
      <c r="L164" s="99">
        <f t="shared" ref="L164:L170" si="23">F164*G164</f>
        <v>225462728400</v>
      </c>
      <c r="M164" s="99">
        <f t="shared" si="22"/>
        <v>45551543500</v>
      </c>
      <c r="N164" s="119">
        <v>26657</v>
      </c>
      <c r="O164" s="119">
        <v>30704</v>
      </c>
      <c r="P164" s="119">
        <v>26812</v>
      </c>
      <c r="Q164" s="119">
        <v>31002</v>
      </c>
      <c r="R164" s="117"/>
      <c r="S164" s="117"/>
      <c r="T164" s="117"/>
      <c r="U164" s="117"/>
      <c r="V164" s="119">
        <v>27480</v>
      </c>
      <c r="X164" s="119">
        <v>27540</v>
      </c>
      <c r="Y164" s="119">
        <v>31700</v>
      </c>
      <c r="Z164" s="117"/>
      <c r="AA164" s="117"/>
      <c r="AB164" s="117"/>
      <c r="AC164" s="117"/>
      <c r="AD164" s="117"/>
      <c r="AE164" s="117"/>
      <c r="AF164" s="117"/>
      <c r="AG164" s="117"/>
      <c r="AH164" s="117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8"/>
      <c r="AT164" s="118"/>
      <c r="AU164" s="118"/>
      <c r="AV164" s="118"/>
      <c r="AW164" s="118"/>
      <c r="AX164" s="118"/>
      <c r="AY164" s="117"/>
      <c r="AZ164" s="117"/>
      <c r="BA164" s="117"/>
      <c r="BB164" s="117"/>
      <c r="BC164" s="117"/>
      <c r="BE164" s="120"/>
      <c r="BF164" s="120"/>
      <c r="BG164" s="120"/>
      <c r="BH164" s="120"/>
    </row>
    <row r="165" spans="1:62" s="125" customFormat="1" ht="21" customHeight="1">
      <c r="A165" s="121"/>
      <c r="B165" s="122" t="s">
        <v>440</v>
      </c>
      <c r="C165" s="123">
        <v>10</v>
      </c>
      <c r="D165" s="124">
        <v>26413</v>
      </c>
      <c r="E165" s="123">
        <v>26457</v>
      </c>
      <c r="F165" s="123">
        <v>26505</v>
      </c>
      <c r="G165" s="123">
        <v>11227200</v>
      </c>
      <c r="H165" s="123">
        <v>30400</v>
      </c>
      <c r="I165" s="123">
        <v>30801</v>
      </c>
      <c r="J165" s="125">
        <v>30635</v>
      </c>
      <c r="K165" s="123">
        <v>1476900</v>
      </c>
      <c r="L165" s="99">
        <f t="shared" si="23"/>
        <v>297576936000</v>
      </c>
      <c r="M165" s="99">
        <f t="shared" si="22"/>
        <v>45244831500</v>
      </c>
      <c r="N165" s="125">
        <v>26722</v>
      </c>
      <c r="O165" s="125">
        <v>31109</v>
      </c>
      <c r="P165" s="125">
        <v>26677</v>
      </c>
      <c r="Q165" s="125">
        <v>30704</v>
      </c>
      <c r="R165" s="123"/>
      <c r="S165" s="123"/>
      <c r="T165" s="123"/>
      <c r="U165" s="123"/>
      <c r="V165" s="125">
        <v>27570</v>
      </c>
      <c r="X165" s="125">
        <v>27580</v>
      </c>
      <c r="Y165" s="125">
        <v>31935</v>
      </c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4"/>
      <c r="AT165" s="124"/>
      <c r="AU165" s="124"/>
      <c r="AV165" s="124"/>
      <c r="AW165" s="124"/>
      <c r="AX165" s="124"/>
      <c r="AY165" s="123"/>
      <c r="AZ165" s="123"/>
      <c r="BA165" s="123"/>
      <c r="BB165" s="123"/>
      <c r="BC165" s="123"/>
      <c r="BE165" s="126"/>
      <c r="BF165" s="126"/>
      <c r="BG165" s="126"/>
      <c r="BH165" s="126"/>
    </row>
    <row r="166" spans="1:62" s="119" customFormat="1" ht="21" customHeight="1">
      <c r="A166" s="115"/>
      <c r="B166" s="116" t="s">
        <v>442</v>
      </c>
      <c r="C166" s="117">
        <v>11</v>
      </c>
      <c r="D166" s="118">
        <v>26563</v>
      </c>
      <c r="E166" s="117">
        <v>26559</v>
      </c>
      <c r="F166" s="117">
        <v>26555</v>
      </c>
      <c r="G166" s="117">
        <v>10481400</v>
      </c>
      <c r="H166" s="117">
        <v>30600</v>
      </c>
      <c r="I166" s="117">
        <v>30573</v>
      </c>
      <c r="J166" s="119">
        <v>30658</v>
      </c>
      <c r="K166" s="117">
        <v>1737100</v>
      </c>
      <c r="L166" s="99">
        <f t="shared" si="23"/>
        <v>278333577000</v>
      </c>
      <c r="M166" s="99">
        <f>J166*K166</f>
        <v>53256011800</v>
      </c>
      <c r="N166" s="119">
        <v>26825</v>
      </c>
      <c r="O166" s="119">
        <v>30878</v>
      </c>
      <c r="P166" s="119">
        <v>26828</v>
      </c>
      <c r="Q166" s="119">
        <v>30906</v>
      </c>
      <c r="R166" s="117"/>
      <c r="S166" s="117"/>
      <c r="T166" s="117"/>
      <c r="U166" s="117"/>
      <c r="V166" s="119">
        <v>27550</v>
      </c>
      <c r="X166" s="119">
        <v>27540</v>
      </c>
      <c r="Y166" s="119">
        <v>31878</v>
      </c>
      <c r="Z166" s="117"/>
      <c r="AA166" s="117"/>
      <c r="AB166" s="117"/>
      <c r="AC166" s="117"/>
      <c r="AD166" s="117"/>
      <c r="AE166" s="117"/>
      <c r="AF166" s="117"/>
      <c r="AG166" s="117"/>
      <c r="AH166" s="117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8"/>
      <c r="AT166" s="118"/>
      <c r="AU166" s="118"/>
      <c r="AV166" s="118"/>
      <c r="AW166" s="118"/>
      <c r="AX166" s="118"/>
      <c r="AY166" s="117"/>
      <c r="AZ166" s="117"/>
      <c r="BA166" s="117"/>
      <c r="BB166" s="117"/>
      <c r="BC166" s="117"/>
      <c r="BE166" s="120"/>
      <c r="BF166" s="120"/>
      <c r="BG166" s="120"/>
      <c r="BH166" s="120"/>
    </row>
    <row r="167" spans="1:62" s="119" customFormat="1" ht="21" customHeight="1">
      <c r="A167" s="115"/>
      <c r="B167" s="116" t="s">
        <v>444</v>
      </c>
      <c r="C167" s="117">
        <v>12</v>
      </c>
      <c r="D167" s="118">
        <v>26614</v>
      </c>
      <c r="E167" s="117">
        <v>26744</v>
      </c>
      <c r="F167" s="117">
        <v>26743</v>
      </c>
      <c r="G167" s="117">
        <v>10300800</v>
      </c>
      <c r="H167" s="117">
        <v>30573</v>
      </c>
      <c r="I167" s="117">
        <v>30800</v>
      </c>
      <c r="J167" s="119">
        <v>30787</v>
      </c>
      <c r="K167" s="117">
        <v>1773700</v>
      </c>
      <c r="L167" s="99">
        <f t="shared" si="23"/>
        <v>275474294400</v>
      </c>
      <c r="M167" s="99">
        <f t="shared" si="22"/>
        <v>54606901900</v>
      </c>
      <c r="N167" s="119">
        <v>27012</v>
      </c>
      <c r="O167" s="119">
        <v>31108</v>
      </c>
      <c r="P167" s="119">
        <v>26880</v>
      </c>
      <c r="Q167" s="119">
        <v>30878</v>
      </c>
      <c r="R167" s="117"/>
      <c r="S167" s="117"/>
      <c r="T167" s="117"/>
      <c r="U167" s="117"/>
      <c r="V167" s="119">
        <v>27620</v>
      </c>
      <c r="X167" s="119">
        <v>27800</v>
      </c>
      <c r="Y167" s="119">
        <v>31998</v>
      </c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  <c r="AM167" s="117"/>
      <c r="AN167" s="117"/>
      <c r="AO167" s="117"/>
      <c r="AP167" s="117"/>
      <c r="AQ167" s="117"/>
      <c r="AR167" s="117"/>
      <c r="AS167" s="118"/>
      <c r="AT167" s="118"/>
      <c r="AU167" s="118"/>
      <c r="AV167" s="118"/>
      <c r="AW167" s="118"/>
      <c r="AX167" s="118"/>
      <c r="AY167" s="117"/>
      <c r="AZ167" s="117"/>
      <c r="BA167" s="117"/>
      <c r="BB167" s="117"/>
      <c r="BC167" s="117"/>
      <c r="BE167" s="120"/>
      <c r="BF167" s="120"/>
      <c r="BG167" s="120"/>
      <c r="BH167" s="120"/>
    </row>
    <row r="168" spans="1:62" s="125" customFormat="1" ht="21" customHeight="1">
      <c r="A168" s="121"/>
      <c r="B168" s="122" t="s">
        <v>446</v>
      </c>
      <c r="C168" s="123">
        <v>13</v>
      </c>
      <c r="D168" s="124">
        <v>26823</v>
      </c>
      <c r="E168" s="123">
        <v>26805</v>
      </c>
      <c r="F168" s="123">
        <v>26777</v>
      </c>
      <c r="G168" s="123">
        <v>6743300</v>
      </c>
      <c r="H168" s="123">
        <v>30753</v>
      </c>
      <c r="I168" s="123">
        <v>30774</v>
      </c>
      <c r="J168" s="125">
        <v>30771</v>
      </c>
      <c r="K168" s="123">
        <v>1438700</v>
      </c>
      <c r="L168" s="127">
        <f t="shared" si="23"/>
        <v>180565344100</v>
      </c>
      <c r="M168" s="127">
        <f t="shared" si="22"/>
        <v>44270237700</v>
      </c>
      <c r="N168" s="125">
        <v>27073</v>
      </c>
      <c r="O168" s="125">
        <v>31082</v>
      </c>
      <c r="P168" s="125">
        <v>27068</v>
      </c>
      <c r="Q168" s="125">
        <v>31087</v>
      </c>
      <c r="R168" s="123"/>
      <c r="S168" s="123"/>
      <c r="T168" s="123"/>
      <c r="U168" s="123"/>
      <c r="V168" s="125">
        <v>27750</v>
      </c>
      <c r="X168" s="125">
        <v>27750</v>
      </c>
      <c r="Y168" s="125">
        <v>32035</v>
      </c>
      <c r="Z168" s="123"/>
      <c r="AA168" s="123"/>
      <c r="AB168" s="123"/>
      <c r="AC168" s="123"/>
      <c r="AD168" s="123"/>
      <c r="AE168" s="123"/>
      <c r="AF168" s="123"/>
      <c r="AG168" s="123"/>
      <c r="AH168" s="123"/>
      <c r="AI168" s="123"/>
      <c r="AJ168" s="123"/>
      <c r="AK168" s="123"/>
      <c r="AL168" s="123"/>
      <c r="AM168" s="123"/>
      <c r="AN168" s="123"/>
      <c r="AO168" s="123"/>
      <c r="AP168" s="123"/>
      <c r="AQ168" s="123"/>
      <c r="AR168" s="123"/>
      <c r="AS168" s="124"/>
      <c r="AT168" s="124"/>
      <c r="AU168" s="124"/>
      <c r="AV168" s="124"/>
      <c r="AW168" s="124"/>
      <c r="AX168" s="124"/>
      <c r="AY168" s="123"/>
      <c r="AZ168" s="123"/>
      <c r="BA168" s="123"/>
      <c r="BB168" s="123"/>
      <c r="BC168" s="123"/>
      <c r="BE168" s="126"/>
      <c r="BF168" s="126"/>
      <c r="BG168" s="126"/>
      <c r="BH168" s="126"/>
    </row>
    <row r="169" spans="1:62" s="132" customFormat="1" ht="21" customHeight="1">
      <c r="A169" s="128"/>
      <c r="B169" s="129" t="s">
        <v>450</v>
      </c>
      <c r="C169" s="130">
        <v>15</v>
      </c>
      <c r="D169" s="131">
        <v>26897</v>
      </c>
      <c r="E169" s="130">
        <v>26764</v>
      </c>
      <c r="F169" s="130">
        <v>26851</v>
      </c>
      <c r="G169" s="130">
        <v>9862800</v>
      </c>
      <c r="H169" s="130">
        <v>30700</v>
      </c>
      <c r="I169" s="130">
        <v>30670</v>
      </c>
      <c r="J169" s="132">
        <v>30693</v>
      </c>
      <c r="K169" s="130">
        <v>2610400</v>
      </c>
      <c r="L169" s="99">
        <f t="shared" si="23"/>
        <v>264826042800</v>
      </c>
      <c r="M169" s="99">
        <f t="shared" si="22"/>
        <v>80121007200</v>
      </c>
      <c r="N169" s="132">
        <v>27032</v>
      </c>
      <c r="O169" s="132">
        <v>30977</v>
      </c>
      <c r="P169" s="132">
        <v>27165</v>
      </c>
      <c r="Q169" s="132">
        <v>31007</v>
      </c>
      <c r="R169" s="130"/>
      <c r="S169" s="130"/>
      <c r="T169" s="130"/>
      <c r="U169" s="130"/>
      <c r="V169" s="132">
        <v>27810</v>
      </c>
      <c r="X169" s="132">
        <v>27870</v>
      </c>
      <c r="Y169" s="132">
        <v>32072</v>
      </c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  <c r="AQ169" s="130"/>
      <c r="AR169" s="130"/>
      <c r="AS169" s="131"/>
      <c r="AT169" s="131"/>
      <c r="AU169" s="131"/>
      <c r="AV169" s="131"/>
      <c r="AW169" s="131"/>
      <c r="AX169" s="131"/>
      <c r="AY169" s="130"/>
      <c r="AZ169" s="130"/>
      <c r="BA169" s="130"/>
      <c r="BB169" s="130"/>
      <c r="BC169" s="130"/>
      <c r="BE169" s="133"/>
      <c r="BF169" s="133"/>
      <c r="BG169" s="133"/>
      <c r="BH169" s="133"/>
    </row>
    <row r="170" spans="1:62" s="132" customFormat="1" ht="21" customHeight="1">
      <c r="A170" s="128"/>
      <c r="B170" s="129" t="s">
        <v>451</v>
      </c>
      <c r="C170" s="130">
        <v>16</v>
      </c>
      <c r="D170" s="131">
        <v>26818</v>
      </c>
      <c r="E170" s="130">
        <v>27022</v>
      </c>
      <c r="F170" s="130">
        <v>26830</v>
      </c>
      <c r="G170" s="130">
        <v>10046600</v>
      </c>
      <c r="H170" s="130">
        <v>30680</v>
      </c>
      <c r="I170" s="130">
        <v>30679</v>
      </c>
      <c r="J170" s="132">
        <v>30683</v>
      </c>
      <c r="K170" s="130">
        <v>2758900</v>
      </c>
      <c r="L170" s="99">
        <f t="shared" si="23"/>
        <v>269550278000</v>
      </c>
      <c r="M170" s="99">
        <f t="shared" si="22"/>
        <v>84651328700</v>
      </c>
      <c r="N170" s="132">
        <v>27292</v>
      </c>
      <c r="O170" s="132">
        <v>30986</v>
      </c>
      <c r="P170" s="132">
        <v>27086</v>
      </c>
      <c r="Q170" s="132">
        <v>30987</v>
      </c>
      <c r="R170" s="130"/>
      <c r="S170" s="130"/>
      <c r="T170" s="130"/>
      <c r="U170" s="130"/>
      <c r="V170" s="132">
        <v>27830</v>
      </c>
      <c r="X170" s="132">
        <v>27900</v>
      </c>
      <c r="Y170" s="132">
        <v>32107</v>
      </c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  <c r="AQ170" s="130"/>
      <c r="AR170" s="130"/>
      <c r="AS170" s="131"/>
      <c r="AT170" s="131"/>
      <c r="AU170" s="131"/>
      <c r="AV170" s="131"/>
      <c r="AW170" s="131"/>
      <c r="AX170" s="131"/>
      <c r="AY170" s="130"/>
      <c r="AZ170" s="130"/>
      <c r="BA170" s="130"/>
      <c r="BB170" s="130"/>
      <c r="BC170" s="130"/>
      <c r="BE170" s="133"/>
      <c r="BF170" s="133"/>
      <c r="BG170" s="133"/>
      <c r="BH170" s="133"/>
    </row>
    <row r="171" spans="1:62" s="132" customFormat="1" ht="21" customHeight="1">
      <c r="A171" s="128"/>
      <c r="B171" s="129" t="s">
        <v>453</v>
      </c>
      <c r="C171" s="130">
        <v>17</v>
      </c>
      <c r="D171" s="131">
        <v>27207</v>
      </c>
      <c r="E171" s="130">
        <v>27354</v>
      </c>
      <c r="F171" s="130">
        <v>27306</v>
      </c>
      <c r="G171" s="130">
        <v>8489900</v>
      </c>
      <c r="H171" s="130">
        <v>31137</v>
      </c>
      <c r="I171" s="130">
        <v>31294</v>
      </c>
      <c r="J171" s="132">
        <v>31148</v>
      </c>
      <c r="K171" s="130">
        <v>2332400</v>
      </c>
      <c r="L171" s="99"/>
      <c r="M171" s="99"/>
      <c r="N171" s="132">
        <v>27627</v>
      </c>
      <c r="O171" s="132">
        <v>31607</v>
      </c>
      <c r="P171" s="132">
        <v>27479</v>
      </c>
      <c r="Q171" s="132">
        <v>31449</v>
      </c>
      <c r="R171" s="130"/>
      <c r="S171" s="130"/>
      <c r="T171" s="130"/>
      <c r="U171" s="130"/>
      <c r="V171" s="132">
        <v>28020</v>
      </c>
      <c r="X171" s="132">
        <v>28100</v>
      </c>
      <c r="Y171" s="132">
        <v>32413</v>
      </c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  <c r="AQ171" s="130"/>
      <c r="AR171" s="130"/>
      <c r="AS171" s="131"/>
      <c r="AT171" s="131"/>
      <c r="AU171" s="131"/>
      <c r="AV171" s="131"/>
      <c r="AW171" s="131"/>
      <c r="AX171" s="131"/>
      <c r="AY171" s="130"/>
      <c r="AZ171" s="130"/>
      <c r="BA171" s="130"/>
      <c r="BB171" s="130"/>
      <c r="BC171" s="130"/>
      <c r="BE171" s="133"/>
      <c r="BF171" s="133"/>
      <c r="BG171" s="133"/>
      <c r="BH171" s="133"/>
    </row>
    <row r="172" spans="1:62" s="113" customFormat="1" ht="21" customHeight="1">
      <c r="A172" s="109"/>
      <c r="B172" s="110" t="s">
        <v>455</v>
      </c>
      <c r="C172" s="111">
        <v>18</v>
      </c>
      <c r="D172" s="112">
        <v>27352</v>
      </c>
      <c r="E172" s="111">
        <v>27227</v>
      </c>
      <c r="F172" s="111">
        <v>27270</v>
      </c>
      <c r="G172" s="111">
        <v>10298600</v>
      </c>
      <c r="H172" s="111">
        <v>31233</v>
      </c>
      <c r="I172" s="111">
        <v>31400</v>
      </c>
      <c r="J172" s="113">
        <v>31345</v>
      </c>
      <c r="K172" s="111">
        <v>1564600</v>
      </c>
      <c r="L172" s="134"/>
      <c r="M172" s="134"/>
      <c r="N172" s="113">
        <v>27499</v>
      </c>
      <c r="O172" s="113">
        <v>31714</v>
      </c>
      <c r="P172" s="113">
        <v>27625</v>
      </c>
      <c r="Q172" s="113">
        <v>31545</v>
      </c>
      <c r="R172" s="111"/>
      <c r="S172" s="111"/>
      <c r="T172" s="111"/>
      <c r="U172" s="111"/>
      <c r="V172" s="113">
        <v>28080</v>
      </c>
      <c r="X172" s="113">
        <v>28140</v>
      </c>
      <c r="Y172" s="113">
        <v>32543</v>
      </c>
      <c r="Z172" s="111"/>
      <c r="AA172" s="111"/>
      <c r="AB172" s="111"/>
      <c r="AC172" s="111"/>
      <c r="AD172" s="111"/>
      <c r="AE172" s="111"/>
      <c r="AF172" s="111"/>
      <c r="AG172" s="111"/>
      <c r="AH172" s="111"/>
      <c r="AI172" s="111"/>
      <c r="AJ172" s="111"/>
      <c r="AK172" s="111"/>
      <c r="AL172" s="111"/>
      <c r="AM172" s="111"/>
      <c r="AN172" s="111"/>
      <c r="AO172" s="111"/>
      <c r="AP172" s="111"/>
      <c r="AQ172" s="111"/>
      <c r="AR172" s="111"/>
      <c r="AS172" s="112"/>
      <c r="AT172" s="112"/>
      <c r="AU172" s="112"/>
      <c r="AV172" s="112"/>
      <c r="AW172" s="112"/>
      <c r="AX172" s="112"/>
      <c r="AY172" s="111"/>
      <c r="AZ172" s="111"/>
      <c r="BA172" s="111"/>
      <c r="BB172" s="111"/>
      <c r="BC172" s="111"/>
      <c r="BE172" s="114"/>
      <c r="BF172" s="114"/>
      <c r="BG172" s="114"/>
      <c r="BH172" s="114"/>
    </row>
    <row r="173" spans="1:62" ht="18">
      <c r="A173" s="7"/>
      <c r="B173" s="8"/>
      <c r="C173" s="8"/>
      <c r="D173" s="26"/>
      <c r="E173" s="8"/>
      <c r="F173" s="8"/>
      <c r="G173" s="8">
        <f>SUM(G2:G166)/165</f>
        <v>6472793.3272727272</v>
      </c>
      <c r="H173" s="8"/>
      <c r="I173" s="8"/>
      <c r="J173" s="8"/>
      <c r="K173" s="8">
        <f>SUM(K2:K126)</f>
        <v>125564600</v>
      </c>
      <c r="L173" s="8">
        <f>SUM(L2:L169)</f>
        <v>27296369347209</v>
      </c>
      <c r="M173" s="9">
        <f>SUM(M2:M169)</f>
        <v>5008813900300</v>
      </c>
      <c r="N173" s="9"/>
      <c r="O173" s="9"/>
      <c r="P173" s="9"/>
      <c r="Q173" s="9"/>
      <c r="R173" s="9"/>
      <c r="S173" s="9"/>
      <c r="T173" s="9"/>
      <c r="U173" s="9"/>
      <c r="V173" s="132">
        <v>28100</v>
      </c>
      <c r="W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Y173" s="9"/>
      <c r="AZ173" s="9"/>
      <c r="BA173" s="9"/>
      <c r="BB173" s="9"/>
      <c r="BC173" s="9"/>
      <c r="BD173" s="9"/>
      <c r="BE173" s="10"/>
      <c r="BF173" s="10"/>
      <c r="BG173" s="10"/>
      <c r="BH173" s="10"/>
      <c r="BI173" t="e">
        <f>#REF!-N173</f>
        <v>#REF!</v>
      </c>
      <c r="BJ173" t="e">
        <f>(Y173-O173)/O173</f>
        <v>#DIV/0!</v>
      </c>
    </row>
    <row r="174" spans="1:62" ht="18">
      <c r="D174" s="26"/>
      <c r="V174" s="135">
        <v>28090</v>
      </c>
      <c r="Z174" s="25"/>
      <c r="AB174" s="25"/>
      <c r="AS174" s="25"/>
      <c r="AW174" s="30"/>
    </row>
    <row r="175" spans="1:62" ht="18">
      <c r="D175" s="26"/>
      <c r="Z175" s="25"/>
      <c r="AS175" s="26"/>
      <c r="AW175" s="30"/>
      <c r="AY175">
        <f>AY51-AY50</f>
        <v>35000</v>
      </c>
    </row>
    <row r="176" spans="1:62" ht="18">
      <c r="Z176" s="25"/>
      <c r="AS176" s="26">
        <v>10290000</v>
      </c>
      <c r="AW176" s="30"/>
      <c r="BB176">
        <f>AY60-AY59</f>
        <v>70000</v>
      </c>
    </row>
    <row r="177" spans="4:49" ht="18">
      <c r="I177">
        <f>(G166-G173)/G173</f>
        <v>0.61930089067377581</v>
      </c>
      <c r="T177">
        <f>V137-X140</f>
        <v>-620</v>
      </c>
      <c r="V177" s="25"/>
      <c r="Z177" s="25"/>
      <c r="AS177" s="26"/>
      <c r="AU177">
        <f>AS176-AS49</f>
        <v>195000</v>
      </c>
      <c r="AW177" s="30">
        <f>AC52-AY51</f>
        <v>305000</v>
      </c>
    </row>
    <row r="178" spans="4:49" ht="18">
      <c r="D178" s="99">
        <v>9387100</v>
      </c>
      <c r="G178">
        <f>(G165-G173)/G173</f>
        <v>0.73452162495206896</v>
      </c>
      <c r="V178" s="25"/>
      <c r="Z178" s="25"/>
      <c r="AW178" s="30"/>
    </row>
    <row r="179" spans="4:49" ht="17.25" customHeight="1">
      <c r="D179" s="99">
        <v>7622400</v>
      </c>
      <c r="V179" s="25"/>
      <c r="Z179" s="25"/>
    </row>
    <row r="180" spans="4:49" ht="18">
      <c r="D180" s="99">
        <v>9805000</v>
      </c>
      <c r="V180" s="25"/>
      <c r="Z180" s="25"/>
      <c r="AW180">
        <f>AW177/AY51</f>
        <v>2.9539951573849879E-2</v>
      </c>
    </row>
    <row r="181" spans="4:49" ht="18">
      <c r="D181" s="99">
        <v>12098700</v>
      </c>
      <c r="V181" s="25"/>
    </row>
    <row r="182" spans="4:49" ht="18">
      <c r="D182" s="99">
        <v>8231300</v>
      </c>
      <c r="V182" s="25"/>
    </row>
    <row r="183" spans="4:49" ht="18">
      <c r="D183" s="117">
        <v>8525400</v>
      </c>
    </row>
    <row r="184" spans="4:49" ht="18">
      <c r="D184" s="117">
        <v>8525400</v>
      </c>
    </row>
    <row r="185" spans="4:49" ht="18">
      <c r="D185" s="123">
        <v>11227200</v>
      </c>
    </row>
    <row r="186" spans="4:49" ht="18">
      <c r="D186" s="117">
        <v>10481400</v>
      </c>
      <c r="G186" s="9">
        <v>8861800</v>
      </c>
    </row>
    <row r="187" spans="4:49" ht="18">
      <c r="D187" s="111">
        <v>10300800</v>
      </c>
      <c r="G187" s="9">
        <v>8230700</v>
      </c>
    </row>
    <row r="188" spans="4:49" ht="18">
      <c r="D188">
        <f>SUM(D178:D187)/10</f>
        <v>9620470</v>
      </c>
      <c r="G188" s="9">
        <v>8995300</v>
      </c>
    </row>
    <row r="189" spans="4:49" ht="18">
      <c r="G189" s="9">
        <v>10062100</v>
      </c>
    </row>
    <row r="190" spans="4:49" ht="18">
      <c r="G190" s="9">
        <v>8462400</v>
      </c>
    </row>
    <row r="191" spans="4:49">
      <c r="G191">
        <f>SUM(G186:G190)</f>
        <v>44612300</v>
      </c>
    </row>
  </sheetData>
  <autoFilter ref="A1:BL177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topLeftCell="B10" zoomScale="85" zoomScaleNormal="85" workbookViewId="0">
      <selection activeCell="E24" sqref="E24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>D30/6</f>
        <v>8773516.666666666</v>
      </c>
      <c r="F30" s="73">
        <v>10549600</v>
      </c>
      <c r="G30" s="73">
        <f>F30/6</f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>D31/6</f>
        <v>7857416.666666667</v>
      </c>
      <c r="F31" s="73">
        <v>4771400</v>
      </c>
      <c r="G31" s="73">
        <f>F31/6</f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>D32/6</f>
        <v>9300583.333333334</v>
      </c>
      <c r="F32" s="73">
        <v>9417800</v>
      </c>
      <c r="G32" s="73">
        <f>F32/6</f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2:7">
      <c r="B33">
        <f>(B2-B8)/B2</f>
        <v>0.15346494762288476</v>
      </c>
      <c r="C33">
        <f>(C2-C8)/C2</f>
        <v>0.1154959674639829</v>
      </c>
      <c r="D33">
        <f>SUM(D2:D16)/15</f>
        <v>29639479.933333334</v>
      </c>
    </row>
    <row r="37" spans="2:7">
      <c r="D37">
        <v>5375132</v>
      </c>
      <c r="E37">
        <f>(E17-D37)/D37</f>
        <v>4.5958809321644006E-2</v>
      </c>
      <c r="G37">
        <f t="shared" ref="G37:G45" si="0">B3-B2</f>
        <v>-554</v>
      </c>
    </row>
    <row r="38" spans="2:7">
      <c r="G38">
        <f t="shared" si="0"/>
        <v>-302</v>
      </c>
    </row>
    <row r="39" spans="2:7">
      <c r="C39">
        <f>(D37-E16)/E16</f>
        <v>0.17110375179746395</v>
      </c>
      <c r="G39">
        <f t="shared" si="0"/>
        <v>-511</v>
      </c>
    </row>
    <row r="40" spans="2:7">
      <c r="G40">
        <f t="shared" si="0"/>
        <v>-362</v>
      </c>
    </row>
    <row r="41" spans="2:7">
      <c r="G41">
        <f t="shared" si="0"/>
        <v>-1699</v>
      </c>
    </row>
    <row r="42" spans="2:7">
      <c r="G42">
        <f t="shared" si="0"/>
        <v>-381</v>
      </c>
    </row>
    <row r="43" spans="2:7">
      <c r="G43">
        <f t="shared" si="0"/>
        <v>1075</v>
      </c>
    </row>
    <row r="44" spans="2:7">
      <c r="G44">
        <f t="shared" si="0"/>
        <v>151</v>
      </c>
    </row>
    <row r="45" spans="2:7">
      <c r="G45">
        <f t="shared" si="0"/>
        <v>1043</v>
      </c>
    </row>
  </sheetData>
  <autoFilter ref="A1:K45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90"/>
  <sheetViews>
    <sheetView topLeftCell="A1270" zoomScale="85" zoomScaleNormal="85" workbookViewId="0">
      <selection activeCell="B1290" sqref="B1290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36" t="s">
        <v>246</v>
      </c>
      <c r="B1" s="136"/>
      <c r="C1" s="136"/>
      <c r="D1" s="136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36" t="s">
        <v>256</v>
      </c>
      <c r="B11" s="136"/>
      <c r="C11" s="136"/>
      <c r="D11" s="136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36" t="s">
        <v>258</v>
      </c>
      <c r="B21" s="136"/>
      <c r="C21" s="136"/>
      <c r="D21" s="136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36" t="s">
        <v>259</v>
      </c>
      <c r="B31" s="136"/>
      <c r="C31" s="136"/>
      <c r="D31" s="136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36" t="s">
        <v>260</v>
      </c>
      <c r="B41" s="136"/>
      <c r="C41" s="136"/>
      <c r="D41" s="136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36" t="s">
        <v>262</v>
      </c>
      <c r="B51" s="136"/>
      <c r="C51" s="136"/>
      <c r="D51" s="136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36" t="s">
        <v>263</v>
      </c>
      <c r="B61" s="136"/>
      <c r="C61" s="136"/>
      <c r="D61" s="136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36" t="s">
        <v>264</v>
      </c>
      <c r="B71" s="136"/>
      <c r="C71" s="136"/>
      <c r="D71" s="136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36" t="s">
        <v>265</v>
      </c>
      <c r="B81" s="136"/>
      <c r="C81" s="136"/>
      <c r="D81" s="136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36" t="s">
        <v>269</v>
      </c>
      <c r="B93" s="136"/>
      <c r="C93" s="136"/>
      <c r="D93" s="136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36" t="s">
        <v>270</v>
      </c>
      <c r="B103" s="136"/>
      <c r="C103" s="136"/>
      <c r="D103" s="136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36" t="s">
        <v>272</v>
      </c>
      <c r="B113" s="136"/>
      <c r="C113" s="136"/>
      <c r="D113" s="136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36" t="s">
        <v>273</v>
      </c>
      <c r="B123" s="136"/>
      <c r="C123" s="136"/>
      <c r="D123" s="136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36" t="s">
        <v>274</v>
      </c>
      <c r="B133" s="136"/>
      <c r="C133" s="136"/>
      <c r="D133" s="136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36" t="s">
        <v>275</v>
      </c>
      <c r="B143" s="136"/>
      <c r="C143" s="136"/>
      <c r="D143" s="136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36" t="s">
        <v>277</v>
      </c>
      <c r="B153" s="136"/>
      <c r="C153" s="136"/>
      <c r="D153" s="136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36" t="s">
        <v>278</v>
      </c>
      <c r="B163" s="136"/>
      <c r="C163" s="136"/>
      <c r="D163" s="136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36" t="s">
        <v>279</v>
      </c>
      <c r="B173" s="136"/>
      <c r="C173" s="136"/>
      <c r="D173" s="136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36" t="s">
        <v>280</v>
      </c>
      <c r="B183" s="136"/>
      <c r="C183" s="136"/>
      <c r="D183" s="136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36" t="s">
        <v>281</v>
      </c>
      <c r="B193" s="136"/>
      <c r="C193" s="136"/>
      <c r="D193" s="136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36" t="s">
        <v>282</v>
      </c>
      <c r="B203" s="136"/>
      <c r="C203" s="136"/>
      <c r="D203" s="136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36" t="s">
        <v>283</v>
      </c>
      <c r="B213" s="136"/>
      <c r="C213" s="136"/>
      <c r="D213" s="136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36" t="s">
        <v>284</v>
      </c>
      <c r="B223" s="136"/>
      <c r="C223" s="136"/>
      <c r="D223" s="136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36" t="s">
        <v>285</v>
      </c>
      <c r="B233" s="136"/>
      <c r="C233" s="136"/>
      <c r="D233" s="136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36" t="s">
        <v>286</v>
      </c>
      <c r="B243" s="136"/>
      <c r="C243" s="136"/>
      <c r="D243" s="136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36" t="s">
        <v>287</v>
      </c>
      <c r="B253" s="136"/>
      <c r="C253" s="136"/>
      <c r="D253" s="136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36" t="s">
        <v>288</v>
      </c>
      <c r="B263" s="136"/>
      <c r="C263" s="136"/>
      <c r="D263" s="136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36" t="s">
        <v>289</v>
      </c>
      <c r="B273" s="136"/>
      <c r="C273" s="136"/>
      <c r="D273" s="136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36" t="s">
        <v>290</v>
      </c>
      <c r="B283" s="136"/>
      <c r="C283" s="136"/>
      <c r="D283" s="136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36" t="s">
        <v>291</v>
      </c>
      <c r="B293" s="136"/>
      <c r="C293" s="136"/>
      <c r="D293" s="136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36" t="s">
        <v>292</v>
      </c>
      <c r="B303" s="136"/>
      <c r="C303" s="136"/>
      <c r="D303" s="136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36" t="s">
        <v>296</v>
      </c>
      <c r="B313" s="136"/>
      <c r="C313" s="136"/>
      <c r="D313" s="136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36" t="s">
        <v>300</v>
      </c>
      <c r="B324" s="136"/>
      <c r="C324" s="136"/>
      <c r="D324" s="136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36" t="s">
        <v>303</v>
      </c>
      <c r="B335" s="136"/>
      <c r="C335" s="136"/>
      <c r="D335" s="136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36" t="s">
        <v>304</v>
      </c>
      <c r="B346" s="136"/>
      <c r="C346" s="136"/>
      <c r="D346" s="136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36" t="s">
        <v>305</v>
      </c>
      <c r="B357" s="136"/>
      <c r="C357" s="136"/>
      <c r="D357" s="136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36" t="s">
        <v>306</v>
      </c>
      <c r="B368" s="136"/>
      <c r="C368" s="136"/>
      <c r="D368" s="136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36" t="s">
        <v>307</v>
      </c>
      <c r="B379" s="136"/>
      <c r="C379" s="136"/>
      <c r="D379" s="136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36" t="s">
        <v>308</v>
      </c>
      <c r="B390" s="136"/>
      <c r="C390" s="136"/>
      <c r="D390" s="136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36" t="s">
        <v>309</v>
      </c>
      <c r="B401" s="136"/>
      <c r="C401" s="136"/>
      <c r="D401" s="136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36" t="s">
        <v>310</v>
      </c>
      <c r="B412" s="136"/>
      <c r="C412" s="136"/>
      <c r="D412" s="136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36" t="s">
        <v>311</v>
      </c>
      <c r="B423" s="136"/>
      <c r="C423" s="136"/>
      <c r="D423" s="136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36" t="s">
        <v>315</v>
      </c>
      <c r="B434" s="136"/>
      <c r="C434" s="136"/>
      <c r="D434" s="136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36" t="s">
        <v>316</v>
      </c>
      <c r="B445" s="136"/>
      <c r="C445" s="136"/>
      <c r="D445" s="136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36" t="s">
        <v>317</v>
      </c>
      <c r="B456" s="136"/>
      <c r="C456" s="136"/>
      <c r="D456" s="136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36" t="s">
        <v>318</v>
      </c>
      <c r="B467" s="136"/>
      <c r="C467" s="136"/>
      <c r="D467" s="136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36" t="s">
        <v>319</v>
      </c>
      <c r="B478" s="136"/>
      <c r="C478" s="136"/>
      <c r="D478" s="136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36" t="s">
        <v>320</v>
      </c>
      <c r="B489" s="136"/>
      <c r="C489" s="136"/>
      <c r="D489" s="136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36" t="s">
        <v>323</v>
      </c>
      <c r="B500" s="136"/>
      <c r="C500" s="136"/>
      <c r="D500" s="136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36" t="s">
        <v>324</v>
      </c>
      <c r="B511" s="136"/>
      <c r="C511" s="136"/>
      <c r="D511" s="136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36" t="s">
        <v>325</v>
      </c>
      <c r="B522" s="136"/>
      <c r="C522" s="136"/>
      <c r="D522" s="136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36" t="s">
        <v>326</v>
      </c>
      <c r="B533" s="136"/>
      <c r="C533" s="136"/>
      <c r="D533" s="136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36" t="s">
        <v>327</v>
      </c>
      <c r="B544" s="136"/>
      <c r="C544" s="136"/>
      <c r="D544" s="136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36" t="s">
        <v>328</v>
      </c>
      <c r="B555" s="136"/>
      <c r="C555" s="136"/>
      <c r="D555" s="136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36" t="s">
        <v>328</v>
      </c>
      <c r="B567" s="136"/>
      <c r="C567" s="136"/>
      <c r="D567" s="136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36" t="s">
        <v>333</v>
      </c>
      <c r="B579" s="136"/>
      <c r="C579" s="136"/>
      <c r="D579" s="136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36" t="s">
        <v>334</v>
      </c>
      <c r="B590" s="136"/>
      <c r="C590" s="136"/>
      <c r="D590" s="136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36" t="s">
        <v>335</v>
      </c>
      <c r="B601" s="136"/>
      <c r="C601" s="136"/>
      <c r="D601" s="136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36" t="s">
        <v>336</v>
      </c>
      <c r="B612" s="136"/>
      <c r="C612" s="136"/>
      <c r="D612" s="136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36" t="s">
        <v>337</v>
      </c>
      <c r="B623" s="136"/>
      <c r="C623" s="136"/>
      <c r="D623" s="136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36" t="s">
        <v>338</v>
      </c>
      <c r="B635" s="136"/>
      <c r="C635" s="136"/>
      <c r="D635" s="136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36" t="s">
        <v>340</v>
      </c>
      <c r="B647" s="136"/>
      <c r="C647" s="136"/>
      <c r="D647" s="136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36" t="s">
        <v>341</v>
      </c>
      <c r="B658" s="136"/>
      <c r="C658" s="136"/>
      <c r="D658" s="136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36" t="s">
        <v>342</v>
      </c>
      <c r="B670" s="136"/>
      <c r="C670" s="136"/>
      <c r="D670" s="136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36" t="s">
        <v>343</v>
      </c>
      <c r="B681" s="136"/>
      <c r="C681" s="136"/>
      <c r="D681" s="136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36" t="s">
        <v>344</v>
      </c>
      <c r="B692" s="136"/>
      <c r="C692" s="136"/>
      <c r="D692" s="136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36" t="s">
        <v>345</v>
      </c>
      <c r="B703" s="136"/>
      <c r="C703" s="136"/>
      <c r="D703" s="136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36" t="s">
        <v>348</v>
      </c>
      <c r="B715" s="136"/>
      <c r="C715" s="136"/>
      <c r="D715" s="136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36" t="s">
        <v>349</v>
      </c>
      <c r="B726" s="136"/>
      <c r="C726" s="136"/>
      <c r="D726" s="136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36" t="s">
        <v>350</v>
      </c>
      <c r="B738" s="136"/>
      <c r="C738" s="136"/>
      <c r="D738" s="136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36" t="s">
        <v>351</v>
      </c>
      <c r="B749" s="136"/>
      <c r="C749" s="136"/>
      <c r="D749" s="136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36" t="s">
        <v>352</v>
      </c>
      <c r="B760" s="136"/>
      <c r="C760" s="136"/>
      <c r="D760" s="136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36" t="s">
        <v>353</v>
      </c>
      <c r="B772" s="136"/>
      <c r="C772" s="136"/>
      <c r="D772" s="136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36" t="s">
        <v>355</v>
      </c>
      <c r="B784" s="136"/>
      <c r="C784" s="136"/>
      <c r="D784" s="136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36" t="s">
        <v>356</v>
      </c>
      <c r="B796" s="136"/>
      <c r="C796" s="136"/>
      <c r="D796" s="136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36" t="s">
        <v>357</v>
      </c>
      <c r="B809" s="136"/>
      <c r="C809" s="136"/>
      <c r="D809" s="136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36" t="s">
        <v>358</v>
      </c>
      <c r="B820" s="136"/>
      <c r="C820" s="136"/>
      <c r="D820" s="136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36" t="s">
        <v>359</v>
      </c>
      <c r="B831" s="136"/>
      <c r="C831" s="136"/>
      <c r="D831" s="136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36" t="s">
        <v>360</v>
      </c>
      <c r="B842" s="136"/>
      <c r="C842" s="136"/>
      <c r="D842" s="136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36" t="s">
        <v>361</v>
      </c>
      <c r="B854" s="136"/>
      <c r="C854" s="136"/>
      <c r="D854" s="136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36" t="s">
        <v>363</v>
      </c>
      <c r="B865" s="136"/>
      <c r="C865" s="136"/>
      <c r="D865" s="136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36" t="s">
        <v>364</v>
      </c>
      <c r="B876" s="136"/>
      <c r="C876" s="136"/>
      <c r="D876" s="136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36" t="s">
        <v>367</v>
      </c>
      <c r="B888" s="136"/>
      <c r="C888" s="136"/>
      <c r="D888" s="136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36" t="s">
        <v>368</v>
      </c>
      <c r="B901" s="136"/>
      <c r="C901" s="136"/>
      <c r="D901" s="136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36" t="s">
        <v>369</v>
      </c>
      <c r="B913" s="136"/>
      <c r="C913" s="136"/>
      <c r="D913" s="136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36" t="s">
        <v>370</v>
      </c>
      <c r="B925" s="136"/>
      <c r="C925" s="136"/>
      <c r="D925" s="136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36" t="s">
        <v>371</v>
      </c>
      <c r="B937" s="136"/>
      <c r="C937" s="136"/>
      <c r="D937" s="136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36" t="s">
        <v>372</v>
      </c>
      <c r="B949" s="136"/>
      <c r="C949" s="136"/>
      <c r="D949" s="136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36" t="s">
        <v>400</v>
      </c>
      <c r="B961" s="136"/>
      <c r="C961" s="136"/>
      <c r="D961" s="136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36" t="s">
        <v>402</v>
      </c>
      <c r="B974" s="136"/>
      <c r="C974" s="136"/>
      <c r="D974" s="136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36" t="s">
        <v>404</v>
      </c>
      <c r="B987" s="136"/>
      <c r="C987" s="136"/>
      <c r="D987" s="136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36" t="s">
        <v>405</v>
      </c>
      <c r="B1000" s="136"/>
      <c r="C1000" s="136"/>
      <c r="D1000" s="136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36" t="s">
        <v>408</v>
      </c>
      <c r="B1012" s="136"/>
      <c r="C1012" s="136"/>
      <c r="D1012" s="136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36" t="s">
        <v>410</v>
      </c>
      <c r="B1025" s="136"/>
      <c r="C1025" s="136"/>
      <c r="D1025" s="136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36" t="s">
        <v>413</v>
      </c>
      <c r="B1037" s="136"/>
      <c r="C1037" s="136"/>
      <c r="D1037" s="136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36" t="s">
        <v>415</v>
      </c>
      <c r="B1049" s="136"/>
      <c r="C1049" s="136"/>
      <c r="D1049" s="136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36" t="s">
        <v>417</v>
      </c>
      <c r="B1061" s="136"/>
      <c r="C1061" s="136"/>
      <c r="D1061" s="136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36" t="s">
        <v>419</v>
      </c>
      <c r="B1073" s="136"/>
      <c r="C1073" s="136"/>
      <c r="D1073" s="136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36" t="s">
        <v>421</v>
      </c>
      <c r="B1085" s="136"/>
      <c r="C1085" s="136"/>
      <c r="D1085" s="136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36" t="s">
        <v>423</v>
      </c>
      <c r="B1098" s="136"/>
      <c r="C1098" s="136"/>
      <c r="D1098" s="136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36" t="s">
        <v>426</v>
      </c>
      <c r="B1110" s="136"/>
      <c r="C1110" s="136"/>
      <c r="D1110" s="136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36" t="s">
        <v>428</v>
      </c>
      <c r="B1123" s="136"/>
      <c r="C1123" s="136"/>
      <c r="D1123" s="136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36" t="s">
        <v>430</v>
      </c>
      <c r="B1136" s="136"/>
      <c r="C1136" s="136"/>
      <c r="D1136" s="136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36" t="s">
        <v>432</v>
      </c>
      <c r="B1149" s="136"/>
      <c r="C1149" s="136"/>
      <c r="D1149" s="136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36" t="s">
        <v>434</v>
      </c>
      <c r="B1162" s="136"/>
      <c r="C1162" s="136"/>
      <c r="D1162" s="136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36" t="s">
        <v>437</v>
      </c>
      <c r="B1173" s="136"/>
      <c r="C1173" s="136"/>
      <c r="D1173" s="136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36" t="s">
        <v>439</v>
      </c>
      <c r="B1185" s="136"/>
      <c r="C1185" s="136"/>
      <c r="D1185" s="136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36" t="s">
        <v>441</v>
      </c>
      <c r="B1197" s="136"/>
      <c r="C1197" s="136"/>
      <c r="D1197" s="136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36" t="s">
        <v>443</v>
      </c>
      <c r="B1209" s="136"/>
      <c r="C1209" s="136"/>
      <c r="D1209" s="136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36" t="s">
        <v>445</v>
      </c>
      <c r="B1222" s="136"/>
      <c r="C1222" s="136"/>
      <c r="D1222" s="136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36" t="s">
        <v>447</v>
      </c>
      <c r="B1234" s="136"/>
      <c r="C1234" s="136"/>
      <c r="D1234" s="136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36" t="s">
        <v>449</v>
      </c>
      <c r="B1246" s="136"/>
      <c r="C1246" s="136"/>
      <c r="D1246" s="136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36" t="s">
        <v>452</v>
      </c>
      <c r="B1258" s="136"/>
      <c r="C1258" s="136"/>
      <c r="D1258" s="136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36" t="s">
        <v>454</v>
      </c>
      <c r="B1270" s="136"/>
      <c r="C1270" s="136"/>
      <c r="D1270" s="136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36" t="s">
        <v>456</v>
      </c>
      <c r="B1282" s="136"/>
      <c r="C1282" s="136"/>
      <c r="D1282" s="136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</sheetData>
  <mergeCells count="115">
    <mergeCell ref="A1282:D1282"/>
    <mergeCell ref="A1270:D1270"/>
    <mergeCell ref="A1258:D1258"/>
    <mergeCell ref="A1246:D1246"/>
    <mergeCell ref="A253:D253"/>
    <mergeCell ref="A263:D263"/>
    <mergeCell ref="A273:D273"/>
    <mergeCell ref="A283:D283"/>
    <mergeCell ref="A293:D293"/>
    <mergeCell ref="A303:D303"/>
    <mergeCell ref="A313:D313"/>
    <mergeCell ref="A357:D357"/>
    <mergeCell ref="A368:D368"/>
    <mergeCell ref="A379:D379"/>
    <mergeCell ref="A390:D390"/>
    <mergeCell ref="A401:D401"/>
    <mergeCell ref="A324:D324"/>
    <mergeCell ref="A335:D335"/>
    <mergeCell ref="A346:D346"/>
    <mergeCell ref="A692:D692"/>
    <mergeCell ref="A703:D703"/>
    <mergeCell ref="A715:D715"/>
    <mergeCell ref="A726:D726"/>
    <mergeCell ref="A738:D738"/>
    <mergeCell ref="A635:D635"/>
    <mergeCell ref="A647:D647"/>
    <mergeCell ref="A133:D133"/>
    <mergeCell ref="A143:D14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445:D445"/>
    <mergeCell ref="A456:D456"/>
    <mergeCell ref="A113:D113"/>
    <mergeCell ref="A123:D123"/>
    <mergeCell ref="A658:D658"/>
    <mergeCell ref="A670:D670"/>
    <mergeCell ref="A681:D681"/>
    <mergeCell ref="A809:D809"/>
    <mergeCell ref="A820:D820"/>
    <mergeCell ref="A831:D831"/>
    <mergeCell ref="A842:D842"/>
    <mergeCell ref="A854:D854"/>
    <mergeCell ref="A749:D749"/>
    <mergeCell ref="A760:D760"/>
    <mergeCell ref="A772:D772"/>
    <mergeCell ref="A784:D784"/>
    <mergeCell ref="A796:D796"/>
    <mergeCell ref="A987:D987"/>
    <mergeCell ref="A1012:D1012"/>
    <mergeCell ref="A961:D961"/>
    <mergeCell ref="A925:D925"/>
    <mergeCell ref="A937:D937"/>
    <mergeCell ref="A949:D949"/>
    <mergeCell ref="A974:D974"/>
    <mergeCell ref="A865:D865"/>
    <mergeCell ref="A876:D876"/>
    <mergeCell ref="A888:D888"/>
    <mergeCell ref="A901:D901"/>
    <mergeCell ref="A913:D913"/>
    <mergeCell ref="A1049:D1049"/>
    <mergeCell ref="A1037:D1037"/>
    <mergeCell ref="A1098:D1098"/>
    <mergeCell ref="A1085:D1085"/>
    <mergeCell ref="A1073:D1073"/>
    <mergeCell ref="A1061:D1061"/>
    <mergeCell ref="A1185:D1185"/>
    <mergeCell ref="A1025:D1025"/>
    <mergeCell ref="A1000:D1000"/>
    <mergeCell ref="A1234:D1234"/>
    <mergeCell ref="A1209:D1209"/>
    <mergeCell ref="A1197:D1197"/>
    <mergeCell ref="A1173:D1173"/>
    <mergeCell ref="A1162:D1162"/>
    <mergeCell ref="A1149:D1149"/>
    <mergeCell ref="A1136:D1136"/>
    <mergeCell ref="A1123:D1123"/>
    <mergeCell ref="A1110:D1110"/>
    <mergeCell ref="A1222:D1222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C13" sqref="C13"/>
    </sheetView>
  </sheetViews>
  <sheetFormatPr defaultColWidth="8.5703125" defaultRowHeight="15"/>
  <cols>
    <col min="1" max="1" width="23.7109375" style="88" customWidth="1"/>
    <col min="2" max="2" width="22.140625" style="88" customWidth="1"/>
    <col min="3" max="3" width="22.5703125" style="88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37" t="s">
        <v>373</v>
      </c>
      <c r="B1" s="137"/>
      <c r="C1" s="137"/>
    </row>
    <row r="2" spans="1:6" ht="24.95" customHeight="1">
      <c r="A2" s="89"/>
      <c r="B2" s="89" t="s">
        <v>374</v>
      </c>
      <c r="C2" s="89" t="s">
        <v>375</v>
      </c>
    </row>
    <row r="3" spans="1:6" ht="24.95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5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5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5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5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5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5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106"/>
  <sheetViews>
    <sheetView zoomScale="85" zoomScaleNormal="85" workbookViewId="0">
      <selection activeCell="J20" sqref="J20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06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06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06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13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13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13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13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13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13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13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13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13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13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  <c r="J106">
        <v>0.14000000000000001</v>
      </c>
      <c r="K106">
        <v>0.25</v>
      </c>
      <c r="L106">
        <v>7.0000000000000007E-2</v>
      </c>
      <c r="M106">
        <v>0.93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2021-11-09T12:56:25Z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