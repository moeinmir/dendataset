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B57C7F07-AACF-4FDF-A90A-3135F988E8B9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set'!$A$1:$BL$162</definedName>
    <definedName name="_xlnm._FilterDatabase" localSheetId="1" hidden="1">weekly!$A$1:$K$43</definedName>
  </definedNames>
  <calcPr calcId="18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G158" i="1"/>
  <c r="F162" i="1" s="1"/>
  <c r="M149" i="1" l="1"/>
  <c r="L149" i="1"/>
  <c r="G162" i="1" l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K51" i="3"/>
  <c r="J51" i="3"/>
  <c r="G43" i="2"/>
  <c r="G42" i="2"/>
  <c r="G41" i="2"/>
  <c r="G40" i="2"/>
  <c r="G39" i="2"/>
  <c r="G38" i="2"/>
  <c r="G37" i="2"/>
  <c r="G36" i="2"/>
  <c r="G35" i="2"/>
  <c r="D31" i="2"/>
  <c r="C31" i="2"/>
  <c r="B31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5" i="2" s="1"/>
  <c r="G16" i="2"/>
  <c r="E16" i="2"/>
  <c r="C37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76" i="1"/>
  <c r="AW162" i="1"/>
  <c r="AW165" i="1" s="1"/>
  <c r="AU162" i="1"/>
  <c r="T162" i="1"/>
  <c r="BB161" i="1"/>
  <c r="AY160" i="1"/>
  <c r="BJ158" i="1"/>
  <c r="BI158" i="1"/>
  <c r="K158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158" i="1" l="1"/>
  <c r="U1" i="1" s="1"/>
  <c r="L158" i="1"/>
  <c r="S1" i="1" s="1"/>
</calcChain>
</file>

<file path=xl/sharedStrings.xml><?xml version="1.0" encoding="utf-8"?>
<sst xmlns="http://schemas.openxmlformats.org/spreadsheetml/2006/main" count="1333" uniqueCount="425">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</sst>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106944560"/>
        <c:axId val="1106948368"/>
      </c:lineChart>
      <c:catAx>
        <c:axId val="1106944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48368"/>
        <c:crosses val="autoZero"/>
        <c:auto val="1"/>
        <c:lblAlgn val="ctr"/>
        <c:lblOffset val="100"/>
        <c:noMultiLvlLbl val="0"/>
      </c:catAx>
      <c:valAx>
        <c:axId val="11069483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4456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4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1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0EF-427D-B6C0-B97D14DC0F20}"/>
                </c:ext>
              </c:extLst>
            </c:dLbl>
            <c:dLbl>
              <c:idx val="2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0EF-427D-B6C0-B97D14DC0F20}"/>
                </c:ext>
              </c:extLst>
            </c:dLbl>
            <c:dLbl>
              <c:idx val="3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0EF-427D-B6C0-B97D14DC0F20}"/>
                </c:ext>
              </c:extLst>
            </c:dLbl>
            <c:dLbl>
              <c:idx val="22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A6B-4C9B-BEA2-8EBE6A749D67}"/>
                </c:ext>
              </c:extLst>
            </c:dLbl>
            <c:dLbl>
              <c:idx val="23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A6B-4C9B-BEA2-8EBE6A749D67}"/>
                </c:ext>
              </c:extLst>
            </c:dLbl>
            <c:dLbl>
              <c:idx val="25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weekly!$B$27:$B$30</c:f>
              <c:numCache>
                <c:formatCode>General</c:formatCode>
                <c:ptCount val="4"/>
                <c:pt idx="0">
                  <c:v>27044</c:v>
                </c:pt>
                <c:pt idx="1">
                  <c:v>27336</c:v>
                </c:pt>
                <c:pt idx="2">
                  <c:v>26563</c:v>
                </c:pt>
                <c:pt idx="3">
                  <c:v>26392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22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6B-4C9B-BEA2-8EBE6A749D67}"/>
                </c:ext>
              </c:extLst>
            </c:dLbl>
            <c:dLbl>
              <c:idx val="23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A6B-4C9B-BEA2-8EBE6A749D67}"/>
                </c:ext>
              </c:extLst>
            </c:dLbl>
            <c:dLbl>
              <c:idx val="24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335-4297-AE12-FD7A52582D17}"/>
                </c:ext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weekly!$H$27:$H$30</c:f>
              <c:numCache>
                <c:formatCode>General</c:formatCode>
                <c:ptCount val="4"/>
                <c:pt idx="0">
                  <c:v>27477</c:v>
                </c:pt>
                <c:pt idx="1">
                  <c:v>27595</c:v>
                </c:pt>
                <c:pt idx="2">
                  <c:v>26765</c:v>
                </c:pt>
                <c:pt idx="3">
                  <c:v>26689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6-4A6B-4C9B-BEA2-8EBE6A749D67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07-4A6B-4C9B-BEA2-8EBE6A749D67}"/>
              </c:ext>
            </c:extLst>
          </c:dPt>
          <c:dLbls>
            <c:dLbl>
              <c:idx val="22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A6B-4C9B-BEA2-8EBE6A749D67}"/>
                </c:ext>
              </c:extLst>
            </c:dLbl>
            <c:dLbl>
              <c:idx val="23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A6B-4C9B-BEA2-8EBE6A749D67}"/>
                </c:ext>
              </c:extLst>
            </c:dLbl>
            <c:dLbl>
              <c:idx val="24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335-4297-AE12-FD7A52582D17}"/>
                </c:ext>
              </c:extLst>
            </c:dLbl>
            <c:dLbl>
              <c:idx val="25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weekly!$J$27:$J$30</c:f>
              <c:numCache>
                <c:formatCode>General</c:formatCode>
                <c:ptCount val="4"/>
                <c:pt idx="0">
                  <c:v>27956</c:v>
                </c:pt>
                <c:pt idx="1">
                  <c:v>28052</c:v>
                </c:pt>
                <c:pt idx="2">
                  <c:v>27350</c:v>
                </c:pt>
                <c:pt idx="3">
                  <c:v>27260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106951632"/>
        <c:axId val="1106942928"/>
      </c:lineChart>
      <c:catAx>
        <c:axId val="1106951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42928"/>
        <c:crosses val="autoZero"/>
        <c:auto val="1"/>
        <c:lblAlgn val="ctr"/>
        <c:lblOffset val="100"/>
        <c:noMultiLvlLbl val="0"/>
      </c:catAx>
      <c:valAx>
        <c:axId val="1106942928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5163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سی‌ام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E8-4145-A60B-43B500812B91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E8-4145-A60B-43B500812B91}"/>
                </c:ext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E-436C-A9BB-3DBAF1E006DD}"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6A-4CAF-B6B8-3F5B614E8FAC}"/>
                </c:ext>
              </c:extLst>
            </c:dLbl>
            <c:dLbl>
              <c:idx val="28"/>
              <c:layout>
                <c:manualLayout>
                  <c:x val="-1.5401540154015402E-3"/>
                  <c:y val="-4.50223816594469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6A-4CAF-B6B8-3F5B614E8FA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weekly!$A$2:$A$30</c:f>
              <c:strCache>
                <c:ptCount val="2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</c:strCache>
            </c:strRef>
          </c:cat>
          <c:val>
            <c:numRef>
              <c:f>weekly!$D$2:$D$30</c:f>
              <c:numCache>
                <c:formatCode>General</c:formatCode>
                <c:ptCount val="2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106943472"/>
        <c:axId val="1106952176"/>
      </c:lineChart>
      <c:catAx>
        <c:axId val="110694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52176"/>
        <c:crosses val="autoZero"/>
        <c:auto val="1"/>
        <c:lblAlgn val="ctr"/>
        <c:lblOffset val="100"/>
        <c:noMultiLvlLbl val="0"/>
      </c:catAx>
      <c:valAx>
        <c:axId val="11069521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4347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106940752"/>
        <c:axId val="1106953264"/>
      </c:lineChart>
      <c:catAx>
        <c:axId val="110694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53264"/>
        <c:crosses val="autoZero"/>
        <c:auto val="1"/>
        <c:lblAlgn val="ctr"/>
        <c:lblOffset val="100"/>
        <c:noMultiLvlLbl val="0"/>
      </c:catAx>
      <c:valAx>
        <c:axId val="11069532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4075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سی‌ام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1D-49A9-907B-2363034A6B1C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1D-49A9-907B-2363034A6B1C}"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DF-4AE7-8684-64A5EFB11BE8}"/>
                </c:ext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D23-4439-85DA-77C50BC6EA06}"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5F-4DB6-BE2A-EB20F30F38A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weekly!$A$2:$A$30</c:f>
              <c:strCache>
                <c:ptCount val="2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</c:strCache>
            </c:strRef>
          </c:cat>
          <c:val>
            <c:numRef>
              <c:f>weekly!$F$2:$F$30</c:f>
              <c:numCache>
                <c:formatCode>General</c:formatCode>
                <c:ptCount val="2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106945648"/>
        <c:axId val="1106944016"/>
      </c:lineChart>
      <c:catAx>
        <c:axId val="1106945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44016"/>
        <c:crosses val="autoZero"/>
        <c:auto val="1"/>
        <c:lblAlgn val="ctr"/>
        <c:lblOffset val="100"/>
        <c:noMultiLvlLbl val="0"/>
      </c:catAx>
      <c:valAx>
        <c:axId val="11069440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4564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4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0-0BBE-4E44-BDAC-CC9F5E863344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01-0BBE-4E44-BDAC-CC9F5E86334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weekly!$C$27:$C$30</c:f>
              <c:numCache>
                <c:formatCode>General</c:formatCode>
                <c:ptCount val="4"/>
                <c:pt idx="0">
                  <c:v>31502</c:v>
                </c:pt>
                <c:pt idx="1">
                  <c:v>31709</c:v>
                </c:pt>
                <c:pt idx="2">
                  <c:v>30553</c:v>
                </c:pt>
                <c:pt idx="3">
                  <c:v>30372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3-0BBE-4E44-BDAC-CC9F5E863344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04-0BBE-4E44-BDAC-CC9F5E86334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weekly!$K$27:$K$30</c:f>
              <c:numCache>
                <c:formatCode>General</c:formatCode>
                <c:ptCount val="4"/>
                <c:pt idx="0">
                  <c:v>32547</c:v>
                </c:pt>
                <c:pt idx="1">
                  <c:v>32567</c:v>
                </c:pt>
                <c:pt idx="2">
                  <c:v>31679</c:v>
                </c:pt>
                <c:pt idx="3">
                  <c:v>31685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6-0BBE-4E44-BDAC-CC9F5E863344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07-0BBE-4E44-BDAC-CC9F5E863344}"/>
              </c:ext>
            </c:extLst>
          </c:dPt>
          <c:dLbls>
            <c:dLbl>
              <c:idx val="1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C6-4A54-9D76-EFE6ED99BC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weekly!$I$27:$I$30</c:f>
              <c:numCache>
                <c:formatCode>General</c:formatCode>
                <c:ptCount val="4"/>
                <c:pt idx="0">
                  <c:v>32099</c:v>
                </c:pt>
                <c:pt idx="1">
                  <c:v>31880</c:v>
                </c:pt>
                <c:pt idx="2">
                  <c:v>30811</c:v>
                </c:pt>
                <c:pt idx="3">
                  <c:v>30754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106953808"/>
        <c:axId val="1106945104"/>
      </c:lineChart>
      <c:catAx>
        <c:axId val="1106953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45104"/>
        <c:crosses val="autoZero"/>
        <c:auto val="1"/>
        <c:lblAlgn val="ctr"/>
        <c:lblOffset val="100"/>
        <c:noMultiLvlLbl val="0"/>
      </c:catAx>
      <c:valAx>
        <c:axId val="1106945104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5380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6939664"/>
        <c:axId val="1106940208"/>
      </c:barChart>
      <c:catAx>
        <c:axId val="110693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40208"/>
        <c:crosses val="autoZero"/>
        <c:auto val="1"/>
        <c:lblAlgn val="ctr"/>
        <c:lblOffset val="100"/>
        <c:noMultiLvlLbl val="0"/>
      </c:catAx>
      <c:valAx>
        <c:axId val="11069402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3966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چهارشنبه(28مهر سال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11"/>
          <c:order val="11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change'!$F$93:$I$93</c:f>
              <c:numCache>
                <c:formatCode>General</c:formatCode>
                <c:ptCount val="4"/>
                <c:pt idx="0">
                  <c:v>-0.21913805697589481</c:v>
                </c:pt>
                <c:pt idx="1">
                  <c:v>-0.21276595744680851</c:v>
                </c:pt>
                <c:pt idx="2">
                  <c:v>-0.4013261210957948</c:v>
                </c:pt>
                <c:pt idx="3">
                  <c:v>-0.91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F0-496E-B0DB-3498822713E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06954352"/>
        <c:axId val="110694673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</c:ext>
        </c:extLst>
      </c:barChart>
      <c:catAx>
        <c:axId val="1106954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46736"/>
        <c:crosses val="autoZero"/>
        <c:auto val="1"/>
        <c:lblAlgn val="ctr"/>
        <c:lblOffset val="100"/>
        <c:noMultiLvlLbl val="0"/>
      </c:catAx>
      <c:valAx>
        <c:axId val="11069467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1069543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585</xdr:row>
      <xdr:rowOff>102960</xdr:rowOff>
    </xdr:from>
    <xdr:to>
      <xdr:col>11</xdr:col>
      <xdr:colOff>279360</xdr:colOff>
      <xdr:row>615</xdr:row>
      <xdr:rowOff>102240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165</xdr:row>
      <xdr:rowOff>27711</xdr:rowOff>
    </xdr:from>
    <xdr:to>
      <xdr:col>41</xdr:col>
      <xdr:colOff>533400</xdr:colOff>
      <xdr:row>270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301</xdr:row>
      <xdr:rowOff>0</xdr:rowOff>
    </xdr:from>
    <xdr:to>
      <xdr:col>82</xdr:col>
      <xdr:colOff>0</xdr:colOff>
      <xdr:row>377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620</xdr:row>
      <xdr:rowOff>0</xdr:rowOff>
    </xdr:from>
    <xdr:to>
      <xdr:col>13</xdr:col>
      <xdr:colOff>354240</xdr:colOff>
      <xdr:row>650</xdr:row>
      <xdr:rowOff>53640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400</xdr:row>
      <xdr:rowOff>0</xdr:rowOff>
    </xdr:from>
    <xdr:to>
      <xdr:col>83</xdr:col>
      <xdr:colOff>533400</xdr:colOff>
      <xdr:row>499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48</xdr:row>
      <xdr:rowOff>76321</xdr:rowOff>
    </xdr:from>
    <xdr:to>
      <xdr:col>44</xdr:col>
      <xdr:colOff>533400</xdr:colOff>
      <xdr:row>147</xdr:row>
      <xdr:rowOff>76200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25</xdr:row>
      <xdr:rowOff>104400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176"/>
  <sheetViews>
    <sheetView topLeftCell="J1" zoomScaleNormal="100" workbookViewId="0">
      <selection activeCell="K152" sqref="K152"/>
    </sheetView>
  </sheetViews>
  <sheetFormatPr defaultColWidth="8.5546875" defaultRowHeight="14.4"/>
  <cols>
    <col min="1" max="1" width="14.6640625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4.664062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9.109375" customWidth="1"/>
    <col min="62" max="63" width="8.88671875" customWidth="1"/>
    <col min="64" max="64" width="9.10937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L158/G158</f>
        <v>3581474.6721000345</v>
      </c>
      <c r="T1" s="3" t="s">
        <v>15</v>
      </c>
      <c r="U1" s="3">
        <f>M158/K158</f>
        <v>32160.155188643934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K158/K62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57" si="21">F130*G130</f>
        <v>134799608200</v>
      </c>
      <c r="M130" s="12">
        <f t="shared" ref="M130:M157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2" s="96" customFormat="1" ht="21" hidden="1" customHeight="1">
      <c r="A145" s="92"/>
      <c r="B145" s="93" t="s">
        <v>209</v>
      </c>
      <c r="C145" s="94">
        <v>14</v>
      </c>
      <c r="D145" s="95">
        <v>27249</v>
      </c>
      <c r="E145" s="94">
        <v>27271</v>
      </c>
      <c r="F145" s="94">
        <v>27376</v>
      </c>
      <c r="G145" s="94">
        <v>4049300</v>
      </c>
      <c r="H145" s="94">
        <v>31582</v>
      </c>
      <c r="I145" s="94">
        <v>31470</v>
      </c>
      <c r="J145" s="94">
        <v>31690</v>
      </c>
      <c r="K145" s="94">
        <v>376700</v>
      </c>
      <c r="L145" s="94">
        <f t="shared" si="21"/>
        <v>110853636800</v>
      </c>
      <c r="M145" s="94">
        <f t="shared" si="22"/>
        <v>11937623000</v>
      </c>
      <c r="N145" s="96">
        <v>27544</v>
      </c>
      <c r="O145" s="96">
        <v>31785</v>
      </c>
      <c r="P145" s="96">
        <v>27522</v>
      </c>
      <c r="Q145" s="96">
        <v>31898</v>
      </c>
      <c r="R145" s="94"/>
      <c r="S145" s="94"/>
      <c r="T145" s="94"/>
      <c r="U145" s="94"/>
      <c r="V145" s="96">
        <v>28150</v>
      </c>
      <c r="X145" s="96">
        <v>27980</v>
      </c>
      <c r="Y145" s="96">
        <v>32400</v>
      </c>
      <c r="Z145" s="94"/>
      <c r="AA145" s="94"/>
      <c r="AB145" s="94"/>
      <c r="AC145" s="94"/>
      <c r="AD145" s="94"/>
      <c r="AE145" s="94"/>
      <c r="AF145" s="94"/>
      <c r="AG145" s="94"/>
      <c r="AH145" s="94"/>
      <c r="AI145" s="94"/>
      <c r="AJ145" s="94"/>
      <c r="AK145" s="94"/>
      <c r="AL145" s="94"/>
      <c r="AM145" s="94"/>
      <c r="AN145" s="94"/>
      <c r="AO145" s="94"/>
      <c r="AP145" s="94"/>
      <c r="AQ145" s="94"/>
      <c r="AR145" s="94"/>
      <c r="AS145" s="95"/>
      <c r="AT145" s="95"/>
      <c r="AU145" s="95"/>
      <c r="AV145" s="95"/>
      <c r="AW145" s="95"/>
      <c r="AX145" s="95"/>
      <c r="AY145" s="94"/>
      <c r="AZ145" s="94"/>
      <c r="BA145" s="94"/>
      <c r="BB145" s="94"/>
      <c r="BC145" s="94"/>
      <c r="BE145" s="97"/>
      <c r="BF145" s="97"/>
      <c r="BG145" s="97"/>
      <c r="BH145" s="97"/>
    </row>
    <row r="146" spans="1:62" s="102" customFormat="1" ht="21" customHeight="1">
      <c r="A146" s="98"/>
      <c r="B146" s="99" t="s">
        <v>399</v>
      </c>
      <c r="C146" s="100">
        <v>17</v>
      </c>
      <c r="D146" s="101">
        <v>27020</v>
      </c>
      <c r="E146" s="100">
        <v>26869</v>
      </c>
      <c r="F146" s="100">
        <v>26987</v>
      </c>
      <c r="G146" s="100">
        <v>7931300</v>
      </c>
      <c r="H146" s="100">
        <v>31470</v>
      </c>
      <c r="I146" s="100">
        <v>31495</v>
      </c>
      <c r="J146" s="100">
        <v>31436</v>
      </c>
      <c r="K146" s="100">
        <v>504700</v>
      </c>
      <c r="L146" s="100">
        <f t="shared" si="21"/>
        <v>214041993100</v>
      </c>
      <c r="M146" s="100">
        <f t="shared" si="22"/>
        <v>15865749200</v>
      </c>
      <c r="N146" s="102">
        <v>27138</v>
      </c>
      <c r="O146" s="102">
        <v>31810</v>
      </c>
      <c r="P146" s="102">
        <v>27290</v>
      </c>
      <c r="Q146" s="102">
        <v>31785</v>
      </c>
      <c r="R146" s="100"/>
      <c r="S146" s="100"/>
      <c r="T146" s="100"/>
      <c r="U146" s="100"/>
      <c r="V146" s="102">
        <v>27880</v>
      </c>
      <c r="X146" s="102">
        <v>27750</v>
      </c>
      <c r="Y146" s="102">
        <v>32224</v>
      </c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  <c r="AN146" s="100"/>
      <c r="AO146" s="100"/>
      <c r="AP146" s="100"/>
      <c r="AQ146" s="100"/>
      <c r="AR146" s="100"/>
      <c r="AS146" s="101"/>
      <c r="AT146" s="101"/>
      <c r="AU146" s="101"/>
      <c r="AV146" s="101"/>
      <c r="AW146" s="101"/>
      <c r="AX146" s="101"/>
      <c r="AY146" s="100"/>
      <c r="AZ146" s="100"/>
      <c r="BA146" s="100"/>
      <c r="BB146" s="100"/>
      <c r="BC146" s="100"/>
      <c r="BE146" s="103"/>
      <c r="BF146" s="103"/>
      <c r="BG146" s="103"/>
      <c r="BH146" s="103"/>
    </row>
    <row r="147" spans="1:62" s="102" customFormat="1" ht="21" customHeight="1">
      <c r="A147" s="98"/>
      <c r="B147" s="99" t="s">
        <v>401</v>
      </c>
      <c r="C147" s="100">
        <v>18</v>
      </c>
      <c r="D147" s="101">
        <v>26552</v>
      </c>
      <c r="E147" s="100">
        <v>26617</v>
      </c>
      <c r="F147" s="100">
        <v>26650</v>
      </c>
      <c r="G147" s="100">
        <v>6622400</v>
      </c>
      <c r="H147" s="100">
        <v>31400</v>
      </c>
      <c r="I147" s="100">
        <v>30450</v>
      </c>
      <c r="J147" s="100">
        <v>30816</v>
      </c>
      <c r="K147" s="100">
        <v>1092900</v>
      </c>
      <c r="L147" s="100">
        <f t="shared" si="21"/>
        <v>176486960000</v>
      </c>
      <c r="M147" s="100">
        <f t="shared" si="22"/>
        <v>33678806400</v>
      </c>
      <c r="N147" s="102">
        <v>26883</v>
      </c>
      <c r="O147" s="102">
        <v>30754</v>
      </c>
      <c r="P147" s="102">
        <v>26817</v>
      </c>
      <c r="Q147" s="102">
        <v>31714</v>
      </c>
      <c r="R147" s="100"/>
      <c r="S147" s="100"/>
      <c r="T147" s="100"/>
      <c r="U147" s="100"/>
      <c r="V147" s="102">
        <v>27550</v>
      </c>
      <c r="X147" s="102">
        <v>27550</v>
      </c>
      <c r="Y147" s="102">
        <v>31842</v>
      </c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  <c r="AN147" s="100"/>
      <c r="AO147" s="100"/>
      <c r="AP147" s="100"/>
      <c r="AQ147" s="100"/>
      <c r="AR147" s="100"/>
      <c r="AS147" s="101"/>
      <c r="AT147" s="101"/>
      <c r="AU147" s="101"/>
      <c r="AV147" s="101"/>
      <c r="AW147" s="101"/>
      <c r="AX147" s="101"/>
      <c r="AY147" s="100"/>
      <c r="AZ147" s="100"/>
      <c r="BA147" s="100"/>
      <c r="BB147" s="100"/>
      <c r="BC147" s="100"/>
      <c r="BE147" s="103"/>
      <c r="BF147" s="103"/>
      <c r="BG147" s="103"/>
      <c r="BH147" s="103"/>
    </row>
    <row r="148" spans="1:62" s="102" customFormat="1" ht="21" customHeight="1">
      <c r="A148" s="98"/>
      <c r="B148" s="99" t="s">
        <v>403</v>
      </c>
      <c r="C148" s="100">
        <v>19</v>
      </c>
      <c r="D148" s="101">
        <v>26646</v>
      </c>
      <c r="E148" s="100">
        <v>26572</v>
      </c>
      <c r="F148" s="100">
        <v>26650</v>
      </c>
      <c r="G148" s="100">
        <v>8283400</v>
      </c>
      <c r="H148" s="100">
        <v>30450</v>
      </c>
      <c r="I148" s="100">
        <v>30400</v>
      </c>
      <c r="J148" s="100">
        <v>30589</v>
      </c>
      <c r="K148" s="100">
        <v>1202500</v>
      </c>
      <c r="L148" s="100">
        <f t="shared" si="21"/>
        <v>220752610000</v>
      </c>
      <c r="M148" s="100">
        <f t="shared" si="22"/>
        <v>36783272500</v>
      </c>
      <c r="N148" s="102">
        <v>26838</v>
      </c>
      <c r="O148" s="102">
        <v>30704</v>
      </c>
      <c r="P148" s="102">
        <v>26913</v>
      </c>
      <c r="Q148" s="102">
        <v>30754</v>
      </c>
      <c r="R148" s="100"/>
      <c r="S148" s="100"/>
      <c r="T148" s="100"/>
      <c r="U148" s="100"/>
      <c r="V148" s="102">
        <v>27610</v>
      </c>
      <c r="X148" s="102">
        <v>27470</v>
      </c>
      <c r="Y148" s="102">
        <v>31856</v>
      </c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  <c r="AN148" s="100"/>
      <c r="AO148" s="100"/>
      <c r="AP148" s="100"/>
      <c r="AQ148" s="100"/>
      <c r="AR148" s="100"/>
      <c r="AS148" s="101"/>
      <c r="AT148" s="101"/>
      <c r="AU148" s="101"/>
      <c r="AV148" s="101"/>
      <c r="AW148" s="101"/>
      <c r="AX148" s="101"/>
      <c r="AY148" s="100"/>
      <c r="AZ148" s="100"/>
      <c r="BA148" s="100"/>
      <c r="BB148" s="100"/>
      <c r="BC148" s="100"/>
      <c r="BE148" s="103"/>
      <c r="BF148" s="103"/>
      <c r="BG148" s="103"/>
      <c r="BH148" s="103"/>
    </row>
    <row r="149" spans="1:62" s="102" customFormat="1" ht="21" customHeight="1">
      <c r="A149" s="98"/>
      <c r="B149" s="99" t="s">
        <v>406</v>
      </c>
      <c r="C149" s="100">
        <v>20</v>
      </c>
      <c r="D149" s="101">
        <v>26572</v>
      </c>
      <c r="E149" s="100">
        <v>26402</v>
      </c>
      <c r="F149" s="100">
        <v>26410</v>
      </c>
      <c r="G149" s="100">
        <v>5931500</v>
      </c>
      <c r="H149" s="100">
        <v>30400</v>
      </c>
      <c r="I149" s="100">
        <v>30480</v>
      </c>
      <c r="J149" s="100">
        <v>30421</v>
      </c>
      <c r="K149" s="100">
        <v>1174100</v>
      </c>
      <c r="L149" s="100">
        <f t="shared" si="21"/>
        <v>156650915000</v>
      </c>
      <c r="M149" s="100">
        <f t="shared" si="22"/>
        <v>35717296100</v>
      </c>
      <c r="N149" s="102">
        <v>26666</v>
      </c>
      <c r="O149" s="102">
        <v>30785</v>
      </c>
      <c r="P149" s="102">
        <v>26838</v>
      </c>
      <c r="Q149" s="102">
        <v>30704</v>
      </c>
      <c r="R149" s="100"/>
      <c r="S149" s="100"/>
      <c r="T149" s="100"/>
      <c r="U149" s="100"/>
      <c r="V149" s="102">
        <v>27350</v>
      </c>
      <c r="X149" s="102">
        <v>27020</v>
      </c>
      <c r="Y149" s="102">
        <v>31466</v>
      </c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  <c r="AN149" s="100"/>
      <c r="AO149" s="100"/>
      <c r="AP149" s="100"/>
      <c r="AQ149" s="100"/>
      <c r="AR149" s="100"/>
      <c r="AS149" s="101"/>
      <c r="AT149" s="101"/>
      <c r="AU149" s="101"/>
      <c r="AV149" s="101"/>
      <c r="AW149" s="101"/>
      <c r="AX149" s="101"/>
      <c r="AY149" s="100"/>
      <c r="AZ149" s="100"/>
      <c r="BA149" s="100"/>
      <c r="BB149" s="100"/>
      <c r="BC149" s="100"/>
      <c r="BE149" s="103"/>
      <c r="BF149" s="103"/>
      <c r="BG149" s="103"/>
      <c r="BH149" s="103"/>
    </row>
    <row r="150" spans="1:62" s="102" customFormat="1" ht="21" customHeight="1">
      <c r="A150" s="98"/>
      <c r="B150" s="99" t="s">
        <v>407</v>
      </c>
      <c r="C150" s="100">
        <v>21</v>
      </c>
      <c r="D150" s="101">
        <v>26402</v>
      </c>
      <c r="E150" s="100">
        <v>26306</v>
      </c>
      <c r="F150" s="100">
        <v>26281</v>
      </c>
      <c r="G150" s="100">
        <v>8578700</v>
      </c>
      <c r="H150" s="100">
        <v>30480</v>
      </c>
      <c r="I150" s="100">
        <v>30106</v>
      </c>
      <c r="J150" s="100">
        <v>30342</v>
      </c>
      <c r="K150" s="100">
        <v>951900</v>
      </c>
      <c r="L150" s="100">
        <f t="shared" si="21"/>
        <v>225456814700</v>
      </c>
      <c r="M150" s="100">
        <f t="shared" si="22"/>
        <v>28882549800</v>
      </c>
      <c r="N150" s="102">
        <v>26569</v>
      </c>
      <c r="O150" s="102">
        <v>30407</v>
      </c>
      <c r="P150" s="102">
        <v>26666</v>
      </c>
      <c r="Q150" s="102">
        <v>30785</v>
      </c>
      <c r="R150" s="100"/>
      <c r="S150" s="100"/>
      <c r="T150" s="100"/>
      <c r="U150" s="100"/>
      <c r="V150" s="102">
        <v>26980</v>
      </c>
      <c r="X150" s="102">
        <v>27210</v>
      </c>
      <c r="Y150" s="102">
        <v>31246</v>
      </c>
      <c r="Z150" s="100"/>
      <c r="AA150" s="100"/>
      <c r="AB150" s="100"/>
      <c r="AC150" s="100"/>
      <c r="AD150" s="100"/>
      <c r="AE150" s="100"/>
      <c r="AF150" s="100"/>
      <c r="AG150" s="100"/>
      <c r="AH150" s="100"/>
      <c r="AI150" s="100"/>
      <c r="AJ150" s="100"/>
      <c r="AK150" s="100"/>
      <c r="AL150" s="100"/>
      <c r="AM150" s="100"/>
      <c r="AN150" s="100"/>
      <c r="AO150" s="100"/>
      <c r="AP150" s="100"/>
      <c r="AQ150" s="100"/>
      <c r="AR150" s="100"/>
      <c r="AS150" s="101"/>
      <c r="AT150" s="101"/>
      <c r="AU150" s="101"/>
      <c r="AV150" s="101"/>
      <c r="AW150" s="101"/>
      <c r="AX150" s="101"/>
      <c r="AY150" s="100"/>
      <c r="AZ150" s="100"/>
      <c r="BA150" s="100"/>
      <c r="BB150" s="100"/>
      <c r="BC150" s="100"/>
      <c r="BE150" s="103"/>
      <c r="BF150" s="103"/>
      <c r="BG150" s="103"/>
      <c r="BH150" s="103"/>
    </row>
    <row r="151" spans="1:62" s="102" customFormat="1" ht="21" customHeight="1">
      <c r="A151" s="98"/>
      <c r="B151" s="99" t="s">
        <v>409</v>
      </c>
      <c r="C151" s="100">
        <v>22</v>
      </c>
      <c r="D151" s="101">
        <v>26408</v>
      </c>
      <c r="E151" s="100">
        <v>26233</v>
      </c>
      <c r="F151" s="100">
        <v>26358</v>
      </c>
      <c r="G151" s="100">
        <v>6339700</v>
      </c>
      <c r="H151" s="100">
        <v>30500</v>
      </c>
      <c r="I151" s="100">
        <v>30105</v>
      </c>
      <c r="J151" s="100">
        <v>30157</v>
      </c>
      <c r="K151" s="100">
        <v>1066900</v>
      </c>
      <c r="L151" s="100">
        <f t="shared" si="21"/>
        <v>167101812600</v>
      </c>
      <c r="M151" s="100">
        <f t="shared" si="22"/>
        <v>32174503300</v>
      </c>
      <c r="N151" s="102">
        <v>26496</v>
      </c>
      <c r="O151" s="102">
        <v>30406</v>
      </c>
      <c r="P151" s="102">
        <v>26672</v>
      </c>
      <c r="Q151" s="102">
        <v>30805</v>
      </c>
      <c r="R151" s="100"/>
      <c r="S151" s="100"/>
      <c r="T151" s="100"/>
      <c r="U151" s="100"/>
      <c r="V151" s="102">
        <v>27220</v>
      </c>
      <c r="X151" s="102">
        <v>27100</v>
      </c>
      <c r="Y151" s="102">
        <v>31440</v>
      </c>
      <c r="Z151" s="100"/>
      <c r="AA151" s="100"/>
      <c r="AB151" s="100"/>
      <c r="AC151" s="100"/>
      <c r="AD151" s="100"/>
      <c r="AE151" s="100"/>
      <c r="AF151" s="100"/>
      <c r="AG151" s="100"/>
      <c r="AH151" s="100"/>
      <c r="AI151" s="100"/>
      <c r="AJ151" s="100"/>
      <c r="AK151" s="100"/>
      <c r="AL151" s="100"/>
      <c r="AM151" s="100"/>
      <c r="AN151" s="100"/>
      <c r="AO151" s="100"/>
      <c r="AP151" s="100"/>
      <c r="AQ151" s="100"/>
      <c r="AR151" s="100"/>
      <c r="AS151" s="101"/>
      <c r="AT151" s="101"/>
      <c r="AU151" s="101"/>
      <c r="AV151" s="101"/>
      <c r="AW151" s="101"/>
      <c r="AX151" s="101"/>
      <c r="AY151" s="100"/>
      <c r="AZ151" s="100"/>
      <c r="BA151" s="100"/>
      <c r="BB151" s="100"/>
      <c r="BC151" s="100"/>
      <c r="BE151" s="103"/>
      <c r="BF151" s="103"/>
      <c r="BG151" s="103"/>
      <c r="BH151" s="103"/>
    </row>
    <row r="152" spans="1:62" s="96" customFormat="1" ht="21" customHeight="1">
      <c r="A152" s="92"/>
      <c r="B152" s="93" t="s">
        <v>412</v>
      </c>
      <c r="C152" s="94">
        <v>24</v>
      </c>
      <c r="D152" s="95">
        <v>26426</v>
      </c>
      <c r="E152" s="94">
        <v>26300</v>
      </c>
      <c r="F152" s="94">
        <v>26338</v>
      </c>
      <c r="G152" s="94">
        <v>9095900</v>
      </c>
      <c r="H152" s="94">
        <v>30105</v>
      </c>
      <c r="I152" s="94">
        <v>30117</v>
      </c>
      <c r="J152" s="94">
        <v>30200</v>
      </c>
      <c r="K152" s="94">
        <v>1397100</v>
      </c>
      <c r="L152" s="94">
        <f t="shared" si="21"/>
        <v>239567814200</v>
      </c>
      <c r="M152" s="94">
        <f t="shared" si="22"/>
        <v>42192420000</v>
      </c>
      <c r="N152" s="96">
        <v>26563</v>
      </c>
      <c r="O152" s="96">
        <v>30418</v>
      </c>
      <c r="P152" s="96">
        <v>26691</v>
      </c>
      <c r="Q152" s="96">
        <v>30406</v>
      </c>
      <c r="R152" s="94"/>
      <c r="S152" s="94"/>
      <c r="T152" s="94"/>
      <c r="U152" s="94"/>
      <c r="V152" s="96">
        <v>27330</v>
      </c>
      <c r="X152" s="96">
        <v>27250</v>
      </c>
      <c r="Y152" s="96">
        <v>31564</v>
      </c>
      <c r="Z152" s="94"/>
      <c r="AA152" s="94"/>
      <c r="AB152" s="94"/>
      <c r="AC152" s="94"/>
      <c r="AD152" s="94"/>
      <c r="AE152" s="94"/>
      <c r="AF152" s="94"/>
      <c r="AG152" s="94"/>
      <c r="AH152" s="94"/>
      <c r="AI152" s="94"/>
      <c r="AJ152" s="94"/>
      <c r="AK152" s="94"/>
      <c r="AL152" s="94"/>
      <c r="AM152" s="94"/>
      <c r="AN152" s="94"/>
      <c r="AO152" s="94"/>
      <c r="AP152" s="94"/>
      <c r="AQ152" s="94"/>
      <c r="AR152" s="94"/>
      <c r="AS152" s="95"/>
      <c r="AT152" s="95"/>
      <c r="AU152" s="95"/>
      <c r="AV152" s="95"/>
      <c r="AW152" s="95"/>
      <c r="AX152" s="95"/>
      <c r="AY152" s="94"/>
      <c r="AZ152" s="94"/>
      <c r="BA152" s="94"/>
      <c r="BB152" s="94"/>
      <c r="BC152" s="94"/>
      <c r="BE152" s="97"/>
      <c r="BF152" s="97"/>
      <c r="BG152" s="97"/>
      <c r="BH152" s="97"/>
    </row>
    <row r="153" spans="1:62" s="96" customFormat="1" ht="21" customHeight="1">
      <c r="A153" s="92"/>
      <c r="B153" s="93" t="s">
        <v>414</v>
      </c>
      <c r="C153" s="94">
        <v>25</v>
      </c>
      <c r="D153" s="95">
        <v>26313</v>
      </c>
      <c r="E153" s="94">
        <v>26293</v>
      </c>
      <c r="F153" s="94">
        <v>26313</v>
      </c>
      <c r="G153" s="94">
        <v>8987200</v>
      </c>
      <c r="H153" s="94">
        <v>30146</v>
      </c>
      <c r="I153" s="94">
        <v>30146</v>
      </c>
      <c r="J153" s="94">
        <v>30137</v>
      </c>
      <c r="K153" s="94">
        <v>2310500</v>
      </c>
      <c r="L153" s="94">
        <f t="shared" si="21"/>
        <v>236480193600</v>
      </c>
      <c r="M153" s="94">
        <f t="shared" si="22"/>
        <v>69631538500</v>
      </c>
      <c r="N153" s="96">
        <v>26556</v>
      </c>
      <c r="O153" s="96">
        <v>30475</v>
      </c>
      <c r="P153" s="96">
        <v>26576</v>
      </c>
      <c r="Q153" s="96">
        <v>30448</v>
      </c>
      <c r="R153" s="94"/>
      <c r="S153" s="94"/>
      <c r="T153" s="94"/>
      <c r="U153" s="94"/>
      <c r="V153" s="96">
        <v>27240</v>
      </c>
      <c r="X153" s="96">
        <v>27150</v>
      </c>
      <c r="Y153" s="96">
        <v>31599</v>
      </c>
      <c r="Z153" s="94"/>
      <c r="AA153" s="94"/>
      <c r="AB153" s="94"/>
      <c r="AC153" s="94"/>
      <c r="AD153" s="94"/>
      <c r="AE153" s="94"/>
      <c r="AF153" s="94"/>
      <c r="AG153" s="94"/>
      <c r="AH153" s="94"/>
      <c r="AI153" s="94"/>
      <c r="AJ153" s="94"/>
      <c r="AK153" s="94"/>
      <c r="AL153" s="94"/>
      <c r="AM153" s="94"/>
      <c r="AN153" s="94"/>
      <c r="AO153" s="94"/>
      <c r="AP153" s="94"/>
      <c r="AQ153" s="94"/>
      <c r="AR153" s="94"/>
      <c r="AS153" s="95"/>
      <c r="AT153" s="95"/>
      <c r="AU153" s="95"/>
      <c r="AV153" s="95"/>
      <c r="AW153" s="95"/>
      <c r="AX153" s="95"/>
      <c r="AY153" s="94"/>
      <c r="AZ153" s="94"/>
      <c r="BA153" s="94"/>
      <c r="BB153" s="94"/>
      <c r="BC153" s="94"/>
      <c r="BE153" s="97"/>
      <c r="BF153" s="97"/>
      <c r="BG153" s="97"/>
      <c r="BH153" s="97"/>
    </row>
    <row r="154" spans="1:62" s="96" customFormat="1" ht="21" customHeight="1">
      <c r="A154" s="92"/>
      <c r="B154" s="93" t="s">
        <v>416</v>
      </c>
      <c r="C154" s="94">
        <v>26</v>
      </c>
      <c r="D154" s="95">
        <v>26260</v>
      </c>
      <c r="E154" s="94">
        <v>26389</v>
      </c>
      <c r="F154" s="94">
        <v>26265</v>
      </c>
      <c r="G154" s="94">
        <v>8590100</v>
      </c>
      <c r="H154" s="94">
        <v>30146</v>
      </c>
      <c r="I154" s="94">
        <v>30345</v>
      </c>
      <c r="J154" s="94">
        <v>30252</v>
      </c>
      <c r="K154" s="94">
        <v>2397900</v>
      </c>
      <c r="L154" s="94">
        <f t="shared" si="21"/>
        <v>225618976500</v>
      </c>
      <c r="M154" s="94">
        <f t="shared" si="22"/>
        <v>72541270800</v>
      </c>
      <c r="N154" s="96">
        <v>26653</v>
      </c>
      <c r="O154" s="96">
        <v>30649</v>
      </c>
      <c r="P154" s="96">
        <v>26522</v>
      </c>
      <c r="Q154" s="96">
        <v>30447</v>
      </c>
      <c r="R154" s="94"/>
      <c r="S154" s="94"/>
      <c r="T154" s="94"/>
      <c r="U154" s="94"/>
      <c r="V154" s="96">
        <v>27080</v>
      </c>
      <c r="X154" s="96">
        <v>27080</v>
      </c>
      <c r="Y154" s="96">
        <v>31395</v>
      </c>
      <c r="Z154" s="94"/>
      <c r="AA154" s="94"/>
      <c r="AB154" s="94"/>
      <c r="AC154" s="94"/>
      <c r="AD154" s="94"/>
      <c r="AE154" s="94"/>
      <c r="AF154" s="94"/>
      <c r="AG154" s="94"/>
      <c r="AH154" s="94"/>
      <c r="AI154" s="94"/>
      <c r="AJ154" s="94"/>
      <c r="AK154" s="94"/>
      <c r="AL154" s="94"/>
      <c r="AM154" s="94"/>
      <c r="AN154" s="94"/>
      <c r="AO154" s="94"/>
      <c r="AP154" s="94"/>
      <c r="AQ154" s="94"/>
      <c r="AR154" s="94"/>
      <c r="AS154" s="95"/>
      <c r="AT154" s="95"/>
      <c r="AU154" s="95"/>
      <c r="AV154" s="95"/>
      <c r="AW154" s="95"/>
      <c r="AX154" s="95"/>
      <c r="AY154" s="94"/>
      <c r="AZ154" s="94"/>
      <c r="BA154" s="94"/>
      <c r="BB154" s="94"/>
      <c r="BC154" s="94"/>
      <c r="BE154" s="97"/>
      <c r="BF154" s="97"/>
      <c r="BG154" s="97"/>
      <c r="BH154" s="97"/>
    </row>
    <row r="155" spans="1:62" s="96" customFormat="1" ht="21" customHeight="1">
      <c r="A155" s="92"/>
      <c r="B155" s="93" t="s">
        <v>418</v>
      </c>
      <c r="C155" s="94">
        <v>27</v>
      </c>
      <c r="D155" s="95">
        <v>26520</v>
      </c>
      <c r="E155" s="94">
        <v>26519</v>
      </c>
      <c r="F155" s="94">
        <v>26481</v>
      </c>
      <c r="G155" s="94">
        <v>9341400</v>
      </c>
      <c r="H155" s="94">
        <v>30450</v>
      </c>
      <c r="I155" s="94">
        <v>30755</v>
      </c>
      <c r="J155" s="94">
        <v>30553</v>
      </c>
      <c r="K155" s="94">
        <v>1963000</v>
      </c>
      <c r="L155" s="94">
        <f t="shared" si="21"/>
        <v>247369613400</v>
      </c>
      <c r="M155" s="94">
        <f t="shared" si="22"/>
        <v>59975539000</v>
      </c>
      <c r="N155" s="96">
        <v>26784</v>
      </c>
      <c r="O155" s="96">
        <v>31062</v>
      </c>
      <c r="P155" s="96">
        <v>26786</v>
      </c>
      <c r="Q155" s="96">
        <v>30754</v>
      </c>
      <c r="R155" s="94"/>
      <c r="S155" s="94"/>
      <c r="T155" s="94"/>
      <c r="U155" s="94"/>
      <c r="V155" s="96">
        <v>27380</v>
      </c>
      <c r="X155" s="96">
        <v>27380</v>
      </c>
      <c r="Y155" s="96">
        <v>31899</v>
      </c>
      <c r="Z155" s="94"/>
      <c r="AA155" s="94"/>
      <c r="AB155" s="94"/>
      <c r="AC155" s="94"/>
      <c r="AD155" s="94"/>
      <c r="AE155" s="94"/>
      <c r="AF155" s="94"/>
      <c r="AG155" s="94"/>
      <c r="AH155" s="94"/>
      <c r="AI155" s="94"/>
      <c r="AJ155" s="94"/>
      <c r="AK155" s="94"/>
      <c r="AL155" s="94"/>
      <c r="AM155" s="94"/>
      <c r="AN155" s="94"/>
      <c r="AO155" s="94"/>
      <c r="AP155" s="94"/>
      <c r="AQ155" s="94"/>
      <c r="AR155" s="94"/>
      <c r="AS155" s="95"/>
      <c r="AT155" s="95"/>
      <c r="AU155" s="95"/>
      <c r="AV155" s="95"/>
      <c r="AW155" s="95"/>
      <c r="AX155" s="95"/>
      <c r="AY155" s="94"/>
      <c r="AZ155" s="94"/>
      <c r="BA155" s="94"/>
      <c r="BB155" s="94"/>
      <c r="BC155" s="94"/>
      <c r="BE155" s="97"/>
      <c r="BF155" s="97"/>
      <c r="BG155" s="97"/>
      <c r="BH155" s="97"/>
    </row>
    <row r="156" spans="1:62" s="96" customFormat="1" ht="21" customHeight="1">
      <c r="A156" s="92"/>
      <c r="B156" s="93" t="s">
        <v>420</v>
      </c>
      <c r="C156" s="94">
        <v>28</v>
      </c>
      <c r="D156" s="95">
        <v>26574</v>
      </c>
      <c r="E156" s="94">
        <v>26569</v>
      </c>
      <c r="F156" s="94">
        <v>26483</v>
      </c>
      <c r="G156" s="94">
        <v>9658300</v>
      </c>
      <c r="H156" s="94">
        <v>30750</v>
      </c>
      <c r="I156" s="94">
        <v>30650</v>
      </c>
      <c r="J156" s="94">
        <v>30661</v>
      </c>
      <c r="K156" s="94">
        <v>1623100</v>
      </c>
      <c r="L156" s="94">
        <f t="shared" si="21"/>
        <v>255780758900</v>
      </c>
      <c r="M156" s="94">
        <f t="shared" si="22"/>
        <v>49765869100</v>
      </c>
      <c r="N156" s="96">
        <v>26834</v>
      </c>
      <c r="O156" s="96">
        <v>30956</v>
      </c>
      <c r="P156" s="96">
        <v>26840</v>
      </c>
      <c r="Q156" s="96">
        <v>31057</v>
      </c>
      <c r="R156" s="94"/>
      <c r="S156" s="94"/>
      <c r="T156" s="94"/>
      <c r="U156" s="94"/>
      <c r="V156" s="96">
        <v>27420</v>
      </c>
      <c r="X156" s="96">
        <v>27320</v>
      </c>
      <c r="Y156" s="96">
        <v>31773</v>
      </c>
      <c r="Z156" s="94"/>
      <c r="AA156" s="94"/>
      <c r="AB156" s="94"/>
      <c r="AC156" s="94"/>
      <c r="AD156" s="94"/>
      <c r="AE156" s="94"/>
      <c r="AF156" s="94"/>
      <c r="AG156" s="94"/>
      <c r="AH156" s="94"/>
      <c r="AI156" s="94"/>
      <c r="AJ156" s="94"/>
      <c r="AK156" s="94"/>
      <c r="AL156" s="94"/>
      <c r="AM156" s="94"/>
      <c r="AN156" s="94"/>
      <c r="AO156" s="94"/>
      <c r="AP156" s="94"/>
      <c r="AQ156" s="94"/>
      <c r="AR156" s="94"/>
      <c r="AS156" s="95"/>
      <c r="AT156" s="95"/>
      <c r="AU156" s="95"/>
      <c r="AV156" s="95"/>
      <c r="AW156" s="95"/>
      <c r="AX156" s="95"/>
      <c r="AY156" s="94"/>
      <c r="AZ156" s="94"/>
      <c r="BA156" s="94"/>
      <c r="BB156" s="94"/>
      <c r="BC156" s="94"/>
      <c r="BE156" s="97"/>
      <c r="BF156" s="97"/>
      <c r="BG156" s="97"/>
      <c r="BH156" s="97"/>
    </row>
    <row r="157" spans="1:62" s="73" customFormat="1" ht="21" customHeight="1">
      <c r="A157" s="104"/>
      <c r="B157" s="105" t="s">
        <v>422</v>
      </c>
      <c r="C157" s="106">
        <v>29</v>
      </c>
      <c r="D157" s="107">
        <v>26385</v>
      </c>
      <c r="E157" s="106">
        <v>26482</v>
      </c>
      <c r="F157" s="106">
        <v>26479</v>
      </c>
      <c r="G157" s="106">
        <v>6968200</v>
      </c>
      <c r="H157" s="106">
        <v>30650</v>
      </c>
      <c r="I157" s="106">
        <v>30690</v>
      </c>
      <c r="J157" s="73">
        <v>30661</v>
      </c>
      <c r="K157" s="106">
        <v>858000</v>
      </c>
      <c r="L157" s="106">
        <f t="shared" si="21"/>
        <v>184510967800</v>
      </c>
      <c r="M157" s="106">
        <f t="shared" si="22"/>
        <v>26307138000</v>
      </c>
      <c r="N157" s="73">
        <v>26747</v>
      </c>
      <c r="O157" s="73">
        <v>30967</v>
      </c>
      <c r="P157" s="73">
        <v>26649</v>
      </c>
      <c r="Q157" s="73">
        <v>30956</v>
      </c>
      <c r="R157" s="106"/>
      <c r="S157" s="106"/>
      <c r="T157" s="106"/>
      <c r="U157" s="106"/>
      <c r="V157" s="73">
        <v>27320</v>
      </c>
      <c r="X157" s="73">
        <v>27380</v>
      </c>
      <c r="Y157" s="73">
        <v>31883</v>
      </c>
      <c r="Z157" s="106"/>
      <c r="AA157" s="106"/>
      <c r="AB157" s="106"/>
      <c r="AC157" s="106"/>
      <c r="AD157" s="106"/>
      <c r="AE157" s="106"/>
      <c r="AF157" s="106"/>
      <c r="AG157" s="106"/>
      <c r="AH157" s="106"/>
      <c r="AI157" s="106"/>
      <c r="AJ157" s="106"/>
      <c r="AK157" s="106"/>
      <c r="AL157" s="106"/>
      <c r="AM157" s="106"/>
      <c r="AN157" s="106"/>
      <c r="AO157" s="106"/>
      <c r="AP157" s="106"/>
      <c r="AQ157" s="106"/>
      <c r="AR157" s="106"/>
      <c r="AS157" s="107"/>
      <c r="AT157" s="107"/>
      <c r="AU157" s="107"/>
      <c r="AV157" s="107"/>
      <c r="AW157" s="107"/>
      <c r="AX157" s="107"/>
      <c r="AY157" s="106"/>
      <c r="AZ157" s="106"/>
      <c r="BA157" s="106"/>
      <c r="BB157" s="106"/>
      <c r="BC157" s="106"/>
      <c r="BE157" s="108"/>
      <c r="BF157" s="108"/>
      <c r="BG157" s="108"/>
      <c r="BH157" s="108"/>
    </row>
    <row r="158" spans="1:62" ht="18">
      <c r="A158" s="7"/>
      <c r="B158" s="8"/>
      <c r="C158" s="8"/>
      <c r="D158" s="26"/>
      <c r="E158" s="8"/>
      <c r="F158" s="8"/>
      <c r="G158" s="8">
        <f>SUM(G2:G149)/148</f>
        <v>6179374.9932432435</v>
      </c>
      <c r="H158" s="8"/>
      <c r="I158" s="8"/>
      <c r="J158" s="8"/>
      <c r="K158" s="8">
        <f>SUM(K2:K126)</f>
        <v>125564600</v>
      </c>
      <c r="L158" s="8">
        <f>SUM(L2:L147)</f>
        <v>22131275027709</v>
      </c>
      <c r="M158" s="9">
        <f>SUM(M2:M147)</f>
        <v>4038177022200</v>
      </c>
      <c r="N158" s="9"/>
      <c r="O158" s="9"/>
      <c r="P158" s="9"/>
      <c r="Q158" s="9"/>
      <c r="R158" s="9"/>
      <c r="S158" s="9"/>
      <c r="T158" s="9"/>
      <c r="U158" s="9"/>
      <c r="V158" s="59">
        <v>27340</v>
      </c>
      <c r="W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Y158" s="9"/>
      <c r="AZ158" s="9"/>
      <c r="BA158" s="9"/>
      <c r="BB158" s="9"/>
      <c r="BC158" s="9"/>
      <c r="BD158" s="9"/>
      <c r="BE158" s="10"/>
      <c r="BF158" s="10"/>
      <c r="BG158" s="10"/>
      <c r="BH158" s="10"/>
      <c r="BI158" t="e">
        <f>#REF!-N158</f>
        <v>#REF!</v>
      </c>
      <c r="BJ158" t="e">
        <f>(Y158-O158)/O158</f>
        <v>#DIV/0!</v>
      </c>
    </row>
    <row r="159" spans="1:62" ht="18">
      <c r="D159" s="26"/>
      <c r="V159" s="74">
        <v>27350</v>
      </c>
      <c r="Z159" s="25"/>
      <c r="AB159" s="25"/>
      <c r="AS159" s="25"/>
      <c r="AW159" s="30"/>
    </row>
    <row r="160" spans="1:62" ht="18">
      <c r="D160" s="26"/>
      <c r="Z160" s="25"/>
      <c r="AS160" s="26"/>
      <c r="AW160" s="30"/>
      <c r="AY160">
        <f>AY51-AY50</f>
        <v>35000</v>
      </c>
    </row>
    <row r="161" spans="6:54" ht="18">
      <c r="Z161" s="25"/>
      <c r="AS161" s="26">
        <v>10290000</v>
      </c>
      <c r="AW161" s="30"/>
      <c r="BB161">
        <f>AY60-AY59</f>
        <v>70000</v>
      </c>
    </row>
    <row r="162" spans="6:54" ht="18">
      <c r="F162">
        <f>(G158-G149)/G158</f>
        <v>4.0113279015155934E-2</v>
      </c>
      <c r="G162">
        <f>(G148-G158)/G158</f>
        <v>0.34049155603234549</v>
      </c>
      <c r="T162">
        <f>V137-X140</f>
        <v>-620</v>
      </c>
      <c r="V162" s="25"/>
      <c r="Z162" s="25"/>
      <c r="AS162" s="26"/>
      <c r="AU162">
        <f>AS161-AS49</f>
        <v>195000</v>
      </c>
      <c r="AW162" s="30">
        <f>AC52-AY51</f>
        <v>305000</v>
      </c>
    </row>
    <row r="163" spans="6:54" ht="18">
      <c r="V163" s="25"/>
      <c r="Z163" s="25"/>
      <c r="AW163" s="30"/>
    </row>
    <row r="164" spans="6:54" ht="17.25" customHeight="1">
      <c r="V164" s="25"/>
      <c r="Z164" s="25"/>
    </row>
    <row r="165" spans="6:54" ht="18">
      <c r="V165" s="25"/>
      <c r="Z165" s="25"/>
      <c r="AW165">
        <f>AW162/AY51</f>
        <v>2.9539951573849879E-2</v>
      </c>
    </row>
    <row r="166" spans="6:54" ht="18">
      <c r="V166" s="25"/>
    </row>
    <row r="167" spans="6:54" ht="18">
      <c r="V167" s="25"/>
    </row>
    <row r="171" spans="6:54" ht="18">
      <c r="G171" s="9">
        <v>8861800</v>
      </c>
    </row>
    <row r="172" spans="6:54" ht="18">
      <c r="G172" s="9">
        <v>8230700</v>
      </c>
    </row>
    <row r="173" spans="6:54" ht="18">
      <c r="G173" s="9">
        <v>8995300</v>
      </c>
    </row>
    <row r="174" spans="6:54" ht="18">
      <c r="G174" s="9">
        <v>10062100</v>
      </c>
    </row>
    <row r="175" spans="6:54" ht="18">
      <c r="G175" s="9">
        <v>8462400</v>
      </c>
    </row>
    <row r="176" spans="6:54">
      <c r="G176">
        <f>SUM(G171:G175)</f>
        <v>44612300</v>
      </c>
    </row>
  </sheetData>
  <autoFilter ref="A1:BL162" xr:uid="{00000000-0009-0000-0000-000000000000}"/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3"/>
  <sheetViews>
    <sheetView tabSelected="1" topLeftCell="C1" zoomScale="70" zoomScaleNormal="70" workbookViewId="0">
      <selection activeCell="F7" sqref="F7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5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2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2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5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5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5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5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5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5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5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>D30/6</f>
        <v>8773516.666666666</v>
      </c>
      <c r="F30" s="73">
        <v>10549600</v>
      </c>
      <c r="G30" s="73">
        <f>F30/6</f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>
      <c r="B31">
        <f>(B2-B8)/B2</f>
        <v>0.15346494762288476</v>
      </c>
      <c r="C31">
        <f>(C2-C8)/C2</f>
        <v>0.1154959674639829</v>
      </c>
      <c r="D31">
        <f>SUM(D2:D16)/15</f>
        <v>29639479.933333334</v>
      </c>
    </row>
    <row r="35" spans="3:7">
      <c r="D35">
        <v>5375132</v>
      </c>
      <c r="E35">
        <f>(E17-D35)/D35</f>
        <v>4.5958809321644006E-2</v>
      </c>
      <c r="G35">
        <f t="shared" ref="G35:G43" si="0">B3-B2</f>
        <v>-554</v>
      </c>
    </row>
    <row r="36" spans="3:7">
      <c r="G36">
        <f t="shared" si="0"/>
        <v>-302</v>
      </c>
    </row>
    <row r="37" spans="3:7">
      <c r="C37">
        <f>(D35-E16)/E16</f>
        <v>0.17110375179746395</v>
      </c>
      <c r="G37">
        <f t="shared" si="0"/>
        <v>-511</v>
      </c>
    </row>
    <row r="38" spans="3:7">
      <c r="G38">
        <f t="shared" si="0"/>
        <v>-362</v>
      </c>
    </row>
    <row r="39" spans="3:7">
      <c r="G39">
        <f t="shared" si="0"/>
        <v>-1699</v>
      </c>
    </row>
    <row r="40" spans="3:7">
      <c r="G40">
        <f t="shared" si="0"/>
        <v>-381</v>
      </c>
    </row>
    <row r="41" spans="3:7">
      <c r="G41">
        <f t="shared" si="0"/>
        <v>1075</v>
      </c>
    </row>
    <row r="42" spans="3:7">
      <c r="G42">
        <f t="shared" si="0"/>
        <v>151</v>
      </c>
    </row>
    <row r="43" spans="3:7">
      <c r="G43">
        <f t="shared" si="0"/>
        <v>1043</v>
      </c>
    </row>
  </sheetData>
  <autoFilter ref="A1:K43" xr:uid="{00000000-0001-0000-0100-000000000000}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06"/>
  <sheetViews>
    <sheetView topLeftCell="A1078" zoomScale="85" zoomScaleNormal="85" workbookViewId="0">
      <selection activeCell="E1102" sqref="E1102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109" t="s">
        <v>246</v>
      </c>
      <c r="B1" s="109"/>
      <c r="C1" s="109"/>
      <c r="D1" s="109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6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7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8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6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6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7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7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9"/>
      <c r="B10" s="80"/>
      <c r="C10" s="80"/>
      <c r="D10" s="80"/>
    </row>
    <row r="11" spans="1:4">
      <c r="A11" s="109" t="s">
        <v>256</v>
      </c>
      <c r="B11" s="109"/>
      <c r="C11" s="109"/>
      <c r="D11" s="109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6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7" t="s">
        <v>251</v>
      </c>
      <c r="B14" s="10">
        <v>23940</v>
      </c>
      <c r="C14" s="10">
        <v>6570</v>
      </c>
      <c r="D14" s="10">
        <v>10600000</v>
      </c>
    </row>
    <row r="15" spans="1:4">
      <c r="A15" s="78" t="s">
        <v>252</v>
      </c>
      <c r="B15" s="10">
        <v>23950</v>
      </c>
      <c r="C15" s="10">
        <v>6580</v>
      </c>
      <c r="D15" s="10">
        <v>10610000</v>
      </c>
    </row>
    <row r="16" spans="1:4">
      <c r="A16" s="76" t="s">
        <v>253</v>
      </c>
      <c r="B16" s="10">
        <v>23920</v>
      </c>
      <c r="C16" s="10">
        <v>6560</v>
      </c>
      <c r="D16" s="10">
        <v>10600000</v>
      </c>
    </row>
    <row r="17" spans="1:6">
      <c r="A17" s="76">
        <v>0.625</v>
      </c>
      <c r="B17" s="10">
        <v>23920</v>
      </c>
      <c r="C17" s="10">
        <v>6560</v>
      </c>
      <c r="D17" s="10">
        <v>10620000</v>
      </c>
    </row>
    <row r="18" spans="1:6">
      <c r="A18" s="77" t="s">
        <v>254</v>
      </c>
      <c r="B18" s="10">
        <v>23920</v>
      </c>
      <c r="C18" s="10">
        <v>6560</v>
      </c>
      <c r="D18" s="10">
        <v>10610000</v>
      </c>
    </row>
    <row r="19" spans="1:6">
      <c r="A19" s="77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09" t="s">
        <v>258</v>
      </c>
      <c r="B21" s="109"/>
      <c r="C21" s="109"/>
      <c r="D21" s="109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6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7" t="s">
        <v>251</v>
      </c>
      <c r="B24" s="10">
        <v>23960</v>
      </c>
      <c r="C24" s="10">
        <v>6590</v>
      </c>
      <c r="D24" s="10">
        <v>10640000</v>
      </c>
    </row>
    <row r="25" spans="1:6">
      <c r="A25" s="78" t="s">
        <v>252</v>
      </c>
      <c r="B25" s="10">
        <v>24030</v>
      </c>
      <c r="C25" s="10">
        <v>6570</v>
      </c>
      <c r="D25" s="10">
        <v>10670000</v>
      </c>
    </row>
    <row r="26" spans="1:6">
      <c r="A26" s="76" t="s">
        <v>253</v>
      </c>
      <c r="B26" s="10">
        <v>24040</v>
      </c>
      <c r="C26" s="10">
        <v>6590</v>
      </c>
      <c r="D26" s="10">
        <v>10660000</v>
      </c>
    </row>
    <row r="27" spans="1:6">
      <c r="A27" s="76">
        <v>0.625</v>
      </c>
      <c r="B27" s="10">
        <v>24040</v>
      </c>
      <c r="C27" s="10">
        <v>6590</v>
      </c>
      <c r="D27" s="10">
        <v>10670000</v>
      </c>
    </row>
    <row r="28" spans="1:6">
      <c r="A28" s="77" t="s">
        <v>254</v>
      </c>
      <c r="B28" s="10">
        <v>24040</v>
      </c>
      <c r="C28" s="10">
        <v>6590</v>
      </c>
      <c r="D28" s="10">
        <v>10680000</v>
      </c>
    </row>
    <row r="29" spans="1:6">
      <c r="A29" s="77" t="s">
        <v>255</v>
      </c>
      <c r="B29" s="10">
        <v>24040</v>
      </c>
      <c r="C29" s="10">
        <v>6590</v>
      </c>
      <c r="D29" s="10">
        <v>10670000</v>
      </c>
    </row>
    <row r="31" spans="1:6">
      <c r="A31" s="109" t="s">
        <v>259</v>
      </c>
      <c r="B31" s="109"/>
      <c r="C31" s="109"/>
      <c r="D31" s="109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6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7" t="s">
        <v>251</v>
      </c>
      <c r="B34" s="10">
        <v>24150</v>
      </c>
      <c r="C34" s="10">
        <v>6600</v>
      </c>
      <c r="D34" s="10">
        <v>10670000</v>
      </c>
    </row>
    <row r="35" spans="1:4">
      <c r="A35" s="78" t="s">
        <v>252</v>
      </c>
      <c r="B35" s="10">
        <v>24110</v>
      </c>
      <c r="C35" s="10">
        <v>6620</v>
      </c>
      <c r="D35" s="10">
        <v>10680000</v>
      </c>
    </row>
    <row r="36" spans="1:4">
      <c r="A36" s="76" t="s">
        <v>253</v>
      </c>
      <c r="B36" s="10">
        <v>24130</v>
      </c>
      <c r="C36" s="10">
        <v>6600</v>
      </c>
      <c r="D36" s="10">
        <v>10710000</v>
      </c>
    </row>
    <row r="37" spans="1:4">
      <c r="A37" s="76">
        <v>0.625</v>
      </c>
      <c r="B37" s="10">
        <v>24090</v>
      </c>
      <c r="C37" s="10">
        <v>6610</v>
      </c>
      <c r="D37" s="10">
        <v>10750000</v>
      </c>
    </row>
    <row r="38" spans="1:4">
      <c r="A38" s="77" t="s">
        <v>254</v>
      </c>
      <c r="B38" s="10">
        <v>24110</v>
      </c>
      <c r="C38" s="10">
        <v>6620</v>
      </c>
      <c r="D38" s="10">
        <v>10770000</v>
      </c>
    </row>
    <row r="39" spans="1:4">
      <c r="A39" s="77" t="s">
        <v>255</v>
      </c>
      <c r="B39" s="10">
        <v>24110</v>
      </c>
      <c r="C39" s="10">
        <v>6620</v>
      </c>
      <c r="D39" s="10">
        <v>10750000</v>
      </c>
    </row>
    <row r="41" spans="1:4">
      <c r="A41" s="109" t="s">
        <v>260</v>
      </c>
      <c r="B41" s="109"/>
      <c r="C41" s="109"/>
      <c r="D41" s="109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6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7" t="s">
        <v>251</v>
      </c>
      <c r="B44" s="10">
        <v>24290</v>
      </c>
      <c r="C44" s="10">
        <v>6650</v>
      </c>
      <c r="D44" s="10">
        <v>10720000</v>
      </c>
    </row>
    <row r="45" spans="1:4">
      <c r="A45" s="78" t="s">
        <v>252</v>
      </c>
      <c r="B45" s="10">
        <v>24340</v>
      </c>
      <c r="C45" s="10">
        <v>6685</v>
      </c>
      <c r="D45" s="10">
        <v>10790000</v>
      </c>
    </row>
    <row r="46" spans="1:4">
      <c r="A46" s="76" t="s">
        <v>253</v>
      </c>
      <c r="B46" s="10">
        <v>24340</v>
      </c>
      <c r="C46" s="10">
        <v>6675</v>
      </c>
      <c r="D46" s="10">
        <v>10790000</v>
      </c>
    </row>
    <row r="47" spans="1:4">
      <c r="A47" s="76">
        <v>0.625</v>
      </c>
      <c r="B47" s="10" t="s">
        <v>261</v>
      </c>
      <c r="C47" s="10" t="s">
        <v>261</v>
      </c>
      <c r="D47" s="10" t="s">
        <v>261</v>
      </c>
    </row>
    <row r="48" spans="1:4">
      <c r="A48" s="77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7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09" t="s">
        <v>262</v>
      </c>
      <c r="B51" s="109"/>
      <c r="C51" s="109"/>
      <c r="D51" s="109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6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7" t="s">
        <v>251</v>
      </c>
      <c r="B54" s="10">
        <v>24280</v>
      </c>
      <c r="C54" s="10">
        <v>6660</v>
      </c>
      <c r="D54" s="10">
        <v>10600000</v>
      </c>
    </row>
    <row r="55" spans="1:11">
      <c r="A55" s="78" t="s">
        <v>252</v>
      </c>
      <c r="B55" s="10">
        <v>24000</v>
      </c>
      <c r="C55" s="10">
        <v>6610</v>
      </c>
      <c r="D55" s="10">
        <v>10500000</v>
      </c>
    </row>
    <row r="56" spans="1:11">
      <c r="A56" s="76" t="s">
        <v>253</v>
      </c>
      <c r="B56" s="10">
        <v>24000</v>
      </c>
      <c r="C56" s="10">
        <v>6560</v>
      </c>
      <c r="D56" s="10">
        <v>10260000</v>
      </c>
    </row>
    <row r="57" spans="1:11">
      <c r="A57" s="76">
        <v>0.625</v>
      </c>
      <c r="B57" s="10">
        <v>24000</v>
      </c>
      <c r="C57" s="10">
        <v>6550</v>
      </c>
      <c r="D57" s="10">
        <v>10280000</v>
      </c>
    </row>
    <row r="58" spans="1:11">
      <c r="A58" s="77" t="s">
        <v>254</v>
      </c>
      <c r="B58" s="10">
        <v>24000</v>
      </c>
      <c r="C58" s="10">
        <v>6550</v>
      </c>
      <c r="D58" s="10">
        <v>10300000</v>
      </c>
    </row>
    <row r="59" spans="1:11">
      <c r="A59" s="77" t="s">
        <v>255</v>
      </c>
      <c r="B59" s="10">
        <v>24000</v>
      </c>
      <c r="C59" s="10">
        <v>6570</v>
      </c>
      <c r="D59" s="10">
        <v>10210000</v>
      </c>
    </row>
    <row r="61" spans="1:11">
      <c r="A61" s="109" t="s">
        <v>263</v>
      </c>
      <c r="B61" s="109"/>
      <c r="C61" s="109"/>
      <c r="D61" s="109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6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7" t="s">
        <v>251</v>
      </c>
      <c r="B64" s="10">
        <v>23630</v>
      </c>
      <c r="C64" s="10">
        <v>6550</v>
      </c>
      <c r="D64" s="10">
        <v>10230000</v>
      </c>
    </row>
    <row r="65" spans="1:4">
      <c r="A65" s="78" t="s">
        <v>252</v>
      </c>
      <c r="B65" s="10">
        <v>23740</v>
      </c>
      <c r="C65" s="10">
        <v>6495</v>
      </c>
      <c r="D65" s="10">
        <v>10240000</v>
      </c>
    </row>
    <row r="66" spans="1:4">
      <c r="A66" s="76" t="s">
        <v>253</v>
      </c>
      <c r="B66" s="10">
        <v>23740</v>
      </c>
      <c r="C66" s="10">
        <v>6530</v>
      </c>
      <c r="D66" s="10">
        <v>10210000</v>
      </c>
    </row>
    <row r="67" spans="1:4">
      <c r="A67" s="76">
        <v>0.625</v>
      </c>
      <c r="B67" s="10">
        <v>23740</v>
      </c>
      <c r="C67" s="10">
        <v>6520</v>
      </c>
      <c r="D67" s="10">
        <v>10260000</v>
      </c>
    </row>
    <row r="68" spans="1:4">
      <c r="A68" s="77" t="s">
        <v>254</v>
      </c>
      <c r="B68" s="10">
        <v>23740</v>
      </c>
      <c r="C68" s="10">
        <v>6520</v>
      </c>
      <c r="D68" s="10">
        <v>10265000</v>
      </c>
    </row>
    <row r="69" spans="1:4">
      <c r="A69" s="77" t="s">
        <v>255</v>
      </c>
      <c r="B69" s="10">
        <v>23740</v>
      </c>
      <c r="C69" s="10">
        <v>6520</v>
      </c>
      <c r="D69" s="10">
        <v>10180000</v>
      </c>
    </row>
    <row r="71" spans="1:4">
      <c r="A71" s="109" t="s">
        <v>264</v>
      </c>
      <c r="B71" s="109"/>
      <c r="C71" s="109"/>
      <c r="D71" s="109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6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7" t="s">
        <v>251</v>
      </c>
      <c r="B74" s="10">
        <v>23880</v>
      </c>
      <c r="C74" s="10">
        <v>6580</v>
      </c>
      <c r="D74" s="10">
        <v>10280000</v>
      </c>
    </row>
    <row r="75" spans="1:4">
      <c r="A75" s="78" t="s">
        <v>252</v>
      </c>
      <c r="B75" s="10">
        <v>24000</v>
      </c>
      <c r="C75" s="10">
        <v>6580</v>
      </c>
      <c r="D75" s="10">
        <v>10330000</v>
      </c>
    </row>
    <row r="76" spans="1:4">
      <c r="A76" s="76" t="s">
        <v>253</v>
      </c>
      <c r="B76" s="10">
        <v>23930</v>
      </c>
      <c r="C76" s="10">
        <v>6580</v>
      </c>
      <c r="D76" s="10">
        <v>10290000</v>
      </c>
    </row>
    <row r="77" spans="1:4">
      <c r="A77" s="76">
        <v>0.625</v>
      </c>
      <c r="B77" s="10">
        <v>23930</v>
      </c>
      <c r="C77" s="10">
        <v>6570</v>
      </c>
      <c r="D77" s="10">
        <v>10380000</v>
      </c>
    </row>
    <row r="78" spans="1:4">
      <c r="A78" s="77" t="s">
        <v>254</v>
      </c>
      <c r="B78" s="10">
        <v>23930</v>
      </c>
      <c r="C78" s="10">
        <v>6560</v>
      </c>
      <c r="D78" s="10">
        <v>10360000</v>
      </c>
    </row>
    <row r="79" spans="1:4">
      <c r="A79" s="77" t="s">
        <v>255</v>
      </c>
      <c r="B79" s="10">
        <v>23930</v>
      </c>
      <c r="C79" s="10">
        <v>6560</v>
      </c>
      <c r="D79" s="10">
        <v>10330000</v>
      </c>
    </row>
    <row r="81" spans="1:5">
      <c r="A81" s="109" t="s">
        <v>265</v>
      </c>
      <c r="B81" s="109"/>
      <c r="C81" s="109"/>
      <c r="D81" s="109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6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7" t="s">
        <v>251</v>
      </c>
      <c r="B84" s="10">
        <v>24210</v>
      </c>
      <c r="C84" s="10">
        <v>6620</v>
      </c>
      <c r="D84" s="10">
        <v>10390000</v>
      </c>
    </row>
    <row r="85" spans="1:5">
      <c r="A85" s="78" t="s">
        <v>252</v>
      </c>
      <c r="B85" s="10">
        <v>24160</v>
      </c>
      <c r="C85" s="10">
        <v>6615</v>
      </c>
      <c r="D85" s="10">
        <v>10400000</v>
      </c>
    </row>
    <row r="86" spans="1:5">
      <c r="A86" s="76" t="s">
        <v>253</v>
      </c>
      <c r="B86" s="10">
        <v>24220</v>
      </c>
      <c r="C86" s="10">
        <v>6640</v>
      </c>
      <c r="D86" s="10">
        <v>10410000</v>
      </c>
    </row>
    <row r="87" spans="1:5">
      <c r="A87" s="76">
        <v>0.625</v>
      </c>
      <c r="B87" s="10">
        <v>24220</v>
      </c>
      <c r="C87" s="10">
        <v>6640</v>
      </c>
      <c r="D87" s="10">
        <v>10420000</v>
      </c>
    </row>
    <row r="88" spans="1:5">
      <c r="A88" s="77" t="s">
        <v>254</v>
      </c>
      <c r="B88" s="10">
        <v>24220</v>
      </c>
      <c r="C88" s="10">
        <v>6640</v>
      </c>
      <c r="D88" s="10">
        <v>10420000</v>
      </c>
    </row>
    <row r="89" spans="1:5">
      <c r="A89" s="77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09" t="s">
        <v>269</v>
      </c>
      <c r="B93" s="109"/>
      <c r="C93" s="109"/>
      <c r="D93" s="109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6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7" t="s">
        <v>251</v>
      </c>
      <c r="B96" s="10">
        <v>24370</v>
      </c>
      <c r="C96" s="10">
        <v>6685</v>
      </c>
      <c r="D96" s="10">
        <v>10530000</v>
      </c>
    </row>
    <row r="97" spans="1:6">
      <c r="A97" s="78" t="s">
        <v>252</v>
      </c>
      <c r="B97" s="10">
        <v>24500</v>
      </c>
      <c r="C97" s="10">
        <v>6740</v>
      </c>
      <c r="D97" s="10">
        <v>10520000</v>
      </c>
    </row>
    <row r="98" spans="1:6">
      <c r="A98" s="76" t="s">
        <v>253</v>
      </c>
      <c r="B98" s="10">
        <v>24450</v>
      </c>
      <c r="C98" s="10">
        <v>6710</v>
      </c>
      <c r="D98" s="10">
        <v>10560000</v>
      </c>
    </row>
    <row r="99" spans="1:6">
      <c r="A99" s="76">
        <v>0.625</v>
      </c>
      <c r="B99" s="10">
        <v>24450</v>
      </c>
      <c r="C99" s="10">
        <v>6700</v>
      </c>
      <c r="D99" s="10">
        <v>10550000</v>
      </c>
    </row>
    <row r="100" spans="1:6">
      <c r="A100" s="77" t="s">
        <v>254</v>
      </c>
      <c r="B100" s="10">
        <v>24450</v>
      </c>
      <c r="C100" s="10">
        <v>6710</v>
      </c>
      <c r="D100" s="10">
        <v>10560000</v>
      </c>
    </row>
    <row r="101" spans="1:6">
      <c r="A101" s="77" t="s">
        <v>255</v>
      </c>
      <c r="B101" s="10">
        <v>24450</v>
      </c>
      <c r="C101" s="10">
        <v>6710</v>
      </c>
      <c r="D101" s="10">
        <v>10540000</v>
      </c>
    </row>
    <row r="103" spans="1:6">
      <c r="A103" s="109" t="s">
        <v>270</v>
      </c>
      <c r="B103" s="109"/>
      <c r="C103" s="109"/>
      <c r="D103" s="109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6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7" t="s">
        <v>251</v>
      </c>
      <c r="B106" s="10">
        <v>24400</v>
      </c>
      <c r="C106" s="10">
        <v>6685</v>
      </c>
      <c r="D106" s="10">
        <v>10500000</v>
      </c>
    </row>
    <row r="107" spans="1:6">
      <c r="A107" s="78" t="s">
        <v>252</v>
      </c>
      <c r="B107" s="10">
        <v>24340</v>
      </c>
      <c r="C107" s="10">
        <v>6680</v>
      </c>
      <c r="D107" s="10">
        <v>10470000</v>
      </c>
    </row>
    <row r="108" spans="1:6">
      <c r="A108" s="76" t="s">
        <v>253</v>
      </c>
      <c r="B108" s="10">
        <v>24400</v>
      </c>
      <c r="C108" s="10">
        <v>6695</v>
      </c>
      <c r="D108" s="10">
        <v>10510000</v>
      </c>
    </row>
    <row r="109" spans="1:6">
      <c r="A109" s="76">
        <v>0.625</v>
      </c>
      <c r="B109" s="10">
        <v>24400</v>
      </c>
      <c r="C109" s="10">
        <v>6700</v>
      </c>
      <c r="D109" s="10">
        <v>10520000</v>
      </c>
    </row>
    <row r="110" spans="1:6">
      <c r="A110" s="77" t="s">
        <v>254</v>
      </c>
      <c r="B110" s="10">
        <v>24400</v>
      </c>
      <c r="C110" s="10">
        <v>6700</v>
      </c>
      <c r="D110" s="10">
        <v>10500000</v>
      </c>
    </row>
    <row r="111" spans="1:6">
      <c r="A111" s="77" t="s">
        <v>255</v>
      </c>
      <c r="B111" s="10">
        <v>24400</v>
      </c>
      <c r="C111" s="10">
        <v>6700</v>
      </c>
      <c r="D111" s="10">
        <v>10540000</v>
      </c>
    </row>
    <row r="113" spans="1:5">
      <c r="A113" s="109" t="s">
        <v>272</v>
      </c>
      <c r="B113" s="109"/>
      <c r="C113" s="109"/>
      <c r="D113" s="109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6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7" t="s">
        <v>251</v>
      </c>
      <c r="B116" s="10">
        <v>24640</v>
      </c>
      <c r="C116" s="10">
        <v>6760</v>
      </c>
      <c r="D116" s="10">
        <v>10660000</v>
      </c>
    </row>
    <row r="117" spans="1:5">
      <c r="A117" s="78" t="s">
        <v>252</v>
      </c>
      <c r="B117" s="10">
        <v>24720</v>
      </c>
      <c r="C117" s="10">
        <v>6785</v>
      </c>
      <c r="D117" s="10">
        <v>10720000</v>
      </c>
    </row>
    <row r="118" spans="1:5">
      <c r="A118" s="76" t="s">
        <v>253</v>
      </c>
      <c r="B118" s="10">
        <v>24760</v>
      </c>
      <c r="C118" s="10">
        <v>6795</v>
      </c>
      <c r="D118" s="10">
        <v>10700000</v>
      </c>
    </row>
    <row r="119" spans="1:5">
      <c r="A119" s="76">
        <v>0.625</v>
      </c>
      <c r="B119" s="10">
        <v>24740</v>
      </c>
      <c r="C119" s="10">
        <v>6800</v>
      </c>
      <c r="D119" s="10">
        <v>10720000</v>
      </c>
    </row>
    <row r="120" spans="1:5">
      <c r="A120" s="77" t="s">
        <v>254</v>
      </c>
      <c r="B120" s="10">
        <v>24740</v>
      </c>
      <c r="C120" s="10">
        <v>6800</v>
      </c>
      <c r="D120" s="10">
        <v>10700000</v>
      </c>
    </row>
    <row r="121" spans="1:5">
      <c r="A121" s="77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09" t="s">
        <v>273</v>
      </c>
      <c r="B123" s="109"/>
      <c r="C123" s="109"/>
      <c r="D123" s="109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6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7" t="s">
        <v>251</v>
      </c>
      <c r="B126" s="10">
        <v>25000</v>
      </c>
      <c r="C126" s="10">
        <v>6850</v>
      </c>
      <c r="D126" s="10">
        <v>10800000</v>
      </c>
    </row>
    <row r="127" spans="1:5">
      <c r="A127" s="78" t="s">
        <v>252</v>
      </c>
      <c r="B127" s="10">
        <v>25060</v>
      </c>
      <c r="C127" s="10">
        <v>6880</v>
      </c>
      <c r="D127" s="10">
        <v>10830000</v>
      </c>
    </row>
    <row r="128" spans="1:5">
      <c r="A128" s="76" t="s">
        <v>253</v>
      </c>
      <c r="B128" s="10">
        <v>25110</v>
      </c>
      <c r="C128" s="10">
        <v>6920</v>
      </c>
      <c r="D128" s="10">
        <v>10810000</v>
      </c>
    </row>
    <row r="129" spans="1:4">
      <c r="A129" s="76">
        <v>0.625</v>
      </c>
      <c r="B129" s="10">
        <v>25130</v>
      </c>
      <c r="C129" s="10">
        <v>6890</v>
      </c>
      <c r="D129" s="10">
        <v>10800000</v>
      </c>
    </row>
    <row r="130" spans="1:4">
      <c r="A130" s="77" t="s">
        <v>254</v>
      </c>
      <c r="B130" s="10">
        <v>25130</v>
      </c>
      <c r="C130" s="10">
        <v>6885</v>
      </c>
      <c r="D130" s="10">
        <v>10780000</v>
      </c>
    </row>
    <row r="131" spans="1:4">
      <c r="A131" s="77" t="s">
        <v>255</v>
      </c>
      <c r="B131" s="10">
        <v>25130</v>
      </c>
      <c r="C131" s="10">
        <v>6885</v>
      </c>
      <c r="D131" s="10">
        <v>10830000</v>
      </c>
    </row>
    <row r="133" spans="1:4">
      <c r="A133" s="109" t="s">
        <v>274</v>
      </c>
      <c r="B133" s="109"/>
      <c r="C133" s="109"/>
      <c r="D133" s="109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6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7" t="s">
        <v>251</v>
      </c>
      <c r="B136" s="10">
        <v>25120</v>
      </c>
      <c r="C136" s="10">
        <v>6900</v>
      </c>
      <c r="D136" s="10">
        <v>10780000</v>
      </c>
    </row>
    <row r="137" spans="1:4">
      <c r="A137" s="78" t="s">
        <v>252</v>
      </c>
      <c r="B137" s="10">
        <v>25230</v>
      </c>
      <c r="C137" s="10">
        <v>6890</v>
      </c>
      <c r="D137" s="10">
        <v>10810000</v>
      </c>
    </row>
    <row r="138" spans="1:4">
      <c r="A138" s="76" t="s">
        <v>253</v>
      </c>
      <c r="B138" s="10">
        <v>25260</v>
      </c>
      <c r="C138" s="10">
        <v>6920</v>
      </c>
      <c r="D138" s="10">
        <v>10840000</v>
      </c>
    </row>
    <row r="139" spans="1:4">
      <c r="A139" s="76">
        <v>0.625</v>
      </c>
      <c r="B139" s="10">
        <v>25270</v>
      </c>
      <c r="C139" s="10">
        <v>6900</v>
      </c>
      <c r="D139" s="10">
        <v>10830000</v>
      </c>
    </row>
    <row r="140" spans="1:4">
      <c r="A140" s="77" t="s">
        <v>254</v>
      </c>
      <c r="B140" s="10">
        <v>25270</v>
      </c>
      <c r="C140" s="10">
        <v>6900</v>
      </c>
      <c r="D140" s="10">
        <v>10840000</v>
      </c>
    </row>
    <row r="141" spans="1:4">
      <c r="A141" s="77" t="s">
        <v>255</v>
      </c>
      <c r="B141" s="10">
        <v>25270</v>
      </c>
      <c r="C141" s="10">
        <v>6900</v>
      </c>
      <c r="D141" s="10">
        <v>10830000</v>
      </c>
    </row>
    <row r="143" spans="1:4">
      <c r="A143" s="109" t="s">
        <v>275</v>
      </c>
      <c r="B143" s="109"/>
      <c r="C143" s="109"/>
      <c r="D143" s="109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6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7" t="s">
        <v>251</v>
      </c>
      <c r="B146" s="10">
        <v>25250</v>
      </c>
      <c r="C146" s="10">
        <v>6890</v>
      </c>
      <c r="D146" s="10">
        <v>10810000</v>
      </c>
    </row>
    <row r="147" spans="1:7">
      <c r="A147" s="78" t="s">
        <v>252</v>
      </c>
      <c r="B147" s="10">
        <v>25210</v>
      </c>
      <c r="C147" s="10">
        <v>6890</v>
      </c>
      <c r="D147" s="10">
        <v>10800000</v>
      </c>
    </row>
    <row r="148" spans="1:7">
      <c r="A148" s="76" t="s">
        <v>253</v>
      </c>
      <c r="B148" s="10">
        <v>25190</v>
      </c>
      <c r="C148" s="10">
        <v>6855</v>
      </c>
      <c r="D148" s="10">
        <v>10790000</v>
      </c>
    </row>
    <row r="149" spans="1:7">
      <c r="A149" s="76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7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7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09" t="s">
        <v>277</v>
      </c>
      <c r="B153" s="109"/>
      <c r="C153" s="109"/>
      <c r="D153" s="109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6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7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8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6" t="s">
        <v>253</v>
      </c>
      <c r="B158" s="10">
        <v>25190</v>
      </c>
      <c r="C158" s="10">
        <v>6890</v>
      </c>
      <c r="D158" s="10">
        <v>10750000</v>
      </c>
    </row>
    <row r="159" spans="1:7">
      <c r="A159" s="76">
        <v>0.625</v>
      </c>
      <c r="B159" s="10">
        <v>25190</v>
      </c>
      <c r="C159" s="10">
        <v>6870</v>
      </c>
      <c r="D159" s="10">
        <v>10740000</v>
      </c>
    </row>
    <row r="160" spans="1:7">
      <c r="A160" s="77" t="s">
        <v>254</v>
      </c>
      <c r="B160" s="10">
        <v>25190</v>
      </c>
      <c r="C160" s="10">
        <v>6870</v>
      </c>
      <c r="D160" s="10">
        <v>10750000</v>
      </c>
    </row>
    <row r="161" spans="1:4">
      <c r="A161" s="77" t="s">
        <v>255</v>
      </c>
      <c r="B161" s="10">
        <v>25190</v>
      </c>
      <c r="C161" s="10">
        <v>6870</v>
      </c>
      <c r="D161" s="10">
        <v>10750000</v>
      </c>
    </row>
    <row r="163" spans="1:4">
      <c r="A163" s="109" t="s">
        <v>278</v>
      </c>
      <c r="B163" s="109"/>
      <c r="C163" s="109"/>
      <c r="D163" s="109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6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7" t="s">
        <v>251</v>
      </c>
      <c r="B166" s="10">
        <v>25310</v>
      </c>
      <c r="C166" s="10">
        <v>6920</v>
      </c>
      <c r="D166" s="10">
        <v>10790000</v>
      </c>
    </row>
    <row r="167" spans="1:4">
      <c r="A167" s="78" t="s">
        <v>252</v>
      </c>
      <c r="B167" s="10">
        <v>25260</v>
      </c>
      <c r="C167" s="10">
        <v>6900</v>
      </c>
      <c r="D167" s="10">
        <v>10780000</v>
      </c>
    </row>
    <row r="168" spans="1:4">
      <c r="A168" s="76" t="s">
        <v>253</v>
      </c>
      <c r="B168" s="10">
        <v>25250</v>
      </c>
      <c r="C168" s="10">
        <v>6885</v>
      </c>
      <c r="D168" s="10">
        <v>10750000</v>
      </c>
    </row>
    <row r="169" spans="1:4">
      <c r="A169" s="76">
        <v>0.625</v>
      </c>
      <c r="B169" s="10">
        <v>25180</v>
      </c>
      <c r="C169" s="10">
        <v>6905</v>
      </c>
      <c r="D169" s="10">
        <v>10750000</v>
      </c>
    </row>
    <row r="170" spans="1:4">
      <c r="A170" s="77" t="s">
        <v>254</v>
      </c>
      <c r="B170" s="10">
        <v>25180</v>
      </c>
      <c r="C170" s="10">
        <v>6895</v>
      </c>
      <c r="D170" s="10">
        <v>10760000</v>
      </c>
    </row>
    <row r="171" spans="1:4">
      <c r="A171" s="77" t="s">
        <v>255</v>
      </c>
      <c r="B171" s="10">
        <v>25180</v>
      </c>
      <c r="C171" s="10">
        <v>6895</v>
      </c>
      <c r="D171" s="10">
        <v>10750000</v>
      </c>
    </row>
    <row r="173" spans="1:4">
      <c r="A173" s="109" t="s">
        <v>279</v>
      </c>
      <c r="B173" s="109"/>
      <c r="C173" s="109"/>
      <c r="D173" s="109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6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7" t="s">
        <v>251</v>
      </c>
      <c r="B176" s="10">
        <v>25100</v>
      </c>
      <c r="C176" s="10">
        <v>6875</v>
      </c>
      <c r="D176" s="10">
        <v>10660000</v>
      </c>
    </row>
    <row r="177" spans="1:7">
      <c r="A177" s="78" t="s">
        <v>252</v>
      </c>
      <c r="B177" s="10">
        <v>25000</v>
      </c>
      <c r="C177" s="10">
        <v>6860</v>
      </c>
      <c r="D177" s="10">
        <v>10590000</v>
      </c>
    </row>
    <row r="178" spans="1:7">
      <c r="A178" s="76" t="s">
        <v>253</v>
      </c>
      <c r="B178" s="10">
        <v>24970</v>
      </c>
      <c r="C178" s="10">
        <v>6835</v>
      </c>
      <c r="D178" s="10">
        <v>10590000</v>
      </c>
    </row>
    <row r="179" spans="1:7">
      <c r="A179" s="76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7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7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09" t="s">
        <v>280</v>
      </c>
      <c r="B183" s="109"/>
      <c r="C183" s="109"/>
      <c r="D183" s="109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6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7" t="s">
        <v>251</v>
      </c>
      <c r="B186" s="10">
        <v>25110</v>
      </c>
      <c r="C186" s="10">
        <v>6860</v>
      </c>
      <c r="D186" s="10">
        <v>10720000</v>
      </c>
    </row>
    <row r="187" spans="1:7">
      <c r="A187" s="78" t="s">
        <v>252</v>
      </c>
      <c r="B187" s="10">
        <v>25070</v>
      </c>
      <c r="C187" s="10">
        <v>6860</v>
      </c>
      <c r="D187" s="10">
        <v>10700000</v>
      </c>
    </row>
    <row r="188" spans="1:7">
      <c r="A188" s="76" t="s">
        <v>253</v>
      </c>
      <c r="B188" s="10">
        <v>25110</v>
      </c>
      <c r="C188" s="10">
        <v>6870</v>
      </c>
      <c r="D188" s="10">
        <v>10720000</v>
      </c>
    </row>
    <row r="189" spans="1:7">
      <c r="A189" s="76">
        <v>0.625</v>
      </c>
      <c r="B189" s="10">
        <v>25110</v>
      </c>
      <c r="C189" s="10">
        <v>6880</v>
      </c>
      <c r="D189" s="10">
        <v>10720000</v>
      </c>
    </row>
    <row r="190" spans="1:7">
      <c r="A190" s="77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7" t="s">
        <v>255</v>
      </c>
      <c r="B191" s="10">
        <v>25110</v>
      </c>
      <c r="C191" s="10">
        <v>6880</v>
      </c>
      <c r="D191" s="10">
        <v>10720000</v>
      </c>
    </row>
    <row r="193" spans="1:4">
      <c r="A193" s="109" t="s">
        <v>281</v>
      </c>
      <c r="B193" s="109"/>
      <c r="C193" s="109"/>
      <c r="D193" s="109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6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7" t="s">
        <v>251</v>
      </c>
      <c r="B196" s="10">
        <v>24980</v>
      </c>
      <c r="C196" s="10">
        <v>6840</v>
      </c>
      <c r="D196" s="10">
        <v>10640000</v>
      </c>
    </row>
    <row r="197" spans="1:4">
      <c r="A197" s="78" t="s">
        <v>252</v>
      </c>
      <c r="B197" s="10">
        <v>24940</v>
      </c>
      <c r="C197" s="10">
        <v>6840</v>
      </c>
      <c r="D197" s="10">
        <v>10650000</v>
      </c>
    </row>
    <row r="198" spans="1:4">
      <c r="A198" s="76" t="s">
        <v>253</v>
      </c>
      <c r="B198" s="10">
        <v>24900</v>
      </c>
      <c r="C198" s="10">
        <v>6840</v>
      </c>
      <c r="D198" s="10">
        <v>10650000</v>
      </c>
    </row>
    <row r="199" spans="1:4">
      <c r="A199" s="76">
        <v>0.625</v>
      </c>
      <c r="B199" s="10">
        <v>24900</v>
      </c>
      <c r="C199" s="10">
        <v>6840</v>
      </c>
      <c r="D199" s="10">
        <v>10670000</v>
      </c>
    </row>
    <row r="200" spans="1:4">
      <c r="A200" s="77" t="s">
        <v>254</v>
      </c>
      <c r="B200" s="10">
        <v>24900</v>
      </c>
      <c r="C200" s="10">
        <v>6840</v>
      </c>
      <c r="D200" s="10">
        <v>10650000</v>
      </c>
    </row>
    <row r="201" spans="1:4">
      <c r="A201" s="77" t="s">
        <v>255</v>
      </c>
      <c r="B201" s="10">
        <v>24900</v>
      </c>
      <c r="C201" s="10">
        <v>6840</v>
      </c>
      <c r="D201" s="10">
        <v>10660000</v>
      </c>
    </row>
    <row r="203" spans="1:4">
      <c r="A203" s="109" t="s">
        <v>282</v>
      </c>
      <c r="B203" s="109"/>
      <c r="C203" s="109"/>
      <c r="D203" s="109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6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7" t="s">
        <v>251</v>
      </c>
      <c r="B206" s="10">
        <v>25000</v>
      </c>
      <c r="C206" s="10">
        <v>6830</v>
      </c>
      <c r="D206" s="10">
        <v>10690000</v>
      </c>
    </row>
    <row r="207" spans="1:4">
      <c r="A207" s="78" t="s">
        <v>252</v>
      </c>
      <c r="B207" s="10">
        <v>24970</v>
      </c>
      <c r="C207" s="10">
        <v>6830</v>
      </c>
      <c r="D207" s="10">
        <v>10710000</v>
      </c>
    </row>
    <row r="208" spans="1:4">
      <c r="A208" s="76" t="s">
        <v>253</v>
      </c>
      <c r="B208" s="10">
        <v>24970</v>
      </c>
      <c r="C208" s="10">
        <v>6820</v>
      </c>
      <c r="D208" s="10">
        <v>10720000</v>
      </c>
    </row>
    <row r="209" spans="1:4">
      <c r="A209" s="76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7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7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09" t="s">
        <v>283</v>
      </c>
      <c r="B213" s="109"/>
      <c r="C213" s="109"/>
      <c r="D213" s="109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6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7" t="s">
        <v>251</v>
      </c>
      <c r="B216" s="10">
        <v>24900</v>
      </c>
      <c r="C216" s="10">
        <v>6840</v>
      </c>
      <c r="D216" s="10">
        <v>10690000</v>
      </c>
    </row>
    <row r="217" spans="1:4">
      <c r="A217" s="78" t="s">
        <v>252</v>
      </c>
      <c r="B217" s="10">
        <v>24930</v>
      </c>
      <c r="C217" s="10">
        <v>6820</v>
      </c>
      <c r="D217" s="10">
        <v>10670000</v>
      </c>
    </row>
    <row r="218" spans="1:4">
      <c r="A218" s="76" t="s">
        <v>253</v>
      </c>
      <c r="B218" s="10">
        <v>24880</v>
      </c>
      <c r="C218" s="10">
        <v>6825</v>
      </c>
      <c r="D218" s="10">
        <v>10670000</v>
      </c>
    </row>
    <row r="219" spans="1:4">
      <c r="A219" s="76">
        <v>0.625</v>
      </c>
      <c r="B219" s="10">
        <v>24880</v>
      </c>
      <c r="C219" s="10">
        <v>6820</v>
      </c>
      <c r="D219" s="10">
        <v>10660000</v>
      </c>
    </row>
    <row r="220" spans="1:4">
      <c r="A220" s="77" t="s">
        <v>254</v>
      </c>
      <c r="B220" s="10">
        <v>24880</v>
      </c>
      <c r="C220" s="10">
        <v>6820</v>
      </c>
      <c r="D220" s="10">
        <v>10670000</v>
      </c>
    </row>
    <row r="221" spans="1:4">
      <c r="A221" s="77" t="s">
        <v>255</v>
      </c>
      <c r="B221" s="10">
        <v>24880</v>
      </c>
      <c r="C221" s="10">
        <v>6820</v>
      </c>
      <c r="D221" s="10">
        <v>10670000</v>
      </c>
    </row>
    <row r="223" spans="1:4">
      <c r="A223" s="109" t="s">
        <v>284</v>
      </c>
      <c r="B223" s="109"/>
      <c r="C223" s="109"/>
      <c r="D223" s="109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6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7" t="s">
        <v>251</v>
      </c>
      <c r="B226" s="10">
        <v>24890</v>
      </c>
      <c r="C226" s="10">
        <v>6820</v>
      </c>
      <c r="D226" s="10">
        <v>10650000</v>
      </c>
    </row>
    <row r="227" spans="1:5">
      <c r="A227" s="78" t="s">
        <v>252</v>
      </c>
      <c r="B227" s="10">
        <v>24880</v>
      </c>
      <c r="C227" s="10">
        <v>6820</v>
      </c>
      <c r="D227" s="10">
        <v>10640000</v>
      </c>
    </row>
    <row r="228" spans="1:5">
      <c r="A228" s="76" t="s">
        <v>253</v>
      </c>
      <c r="B228" s="10">
        <v>24880</v>
      </c>
      <c r="C228" s="10">
        <v>6825</v>
      </c>
      <c r="D228" s="10">
        <v>10650000</v>
      </c>
    </row>
    <row r="229" spans="1:5">
      <c r="A229" s="76">
        <v>0.625</v>
      </c>
      <c r="B229" s="10">
        <v>24880</v>
      </c>
      <c r="C229" s="10">
        <v>6825</v>
      </c>
      <c r="D229" s="10">
        <v>10690000</v>
      </c>
    </row>
    <row r="230" spans="1:5">
      <c r="A230" s="77" t="s">
        <v>254</v>
      </c>
      <c r="B230" s="10">
        <v>24880</v>
      </c>
      <c r="C230" s="10">
        <v>6825</v>
      </c>
      <c r="D230" s="10">
        <v>10700000</v>
      </c>
    </row>
    <row r="231" spans="1:5">
      <c r="A231" s="77" t="s">
        <v>255</v>
      </c>
      <c r="B231" s="10">
        <v>24880</v>
      </c>
      <c r="C231" s="10">
        <v>6825</v>
      </c>
      <c r="D231" s="10">
        <v>10700000</v>
      </c>
    </row>
    <row r="233" spans="1:5">
      <c r="A233" s="109" t="s">
        <v>285</v>
      </c>
      <c r="B233" s="109"/>
      <c r="C233" s="109"/>
      <c r="D233" s="109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6">
        <v>0.45833333333333298</v>
      </c>
      <c r="B235" s="10">
        <v>24890</v>
      </c>
      <c r="C235" s="10">
        <v>6850</v>
      </c>
      <c r="D235" s="10">
        <v>10680000</v>
      </c>
      <c r="E235" s="81"/>
    </row>
    <row r="236" spans="1:5">
      <c r="A236" s="77" t="s">
        <v>251</v>
      </c>
      <c r="B236" s="10">
        <v>24880</v>
      </c>
      <c r="C236" s="10">
        <v>6850</v>
      </c>
      <c r="D236" s="10">
        <v>10680000</v>
      </c>
    </row>
    <row r="237" spans="1:5">
      <c r="A237" s="78" t="s">
        <v>252</v>
      </c>
      <c r="B237" s="10">
        <v>24910</v>
      </c>
      <c r="C237" s="10">
        <v>6825</v>
      </c>
      <c r="D237" s="10">
        <v>10670000</v>
      </c>
    </row>
    <row r="238" spans="1:5">
      <c r="A238" s="76" t="s">
        <v>253</v>
      </c>
      <c r="B238" s="10">
        <v>24920</v>
      </c>
      <c r="C238" s="10">
        <v>6820</v>
      </c>
      <c r="D238" s="10">
        <v>10670000</v>
      </c>
    </row>
    <row r="239" spans="1:5">
      <c r="A239" s="76">
        <v>0.625</v>
      </c>
      <c r="B239" s="10">
        <v>24920</v>
      </c>
      <c r="C239" s="10">
        <v>6820</v>
      </c>
      <c r="D239" s="10">
        <v>10680000</v>
      </c>
    </row>
    <row r="240" spans="1:5">
      <c r="A240" s="77" t="s">
        <v>254</v>
      </c>
      <c r="B240" s="10">
        <v>24920</v>
      </c>
      <c r="C240" s="10">
        <v>6820</v>
      </c>
      <c r="D240" s="10">
        <v>10680000</v>
      </c>
    </row>
    <row r="241" spans="1:4">
      <c r="A241" s="77" t="s">
        <v>255</v>
      </c>
      <c r="B241" s="10">
        <v>24920</v>
      </c>
      <c r="C241" s="10">
        <v>6820</v>
      </c>
      <c r="D241" s="10">
        <v>10680000</v>
      </c>
    </row>
    <row r="243" spans="1:4">
      <c r="A243" s="109" t="s">
        <v>286</v>
      </c>
      <c r="B243" s="109"/>
      <c r="C243" s="109"/>
      <c r="D243" s="109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6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7" t="s">
        <v>251</v>
      </c>
      <c r="B246" s="10">
        <v>24830</v>
      </c>
      <c r="C246" s="10">
        <v>6790</v>
      </c>
      <c r="D246" s="10">
        <v>10620000</v>
      </c>
    </row>
    <row r="247" spans="1:4">
      <c r="A247" s="78" t="s">
        <v>252</v>
      </c>
      <c r="B247" s="10">
        <v>24740</v>
      </c>
      <c r="C247" s="10">
        <v>6770</v>
      </c>
      <c r="D247" s="10">
        <v>10590000</v>
      </c>
    </row>
    <row r="248" spans="1:4">
      <c r="A248" s="76" t="s">
        <v>253</v>
      </c>
      <c r="B248" s="10">
        <v>24720</v>
      </c>
      <c r="C248" s="10">
        <v>6770</v>
      </c>
      <c r="D248" s="10">
        <v>10610000</v>
      </c>
    </row>
    <row r="249" spans="1:4">
      <c r="A249" s="76">
        <v>0.625</v>
      </c>
      <c r="B249" s="10">
        <v>24750</v>
      </c>
      <c r="C249" s="10">
        <v>6765</v>
      </c>
      <c r="D249" s="10">
        <v>10600000</v>
      </c>
    </row>
    <row r="250" spans="1:4">
      <c r="A250" s="77" t="s">
        <v>254</v>
      </c>
      <c r="B250" s="10">
        <v>24750</v>
      </c>
      <c r="C250" s="10">
        <v>6765</v>
      </c>
      <c r="D250" s="10">
        <v>10590000</v>
      </c>
    </row>
    <row r="251" spans="1:4">
      <c r="A251" s="77" t="s">
        <v>255</v>
      </c>
      <c r="B251" s="10">
        <v>24750</v>
      </c>
      <c r="C251" s="10">
        <v>6765</v>
      </c>
      <c r="D251" s="10">
        <v>10610000</v>
      </c>
    </row>
    <row r="252" spans="1:4">
      <c r="D252" s="81"/>
    </row>
    <row r="253" spans="1:4">
      <c r="A253" s="109" t="s">
        <v>287</v>
      </c>
      <c r="B253" s="109"/>
      <c r="C253" s="109"/>
      <c r="D253" s="109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6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7" t="s">
        <v>251</v>
      </c>
      <c r="B256" s="10">
        <v>24440</v>
      </c>
      <c r="C256" s="10">
        <v>6700</v>
      </c>
      <c r="D256" s="10">
        <v>10480000</v>
      </c>
    </row>
    <row r="257" spans="1:4">
      <c r="A257" s="78" t="s">
        <v>252</v>
      </c>
      <c r="B257" s="10">
        <v>24470</v>
      </c>
      <c r="C257" s="10">
        <v>6735</v>
      </c>
      <c r="D257" s="10">
        <v>10500000</v>
      </c>
    </row>
    <row r="258" spans="1:4">
      <c r="A258" s="76" t="s">
        <v>253</v>
      </c>
      <c r="B258" s="10">
        <v>24520</v>
      </c>
      <c r="C258" s="10">
        <v>6730</v>
      </c>
      <c r="D258" s="10">
        <v>10490000</v>
      </c>
    </row>
    <row r="259" spans="1:4">
      <c r="A259" s="76">
        <v>0.625</v>
      </c>
      <c r="B259" s="10">
        <v>24520</v>
      </c>
      <c r="C259" s="10">
        <v>6725</v>
      </c>
      <c r="D259" s="10">
        <v>10470000</v>
      </c>
    </row>
    <row r="260" spans="1:4">
      <c r="A260" s="77" t="s">
        <v>254</v>
      </c>
      <c r="B260" s="10">
        <v>24520</v>
      </c>
      <c r="C260" s="10">
        <v>6725</v>
      </c>
      <c r="D260" s="10">
        <v>10480000</v>
      </c>
    </row>
    <row r="261" spans="1:4">
      <c r="A261" s="77" t="s">
        <v>255</v>
      </c>
      <c r="B261" s="10">
        <v>24520</v>
      </c>
      <c r="C261" s="10">
        <v>6725</v>
      </c>
      <c r="D261" s="10">
        <v>10500000</v>
      </c>
    </row>
    <row r="263" spans="1:4">
      <c r="A263" s="109" t="s">
        <v>288</v>
      </c>
      <c r="B263" s="109"/>
      <c r="C263" s="109"/>
      <c r="D263" s="109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6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7" t="s">
        <v>251</v>
      </c>
      <c r="B266" s="10">
        <v>24740</v>
      </c>
      <c r="C266" s="10">
        <v>6780</v>
      </c>
      <c r="D266" s="10">
        <v>10610000</v>
      </c>
    </row>
    <row r="267" spans="1:4">
      <c r="A267" s="78" t="s">
        <v>252</v>
      </c>
      <c r="B267" s="10">
        <v>24720</v>
      </c>
      <c r="C267" s="10">
        <v>6770</v>
      </c>
      <c r="D267" s="10">
        <v>10610000</v>
      </c>
    </row>
    <row r="268" spans="1:4">
      <c r="A268" s="76" t="s">
        <v>253</v>
      </c>
      <c r="B268" s="10">
        <v>24700</v>
      </c>
      <c r="C268" s="10">
        <v>6760</v>
      </c>
      <c r="D268" s="10">
        <v>10600000</v>
      </c>
    </row>
    <row r="269" spans="1:4">
      <c r="A269" s="76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7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7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09" t="s">
        <v>289</v>
      </c>
      <c r="B273" s="109"/>
      <c r="C273" s="109"/>
      <c r="D273" s="109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6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7" t="s">
        <v>251</v>
      </c>
      <c r="B276" s="10">
        <v>24700</v>
      </c>
      <c r="C276" s="10">
        <v>6760</v>
      </c>
      <c r="D276" s="10">
        <v>10580000</v>
      </c>
    </row>
    <row r="277" spans="1:4">
      <c r="A277" s="78" t="s">
        <v>252</v>
      </c>
      <c r="B277" s="10">
        <v>24720</v>
      </c>
      <c r="C277" s="10">
        <v>6755</v>
      </c>
      <c r="D277" s="10">
        <v>10540000</v>
      </c>
    </row>
    <row r="278" spans="1:4">
      <c r="A278" s="76" t="s">
        <v>253</v>
      </c>
      <c r="B278" s="10">
        <v>24670</v>
      </c>
      <c r="C278" s="10">
        <v>6755</v>
      </c>
      <c r="D278" s="10">
        <v>10550000</v>
      </c>
    </row>
    <row r="279" spans="1:4">
      <c r="A279" s="76">
        <v>0.625</v>
      </c>
      <c r="B279" s="10">
        <v>24670</v>
      </c>
      <c r="C279" s="10">
        <v>6775</v>
      </c>
      <c r="D279" s="10">
        <v>10540000</v>
      </c>
    </row>
    <row r="280" spans="1:4">
      <c r="A280" s="77" t="s">
        <v>254</v>
      </c>
      <c r="B280" s="10">
        <v>24670</v>
      </c>
      <c r="C280" s="10">
        <v>6765</v>
      </c>
      <c r="D280" s="10">
        <v>10530000</v>
      </c>
    </row>
    <row r="281" spans="1:4">
      <c r="A281" s="77" t="s">
        <v>255</v>
      </c>
      <c r="B281" s="10">
        <v>24670</v>
      </c>
      <c r="C281" s="10">
        <v>6765</v>
      </c>
      <c r="D281" s="10">
        <v>10540000</v>
      </c>
    </row>
    <row r="283" spans="1:4">
      <c r="A283" s="109" t="s">
        <v>290</v>
      </c>
      <c r="B283" s="109"/>
      <c r="C283" s="109"/>
      <c r="D283" s="109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6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7" t="s">
        <v>251</v>
      </c>
      <c r="B286" s="10">
        <v>24700</v>
      </c>
      <c r="C286" s="10">
        <v>6740</v>
      </c>
      <c r="D286" s="10">
        <v>10510000</v>
      </c>
    </row>
    <row r="287" spans="1:4">
      <c r="A287" s="78" t="s">
        <v>252</v>
      </c>
      <c r="B287" s="10">
        <v>24650</v>
      </c>
      <c r="C287" s="10">
        <v>6730</v>
      </c>
      <c r="D287" s="10">
        <v>10500000</v>
      </c>
    </row>
    <row r="288" spans="1:4">
      <c r="A288" s="76" t="s">
        <v>253</v>
      </c>
      <c r="B288" s="10">
        <v>24650</v>
      </c>
      <c r="C288" s="10">
        <v>6730</v>
      </c>
      <c r="D288" s="10">
        <v>10500000</v>
      </c>
    </row>
    <row r="289" spans="1:6">
      <c r="A289" s="76">
        <v>0.625</v>
      </c>
      <c r="B289" s="10">
        <v>24650</v>
      </c>
      <c r="C289" s="10">
        <v>6720</v>
      </c>
      <c r="D289" s="10">
        <v>10510000</v>
      </c>
    </row>
    <row r="290" spans="1:6">
      <c r="A290" s="77" t="s">
        <v>254</v>
      </c>
      <c r="B290" s="10">
        <v>24650</v>
      </c>
      <c r="C290" s="10">
        <v>6730</v>
      </c>
      <c r="D290" s="10">
        <v>10530000</v>
      </c>
    </row>
    <row r="291" spans="1:6">
      <c r="A291" s="77" t="s">
        <v>255</v>
      </c>
      <c r="B291" s="10">
        <v>24650</v>
      </c>
      <c r="C291" s="10">
        <v>6730</v>
      </c>
      <c r="D291" s="10">
        <v>10520000</v>
      </c>
    </row>
    <row r="293" spans="1:6">
      <c r="A293" s="109" t="s">
        <v>291</v>
      </c>
      <c r="B293" s="109"/>
      <c r="C293" s="109"/>
      <c r="D293" s="109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6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7" t="s">
        <v>251</v>
      </c>
      <c r="B296" s="10">
        <v>24470</v>
      </c>
      <c r="C296" s="10">
        <v>6700</v>
      </c>
      <c r="D296" s="10">
        <v>10490000</v>
      </c>
    </row>
    <row r="297" spans="1:6">
      <c r="A297" s="78" t="s">
        <v>252</v>
      </c>
      <c r="B297" s="10">
        <v>24400</v>
      </c>
      <c r="C297" s="10">
        <v>6700</v>
      </c>
      <c r="D297" s="10">
        <v>10510000</v>
      </c>
    </row>
    <row r="298" spans="1:6">
      <c r="A298" s="76" t="s">
        <v>253</v>
      </c>
      <c r="B298" s="10">
        <v>24390</v>
      </c>
      <c r="C298" s="10">
        <v>6700</v>
      </c>
      <c r="D298" s="10">
        <v>10500000</v>
      </c>
    </row>
    <row r="299" spans="1:6">
      <c r="A299" s="76">
        <v>0.625</v>
      </c>
      <c r="B299" s="10">
        <v>24400</v>
      </c>
      <c r="C299" s="10">
        <v>6700</v>
      </c>
      <c r="D299" s="10">
        <v>10510000</v>
      </c>
      <c r="E299" s="81"/>
    </row>
    <row r="300" spans="1:6">
      <c r="A300" s="77" t="s">
        <v>254</v>
      </c>
      <c r="B300" s="10">
        <v>24400</v>
      </c>
      <c r="C300" s="10">
        <v>6700</v>
      </c>
      <c r="D300" s="10">
        <v>10500000</v>
      </c>
      <c r="E300" s="82"/>
    </row>
    <row r="301" spans="1:6">
      <c r="A301" s="77" t="s">
        <v>255</v>
      </c>
      <c r="B301" s="10">
        <v>24400</v>
      </c>
      <c r="C301" s="10">
        <v>6700</v>
      </c>
      <c r="D301" s="10">
        <v>10510000</v>
      </c>
      <c r="E301" s="82"/>
      <c r="F301" s="82"/>
    </row>
    <row r="303" spans="1:6">
      <c r="A303" s="109" t="s">
        <v>292</v>
      </c>
      <c r="B303" s="109"/>
      <c r="C303" s="109"/>
      <c r="D303" s="109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6">
        <v>0.45833333333333298</v>
      </c>
      <c r="B305" s="10" t="s">
        <v>293</v>
      </c>
      <c r="C305" s="10"/>
      <c r="D305" s="10">
        <v>10560000</v>
      </c>
    </row>
    <row r="306" spans="1:6">
      <c r="A306" s="77" t="s">
        <v>251</v>
      </c>
      <c r="B306" s="10" t="s">
        <v>294</v>
      </c>
      <c r="C306" s="10"/>
      <c r="D306" s="10">
        <v>10550000</v>
      </c>
    </row>
    <row r="307" spans="1:6">
      <c r="A307" s="78" t="s">
        <v>252</v>
      </c>
      <c r="B307" s="10" t="s">
        <v>295</v>
      </c>
      <c r="C307" s="10"/>
      <c r="D307" s="10">
        <v>10560000</v>
      </c>
    </row>
    <row r="308" spans="1:6">
      <c r="A308" s="76" t="s">
        <v>253</v>
      </c>
      <c r="B308" s="10"/>
      <c r="C308" s="10"/>
      <c r="D308" s="10"/>
    </row>
    <row r="309" spans="1:6">
      <c r="A309" s="76">
        <v>0.625</v>
      </c>
      <c r="B309" s="10"/>
      <c r="C309" s="10"/>
      <c r="D309" s="10"/>
    </row>
    <row r="310" spans="1:6">
      <c r="A310" s="77" t="s">
        <v>254</v>
      </c>
      <c r="B310" s="10"/>
      <c r="C310" s="10"/>
      <c r="D310" s="10"/>
    </row>
    <row r="311" spans="1:6">
      <c r="A311" s="77" t="s">
        <v>255</v>
      </c>
      <c r="B311" s="10"/>
      <c r="C311" s="10"/>
      <c r="D311" s="10"/>
    </row>
    <row r="313" spans="1:6">
      <c r="A313" s="109" t="s">
        <v>296</v>
      </c>
      <c r="B313" s="109"/>
      <c r="C313" s="109"/>
      <c r="D313" s="109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6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7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8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6" t="s">
        <v>253</v>
      </c>
      <c r="B318" s="10"/>
      <c r="C318" s="10"/>
      <c r="D318" s="10"/>
    </row>
    <row r="319" spans="1:6">
      <c r="A319" s="76">
        <v>0.625</v>
      </c>
      <c r="B319" s="10"/>
      <c r="C319" s="10"/>
      <c r="D319" s="10"/>
    </row>
    <row r="320" spans="1:6">
      <c r="A320" s="77" t="s">
        <v>254</v>
      </c>
      <c r="B320" s="10"/>
      <c r="C320" s="10"/>
      <c r="D320" s="10"/>
    </row>
    <row r="321" spans="1:6">
      <c r="A321" s="77" t="s">
        <v>255</v>
      </c>
      <c r="B321" s="10"/>
      <c r="C321" s="10"/>
      <c r="D321" s="10"/>
    </row>
    <row r="324" spans="1:6">
      <c r="A324" s="109" t="s">
        <v>300</v>
      </c>
      <c r="B324" s="109"/>
      <c r="C324" s="109"/>
      <c r="D324" s="109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6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7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8" t="s">
        <v>252</v>
      </c>
      <c r="B328" s="10"/>
      <c r="C328" s="10"/>
      <c r="D328" s="10"/>
    </row>
    <row r="329" spans="1:6">
      <c r="A329" s="76" t="s">
        <v>253</v>
      </c>
      <c r="B329" s="10"/>
      <c r="C329" s="10"/>
      <c r="D329" s="10"/>
    </row>
    <row r="330" spans="1:6">
      <c r="A330" s="76">
        <v>0.625</v>
      </c>
      <c r="B330" s="10"/>
      <c r="C330" s="10"/>
      <c r="D330" s="10"/>
    </row>
    <row r="331" spans="1:6">
      <c r="A331" s="77" t="s">
        <v>254</v>
      </c>
      <c r="B331" s="10"/>
      <c r="C331" s="10"/>
      <c r="D331" s="10"/>
    </row>
    <row r="332" spans="1:6">
      <c r="A332" s="77" t="s">
        <v>255</v>
      </c>
      <c r="B332" s="10"/>
      <c r="C332" s="10"/>
      <c r="D332" s="10"/>
    </row>
    <row r="335" spans="1:6">
      <c r="A335" s="109" t="s">
        <v>303</v>
      </c>
      <c r="B335" s="109"/>
      <c r="C335" s="109"/>
      <c r="D335" s="109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6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7" t="s">
        <v>251</v>
      </c>
      <c r="B338" s="10">
        <v>24780</v>
      </c>
      <c r="C338" s="10">
        <v>6820</v>
      </c>
      <c r="D338" s="10">
        <v>10730000</v>
      </c>
    </row>
    <row r="339" spans="1:4">
      <c r="A339" s="78" t="s">
        <v>252</v>
      </c>
      <c r="B339" s="10">
        <v>24890</v>
      </c>
      <c r="C339" s="10">
        <v>6815</v>
      </c>
      <c r="D339" s="10">
        <v>10790000</v>
      </c>
    </row>
    <row r="340" spans="1:4">
      <c r="A340" s="76" t="s">
        <v>253</v>
      </c>
      <c r="B340" s="10">
        <v>24980</v>
      </c>
      <c r="C340" s="10">
        <v>6830</v>
      </c>
      <c r="D340" s="10">
        <v>10800000</v>
      </c>
    </row>
    <row r="341" spans="1:4">
      <c r="A341" s="76">
        <v>0.625</v>
      </c>
      <c r="B341" s="10">
        <v>24980</v>
      </c>
      <c r="C341" s="10">
        <v>6840</v>
      </c>
      <c r="D341" s="10">
        <v>10880000</v>
      </c>
    </row>
    <row r="342" spans="1:4">
      <c r="A342" s="77" t="s">
        <v>254</v>
      </c>
      <c r="B342" s="10">
        <v>24980</v>
      </c>
      <c r="C342" s="10">
        <v>6840</v>
      </c>
      <c r="D342" s="10">
        <v>10890000</v>
      </c>
    </row>
    <row r="343" spans="1:4">
      <c r="A343" s="77" t="s">
        <v>255</v>
      </c>
      <c r="B343" s="10">
        <v>24980</v>
      </c>
      <c r="C343" s="10">
        <v>6840</v>
      </c>
      <c r="D343" s="10">
        <v>10930000</v>
      </c>
    </row>
    <row r="346" spans="1:4">
      <c r="A346" s="109" t="s">
        <v>304</v>
      </c>
      <c r="B346" s="109"/>
      <c r="C346" s="109"/>
      <c r="D346" s="109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6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7" t="s">
        <v>251</v>
      </c>
      <c r="B349" s="10">
        <v>25140</v>
      </c>
      <c r="C349" s="10">
        <v>6870</v>
      </c>
      <c r="D349" s="10">
        <v>11030000</v>
      </c>
    </row>
    <row r="350" spans="1:4">
      <c r="A350" s="78" t="s">
        <v>252</v>
      </c>
      <c r="B350" s="10">
        <v>25120</v>
      </c>
      <c r="C350" s="10">
        <v>6890</v>
      </c>
      <c r="D350" s="10">
        <v>10950000</v>
      </c>
    </row>
    <row r="351" spans="1:4">
      <c r="A351" s="76" t="s">
        <v>253</v>
      </c>
      <c r="B351" s="10">
        <v>25120</v>
      </c>
      <c r="C351" s="10">
        <v>6890</v>
      </c>
      <c r="D351" s="10">
        <v>10990000</v>
      </c>
    </row>
    <row r="352" spans="1:4">
      <c r="A352" s="76">
        <v>0.625</v>
      </c>
      <c r="B352" s="10">
        <v>25120</v>
      </c>
      <c r="C352" s="10">
        <v>6890</v>
      </c>
      <c r="D352" s="10">
        <v>10970000</v>
      </c>
    </row>
    <row r="353" spans="1:4">
      <c r="A353" s="77" t="s">
        <v>254</v>
      </c>
      <c r="B353" s="10">
        <v>25120</v>
      </c>
      <c r="C353" s="10">
        <v>6890</v>
      </c>
      <c r="D353" s="10">
        <v>10970000</v>
      </c>
    </row>
    <row r="354" spans="1:4">
      <c r="A354" s="77" t="s">
        <v>255</v>
      </c>
      <c r="B354" s="10">
        <v>25120</v>
      </c>
      <c r="C354" s="10">
        <v>6890</v>
      </c>
      <c r="D354" s="10">
        <v>11000000</v>
      </c>
    </row>
    <row r="357" spans="1:4">
      <c r="A357" s="109" t="s">
        <v>305</v>
      </c>
      <c r="B357" s="109"/>
      <c r="C357" s="109"/>
      <c r="D357" s="109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6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7" t="s">
        <v>251</v>
      </c>
      <c r="B360" s="10">
        <v>25250</v>
      </c>
      <c r="C360" s="10">
        <v>6930</v>
      </c>
      <c r="D360" s="10">
        <v>11100000</v>
      </c>
    </row>
    <row r="361" spans="1:4">
      <c r="A361" s="78" t="s">
        <v>252</v>
      </c>
      <c r="B361" s="10">
        <v>25300</v>
      </c>
      <c r="C361" s="10">
        <v>6945</v>
      </c>
      <c r="D361" s="10">
        <v>11110000</v>
      </c>
    </row>
    <row r="362" spans="1:4">
      <c r="A362" s="76" t="s">
        <v>253</v>
      </c>
      <c r="B362" s="10">
        <v>25290</v>
      </c>
      <c r="C362" s="10">
        <v>6930</v>
      </c>
      <c r="D362" s="10">
        <v>11170000</v>
      </c>
    </row>
    <row r="363" spans="1:4">
      <c r="A363" s="76">
        <v>0.625</v>
      </c>
      <c r="B363" s="10">
        <v>25290</v>
      </c>
      <c r="C363" s="10">
        <v>6930</v>
      </c>
      <c r="D363" s="10">
        <v>11200000</v>
      </c>
    </row>
    <row r="364" spans="1:4">
      <c r="A364" s="77" t="s">
        <v>254</v>
      </c>
      <c r="B364" s="10">
        <v>25290</v>
      </c>
      <c r="C364" s="10">
        <v>6930</v>
      </c>
      <c r="D364" s="10">
        <v>11200000</v>
      </c>
    </row>
    <row r="365" spans="1:4">
      <c r="A365" s="77" t="s">
        <v>255</v>
      </c>
      <c r="B365" s="10">
        <v>25290</v>
      </c>
      <c r="C365" s="10">
        <v>6930</v>
      </c>
      <c r="D365" s="10">
        <v>11190000</v>
      </c>
    </row>
    <row r="368" spans="1:4">
      <c r="A368" s="109" t="s">
        <v>306</v>
      </c>
      <c r="B368" s="109"/>
      <c r="C368" s="109"/>
      <c r="D368" s="109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6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7" t="s">
        <v>251</v>
      </c>
      <c r="B371" s="10">
        <v>25680</v>
      </c>
      <c r="C371" s="10">
        <v>7040</v>
      </c>
      <c r="D371" s="10">
        <v>11370000</v>
      </c>
    </row>
    <row r="372" spans="1:7">
      <c r="A372" s="78" t="s">
        <v>252</v>
      </c>
      <c r="B372" s="10">
        <v>25710</v>
      </c>
      <c r="C372" s="10">
        <v>7100</v>
      </c>
      <c r="D372" s="10">
        <v>11510000</v>
      </c>
    </row>
    <row r="373" spans="1:7">
      <c r="A373" s="76" t="s">
        <v>253</v>
      </c>
      <c r="B373" s="10">
        <v>25980</v>
      </c>
      <c r="C373" s="10">
        <v>7095</v>
      </c>
      <c r="D373" s="10">
        <v>15700000</v>
      </c>
    </row>
    <row r="374" spans="1:7">
      <c r="A374" s="76">
        <v>0.625</v>
      </c>
      <c r="B374" s="10">
        <v>25980</v>
      </c>
      <c r="C374" s="10">
        <v>7070</v>
      </c>
      <c r="D374" s="10">
        <v>11560000</v>
      </c>
    </row>
    <row r="375" spans="1:7">
      <c r="A375" s="77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7" t="s">
        <v>255</v>
      </c>
      <c r="B376" s="10">
        <v>25980</v>
      </c>
      <c r="C376" s="10">
        <v>7060</v>
      </c>
      <c r="D376" s="10">
        <v>11430000</v>
      </c>
    </row>
    <row r="379" spans="1:7">
      <c r="A379" s="109" t="s">
        <v>307</v>
      </c>
      <c r="B379" s="109"/>
      <c r="C379" s="109"/>
      <c r="D379" s="109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6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7" t="s">
        <v>251</v>
      </c>
      <c r="B382" s="10">
        <v>25750</v>
      </c>
      <c r="C382" s="10">
        <v>7060</v>
      </c>
      <c r="D382" s="10">
        <v>11380000</v>
      </c>
    </row>
    <row r="383" spans="1:7">
      <c r="A383" s="78" t="s">
        <v>252</v>
      </c>
      <c r="B383" s="10">
        <v>25700</v>
      </c>
      <c r="C383" s="10">
        <v>7015</v>
      </c>
      <c r="D383" s="10">
        <v>11300000</v>
      </c>
    </row>
    <row r="384" spans="1:7">
      <c r="A384" s="76" t="s">
        <v>253</v>
      </c>
      <c r="B384" s="10">
        <v>25620</v>
      </c>
      <c r="C384" s="10">
        <v>7005</v>
      </c>
      <c r="D384" s="10">
        <v>11190000</v>
      </c>
    </row>
    <row r="385" spans="1:4">
      <c r="A385" s="76">
        <v>0.625</v>
      </c>
      <c r="B385" s="10">
        <v>25620</v>
      </c>
      <c r="C385" s="10">
        <v>6970</v>
      </c>
      <c r="D385" s="10">
        <v>11200000</v>
      </c>
    </row>
    <row r="386" spans="1:4">
      <c r="A386" s="77" t="s">
        <v>254</v>
      </c>
      <c r="B386" s="10">
        <v>25620</v>
      </c>
      <c r="C386" s="10">
        <v>6965</v>
      </c>
      <c r="D386" s="10">
        <v>11230000</v>
      </c>
    </row>
    <row r="387" spans="1:4">
      <c r="A387" s="77" t="s">
        <v>255</v>
      </c>
      <c r="B387" s="10">
        <v>25620</v>
      </c>
      <c r="C387" s="10">
        <v>6965</v>
      </c>
      <c r="D387" s="10">
        <v>11240000</v>
      </c>
    </row>
    <row r="390" spans="1:4">
      <c r="A390" s="109" t="s">
        <v>308</v>
      </c>
      <c r="B390" s="109"/>
      <c r="C390" s="109"/>
      <c r="D390" s="109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6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7" t="s">
        <v>251</v>
      </c>
      <c r="B393" s="10">
        <v>25550</v>
      </c>
      <c r="C393" s="10">
        <v>6985</v>
      </c>
      <c r="D393" s="10">
        <v>11250000</v>
      </c>
    </row>
    <row r="394" spans="1:4">
      <c r="A394" s="78" t="s">
        <v>252</v>
      </c>
      <c r="B394" s="10">
        <v>25500</v>
      </c>
      <c r="C394" s="10">
        <v>6970</v>
      </c>
      <c r="D394" s="10">
        <v>11260000</v>
      </c>
    </row>
    <row r="395" spans="1:4">
      <c r="A395" s="76" t="s">
        <v>253</v>
      </c>
      <c r="B395" s="10">
        <v>25480</v>
      </c>
      <c r="C395" s="10">
        <v>6975</v>
      </c>
      <c r="D395" s="10">
        <v>11200000</v>
      </c>
    </row>
    <row r="396" spans="1:4">
      <c r="A396" s="76">
        <v>0.625</v>
      </c>
      <c r="B396" s="10">
        <v>25480</v>
      </c>
      <c r="C396" s="10">
        <v>6965</v>
      </c>
      <c r="D396" s="10">
        <v>11220000</v>
      </c>
    </row>
    <row r="397" spans="1:4">
      <c r="A397" s="77" t="s">
        <v>254</v>
      </c>
      <c r="B397" s="10">
        <v>25480</v>
      </c>
      <c r="C397" s="10">
        <v>6965</v>
      </c>
      <c r="D397" s="10">
        <v>11200000</v>
      </c>
    </row>
    <row r="398" spans="1:4">
      <c r="A398" s="77" t="s">
        <v>255</v>
      </c>
      <c r="B398" s="10">
        <v>25480</v>
      </c>
      <c r="C398" s="10">
        <v>6965</v>
      </c>
      <c r="D398" s="10">
        <v>11180000</v>
      </c>
    </row>
    <row r="401" spans="1:4">
      <c r="A401" s="109" t="s">
        <v>309</v>
      </c>
      <c r="B401" s="109"/>
      <c r="C401" s="109"/>
      <c r="D401" s="109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6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7" t="s">
        <v>251</v>
      </c>
      <c r="B404" s="10">
        <v>25580</v>
      </c>
      <c r="C404" s="10">
        <v>7000</v>
      </c>
      <c r="D404" s="10">
        <v>11370000</v>
      </c>
    </row>
    <row r="405" spans="1:4">
      <c r="A405" s="78" t="s">
        <v>252</v>
      </c>
      <c r="B405" s="10">
        <v>25700</v>
      </c>
      <c r="C405" s="10">
        <v>7010</v>
      </c>
      <c r="D405" s="10">
        <v>11310000</v>
      </c>
    </row>
    <row r="406" spans="1:4">
      <c r="A406" s="76" t="s">
        <v>253</v>
      </c>
      <c r="B406" s="10">
        <v>25630</v>
      </c>
      <c r="C406" s="10">
        <v>7005</v>
      </c>
      <c r="D406" s="10">
        <v>11330000</v>
      </c>
    </row>
    <row r="407" spans="1:4">
      <c r="A407" s="76">
        <v>0.625</v>
      </c>
      <c r="B407" s="10">
        <v>25630</v>
      </c>
      <c r="C407" s="10">
        <v>7000</v>
      </c>
      <c r="D407" s="10">
        <v>11390000</v>
      </c>
    </row>
    <row r="408" spans="1:4">
      <c r="A408" s="77" t="s">
        <v>254</v>
      </c>
      <c r="B408" s="10">
        <v>25630</v>
      </c>
      <c r="C408" s="10">
        <v>7000</v>
      </c>
      <c r="D408" s="10">
        <v>11360000</v>
      </c>
    </row>
    <row r="409" spans="1:4">
      <c r="A409" s="77" t="s">
        <v>255</v>
      </c>
      <c r="B409" s="10">
        <v>25630</v>
      </c>
      <c r="C409" s="10">
        <v>7000</v>
      </c>
      <c r="D409" s="10">
        <v>11380000</v>
      </c>
    </row>
    <row r="412" spans="1:4">
      <c r="A412" s="109" t="s">
        <v>310</v>
      </c>
      <c r="B412" s="109"/>
      <c r="C412" s="109"/>
      <c r="D412" s="109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6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7" t="s">
        <v>251</v>
      </c>
      <c r="B415" s="10">
        <v>25500</v>
      </c>
      <c r="C415" s="10">
        <v>6980</v>
      </c>
      <c r="D415" s="10">
        <v>11230000</v>
      </c>
    </row>
    <row r="416" spans="1:4">
      <c r="A416" s="78" t="s">
        <v>252</v>
      </c>
      <c r="B416" s="10">
        <v>25460</v>
      </c>
      <c r="C416" s="10">
        <v>6975</v>
      </c>
      <c r="D416" s="10">
        <v>11220000</v>
      </c>
    </row>
    <row r="417" spans="1:6">
      <c r="A417" s="76" t="s">
        <v>253</v>
      </c>
      <c r="B417" s="10">
        <v>25510</v>
      </c>
      <c r="C417" s="10">
        <v>6990</v>
      </c>
      <c r="D417" s="10">
        <v>11270000</v>
      </c>
    </row>
    <row r="418" spans="1:6">
      <c r="A418" s="76">
        <v>0.625</v>
      </c>
      <c r="B418" s="10">
        <v>25510</v>
      </c>
      <c r="C418" s="10">
        <v>6980</v>
      </c>
      <c r="D418" s="10">
        <v>11260000</v>
      </c>
    </row>
    <row r="419" spans="1:6">
      <c r="A419" s="77" t="s">
        <v>254</v>
      </c>
      <c r="B419" s="10">
        <v>25510</v>
      </c>
      <c r="C419" s="10">
        <v>6980</v>
      </c>
      <c r="D419" s="10">
        <v>11260000</v>
      </c>
    </row>
    <row r="420" spans="1:6">
      <c r="A420" s="77" t="s">
        <v>255</v>
      </c>
      <c r="B420" s="10">
        <v>25510</v>
      </c>
      <c r="C420" s="10">
        <v>6980</v>
      </c>
      <c r="D420" s="10">
        <v>11300000</v>
      </c>
    </row>
    <row r="423" spans="1:6">
      <c r="A423" s="109" t="s">
        <v>311</v>
      </c>
      <c r="B423" s="109"/>
      <c r="C423" s="109"/>
      <c r="D423" s="109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6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7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8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6" t="s">
        <v>253</v>
      </c>
      <c r="B428" s="10"/>
      <c r="C428" s="10"/>
      <c r="D428" s="10"/>
    </row>
    <row r="429" spans="1:6">
      <c r="A429" s="76">
        <v>0.625</v>
      </c>
      <c r="B429" s="10"/>
      <c r="C429" s="10"/>
      <c r="D429" s="10"/>
    </row>
    <row r="430" spans="1:6">
      <c r="A430" s="77" t="s">
        <v>254</v>
      </c>
      <c r="B430" s="10"/>
      <c r="C430" s="10"/>
      <c r="D430" s="10"/>
    </row>
    <row r="431" spans="1:6">
      <c r="A431" s="77" t="s">
        <v>255</v>
      </c>
      <c r="B431" s="10"/>
      <c r="C431" s="10"/>
      <c r="D431" s="10"/>
    </row>
    <row r="434" spans="1:4">
      <c r="A434" s="109" t="s">
        <v>315</v>
      </c>
      <c r="B434" s="109"/>
      <c r="C434" s="109"/>
      <c r="D434" s="109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6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7" t="s">
        <v>251</v>
      </c>
      <c r="B437" s="10">
        <v>25380</v>
      </c>
      <c r="C437" s="10">
        <v>6950</v>
      </c>
      <c r="D437" s="10">
        <v>11050000</v>
      </c>
    </row>
    <row r="438" spans="1:4">
      <c r="A438" s="78" t="s">
        <v>252</v>
      </c>
      <c r="B438" s="10">
        <v>25500</v>
      </c>
      <c r="C438" s="10">
        <v>6970</v>
      </c>
      <c r="D438" s="10">
        <v>11070000</v>
      </c>
    </row>
    <row r="439" spans="1:4">
      <c r="A439" s="76" t="s">
        <v>253</v>
      </c>
      <c r="B439" s="10">
        <v>25550</v>
      </c>
      <c r="C439" s="10">
        <v>7000</v>
      </c>
      <c r="D439" s="10">
        <v>11130000</v>
      </c>
    </row>
    <row r="440" spans="1:4">
      <c r="A440" s="76">
        <v>0.625</v>
      </c>
      <c r="B440" s="10">
        <v>25550</v>
      </c>
      <c r="C440" s="10">
        <v>6995</v>
      </c>
      <c r="D440" s="10">
        <v>11160000</v>
      </c>
    </row>
    <row r="441" spans="1:4">
      <c r="A441" s="77" t="s">
        <v>254</v>
      </c>
      <c r="B441" s="10">
        <v>25550</v>
      </c>
      <c r="C441" s="10">
        <v>6995</v>
      </c>
      <c r="D441" s="10">
        <v>11170000</v>
      </c>
    </row>
    <row r="442" spans="1:4">
      <c r="A442" s="77" t="s">
        <v>255</v>
      </c>
      <c r="B442" s="10">
        <v>25550</v>
      </c>
      <c r="C442" s="10">
        <v>6995</v>
      </c>
      <c r="D442" s="10">
        <v>11180000</v>
      </c>
    </row>
    <row r="445" spans="1:4">
      <c r="A445" s="109" t="s">
        <v>316</v>
      </c>
      <c r="B445" s="109"/>
      <c r="C445" s="109"/>
      <c r="D445" s="109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6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7" t="s">
        <v>251</v>
      </c>
      <c r="B448" s="10">
        <v>25720</v>
      </c>
      <c r="C448" s="10">
        <v>7010</v>
      </c>
      <c r="D448" s="10">
        <v>11200000</v>
      </c>
    </row>
    <row r="449" spans="1:4">
      <c r="A449" s="78" t="s">
        <v>252</v>
      </c>
      <c r="B449" s="10">
        <v>25650</v>
      </c>
      <c r="C449" s="10">
        <v>7020</v>
      </c>
      <c r="D449" s="10">
        <v>11210000</v>
      </c>
    </row>
    <row r="450" spans="1:4">
      <c r="A450" s="76" t="s">
        <v>253</v>
      </c>
      <c r="B450" s="10">
        <v>25720</v>
      </c>
      <c r="C450" s="10">
        <v>7030</v>
      </c>
      <c r="D450" s="10">
        <v>11240000</v>
      </c>
    </row>
    <row r="451" spans="1:4">
      <c r="A451" s="76">
        <v>0.625</v>
      </c>
      <c r="B451" s="10">
        <v>25720</v>
      </c>
      <c r="C451" s="10">
        <v>7025</v>
      </c>
      <c r="D451" s="10">
        <v>11240000</v>
      </c>
    </row>
    <row r="452" spans="1:4">
      <c r="A452" s="77" t="s">
        <v>254</v>
      </c>
      <c r="B452" s="10">
        <v>25720</v>
      </c>
      <c r="C452" s="10">
        <v>7020</v>
      </c>
      <c r="D452" s="10">
        <v>11220000</v>
      </c>
    </row>
    <row r="453" spans="1:4">
      <c r="A453" s="77" t="s">
        <v>255</v>
      </c>
      <c r="B453" s="10">
        <v>25720</v>
      </c>
      <c r="C453" s="10">
        <v>7015</v>
      </c>
      <c r="D453" s="10">
        <v>11260000</v>
      </c>
    </row>
    <row r="456" spans="1:4">
      <c r="A456" s="109" t="s">
        <v>317</v>
      </c>
      <c r="B456" s="109"/>
      <c r="C456" s="109"/>
      <c r="D456" s="109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6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7" t="s">
        <v>251</v>
      </c>
      <c r="B459" s="10">
        <v>25720</v>
      </c>
      <c r="C459" s="10">
        <v>7025</v>
      </c>
      <c r="D459" s="10">
        <v>11160000</v>
      </c>
    </row>
    <row r="460" spans="1:4">
      <c r="A460" s="78" t="s">
        <v>252</v>
      </c>
      <c r="B460" s="10">
        <v>25750</v>
      </c>
      <c r="C460" s="10">
        <v>7040</v>
      </c>
      <c r="D460" s="10">
        <v>11190000</v>
      </c>
    </row>
    <row r="461" spans="1:4">
      <c r="A461" s="76" t="s">
        <v>253</v>
      </c>
      <c r="B461" s="10">
        <v>25780</v>
      </c>
      <c r="C461" s="10">
        <v>7070</v>
      </c>
      <c r="D461" s="10">
        <v>11170000</v>
      </c>
    </row>
    <row r="462" spans="1:4">
      <c r="A462" s="76">
        <v>0.625</v>
      </c>
      <c r="B462" s="10">
        <v>25780</v>
      </c>
      <c r="C462" s="10">
        <v>7070</v>
      </c>
      <c r="D462" s="10">
        <v>11190000</v>
      </c>
    </row>
    <row r="463" spans="1:4">
      <c r="A463" s="77" t="s">
        <v>254</v>
      </c>
      <c r="B463" s="10">
        <v>25780</v>
      </c>
      <c r="C463" s="10">
        <v>7070</v>
      </c>
      <c r="D463" s="10">
        <v>11230000</v>
      </c>
    </row>
    <row r="464" spans="1:4">
      <c r="A464" s="77" t="s">
        <v>255</v>
      </c>
      <c r="B464" s="10">
        <v>25780</v>
      </c>
      <c r="C464" s="10">
        <v>7070</v>
      </c>
      <c r="D464" s="10">
        <v>11290000</v>
      </c>
    </row>
    <row r="467" spans="1:4">
      <c r="A467" s="109" t="s">
        <v>318</v>
      </c>
      <c r="B467" s="109"/>
      <c r="C467" s="109"/>
      <c r="D467" s="109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6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7" t="s">
        <v>251</v>
      </c>
      <c r="B470" s="10">
        <v>26000</v>
      </c>
      <c r="C470" s="10">
        <v>7120</v>
      </c>
      <c r="D470" s="10">
        <v>11280000</v>
      </c>
    </row>
    <row r="471" spans="1:4">
      <c r="A471" s="78" t="s">
        <v>252</v>
      </c>
      <c r="B471" s="10">
        <v>26100</v>
      </c>
      <c r="C471" s="10">
        <v>7180</v>
      </c>
      <c r="D471" s="10">
        <v>11290000</v>
      </c>
    </row>
    <row r="472" spans="1:4">
      <c r="A472" s="76" t="s">
        <v>253</v>
      </c>
      <c r="B472" s="10">
        <v>26120</v>
      </c>
      <c r="C472" s="10">
        <v>7150</v>
      </c>
      <c r="D472" s="10">
        <v>11280000</v>
      </c>
    </row>
    <row r="473" spans="1:4">
      <c r="A473" s="76">
        <v>0.625</v>
      </c>
      <c r="B473" s="10">
        <v>26070</v>
      </c>
      <c r="C473" s="10">
        <v>7160</v>
      </c>
      <c r="D473" s="10">
        <v>11290000</v>
      </c>
    </row>
    <row r="474" spans="1:4">
      <c r="A474" s="77" t="s">
        <v>254</v>
      </c>
      <c r="B474" s="10">
        <v>26070</v>
      </c>
      <c r="C474" s="10">
        <v>7165</v>
      </c>
      <c r="D474" s="10">
        <v>11290000</v>
      </c>
    </row>
    <row r="475" spans="1:4">
      <c r="A475" s="77" t="s">
        <v>255</v>
      </c>
      <c r="B475" s="10">
        <v>26070</v>
      </c>
      <c r="C475" s="10">
        <v>7165</v>
      </c>
      <c r="D475" s="10">
        <v>11400000</v>
      </c>
    </row>
    <row r="478" spans="1:4">
      <c r="A478" s="109" t="s">
        <v>319</v>
      </c>
      <c r="B478" s="109"/>
      <c r="C478" s="109"/>
      <c r="D478" s="109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6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7" t="s">
        <v>251</v>
      </c>
      <c r="B481" s="10">
        <v>26420</v>
      </c>
      <c r="C481" s="10">
        <v>7275</v>
      </c>
      <c r="D481" s="10">
        <v>11510000</v>
      </c>
    </row>
    <row r="482" spans="1:6">
      <c r="A482" s="78" t="s">
        <v>252</v>
      </c>
      <c r="B482" s="10">
        <v>26520</v>
      </c>
      <c r="C482" s="10">
        <v>7265</v>
      </c>
      <c r="D482" s="10">
        <v>11530000</v>
      </c>
    </row>
    <row r="483" spans="1:6">
      <c r="A483" s="76" t="s">
        <v>253</v>
      </c>
      <c r="B483" s="10">
        <v>26520</v>
      </c>
      <c r="C483" s="10">
        <v>7325</v>
      </c>
      <c r="D483" s="10">
        <v>11610000</v>
      </c>
    </row>
    <row r="484" spans="1:6">
      <c r="A484" s="76">
        <v>0.625</v>
      </c>
      <c r="B484" s="10">
        <v>26520</v>
      </c>
      <c r="C484" s="10">
        <v>7320</v>
      </c>
      <c r="D484" s="10">
        <v>11560000</v>
      </c>
    </row>
    <row r="485" spans="1:6">
      <c r="A485" s="77" t="s">
        <v>254</v>
      </c>
      <c r="B485" s="10">
        <v>26520</v>
      </c>
      <c r="C485" s="10">
        <v>7320</v>
      </c>
      <c r="D485" s="10">
        <v>11590000</v>
      </c>
    </row>
    <row r="486" spans="1:6">
      <c r="A486" s="77" t="s">
        <v>255</v>
      </c>
      <c r="B486" s="10">
        <v>26520</v>
      </c>
      <c r="C486" s="10">
        <v>7320</v>
      </c>
      <c r="D486" s="10">
        <v>11630000</v>
      </c>
    </row>
    <row r="489" spans="1:6">
      <c r="A489" s="109" t="s">
        <v>320</v>
      </c>
      <c r="B489" s="109"/>
      <c r="C489" s="109"/>
      <c r="D489" s="109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6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7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8" t="s">
        <v>252</v>
      </c>
      <c r="B493" s="10"/>
      <c r="C493" s="10"/>
      <c r="D493" s="10"/>
    </row>
    <row r="494" spans="1:6">
      <c r="A494" s="76" t="s">
        <v>253</v>
      </c>
      <c r="B494" s="10"/>
      <c r="C494" s="10"/>
      <c r="D494" s="10"/>
    </row>
    <row r="495" spans="1:6">
      <c r="A495" s="76">
        <v>0.625</v>
      </c>
      <c r="B495" s="10"/>
      <c r="C495" s="10"/>
      <c r="D495" s="10"/>
    </row>
    <row r="496" spans="1:6">
      <c r="A496" s="77" t="s">
        <v>254</v>
      </c>
      <c r="B496" s="10"/>
      <c r="C496" s="10"/>
      <c r="D496" s="10"/>
    </row>
    <row r="497" spans="1:4">
      <c r="A497" s="77" t="s">
        <v>255</v>
      </c>
      <c r="B497" s="10"/>
      <c r="C497" s="10"/>
      <c r="D497" s="10"/>
    </row>
    <row r="500" spans="1:4">
      <c r="A500" s="109" t="s">
        <v>323</v>
      </c>
      <c r="B500" s="109"/>
      <c r="C500" s="109"/>
      <c r="D500" s="109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6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7" t="s">
        <v>251</v>
      </c>
      <c r="B503" s="10">
        <v>26530</v>
      </c>
      <c r="C503" s="10">
        <v>7310</v>
      </c>
      <c r="D503" s="10">
        <v>11790000</v>
      </c>
    </row>
    <row r="504" spans="1:4">
      <c r="A504" s="78" t="s">
        <v>252</v>
      </c>
      <c r="B504" s="10">
        <v>26550</v>
      </c>
      <c r="C504" s="10">
        <v>7300</v>
      </c>
      <c r="D504" s="10">
        <v>11770000</v>
      </c>
    </row>
    <row r="505" spans="1:4">
      <c r="A505" s="76" t="s">
        <v>253</v>
      </c>
      <c r="B505" s="10">
        <v>26620</v>
      </c>
      <c r="C505" s="10">
        <v>7285</v>
      </c>
      <c r="D505" s="10">
        <v>11710000</v>
      </c>
    </row>
    <row r="506" spans="1:4">
      <c r="A506" s="76">
        <v>0.625</v>
      </c>
      <c r="B506" s="10">
        <v>26580</v>
      </c>
      <c r="C506" s="10">
        <v>7285</v>
      </c>
      <c r="D506" s="10">
        <v>11730000</v>
      </c>
    </row>
    <row r="507" spans="1:4">
      <c r="A507" s="77" t="s">
        <v>254</v>
      </c>
      <c r="B507" s="10">
        <v>26580</v>
      </c>
      <c r="C507" s="10">
        <v>7285</v>
      </c>
      <c r="D507" s="10">
        <v>11700000</v>
      </c>
    </row>
    <row r="508" spans="1:4">
      <c r="A508" s="77" t="s">
        <v>255</v>
      </c>
      <c r="B508" s="10">
        <v>26580</v>
      </c>
      <c r="C508" s="10">
        <v>7285</v>
      </c>
      <c r="D508" s="10">
        <v>11690000</v>
      </c>
    </row>
    <row r="511" spans="1:4">
      <c r="A511" s="109" t="s">
        <v>324</v>
      </c>
      <c r="B511" s="109"/>
      <c r="C511" s="109"/>
      <c r="D511" s="109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6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7" t="s">
        <v>251</v>
      </c>
      <c r="B514" s="10">
        <v>26650</v>
      </c>
      <c r="C514" s="10">
        <v>7320</v>
      </c>
      <c r="D514" s="10">
        <v>11830000</v>
      </c>
    </row>
    <row r="515" spans="1:4">
      <c r="A515" s="78" t="s">
        <v>252</v>
      </c>
      <c r="B515" s="10">
        <v>26620</v>
      </c>
      <c r="C515" s="10">
        <v>7320</v>
      </c>
      <c r="D515" s="10">
        <v>11820000</v>
      </c>
    </row>
    <row r="516" spans="1:4">
      <c r="A516" s="76" t="s">
        <v>253</v>
      </c>
      <c r="B516" s="10">
        <v>26660</v>
      </c>
      <c r="C516" s="10">
        <v>7320</v>
      </c>
      <c r="D516" s="10">
        <v>11820000</v>
      </c>
    </row>
    <row r="517" spans="1:4">
      <c r="A517" s="76">
        <v>0.625</v>
      </c>
      <c r="B517" s="10">
        <v>26660</v>
      </c>
      <c r="C517" s="10">
        <v>7320</v>
      </c>
      <c r="D517" s="10">
        <v>11850000</v>
      </c>
    </row>
    <row r="518" spans="1:4">
      <c r="A518" s="77" t="s">
        <v>254</v>
      </c>
      <c r="B518" s="10">
        <v>26660</v>
      </c>
      <c r="C518" s="10">
        <v>7320</v>
      </c>
      <c r="D518" s="10">
        <v>11950000</v>
      </c>
    </row>
    <row r="519" spans="1:4">
      <c r="A519" s="77" t="s">
        <v>255</v>
      </c>
      <c r="B519" s="10">
        <v>26660</v>
      </c>
      <c r="C519" s="10">
        <v>7320</v>
      </c>
      <c r="D519" s="10">
        <v>11920000</v>
      </c>
    </row>
    <row r="522" spans="1:4">
      <c r="A522" s="109" t="s">
        <v>325</v>
      </c>
      <c r="B522" s="109"/>
      <c r="C522" s="109"/>
      <c r="D522" s="109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6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7" t="s">
        <v>251</v>
      </c>
      <c r="B525" s="10">
        <v>27500</v>
      </c>
      <c r="C525" s="10">
        <v>7560</v>
      </c>
      <c r="D525" s="10">
        <v>12100000</v>
      </c>
    </row>
    <row r="526" spans="1:4">
      <c r="A526" s="78" t="s">
        <v>252</v>
      </c>
      <c r="B526" s="10">
        <v>27400</v>
      </c>
      <c r="C526" s="10">
        <v>7505</v>
      </c>
      <c r="D526" s="10">
        <v>12120000</v>
      </c>
    </row>
    <row r="527" spans="1:4">
      <c r="A527" s="76" t="s">
        <v>253</v>
      </c>
      <c r="B527" s="10">
        <v>27390</v>
      </c>
      <c r="C527" s="10">
        <v>7485</v>
      </c>
      <c r="D527" s="10">
        <v>12070000</v>
      </c>
    </row>
    <row r="528" spans="1:4">
      <c r="A528" s="76">
        <v>0.625</v>
      </c>
      <c r="B528" s="10">
        <v>27390</v>
      </c>
      <c r="C528" s="10">
        <v>7500</v>
      </c>
      <c r="D528" s="10">
        <v>12030000</v>
      </c>
    </row>
    <row r="529" spans="1:4">
      <c r="A529" s="77" t="s">
        <v>254</v>
      </c>
      <c r="B529" s="10">
        <v>27390</v>
      </c>
      <c r="C529" s="10">
        <v>7500</v>
      </c>
      <c r="D529" s="10">
        <v>12020000</v>
      </c>
    </row>
    <row r="530" spans="1:4">
      <c r="A530" s="77" t="s">
        <v>255</v>
      </c>
      <c r="B530" s="10">
        <v>27390</v>
      </c>
      <c r="C530" s="10">
        <v>7500</v>
      </c>
      <c r="D530" s="10">
        <v>11970000</v>
      </c>
    </row>
    <row r="533" spans="1:4">
      <c r="A533" s="109" t="s">
        <v>326</v>
      </c>
      <c r="B533" s="109"/>
      <c r="C533" s="109"/>
      <c r="D533" s="109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6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7" t="s">
        <v>251</v>
      </c>
      <c r="B536" s="10">
        <v>27360</v>
      </c>
      <c r="C536" s="10">
        <v>7500</v>
      </c>
      <c r="D536" s="10">
        <v>11960000</v>
      </c>
    </row>
    <row r="537" spans="1:4">
      <c r="A537" s="78" t="s">
        <v>252</v>
      </c>
      <c r="B537" s="10">
        <v>27410</v>
      </c>
      <c r="C537" s="10">
        <v>7490</v>
      </c>
      <c r="D537" s="10">
        <v>12030000</v>
      </c>
    </row>
    <row r="538" spans="1:4">
      <c r="A538" s="76" t="s">
        <v>253</v>
      </c>
      <c r="B538" s="10">
        <v>27460</v>
      </c>
      <c r="C538" s="10">
        <v>7530</v>
      </c>
      <c r="D538" s="10">
        <v>12090000</v>
      </c>
    </row>
    <row r="539" spans="1:4">
      <c r="A539" s="76">
        <v>0.625</v>
      </c>
      <c r="B539" s="10">
        <v>27460</v>
      </c>
      <c r="C539" s="10">
        <v>7520</v>
      </c>
      <c r="D539" s="10">
        <v>12180000</v>
      </c>
    </row>
    <row r="540" spans="1:4">
      <c r="A540" s="77" t="s">
        <v>254</v>
      </c>
      <c r="B540" s="10">
        <v>27460</v>
      </c>
      <c r="C540" s="10">
        <v>7520</v>
      </c>
      <c r="D540" s="10">
        <v>12180000</v>
      </c>
    </row>
    <row r="541" spans="1:4">
      <c r="A541" s="77" t="s">
        <v>255</v>
      </c>
      <c r="B541" s="10">
        <v>27460</v>
      </c>
      <c r="C541" s="10">
        <v>7520</v>
      </c>
      <c r="D541" s="10">
        <v>12160000</v>
      </c>
    </row>
    <row r="544" spans="1:4">
      <c r="A544" s="109" t="s">
        <v>327</v>
      </c>
      <c r="B544" s="109"/>
      <c r="C544" s="109"/>
      <c r="D544" s="109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6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7" t="s">
        <v>251</v>
      </c>
      <c r="B547" s="10">
        <v>27750</v>
      </c>
      <c r="C547" s="10">
        <v>7580</v>
      </c>
      <c r="D547" s="10">
        <v>12240000</v>
      </c>
    </row>
    <row r="548" spans="1:6">
      <c r="A548" s="78" t="s">
        <v>252</v>
      </c>
      <c r="B548" s="10">
        <v>27730</v>
      </c>
      <c r="C548" s="10">
        <v>7590</v>
      </c>
      <c r="D548" s="10">
        <v>12250000</v>
      </c>
    </row>
    <row r="549" spans="1:6">
      <c r="A549" s="76" t="s">
        <v>253</v>
      </c>
      <c r="B549" s="10">
        <v>27730</v>
      </c>
      <c r="C549" s="10">
        <v>7570</v>
      </c>
      <c r="D549" s="10">
        <v>12240000</v>
      </c>
    </row>
    <row r="550" spans="1:6">
      <c r="A550" s="76">
        <v>0.625</v>
      </c>
      <c r="B550" s="10">
        <v>27730</v>
      </c>
      <c r="C550" s="10">
        <v>7570</v>
      </c>
      <c r="D550" s="10">
        <v>12150000</v>
      </c>
    </row>
    <row r="551" spans="1:6">
      <c r="A551" s="77" t="s">
        <v>254</v>
      </c>
      <c r="B551" s="10">
        <v>27730</v>
      </c>
      <c r="C551" s="10">
        <v>7570</v>
      </c>
      <c r="D551" s="10">
        <v>12160000</v>
      </c>
    </row>
    <row r="552" spans="1:6">
      <c r="A552" s="77" t="s">
        <v>255</v>
      </c>
      <c r="B552" s="10">
        <v>27730</v>
      </c>
      <c r="C552" s="10">
        <v>7570</v>
      </c>
      <c r="D552" s="10">
        <v>12100000</v>
      </c>
    </row>
    <row r="555" spans="1:6">
      <c r="A555" s="109" t="s">
        <v>328</v>
      </c>
      <c r="B555" s="109"/>
      <c r="C555" s="109"/>
      <c r="D555" s="109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6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7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8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6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6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7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7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09" t="s">
        <v>328</v>
      </c>
      <c r="B567" s="109"/>
      <c r="C567" s="109"/>
      <c r="D567" s="109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6">
        <v>0.45833333333333298</v>
      </c>
      <c r="B569" s="10">
        <v>27920</v>
      </c>
      <c r="C569" s="10"/>
      <c r="D569" s="10"/>
      <c r="E569" s="81">
        <v>12000000</v>
      </c>
      <c r="F569" s="81">
        <v>1100</v>
      </c>
    </row>
    <row r="570" spans="1:6">
      <c r="A570" s="77" t="s">
        <v>251</v>
      </c>
      <c r="B570" s="10">
        <v>27920</v>
      </c>
      <c r="C570" s="10"/>
      <c r="D570" s="10"/>
      <c r="E570" s="81">
        <v>12020000</v>
      </c>
      <c r="F570" t="s">
        <v>331</v>
      </c>
    </row>
    <row r="571" spans="1:6">
      <c r="A571" s="78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6" t="s">
        <v>253</v>
      </c>
      <c r="B572" s="10"/>
      <c r="C572" s="10"/>
      <c r="D572" s="10"/>
    </row>
    <row r="573" spans="1:6">
      <c r="A573" s="76">
        <v>0.625</v>
      </c>
      <c r="B573" s="10"/>
      <c r="C573" s="10"/>
      <c r="D573" s="10"/>
      <c r="E573">
        <f>230000/E563</f>
        <v>1.8806214227309895E-2</v>
      </c>
    </row>
    <row r="574" spans="1:6">
      <c r="A574" s="77" t="s">
        <v>254</v>
      </c>
      <c r="B574" s="10"/>
      <c r="C574" s="10"/>
      <c r="D574" s="10"/>
    </row>
    <row r="575" spans="1:6">
      <c r="A575" s="77" t="s">
        <v>255</v>
      </c>
      <c r="B575" s="10"/>
      <c r="C575" s="10"/>
      <c r="D575" s="10"/>
    </row>
    <row r="579" spans="1:5">
      <c r="A579" s="109" t="s">
        <v>333</v>
      </c>
      <c r="B579" s="109"/>
      <c r="C579" s="109"/>
      <c r="D579" s="109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6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7" t="s">
        <v>251</v>
      </c>
      <c r="B582" s="10">
        <v>28320</v>
      </c>
      <c r="C582" s="10">
        <v>7720</v>
      </c>
      <c r="D582" s="10">
        <v>12330000</v>
      </c>
    </row>
    <row r="583" spans="1:5">
      <c r="A583" s="78" t="s">
        <v>252</v>
      </c>
      <c r="B583" s="10">
        <v>28170</v>
      </c>
      <c r="C583" s="10">
        <v>7670</v>
      </c>
      <c r="D583" s="10">
        <v>12220000</v>
      </c>
    </row>
    <row r="584" spans="1:5">
      <c r="A584" s="76" t="s">
        <v>253</v>
      </c>
      <c r="B584" s="10">
        <v>28260</v>
      </c>
      <c r="C584" s="10">
        <v>7700</v>
      </c>
      <c r="D584" s="10">
        <v>12220000</v>
      </c>
    </row>
    <row r="585" spans="1:5">
      <c r="A585" s="76">
        <v>0.625</v>
      </c>
      <c r="B585" s="10">
        <v>28260</v>
      </c>
      <c r="C585" s="10">
        <v>7685</v>
      </c>
      <c r="D585" s="10">
        <v>12190000</v>
      </c>
      <c r="E585" s="81"/>
    </row>
    <row r="586" spans="1:5">
      <c r="A586" s="77" t="s">
        <v>254</v>
      </c>
      <c r="B586" s="10">
        <v>28260</v>
      </c>
      <c r="C586" s="10">
        <v>7685</v>
      </c>
      <c r="D586" s="10">
        <v>12200000</v>
      </c>
      <c r="E586" s="82"/>
    </row>
    <row r="587" spans="1:5">
      <c r="A587" s="77" t="s">
        <v>255</v>
      </c>
      <c r="B587" s="10">
        <v>28260</v>
      </c>
      <c r="C587" s="10">
        <v>7685</v>
      </c>
      <c r="D587" s="10">
        <v>12210000</v>
      </c>
    </row>
    <row r="590" spans="1:5">
      <c r="A590" s="109" t="s">
        <v>334</v>
      </c>
      <c r="B590" s="109"/>
      <c r="C590" s="109"/>
      <c r="D590" s="109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6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7" t="s">
        <v>251</v>
      </c>
      <c r="B593" s="10">
        <v>27980</v>
      </c>
      <c r="C593" s="10">
        <v>7635</v>
      </c>
      <c r="D593" s="10">
        <v>12040000</v>
      </c>
    </row>
    <row r="594" spans="1:5">
      <c r="A594" s="78" t="s">
        <v>252</v>
      </c>
      <c r="B594" s="10">
        <v>27850</v>
      </c>
      <c r="C594" s="10">
        <v>7600</v>
      </c>
      <c r="D594" s="10">
        <v>12060000</v>
      </c>
    </row>
    <row r="595" spans="1:5">
      <c r="A595" s="76" t="s">
        <v>253</v>
      </c>
      <c r="B595" s="10">
        <v>27830</v>
      </c>
      <c r="C595" s="10">
        <v>7600</v>
      </c>
      <c r="D595" s="10">
        <v>12030000</v>
      </c>
    </row>
    <row r="596" spans="1:5">
      <c r="A596" s="76">
        <v>0.625</v>
      </c>
      <c r="B596" s="10">
        <v>27830</v>
      </c>
      <c r="C596" s="10">
        <v>7540</v>
      </c>
      <c r="D596" s="10">
        <v>12000000</v>
      </c>
      <c r="E596" s="81"/>
    </row>
    <row r="597" spans="1:5">
      <c r="A597" s="77" t="s">
        <v>254</v>
      </c>
      <c r="B597" s="10">
        <v>27830</v>
      </c>
      <c r="C597" s="10">
        <v>7540</v>
      </c>
      <c r="D597" s="10">
        <v>12000000</v>
      </c>
      <c r="E597" s="82"/>
    </row>
    <row r="598" spans="1:5">
      <c r="A598" s="77" t="s">
        <v>255</v>
      </c>
      <c r="B598" s="10">
        <v>27830</v>
      </c>
      <c r="C598" s="10">
        <v>7540</v>
      </c>
      <c r="D598" s="10">
        <v>12020000</v>
      </c>
    </row>
    <row r="601" spans="1:5">
      <c r="A601" s="109" t="s">
        <v>335</v>
      </c>
      <c r="B601" s="109"/>
      <c r="C601" s="109"/>
      <c r="D601" s="109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6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7" t="s">
        <v>251</v>
      </c>
      <c r="B604" s="10">
        <v>27150</v>
      </c>
      <c r="C604" s="10">
        <v>7435</v>
      </c>
      <c r="D604">
        <v>11850000</v>
      </c>
    </row>
    <row r="605" spans="1:5">
      <c r="A605" s="78" t="s">
        <v>252</v>
      </c>
      <c r="B605" s="10">
        <v>26900</v>
      </c>
      <c r="C605" s="10">
        <v>7380</v>
      </c>
      <c r="D605">
        <v>11780000</v>
      </c>
    </row>
    <row r="606" spans="1:5">
      <c r="A606" s="76" t="s">
        <v>253</v>
      </c>
      <c r="B606" s="10">
        <v>26900</v>
      </c>
      <c r="C606" s="10">
        <v>7420</v>
      </c>
      <c r="D606">
        <v>11800000</v>
      </c>
    </row>
    <row r="607" spans="1:5">
      <c r="A607" s="76">
        <v>0.625</v>
      </c>
      <c r="B607" s="10">
        <v>26900</v>
      </c>
      <c r="C607" s="10">
        <v>7420</v>
      </c>
      <c r="D607">
        <v>11850000</v>
      </c>
    </row>
    <row r="608" spans="1:5">
      <c r="A608" s="77" t="s">
        <v>254</v>
      </c>
      <c r="B608" s="10">
        <v>26900</v>
      </c>
      <c r="C608" s="10">
        <v>7420</v>
      </c>
      <c r="D608">
        <v>11820000</v>
      </c>
    </row>
    <row r="609" spans="1:4">
      <c r="A609" s="77" t="s">
        <v>255</v>
      </c>
      <c r="B609" s="10">
        <v>26900</v>
      </c>
      <c r="C609" s="10">
        <v>7420</v>
      </c>
      <c r="D609">
        <v>11850000</v>
      </c>
    </row>
    <row r="612" spans="1:4">
      <c r="A612" s="109" t="s">
        <v>336</v>
      </c>
      <c r="B612" s="109"/>
      <c r="C612" s="109"/>
      <c r="D612" s="109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6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7" t="s">
        <v>251</v>
      </c>
      <c r="B615" s="10">
        <v>27310</v>
      </c>
      <c r="C615" s="10">
        <v>7490</v>
      </c>
      <c r="D615">
        <v>12010000</v>
      </c>
    </row>
    <row r="616" spans="1:4">
      <c r="A616" s="78" t="s">
        <v>252</v>
      </c>
      <c r="B616" s="10">
        <v>27260</v>
      </c>
      <c r="C616" s="10">
        <v>7445</v>
      </c>
      <c r="D616">
        <v>11990000</v>
      </c>
    </row>
    <row r="617" spans="1:4">
      <c r="A617" s="76" t="s">
        <v>253</v>
      </c>
      <c r="B617" s="10">
        <v>27250</v>
      </c>
      <c r="C617" s="10">
        <v>7440</v>
      </c>
      <c r="D617">
        <v>11980000</v>
      </c>
    </row>
    <row r="618" spans="1:4">
      <c r="A618" s="76">
        <v>0.625</v>
      </c>
      <c r="B618" s="10">
        <v>27250</v>
      </c>
      <c r="C618" s="10">
        <v>7440</v>
      </c>
      <c r="D618">
        <v>11960000</v>
      </c>
    </row>
    <row r="619" spans="1:4">
      <c r="A619" s="77" t="s">
        <v>254</v>
      </c>
      <c r="B619" s="10">
        <v>27250</v>
      </c>
      <c r="C619" s="10">
        <v>7440</v>
      </c>
      <c r="D619">
        <v>11980000</v>
      </c>
    </row>
    <row r="620" spans="1:4">
      <c r="A620" s="77" t="s">
        <v>255</v>
      </c>
      <c r="B620" s="10">
        <v>27250</v>
      </c>
      <c r="C620" s="10">
        <v>7440</v>
      </c>
      <c r="D620">
        <v>11990000</v>
      </c>
    </row>
    <row r="623" spans="1:4">
      <c r="A623" s="109" t="s">
        <v>337</v>
      </c>
      <c r="B623" s="109"/>
      <c r="C623" s="109"/>
      <c r="D623" s="109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6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7" t="s">
        <v>251</v>
      </c>
      <c r="B626" s="10">
        <v>27240</v>
      </c>
      <c r="C626" s="10">
        <v>7410</v>
      </c>
      <c r="D626">
        <v>11970000</v>
      </c>
    </row>
    <row r="627" spans="1:6">
      <c r="A627" s="78" t="s">
        <v>252</v>
      </c>
      <c r="B627" s="10">
        <v>27170</v>
      </c>
      <c r="C627" s="10">
        <v>7410</v>
      </c>
      <c r="D627">
        <v>11930000</v>
      </c>
    </row>
    <row r="628" spans="1:6">
      <c r="A628" s="76" t="s">
        <v>253</v>
      </c>
      <c r="B628" s="10">
        <v>27130</v>
      </c>
      <c r="C628" s="10">
        <v>7400</v>
      </c>
      <c r="D628">
        <v>11880000</v>
      </c>
    </row>
    <row r="629" spans="1:6">
      <c r="A629" s="76">
        <v>0.625</v>
      </c>
      <c r="B629" s="10">
        <v>27130</v>
      </c>
      <c r="C629" s="10">
        <v>7375</v>
      </c>
      <c r="D629">
        <v>11890000</v>
      </c>
    </row>
    <row r="630" spans="1:6">
      <c r="A630" s="77" t="s">
        <v>254</v>
      </c>
      <c r="B630" s="10">
        <v>27130</v>
      </c>
      <c r="C630" s="10">
        <v>7375</v>
      </c>
      <c r="D630">
        <v>11890000</v>
      </c>
    </row>
    <row r="631" spans="1:6">
      <c r="A631" s="77" t="s">
        <v>255</v>
      </c>
      <c r="B631" s="10">
        <v>27130</v>
      </c>
      <c r="C631" s="10">
        <v>7375</v>
      </c>
      <c r="D631">
        <v>11890000</v>
      </c>
    </row>
    <row r="635" spans="1:6">
      <c r="A635" s="109" t="s">
        <v>338</v>
      </c>
      <c r="B635" s="109"/>
      <c r="C635" s="109"/>
      <c r="D635" s="109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6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7" t="s">
        <v>251</v>
      </c>
      <c r="B638" s="10">
        <v>27190</v>
      </c>
      <c r="C638" s="10"/>
    </row>
    <row r="639" spans="1:6">
      <c r="A639" s="78" t="s">
        <v>252</v>
      </c>
      <c r="B639" s="10"/>
      <c r="C639" s="10"/>
    </row>
    <row r="640" spans="1:6">
      <c r="A640" s="76" t="s">
        <v>253</v>
      </c>
      <c r="B640" s="10"/>
      <c r="C640" s="10"/>
    </row>
    <row r="641" spans="1:4">
      <c r="A641" s="76">
        <v>0.625</v>
      </c>
      <c r="B641" s="10"/>
      <c r="C641" s="10"/>
    </row>
    <row r="642" spans="1:4">
      <c r="A642" s="77" t="s">
        <v>254</v>
      </c>
      <c r="B642" s="10"/>
      <c r="C642" s="10"/>
    </row>
    <row r="643" spans="1:4">
      <c r="A643" s="77" t="s">
        <v>255</v>
      </c>
      <c r="B643" s="10"/>
      <c r="C643" s="10"/>
    </row>
    <row r="647" spans="1:4">
      <c r="A647" s="109" t="s">
        <v>340</v>
      </c>
      <c r="B647" s="109"/>
      <c r="C647" s="109"/>
      <c r="D647" s="109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6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7" t="s">
        <v>251</v>
      </c>
      <c r="B650" s="10">
        <v>27150</v>
      </c>
      <c r="C650" s="10">
        <v>7420</v>
      </c>
      <c r="D650">
        <v>11930000</v>
      </c>
    </row>
    <row r="651" spans="1:4">
      <c r="A651" s="78" t="s">
        <v>252</v>
      </c>
      <c r="B651" s="10">
        <v>27180</v>
      </c>
      <c r="C651" s="10">
        <v>7410</v>
      </c>
      <c r="D651">
        <v>11990000</v>
      </c>
    </row>
    <row r="652" spans="1:4">
      <c r="A652" s="76" t="s">
        <v>253</v>
      </c>
      <c r="B652" s="10">
        <v>27050</v>
      </c>
      <c r="C652" s="10">
        <v>7405</v>
      </c>
      <c r="D652">
        <v>12010000</v>
      </c>
    </row>
    <row r="653" spans="1:4">
      <c r="A653" s="76">
        <v>0.625</v>
      </c>
      <c r="B653" s="10">
        <v>27050</v>
      </c>
      <c r="C653" s="10">
        <v>7390</v>
      </c>
      <c r="D653">
        <v>11900000</v>
      </c>
    </row>
    <row r="654" spans="1:4">
      <c r="A654" s="77" t="s">
        <v>254</v>
      </c>
      <c r="B654" s="10">
        <v>27050</v>
      </c>
      <c r="C654" s="10">
        <v>7390</v>
      </c>
      <c r="D654">
        <v>11980000</v>
      </c>
    </row>
    <row r="655" spans="1:4">
      <c r="A655" s="77" t="s">
        <v>255</v>
      </c>
      <c r="B655" s="10">
        <v>27050</v>
      </c>
      <c r="C655" s="10">
        <v>7390</v>
      </c>
      <c r="D655">
        <v>11990000</v>
      </c>
    </row>
    <row r="658" spans="1:4">
      <c r="A658" s="109" t="s">
        <v>341</v>
      </c>
      <c r="B658" s="109"/>
      <c r="C658" s="109"/>
      <c r="D658" s="109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6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7" t="s">
        <v>251</v>
      </c>
      <c r="B661" s="10">
        <v>27210</v>
      </c>
      <c r="C661" s="10">
        <v>7400</v>
      </c>
      <c r="D661">
        <v>12090000</v>
      </c>
    </row>
    <row r="662" spans="1:4">
      <c r="A662" s="78" t="s">
        <v>252</v>
      </c>
      <c r="B662" s="10">
        <v>27220</v>
      </c>
      <c r="C662" s="10">
        <v>7420</v>
      </c>
      <c r="D662">
        <v>12150000</v>
      </c>
    </row>
    <row r="663" spans="1:4">
      <c r="A663" s="76" t="s">
        <v>253</v>
      </c>
      <c r="B663" s="10">
        <v>27190</v>
      </c>
      <c r="C663" s="10">
        <v>7410</v>
      </c>
      <c r="D663">
        <v>12140000</v>
      </c>
    </row>
    <row r="664" spans="1:4">
      <c r="A664" s="76">
        <v>0.625</v>
      </c>
      <c r="B664" s="10">
        <v>27190</v>
      </c>
      <c r="C664" s="10">
        <v>7410</v>
      </c>
      <c r="D664">
        <v>12110000</v>
      </c>
    </row>
    <row r="665" spans="1:4">
      <c r="A665" s="77" t="s">
        <v>254</v>
      </c>
      <c r="B665" s="10">
        <v>27190</v>
      </c>
      <c r="C665" s="10">
        <v>7410</v>
      </c>
      <c r="D665">
        <v>12090000</v>
      </c>
    </row>
    <row r="666" spans="1:4">
      <c r="A666" s="77" t="s">
        <v>255</v>
      </c>
      <c r="B666" s="10">
        <v>27190</v>
      </c>
      <c r="C666" s="10">
        <v>7410</v>
      </c>
      <c r="D666">
        <v>12130000</v>
      </c>
    </row>
    <row r="670" spans="1:4">
      <c r="A670" s="109" t="s">
        <v>342</v>
      </c>
      <c r="B670" s="109"/>
      <c r="C670" s="109"/>
      <c r="D670" s="109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6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7" t="s">
        <v>251</v>
      </c>
      <c r="B673" s="10">
        <v>27050</v>
      </c>
      <c r="C673" s="10">
        <v>7400</v>
      </c>
      <c r="D673">
        <v>12070000</v>
      </c>
    </row>
    <row r="674" spans="1:4">
      <c r="A674" s="78" t="s">
        <v>252</v>
      </c>
      <c r="B674" s="10">
        <v>27000</v>
      </c>
      <c r="C674" s="10">
        <v>7370</v>
      </c>
      <c r="D674">
        <v>12040000</v>
      </c>
    </row>
    <row r="675" spans="1:4">
      <c r="A675" s="76" t="s">
        <v>253</v>
      </c>
      <c r="B675" s="10">
        <v>27020</v>
      </c>
      <c r="C675" s="10">
        <v>7390</v>
      </c>
      <c r="D675">
        <v>12030000</v>
      </c>
    </row>
    <row r="676" spans="1:4">
      <c r="A676" s="76">
        <v>0.625</v>
      </c>
      <c r="B676" s="10">
        <v>27010</v>
      </c>
      <c r="C676" s="10">
        <v>7385</v>
      </c>
      <c r="D676">
        <v>12060000</v>
      </c>
    </row>
    <row r="677" spans="1:4">
      <c r="A677" s="77" t="s">
        <v>254</v>
      </c>
      <c r="B677" s="10">
        <v>27010</v>
      </c>
      <c r="C677" s="10">
        <v>7385</v>
      </c>
      <c r="D677">
        <v>12030000</v>
      </c>
    </row>
    <row r="678" spans="1:4">
      <c r="A678" s="77" t="s">
        <v>255</v>
      </c>
      <c r="B678" s="10">
        <v>27010</v>
      </c>
      <c r="C678" s="10">
        <v>7385</v>
      </c>
      <c r="D678">
        <v>12050000</v>
      </c>
    </row>
    <row r="681" spans="1:4">
      <c r="A681" s="109" t="s">
        <v>343</v>
      </c>
      <c r="B681" s="109"/>
      <c r="C681" s="109"/>
      <c r="D681" s="109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6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7" t="s">
        <v>251</v>
      </c>
      <c r="B684" s="10">
        <v>27170</v>
      </c>
      <c r="C684" s="10">
        <v>7405</v>
      </c>
      <c r="D684">
        <v>12110000</v>
      </c>
    </row>
    <row r="685" spans="1:4">
      <c r="A685" s="78" t="s">
        <v>252</v>
      </c>
      <c r="B685" s="10">
        <v>27080</v>
      </c>
      <c r="C685" s="10">
        <v>7420</v>
      </c>
      <c r="D685">
        <v>12080000</v>
      </c>
    </row>
    <row r="686" spans="1:4">
      <c r="A686" s="76" t="s">
        <v>253</v>
      </c>
      <c r="B686" s="10">
        <v>27120</v>
      </c>
      <c r="C686" s="10">
        <v>7410</v>
      </c>
      <c r="D686">
        <v>12080000</v>
      </c>
    </row>
    <row r="687" spans="1:4">
      <c r="A687" s="76">
        <v>0.625</v>
      </c>
      <c r="B687" s="10">
        <v>27120</v>
      </c>
      <c r="C687" s="10">
        <v>7410</v>
      </c>
      <c r="D687">
        <v>12080000</v>
      </c>
    </row>
    <row r="688" spans="1:4">
      <c r="A688" s="77" t="s">
        <v>254</v>
      </c>
      <c r="B688" s="10">
        <v>27120</v>
      </c>
      <c r="C688" s="10">
        <v>7410</v>
      </c>
      <c r="D688">
        <v>12110000</v>
      </c>
    </row>
    <row r="689" spans="1:4">
      <c r="A689" s="77" t="s">
        <v>255</v>
      </c>
      <c r="B689" s="10">
        <v>27120</v>
      </c>
      <c r="C689" s="10">
        <v>7410</v>
      </c>
      <c r="D689">
        <v>12140000</v>
      </c>
    </row>
    <row r="692" spans="1:4">
      <c r="A692" s="109" t="s">
        <v>344</v>
      </c>
      <c r="B692" s="109"/>
      <c r="C692" s="109"/>
      <c r="D692" s="109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6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7" t="s">
        <v>251</v>
      </c>
      <c r="B695" s="10">
        <v>27510</v>
      </c>
      <c r="C695" s="10">
        <v>7530</v>
      </c>
      <c r="D695">
        <v>12160000</v>
      </c>
    </row>
    <row r="696" spans="1:4">
      <c r="A696" s="78" t="s">
        <v>252</v>
      </c>
      <c r="B696" s="10">
        <v>27560</v>
      </c>
      <c r="C696" s="10">
        <v>7540</v>
      </c>
      <c r="D696">
        <v>12190000</v>
      </c>
    </row>
    <row r="697" spans="1:4">
      <c r="A697" s="76" t="s">
        <v>253</v>
      </c>
      <c r="B697" s="10">
        <v>27530</v>
      </c>
      <c r="C697" s="10">
        <v>7545</v>
      </c>
      <c r="D697">
        <v>12180000</v>
      </c>
    </row>
    <row r="698" spans="1:4">
      <c r="A698" s="76">
        <v>0.625</v>
      </c>
      <c r="B698" s="10">
        <v>27530</v>
      </c>
      <c r="C698" s="10">
        <v>7550</v>
      </c>
      <c r="D698">
        <v>12190000</v>
      </c>
    </row>
    <row r="699" spans="1:4">
      <c r="A699" s="77" t="s">
        <v>254</v>
      </c>
      <c r="B699" s="10">
        <v>27530</v>
      </c>
      <c r="C699" s="10">
        <v>7570</v>
      </c>
      <c r="D699">
        <v>12210000</v>
      </c>
    </row>
    <row r="700" spans="1:4">
      <c r="A700" s="77" t="s">
        <v>255</v>
      </c>
      <c r="B700" s="10">
        <v>27530</v>
      </c>
      <c r="C700" s="10">
        <v>7570</v>
      </c>
      <c r="D700">
        <v>12200000</v>
      </c>
    </row>
    <row r="703" spans="1:4">
      <c r="A703" s="109" t="s">
        <v>345</v>
      </c>
      <c r="B703" s="109"/>
      <c r="C703" s="109"/>
      <c r="D703" s="109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6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7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8" t="s">
        <v>252</v>
      </c>
      <c r="B707" s="10">
        <v>27620</v>
      </c>
      <c r="C707" s="10"/>
    </row>
    <row r="708" spans="1:6">
      <c r="A708" s="76" t="s">
        <v>253</v>
      </c>
      <c r="B708" s="10">
        <v>27820</v>
      </c>
      <c r="C708" s="10"/>
    </row>
    <row r="709" spans="1:6">
      <c r="A709" s="76">
        <v>0.625</v>
      </c>
      <c r="B709" s="10"/>
      <c r="C709" s="10"/>
    </row>
    <row r="710" spans="1:6">
      <c r="A710" s="77" t="s">
        <v>254</v>
      </c>
      <c r="B710" s="10"/>
      <c r="C710" s="10"/>
    </row>
    <row r="711" spans="1:6">
      <c r="A711" s="77" t="s">
        <v>255</v>
      </c>
      <c r="B711" s="10"/>
      <c r="C711" s="10"/>
    </row>
    <row r="715" spans="1:6">
      <c r="A715" s="109" t="s">
        <v>348</v>
      </c>
      <c r="B715" s="109"/>
      <c r="C715" s="109"/>
      <c r="D715" s="109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6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7" t="s">
        <v>251</v>
      </c>
      <c r="B718" s="10">
        <v>27780</v>
      </c>
      <c r="C718" s="10">
        <v>7595</v>
      </c>
      <c r="D718">
        <v>12040000</v>
      </c>
    </row>
    <row r="719" spans="1:6">
      <c r="A719" s="78" t="s">
        <v>252</v>
      </c>
      <c r="B719" s="10">
        <v>27750</v>
      </c>
      <c r="C719" s="10">
        <v>7585</v>
      </c>
      <c r="D719">
        <v>12070000</v>
      </c>
    </row>
    <row r="720" spans="1:6">
      <c r="A720" s="76" t="s">
        <v>253</v>
      </c>
      <c r="B720" s="10">
        <v>27830</v>
      </c>
      <c r="C720" s="10">
        <v>7595</v>
      </c>
      <c r="D720">
        <v>12050000</v>
      </c>
    </row>
    <row r="721" spans="1:4">
      <c r="A721" s="76">
        <v>0.625</v>
      </c>
      <c r="B721" s="10">
        <v>27830</v>
      </c>
      <c r="C721" s="10">
        <v>7590</v>
      </c>
      <c r="D721">
        <v>12080000</v>
      </c>
    </row>
    <row r="722" spans="1:4">
      <c r="A722" s="77" t="s">
        <v>254</v>
      </c>
      <c r="B722" s="10">
        <v>27830</v>
      </c>
      <c r="C722" s="10">
        <v>7590</v>
      </c>
      <c r="D722">
        <v>12080000</v>
      </c>
    </row>
    <row r="723" spans="1:4">
      <c r="A723" s="77" t="s">
        <v>255</v>
      </c>
      <c r="B723" s="10">
        <v>27830</v>
      </c>
      <c r="C723" s="10">
        <v>7590</v>
      </c>
      <c r="D723">
        <v>12020000</v>
      </c>
    </row>
    <row r="726" spans="1:4">
      <c r="A726" s="109" t="s">
        <v>349</v>
      </c>
      <c r="B726" s="109"/>
      <c r="C726" s="109"/>
      <c r="D726" s="109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6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7" t="s">
        <v>251</v>
      </c>
      <c r="B729" s="10">
        <v>27550</v>
      </c>
      <c r="C729" s="10">
        <v>7550</v>
      </c>
      <c r="D729">
        <v>11990000</v>
      </c>
    </row>
    <row r="730" spans="1:4">
      <c r="A730" s="78" t="s">
        <v>252</v>
      </c>
      <c r="B730" s="10">
        <v>27560</v>
      </c>
      <c r="C730" s="10">
        <v>7545</v>
      </c>
      <c r="D730">
        <v>12010000</v>
      </c>
    </row>
    <row r="731" spans="1:4">
      <c r="A731" s="76" t="s">
        <v>253</v>
      </c>
      <c r="B731" s="10">
        <v>27500</v>
      </c>
      <c r="C731" s="10">
        <v>7525</v>
      </c>
      <c r="D731">
        <v>11990000</v>
      </c>
    </row>
    <row r="732" spans="1:4">
      <c r="A732" s="76">
        <v>0.625</v>
      </c>
      <c r="B732" s="10">
        <v>27500</v>
      </c>
      <c r="C732" s="10">
        <v>7530</v>
      </c>
      <c r="D732">
        <v>12020000</v>
      </c>
    </row>
    <row r="733" spans="1:4">
      <c r="A733" s="77" t="s">
        <v>254</v>
      </c>
      <c r="B733" s="10">
        <v>27500</v>
      </c>
      <c r="C733" s="10">
        <v>7535</v>
      </c>
      <c r="D733">
        <v>12000000</v>
      </c>
    </row>
    <row r="734" spans="1:4">
      <c r="A734" s="77" t="s">
        <v>255</v>
      </c>
      <c r="B734" s="10">
        <v>27500</v>
      </c>
      <c r="C734" s="10">
        <v>7535</v>
      </c>
      <c r="D734">
        <v>11990000</v>
      </c>
    </row>
    <row r="738" spans="1:4">
      <c r="A738" s="109" t="s">
        <v>350</v>
      </c>
      <c r="B738" s="109"/>
      <c r="C738" s="109"/>
      <c r="D738" s="109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6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7" t="s">
        <v>251</v>
      </c>
      <c r="B741" s="10">
        <v>26900</v>
      </c>
      <c r="C741" s="10">
        <v>7390</v>
      </c>
      <c r="D741">
        <v>11780000</v>
      </c>
    </row>
    <row r="742" spans="1:4">
      <c r="A742" s="78" t="s">
        <v>252</v>
      </c>
      <c r="B742" s="10">
        <v>26990</v>
      </c>
      <c r="C742" s="10">
        <v>7430</v>
      </c>
      <c r="D742">
        <v>11790000</v>
      </c>
    </row>
    <row r="743" spans="1:4">
      <c r="A743" s="76" t="s">
        <v>253</v>
      </c>
      <c r="B743" s="10">
        <v>27100</v>
      </c>
      <c r="C743" s="10">
        <v>7430</v>
      </c>
      <c r="D743">
        <v>11810000</v>
      </c>
    </row>
    <row r="744" spans="1:4">
      <c r="A744" s="76">
        <v>0.625</v>
      </c>
      <c r="B744" s="10">
        <v>27100</v>
      </c>
      <c r="C744" s="10">
        <v>7450</v>
      </c>
      <c r="D744">
        <v>11840000</v>
      </c>
    </row>
    <row r="745" spans="1:4">
      <c r="A745" s="77" t="s">
        <v>254</v>
      </c>
      <c r="B745" s="10">
        <v>27100</v>
      </c>
      <c r="C745" s="10">
        <v>7450</v>
      </c>
      <c r="D745">
        <v>11840000</v>
      </c>
    </row>
    <row r="746" spans="1:4">
      <c r="A746" s="77" t="s">
        <v>255</v>
      </c>
      <c r="B746" s="10">
        <v>27100</v>
      </c>
      <c r="C746" s="10">
        <v>7450</v>
      </c>
      <c r="D746">
        <v>11850000</v>
      </c>
    </row>
    <row r="749" spans="1:4">
      <c r="A749" s="109" t="s">
        <v>351</v>
      </c>
      <c r="B749" s="109"/>
      <c r="C749" s="109"/>
      <c r="D749" s="109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6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7" t="s">
        <v>251</v>
      </c>
      <c r="B752" s="10">
        <v>27390</v>
      </c>
      <c r="C752" s="10">
        <v>7520</v>
      </c>
      <c r="D752">
        <v>11880000</v>
      </c>
    </row>
    <row r="753" spans="1:4">
      <c r="A753" s="78" t="s">
        <v>252</v>
      </c>
      <c r="B753" s="10">
        <v>27420</v>
      </c>
      <c r="C753" s="10">
        <v>7500</v>
      </c>
      <c r="D753">
        <v>11870000</v>
      </c>
    </row>
    <row r="754" spans="1:4">
      <c r="A754" s="76" t="s">
        <v>253</v>
      </c>
      <c r="B754" s="10">
        <v>27370</v>
      </c>
      <c r="C754" s="10">
        <v>7510</v>
      </c>
      <c r="D754">
        <v>11830000</v>
      </c>
    </row>
    <row r="755" spans="1:4">
      <c r="A755" s="76">
        <v>0.625</v>
      </c>
      <c r="B755" s="10">
        <v>27370</v>
      </c>
      <c r="C755" s="10">
        <v>7520</v>
      </c>
      <c r="D755">
        <v>11840000</v>
      </c>
    </row>
    <row r="756" spans="1:4">
      <c r="A756" s="77" t="s">
        <v>254</v>
      </c>
      <c r="B756" s="10">
        <v>27370</v>
      </c>
      <c r="C756" s="10">
        <v>7535</v>
      </c>
      <c r="D756">
        <v>11940000</v>
      </c>
    </row>
    <row r="757" spans="1:4">
      <c r="A757" s="77" t="s">
        <v>255</v>
      </c>
      <c r="B757" s="10">
        <v>27370</v>
      </c>
      <c r="C757" s="10">
        <v>7535</v>
      </c>
      <c r="D757">
        <v>11930000</v>
      </c>
    </row>
    <row r="760" spans="1:4">
      <c r="A760" s="109" t="s">
        <v>352</v>
      </c>
      <c r="B760" s="109"/>
      <c r="C760" s="109"/>
      <c r="D760" s="109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6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7" t="s">
        <v>251</v>
      </c>
      <c r="B763" s="10">
        <v>27380</v>
      </c>
      <c r="C763" s="10">
        <v>7520</v>
      </c>
      <c r="D763">
        <v>11880000</v>
      </c>
    </row>
    <row r="764" spans="1:4">
      <c r="A764" s="78" t="s">
        <v>252</v>
      </c>
      <c r="B764" s="10">
        <v>27350</v>
      </c>
      <c r="C764" s="10">
        <v>7495</v>
      </c>
      <c r="D764">
        <v>11890000</v>
      </c>
    </row>
    <row r="765" spans="1:4">
      <c r="A765" s="76" t="s">
        <v>253</v>
      </c>
      <c r="B765" s="10">
        <v>27320</v>
      </c>
      <c r="C765" s="10">
        <v>7485</v>
      </c>
      <c r="D765">
        <v>11840000</v>
      </c>
    </row>
    <row r="766" spans="1:4">
      <c r="A766" s="76">
        <v>0.625</v>
      </c>
      <c r="B766" s="10">
        <v>27320</v>
      </c>
      <c r="C766" s="10">
        <v>7485</v>
      </c>
      <c r="D766">
        <v>11830000</v>
      </c>
    </row>
    <row r="767" spans="1:4">
      <c r="A767" s="77" t="s">
        <v>254</v>
      </c>
      <c r="B767" s="10">
        <v>27320</v>
      </c>
      <c r="C767" s="10">
        <v>7485</v>
      </c>
      <c r="D767">
        <v>11840000</v>
      </c>
    </row>
    <row r="768" spans="1:4">
      <c r="A768" s="77" t="s">
        <v>255</v>
      </c>
      <c r="B768" s="10">
        <v>27320</v>
      </c>
      <c r="C768" s="10">
        <v>7485</v>
      </c>
      <c r="D768">
        <v>11840000</v>
      </c>
    </row>
    <row r="772" spans="1:6">
      <c r="A772" s="109" t="s">
        <v>353</v>
      </c>
      <c r="B772" s="109"/>
      <c r="C772" s="109"/>
      <c r="D772" s="109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6">
        <v>0.45833333333333298</v>
      </c>
      <c r="B774" s="10"/>
      <c r="C774" s="10"/>
      <c r="E774">
        <v>11720000</v>
      </c>
      <c r="F774">
        <v>1047</v>
      </c>
    </row>
    <row r="775" spans="1:6">
      <c r="A775" s="77" t="s">
        <v>251</v>
      </c>
      <c r="B775" s="10"/>
      <c r="C775" s="10"/>
      <c r="E775">
        <v>11730000</v>
      </c>
      <c r="F775">
        <v>1202</v>
      </c>
    </row>
    <row r="776" spans="1:6">
      <c r="A776" s="78" t="s">
        <v>252</v>
      </c>
      <c r="B776" s="10"/>
      <c r="C776" s="10"/>
      <c r="E776">
        <v>11710000</v>
      </c>
      <c r="F776" t="s">
        <v>354</v>
      </c>
    </row>
    <row r="777" spans="1:6">
      <c r="A777" s="76" t="s">
        <v>253</v>
      </c>
      <c r="B777" s="10"/>
      <c r="C777" s="10"/>
    </row>
    <row r="778" spans="1:6">
      <c r="A778" s="76">
        <v>0.625</v>
      </c>
      <c r="B778" s="10"/>
      <c r="C778" s="10"/>
    </row>
    <row r="779" spans="1:6">
      <c r="A779" s="77" t="s">
        <v>254</v>
      </c>
      <c r="B779" s="10"/>
      <c r="C779" s="10"/>
    </row>
    <row r="780" spans="1:6">
      <c r="A780" s="77" t="s">
        <v>255</v>
      </c>
      <c r="B780" s="10"/>
      <c r="C780" s="10"/>
    </row>
    <row r="784" spans="1:6">
      <c r="A784" s="109" t="s">
        <v>355</v>
      </c>
      <c r="B784" s="109"/>
      <c r="C784" s="109"/>
      <c r="D784" s="109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6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7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8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6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6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7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7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09" t="s">
        <v>356</v>
      </c>
      <c r="B796" s="109"/>
      <c r="C796" s="109"/>
      <c r="D796" s="109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6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7" t="s">
        <v>251</v>
      </c>
      <c r="B799" s="10">
        <v>27340</v>
      </c>
      <c r="C799" s="10">
        <v>7490</v>
      </c>
      <c r="D799">
        <v>11670000</v>
      </c>
    </row>
    <row r="800" spans="1:5">
      <c r="A800" s="78" t="s">
        <v>252</v>
      </c>
      <c r="B800" s="10">
        <v>27280</v>
      </c>
      <c r="C800" s="10">
        <v>7475</v>
      </c>
      <c r="D800">
        <v>11650000</v>
      </c>
    </row>
    <row r="801" spans="1:8">
      <c r="A801" s="76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6">
        <v>0.625</v>
      </c>
      <c r="B802" s="10">
        <v>27340</v>
      </c>
      <c r="C802" s="10">
        <v>7490</v>
      </c>
      <c r="D802">
        <v>11710000</v>
      </c>
      <c r="E802" s="83"/>
    </row>
    <row r="803" spans="1:8">
      <c r="A803" s="77" t="s">
        <v>254</v>
      </c>
      <c r="B803" s="10">
        <v>27340</v>
      </c>
      <c r="C803" s="10">
        <v>7490</v>
      </c>
      <c r="D803" s="83">
        <v>11720000</v>
      </c>
      <c r="E803" s="83"/>
    </row>
    <row r="804" spans="1:8">
      <c r="A804" s="77" t="s">
        <v>255</v>
      </c>
      <c r="B804" s="10">
        <v>27340</v>
      </c>
      <c r="C804" s="10">
        <v>7490</v>
      </c>
      <c r="D804" s="83">
        <v>11720000</v>
      </c>
    </row>
    <row r="805" spans="1:8">
      <c r="E805">
        <f>7470*3.673</f>
        <v>27437.31</v>
      </c>
      <c r="H805">
        <v>3.673</v>
      </c>
    </row>
    <row r="809" spans="1:8">
      <c r="A809" s="109" t="s">
        <v>357</v>
      </c>
      <c r="B809" s="109"/>
      <c r="C809" s="109"/>
      <c r="D809" s="109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6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7" t="s">
        <v>251</v>
      </c>
      <c r="B812" s="10">
        <v>27380</v>
      </c>
      <c r="C812" s="10">
        <v>7475</v>
      </c>
      <c r="D812">
        <v>11720000</v>
      </c>
    </row>
    <row r="813" spans="1:8">
      <c r="A813" s="78" t="s">
        <v>252</v>
      </c>
      <c r="B813" s="10">
        <v>27370</v>
      </c>
      <c r="C813" s="10">
        <v>7470</v>
      </c>
      <c r="D813">
        <v>11730000</v>
      </c>
    </row>
    <row r="814" spans="1:8">
      <c r="A814" s="76" t="s">
        <v>253</v>
      </c>
      <c r="B814" s="10">
        <v>27380</v>
      </c>
      <c r="C814" s="10">
        <v>7480</v>
      </c>
      <c r="D814">
        <v>11720000</v>
      </c>
    </row>
    <row r="815" spans="1:8">
      <c r="A815" s="76">
        <v>0.625</v>
      </c>
      <c r="B815" s="10">
        <v>27380</v>
      </c>
      <c r="C815" s="10">
        <v>7465</v>
      </c>
      <c r="D815" s="83">
        <v>11720000</v>
      </c>
      <c r="E815" s="83"/>
    </row>
    <row r="816" spans="1:8">
      <c r="A816" s="77" t="s">
        <v>254</v>
      </c>
      <c r="B816" s="10">
        <v>27380</v>
      </c>
      <c r="C816" s="10">
        <v>7465</v>
      </c>
      <c r="D816" s="83">
        <v>11610000</v>
      </c>
      <c r="E816" s="83"/>
    </row>
    <row r="817" spans="1:5">
      <c r="A817" s="77" t="s">
        <v>255</v>
      </c>
      <c r="B817" s="10">
        <v>27380</v>
      </c>
      <c r="C817" s="10">
        <v>7465</v>
      </c>
      <c r="D817" s="83">
        <v>11630000</v>
      </c>
      <c r="E817" s="83"/>
    </row>
    <row r="820" spans="1:5">
      <c r="A820" s="109" t="s">
        <v>358</v>
      </c>
      <c r="B820" s="109"/>
      <c r="C820" s="109"/>
      <c r="D820" s="109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6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7" t="s">
        <v>251</v>
      </c>
      <c r="B823" s="10">
        <v>27540</v>
      </c>
      <c r="C823" s="10">
        <v>7500</v>
      </c>
      <c r="D823">
        <v>11650000</v>
      </c>
    </row>
    <row r="824" spans="1:5">
      <c r="A824" s="78" t="s">
        <v>252</v>
      </c>
      <c r="B824" s="10">
        <v>27550</v>
      </c>
      <c r="C824" s="10">
        <v>7510</v>
      </c>
      <c r="D824">
        <v>11700000</v>
      </c>
    </row>
    <row r="825" spans="1:5">
      <c r="A825" s="76" t="s">
        <v>253</v>
      </c>
      <c r="B825" s="10">
        <v>27540</v>
      </c>
      <c r="C825" s="10">
        <v>7520</v>
      </c>
      <c r="D825" s="83">
        <v>11700000</v>
      </c>
    </row>
    <row r="826" spans="1:5">
      <c r="A826" s="76">
        <v>0.625</v>
      </c>
      <c r="B826" s="10">
        <v>27540</v>
      </c>
      <c r="C826" s="10">
        <v>7510</v>
      </c>
      <c r="D826" s="83">
        <v>11700000</v>
      </c>
    </row>
    <row r="827" spans="1:5">
      <c r="A827" s="77" t="s">
        <v>254</v>
      </c>
      <c r="B827" s="10">
        <v>27540</v>
      </c>
      <c r="C827" s="10">
        <v>7510</v>
      </c>
      <c r="D827" s="83">
        <v>11650000</v>
      </c>
    </row>
    <row r="828" spans="1:5">
      <c r="A828" s="77" t="s">
        <v>255</v>
      </c>
      <c r="B828" s="10">
        <v>27350</v>
      </c>
      <c r="C828" s="10">
        <v>7510</v>
      </c>
      <c r="D828" s="83">
        <v>11650000</v>
      </c>
    </row>
    <row r="831" spans="1:5">
      <c r="A831" s="109" t="s">
        <v>359</v>
      </c>
      <c r="B831" s="109"/>
      <c r="C831" s="109"/>
      <c r="D831" s="109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6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7" t="s">
        <v>251</v>
      </c>
      <c r="B834" s="10">
        <v>27550</v>
      </c>
      <c r="C834" s="10">
        <v>7515</v>
      </c>
      <c r="D834">
        <v>11730000</v>
      </c>
    </row>
    <row r="835" spans="1:6">
      <c r="A835" s="78" t="s">
        <v>252</v>
      </c>
      <c r="B835" s="10">
        <v>27520</v>
      </c>
      <c r="C835" s="10">
        <v>7515</v>
      </c>
      <c r="D835">
        <v>11750000</v>
      </c>
    </row>
    <row r="836" spans="1:6">
      <c r="A836" s="76" t="s">
        <v>253</v>
      </c>
      <c r="B836" s="10">
        <v>27520</v>
      </c>
      <c r="C836" s="10">
        <v>7510</v>
      </c>
      <c r="D836">
        <v>11750000</v>
      </c>
    </row>
    <row r="837" spans="1:6">
      <c r="A837" s="76">
        <v>0.625</v>
      </c>
      <c r="B837" s="10">
        <v>27520</v>
      </c>
      <c r="C837" s="10">
        <v>7505</v>
      </c>
      <c r="D837" s="83">
        <v>11750000</v>
      </c>
    </row>
    <row r="838" spans="1:6">
      <c r="A838" s="77" t="s">
        <v>254</v>
      </c>
      <c r="B838" s="10">
        <v>27520</v>
      </c>
      <c r="C838" s="10">
        <v>7505</v>
      </c>
      <c r="D838" s="83">
        <v>11730000</v>
      </c>
    </row>
    <row r="839" spans="1:6">
      <c r="A839" s="77" t="s">
        <v>255</v>
      </c>
      <c r="B839" s="10">
        <v>27520</v>
      </c>
      <c r="C839" s="10">
        <v>7505</v>
      </c>
      <c r="D839" s="83">
        <v>11730000</v>
      </c>
    </row>
    <row r="842" spans="1:6">
      <c r="A842" s="109" t="s">
        <v>360</v>
      </c>
      <c r="B842" s="109"/>
      <c r="C842" s="109"/>
      <c r="D842" s="109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6">
        <v>0.45833333333333298</v>
      </c>
      <c r="B844" s="10"/>
      <c r="C844" s="10"/>
      <c r="E844">
        <v>11750000</v>
      </c>
      <c r="F844" t="s">
        <v>299</v>
      </c>
    </row>
    <row r="845" spans="1:6">
      <c r="A845" s="77" t="s">
        <v>251</v>
      </c>
      <c r="B845" s="10"/>
      <c r="C845" s="10"/>
    </row>
    <row r="846" spans="1:6">
      <c r="A846" s="78" t="s">
        <v>252</v>
      </c>
      <c r="B846" s="10"/>
      <c r="C846" s="10"/>
    </row>
    <row r="847" spans="1:6">
      <c r="A847" s="76" t="s">
        <v>253</v>
      </c>
      <c r="B847" s="10"/>
      <c r="C847" s="10"/>
    </row>
    <row r="848" spans="1:6">
      <c r="A848" s="76">
        <v>0.625</v>
      </c>
      <c r="B848" s="10"/>
      <c r="C848" s="10"/>
      <c r="D848" s="83"/>
    </row>
    <row r="849" spans="1:7">
      <c r="A849" s="77" t="s">
        <v>254</v>
      </c>
      <c r="B849" s="10"/>
      <c r="C849" s="10"/>
      <c r="D849" s="83"/>
    </row>
    <row r="850" spans="1:7">
      <c r="A850" s="77" t="s">
        <v>255</v>
      </c>
      <c r="B850" s="10"/>
      <c r="C850" s="10"/>
      <c r="D850" s="83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09" t="s">
        <v>361</v>
      </c>
      <c r="B854" s="109"/>
      <c r="C854" s="109"/>
      <c r="D854" s="109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6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7" t="s">
        <v>251</v>
      </c>
      <c r="B857" s="10">
        <v>27600</v>
      </c>
      <c r="C857" s="10">
        <v>7550</v>
      </c>
      <c r="D857">
        <v>11760000</v>
      </c>
    </row>
    <row r="858" spans="1:7">
      <c r="A858" s="78" t="s">
        <v>252</v>
      </c>
      <c r="B858" s="10">
        <v>27540</v>
      </c>
      <c r="C858" s="10">
        <v>7545</v>
      </c>
      <c r="D858">
        <v>11720000</v>
      </c>
    </row>
    <row r="859" spans="1:7">
      <c r="A859" s="76" t="s">
        <v>253</v>
      </c>
      <c r="B859" s="10">
        <v>27540</v>
      </c>
      <c r="C859" s="10">
        <v>7535</v>
      </c>
      <c r="D859">
        <v>11700000</v>
      </c>
    </row>
    <row r="860" spans="1:7">
      <c r="A860" s="76">
        <v>0.625</v>
      </c>
      <c r="B860" s="10">
        <v>27540</v>
      </c>
      <c r="C860" s="10">
        <v>7535</v>
      </c>
      <c r="D860">
        <v>11750000</v>
      </c>
    </row>
    <row r="861" spans="1:7">
      <c r="A861" s="77" t="s">
        <v>254</v>
      </c>
      <c r="B861" s="10">
        <v>27540</v>
      </c>
      <c r="C861" s="10">
        <v>7535</v>
      </c>
      <c r="D861">
        <v>11750000</v>
      </c>
    </row>
    <row r="865" spans="1:7">
      <c r="A865" s="109" t="s">
        <v>363</v>
      </c>
      <c r="B865" s="109"/>
      <c r="C865" s="109"/>
      <c r="D865" s="109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6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7" t="s">
        <v>251</v>
      </c>
      <c r="B868" s="10">
        <v>27470</v>
      </c>
      <c r="C868" s="10">
        <v>7550</v>
      </c>
      <c r="D868">
        <v>11760000</v>
      </c>
    </row>
    <row r="869" spans="1:7">
      <c r="A869" s="78" t="s">
        <v>252</v>
      </c>
      <c r="B869" s="10">
        <v>27620</v>
      </c>
      <c r="C869" s="10">
        <v>7560</v>
      </c>
      <c r="D869">
        <v>11760000</v>
      </c>
    </row>
    <row r="870" spans="1:7">
      <c r="A870" s="76" t="s">
        <v>253</v>
      </c>
      <c r="B870" s="10">
        <v>27650</v>
      </c>
      <c r="C870" s="10">
        <v>7560</v>
      </c>
      <c r="D870">
        <v>11770000</v>
      </c>
    </row>
    <row r="871" spans="1:7">
      <c r="A871" s="76">
        <v>0.625</v>
      </c>
      <c r="B871" s="10">
        <v>27650</v>
      </c>
      <c r="C871" s="10">
        <v>7560</v>
      </c>
      <c r="D871" s="83">
        <v>11770000</v>
      </c>
      <c r="E871" s="83"/>
    </row>
    <row r="872" spans="1:7">
      <c r="A872" s="77" t="s">
        <v>254</v>
      </c>
      <c r="B872" s="10">
        <v>27650</v>
      </c>
      <c r="C872" s="10">
        <v>7560</v>
      </c>
      <c r="D872" s="83">
        <v>11770000</v>
      </c>
      <c r="E872" s="83"/>
    </row>
    <row r="873" spans="1:7">
      <c r="D873" s="83">
        <v>11800000</v>
      </c>
    </row>
    <row r="876" spans="1:7">
      <c r="A876" s="109" t="s">
        <v>364</v>
      </c>
      <c r="B876" s="109"/>
      <c r="C876" s="109"/>
      <c r="D876" s="109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6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7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8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6" t="s">
        <v>253</v>
      </c>
      <c r="B881" s="10">
        <v>27900</v>
      </c>
      <c r="C881" s="10">
        <v>7650</v>
      </c>
      <c r="D881" s="10"/>
    </row>
    <row r="882" spans="1:4">
      <c r="A882" s="84">
        <v>0.625</v>
      </c>
      <c r="B882" s="85">
        <v>27900</v>
      </c>
      <c r="C882" s="85">
        <v>7620</v>
      </c>
      <c r="D882" s="86"/>
    </row>
    <row r="883" spans="1:4">
      <c r="A883" s="77" t="s">
        <v>254</v>
      </c>
      <c r="B883" s="10">
        <v>27900</v>
      </c>
      <c r="C883" s="10">
        <v>7620</v>
      </c>
      <c r="D883" s="86"/>
    </row>
    <row r="884" spans="1:4">
      <c r="A884" s="87">
        <v>0.70833333333333304</v>
      </c>
      <c r="B884" s="10">
        <v>27900</v>
      </c>
      <c r="C884" s="10">
        <v>7620</v>
      </c>
      <c r="D884" s="10"/>
    </row>
    <row r="888" spans="1:4">
      <c r="A888" s="109" t="s">
        <v>367</v>
      </c>
      <c r="B888" s="109"/>
      <c r="C888" s="109"/>
      <c r="D888" s="109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6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7" t="s">
        <v>251</v>
      </c>
      <c r="B891" s="10">
        <v>28160</v>
      </c>
      <c r="C891" s="10">
        <v>7690</v>
      </c>
      <c r="D891" s="10">
        <v>11990000</v>
      </c>
    </row>
    <row r="892" spans="1:4">
      <c r="A892" s="78" t="s">
        <v>252</v>
      </c>
      <c r="B892" s="10">
        <v>28230</v>
      </c>
      <c r="C892" s="10">
        <v>7710</v>
      </c>
      <c r="D892" s="10">
        <v>12040000</v>
      </c>
    </row>
    <row r="893" spans="1:4">
      <c r="A893" s="76" t="s">
        <v>253</v>
      </c>
      <c r="B893" s="10">
        <v>28300</v>
      </c>
      <c r="C893" s="10">
        <v>7720</v>
      </c>
      <c r="D893" s="10">
        <v>12030000</v>
      </c>
    </row>
    <row r="894" spans="1:4">
      <c r="A894" s="84">
        <v>0.625</v>
      </c>
      <c r="B894" s="10">
        <v>28300</v>
      </c>
      <c r="C894" s="10">
        <v>7720</v>
      </c>
      <c r="D894" s="86">
        <v>12030000</v>
      </c>
    </row>
    <row r="895" spans="1:4">
      <c r="A895" s="77" t="s">
        <v>254</v>
      </c>
      <c r="B895" s="10">
        <v>28300</v>
      </c>
      <c r="C895" s="10">
        <v>7720</v>
      </c>
      <c r="D895" s="86">
        <v>12045000</v>
      </c>
    </row>
    <row r="896" spans="1:4">
      <c r="A896" s="87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09" t="s">
        <v>368</v>
      </c>
      <c r="B901" s="109"/>
      <c r="C901" s="109"/>
      <c r="D901" s="109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6">
        <v>0.45833333333333298</v>
      </c>
      <c r="B903" s="10"/>
      <c r="C903" s="10"/>
      <c r="D903" s="10"/>
      <c r="E903">
        <v>12065000</v>
      </c>
    </row>
    <row r="904" spans="1:5">
      <c r="A904" s="77" t="s">
        <v>251</v>
      </c>
      <c r="B904" s="10"/>
      <c r="C904" s="10"/>
      <c r="D904" s="10"/>
    </row>
    <row r="905" spans="1:5">
      <c r="A905" s="78" t="s">
        <v>252</v>
      </c>
      <c r="B905" s="10"/>
      <c r="C905" s="10"/>
      <c r="D905" s="10"/>
    </row>
    <row r="906" spans="1:5">
      <c r="A906" s="76" t="s">
        <v>253</v>
      </c>
      <c r="B906" s="10"/>
      <c r="C906" s="10"/>
      <c r="D906" s="10"/>
    </row>
    <row r="907" spans="1:5">
      <c r="A907" s="84">
        <v>0.625</v>
      </c>
      <c r="B907" s="10"/>
      <c r="C907" s="10"/>
      <c r="D907" s="86"/>
    </row>
    <row r="908" spans="1:5">
      <c r="A908" s="77" t="s">
        <v>254</v>
      </c>
      <c r="B908" s="10"/>
      <c r="C908" s="10"/>
      <c r="D908" s="86"/>
    </row>
    <row r="909" spans="1:5">
      <c r="A909" s="87">
        <v>0.70833333333333304</v>
      </c>
      <c r="B909" s="10"/>
      <c r="C909" s="10"/>
      <c r="D909" s="10"/>
    </row>
    <row r="913" spans="1:4">
      <c r="A913" s="109" t="s">
        <v>369</v>
      </c>
      <c r="B913" s="109"/>
      <c r="C913" s="109"/>
      <c r="D913" s="109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6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7" t="s">
        <v>251</v>
      </c>
      <c r="B916" s="10">
        <v>28240</v>
      </c>
      <c r="C916" s="10">
        <v>7700</v>
      </c>
      <c r="D916" s="10">
        <v>12030000</v>
      </c>
    </row>
    <row r="917" spans="1:4">
      <c r="A917" s="78" t="s">
        <v>252</v>
      </c>
      <c r="B917" s="10">
        <v>28180</v>
      </c>
      <c r="C917" s="10">
        <v>7700</v>
      </c>
      <c r="D917" s="10">
        <v>12015000</v>
      </c>
    </row>
    <row r="918" spans="1:4">
      <c r="A918" s="76" t="s">
        <v>253</v>
      </c>
      <c r="B918" s="10">
        <v>28140</v>
      </c>
      <c r="C918" s="10">
        <v>7680</v>
      </c>
      <c r="D918" s="10">
        <v>12010000</v>
      </c>
    </row>
    <row r="919" spans="1:4">
      <c r="A919" s="84">
        <v>0.625</v>
      </c>
      <c r="B919" s="10">
        <v>28100</v>
      </c>
      <c r="C919" s="10">
        <v>7680</v>
      </c>
      <c r="D919" s="86">
        <v>12030000</v>
      </c>
    </row>
    <row r="920" spans="1:4">
      <c r="A920" s="77" t="s">
        <v>254</v>
      </c>
      <c r="B920" s="10">
        <v>28100</v>
      </c>
      <c r="C920" s="10">
        <v>7680</v>
      </c>
      <c r="D920" s="86">
        <v>12030000</v>
      </c>
    </row>
    <row r="921" spans="1:4">
      <c r="A921" s="87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8"/>
    </row>
    <row r="925" spans="1:4">
      <c r="A925" s="109" t="s">
        <v>370</v>
      </c>
      <c r="B925" s="109"/>
      <c r="C925" s="109"/>
      <c r="D925" s="109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6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7" t="s">
        <v>251</v>
      </c>
      <c r="B928" s="10">
        <v>28030</v>
      </c>
      <c r="C928" s="10">
        <v>7640</v>
      </c>
      <c r="D928" s="10">
        <v>11970000</v>
      </c>
    </row>
    <row r="929" spans="1:4">
      <c r="A929" s="78" t="s">
        <v>252</v>
      </c>
      <c r="B929" s="10">
        <v>28020</v>
      </c>
      <c r="C929" s="10">
        <v>7640</v>
      </c>
      <c r="D929" s="10">
        <v>11965000</v>
      </c>
    </row>
    <row r="930" spans="1:4">
      <c r="A930" s="76" t="s">
        <v>253</v>
      </c>
      <c r="B930" s="10">
        <v>28020</v>
      </c>
      <c r="C930" s="10">
        <v>7660</v>
      </c>
      <c r="D930" s="10">
        <v>11965000</v>
      </c>
    </row>
    <row r="931" spans="1:4">
      <c r="A931" s="84">
        <v>0.625</v>
      </c>
      <c r="B931" s="10">
        <v>28020</v>
      </c>
      <c r="C931" s="10">
        <v>7660</v>
      </c>
      <c r="D931" s="86">
        <v>11985000</v>
      </c>
    </row>
    <row r="932" spans="1:4">
      <c r="A932" s="77" t="s">
        <v>254</v>
      </c>
      <c r="B932" s="10">
        <v>28020</v>
      </c>
      <c r="C932" s="10">
        <v>7680</v>
      </c>
      <c r="D932" s="86">
        <v>11995000</v>
      </c>
    </row>
    <row r="933" spans="1:4">
      <c r="A933" s="87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09" t="s">
        <v>371</v>
      </c>
      <c r="B937" s="109"/>
      <c r="C937" s="109"/>
      <c r="D937" s="109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6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7" t="s">
        <v>251</v>
      </c>
      <c r="B940" s="10">
        <v>28040</v>
      </c>
      <c r="C940" s="10">
        <v>7660</v>
      </c>
      <c r="D940" s="10">
        <v>11980000</v>
      </c>
    </row>
    <row r="941" spans="1:4">
      <c r="A941" s="78" t="s">
        <v>252</v>
      </c>
      <c r="B941" s="10">
        <v>28030</v>
      </c>
      <c r="C941" s="10">
        <v>7670</v>
      </c>
      <c r="D941" s="10">
        <v>11995000</v>
      </c>
    </row>
    <row r="942" spans="1:4">
      <c r="A942" s="76" t="s">
        <v>253</v>
      </c>
      <c r="B942" s="10">
        <v>28110</v>
      </c>
      <c r="C942" s="10">
        <v>7700</v>
      </c>
      <c r="D942" s="10">
        <v>12010000</v>
      </c>
    </row>
    <row r="943" spans="1:4">
      <c r="A943" s="84">
        <v>0.625</v>
      </c>
      <c r="B943" s="10">
        <v>28110</v>
      </c>
      <c r="C943" s="10">
        <v>7720</v>
      </c>
      <c r="D943" s="86">
        <v>12005000</v>
      </c>
    </row>
    <row r="944" spans="1:4">
      <c r="A944" s="77" t="s">
        <v>254</v>
      </c>
      <c r="B944" s="10">
        <v>28110</v>
      </c>
      <c r="C944" s="10">
        <v>7720</v>
      </c>
      <c r="D944" s="86">
        <v>12005000</v>
      </c>
    </row>
    <row r="945" spans="1:4">
      <c r="A945" s="87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09" t="s">
        <v>372</v>
      </c>
      <c r="B949" s="109"/>
      <c r="C949" s="109"/>
      <c r="D949" s="109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6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7" t="s">
        <v>251</v>
      </c>
      <c r="B952" s="10">
        <v>28080</v>
      </c>
      <c r="C952" s="10">
        <v>7665</v>
      </c>
      <c r="D952">
        <v>11940000</v>
      </c>
    </row>
    <row r="953" spans="1:4">
      <c r="A953" s="78" t="s">
        <v>252</v>
      </c>
      <c r="B953" s="10">
        <v>28000</v>
      </c>
      <c r="C953" s="10">
        <v>7660</v>
      </c>
      <c r="D953">
        <v>11980000</v>
      </c>
    </row>
    <row r="954" spans="1:4">
      <c r="A954" s="76" t="s">
        <v>253</v>
      </c>
      <c r="B954" s="10">
        <v>27950</v>
      </c>
      <c r="C954" s="10">
        <v>7650</v>
      </c>
      <c r="D954">
        <v>11910000</v>
      </c>
    </row>
    <row r="955" spans="1:4">
      <c r="A955" s="84">
        <v>0.625</v>
      </c>
      <c r="B955" s="10">
        <v>27980</v>
      </c>
      <c r="C955" s="10">
        <v>7650</v>
      </c>
      <c r="D955" s="86">
        <v>11900000</v>
      </c>
    </row>
    <row r="956" spans="1:4">
      <c r="A956" s="77" t="s">
        <v>254</v>
      </c>
      <c r="B956" s="10">
        <v>27980</v>
      </c>
      <c r="C956" s="10">
        <v>7640</v>
      </c>
      <c r="D956" s="86">
        <v>11920000</v>
      </c>
    </row>
    <row r="957" spans="1:4">
      <c r="A957" s="87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09" t="s">
        <v>400</v>
      </c>
      <c r="B961" s="109"/>
      <c r="C961" s="109"/>
      <c r="D961" s="109"/>
    </row>
    <row r="962" spans="1:4">
      <c r="A962" s="86" t="s">
        <v>247</v>
      </c>
      <c r="B962" s="86" t="s">
        <v>248</v>
      </c>
      <c r="C962" s="86" t="s">
        <v>249</v>
      </c>
      <c r="D962" s="86" t="s">
        <v>250</v>
      </c>
    </row>
    <row r="963" spans="1:4">
      <c r="A963" s="76">
        <v>0.45833333333333298</v>
      </c>
      <c r="B963" s="86">
        <v>27880</v>
      </c>
      <c r="C963" s="86">
        <v>7600</v>
      </c>
      <c r="D963">
        <v>11820000</v>
      </c>
    </row>
    <row r="964" spans="1:4">
      <c r="A964" s="77" t="s">
        <v>251</v>
      </c>
      <c r="B964" s="86">
        <v>27830</v>
      </c>
      <c r="C964" s="86">
        <v>7600</v>
      </c>
      <c r="D964">
        <v>11810000</v>
      </c>
    </row>
    <row r="965" spans="1:4">
      <c r="A965" s="78" t="s">
        <v>252</v>
      </c>
      <c r="B965" s="86">
        <v>27750</v>
      </c>
      <c r="C965" s="86">
        <v>7590</v>
      </c>
      <c r="D965">
        <v>11810000</v>
      </c>
    </row>
    <row r="966" spans="1:4">
      <c r="A966" s="76" t="s">
        <v>253</v>
      </c>
      <c r="B966" s="86">
        <v>27750</v>
      </c>
      <c r="C966" s="86">
        <v>7590</v>
      </c>
      <c r="D966">
        <v>11815000</v>
      </c>
    </row>
    <row r="967" spans="1:4">
      <c r="A967" s="84">
        <v>0.625</v>
      </c>
      <c r="B967" s="86">
        <v>27750</v>
      </c>
      <c r="C967" s="86">
        <v>7580</v>
      </c>
      <c r="D967" s="86">
        <v>11810000</v>
      </c>
    </row>
    <row r="968" spans="1:4">
      <c r="A968" s="77" t="s">
        <v>254</v>
      </c>
      <c r="B968" s="86">
        <v>27750</v>
      </c>
      <c r="C968" s="86">
        <v>7570</v>
      </c>
      <c r="D968" s="86">
        <v>11790000</v>
      </c>
    </row>
    <row r="969" spans="1:4">
      <c r="A969" s="87">
        <v>0.70833333333333304</v>
      </c>
      <c r="B969" s="86">
        <v>27750</v>
      </c>
      <c r="C969" s="86">
        <v>7570</v>
      </c>
      <c r="D969" s="86">
        <v>11790000</v>
      </c>
    </row>
    <row r="974" spans="1:4">
      <c r="A974" s="109" t="s">
        <v>402</v>
      </c>
      <c r="B974" s="109"/>
      <c r="C974" s="109"/>
      <c r="D974" s="109"/>
    </row>
    <row r="975" spans="1:4">
      <c r="A975" s="86" t="s">
        <v>247</v>
      </c>
      <c r="B975" s="86" t="s">
        <v>248</v>
      </c>
      <c r="C975" s="86" t="s">
        <v>249</v>
      </c>
      <c r="D975" s="86" t="s">
        <v>250</v>
      </c>
    </row>
    <row r="976" spans="1:4">
      <c r="A976" s="76">
        <v>0.45833333333333298</v>
      </c>
      <c r="B976" s="86">
        <v>27550</v>
      </c>
      <c r="C976" s="86">
        <v>7535</v>
      </c>
      <c r="D976">
        <v>11760000</v>
      </c>
    </row>
    <row r="977" spans="1:4">
      <c r="A977" s="77" t="s">
        <v>251</v>
      </c>
      <c r="B977" s="86">
        <v>27570</v>
      </c>
      <c r="C977" s="86">
        <v>7510</v>
      </c>
      <c r="D977">
        <v>11815000</v>
      </c>
    </row>
    <row r="978" spans="1:4">
      <c r="A978" s="78" t="s">
        <v>252</v>
      </c>
      <c r="B978" s="86">
        <v>27540</v>
      </c>
      <c r="C978" s="86">
        <v>7490</v>
      </c>
      <c r="D978">
        <v>11800000</v>
      </c>
    </row>
    <row r="979" spans="1:4">
      <c r="A979" s="76" t="s">
        <v>253</v>
      </c>
      <c r="B979" s="86">
        <v>27550</v>
      </c>
      <c r="C979" s="86">
        <v>7485</v>
      </c>
      <c r="D979">
        <v>11760000</v>
      </c>
    </row>
    <row r="980" spans="1:4">
      <c r="A980" s="84">
        <v>0.625</v>
      </c>
      <c r="B980" s="86">
        <v>27550</v>
      </c>
      <c r="C980" s="86">
        <v>7485</v>
      </c>
      <c r="D980" s="86">
        <v>11780000</v>
      </c>
    </row>
    <row r="981" spans="1:4">
      <c r="A981" s="77" t="s">
        <v>254</v>
      </c>
      <c r="B981" s="86">
        <v>27550</v>
      </c>
      <c r="C981" s="86">
        <v>7485</v>
      </c>
      <c r="D981" s="86">
        <v>11790000</v>
      </c>
    </row>
    <row r="982" spans="1:4">
      <c r="A982" s="87">
        <v>0.70833333333333304</v>
      </c>
      <c r="B982" s="86">
        <v>27550</v>
      </c>
      <c r="C982" s="86">
        <v>7480</v>
      </c>
      <c r="D982" s="86">
        <v>11790000</v>
      </c>
    </row>
    <row r="987" spans="1:4">
      <c r="A987" s="109" t="s">
        <v>404</v>
      </c>
      <c r="B987" s="109"/>
      <c r="C987" s="109"/>
      <c r="D987" s="109"/>
    </row>
    <row r="988" spans="1:4">
      <c r="A988" s="86" t="s">
        <v>247</v>
      </c>
      <c r="B988" s="86" t="s">
        <v>248</v>
      </c>
      <c r="C988" s="86" t="s">
        <v>249</v>
      </c>
      <c r="D988" s="86" t="s">
        <v>250</v>
      </c>
    </row>
    <row r="989" spans="1:4">
      <c r="A989" s="76">
        <v>0.45833333333333298</v>
      </c>
      <c r="B989" s="86">
        <v>27610</v>
      </c>
      <c r="C989" s="86">
        <v>7530</v>
      </c>
      <c r="D989">
        <v>11830000</v>
      </c>
    </row>
    <row r="990" spans="1:4">
      <c r="A990" s="77" t="s">
        <v>251</v>
      </c>
      <c r="B990" s="86">
        <v>27560</v>
      </c>
      <c r="C990" s="86">
        <v>7520</v>
      </c>
      <c r="D990">
        <v>11825000</v>
      </c>
    </row>
    <row r="991" spans="1:4">
      <c r="A991" s="78" t="s">
        <v>252</v>
      </c>
      <c r="B991" s="86">
        <v>27480</v>
      </c>
      <c r="C991" s="86">
        <v>7510</v>
      </c>
      <c r="D991">
        <v>11790000</v>
      </c>
    </row>
    <row r="992" spans="1:4">
      <c r="A992" s="76" t="s">
        <v>253</v>
      </c>
      <c r="B992" s="86">
        <v>27470</v>
      </c>
      <c r="C992" s="86">
        <v>7490</v>
      </c>
      <c r="D992">
        <v>11750000</v>
      </c>
    </row>
    <row r="993" spans="1:4">
      <c r="A993" s="84">
        <v>0.625</v>
      </c>
      <c r="B993" s="86">
        <v>27470</v>
      </c>
      <c r="C993" s="86">
        <v>7480</v>
      </c>
      <c r="D993" s="86">
        <v>11725000</v>
      </c>
    </row>
    <row r="994" spans="1:4">
      <c r="A994" s="77" t="s">
        <v>254</v>
      </c>
      <c r="B994" s="86">
        <v>27470</v>
      </c>
      <c r="C994" s="86">
        <v>7480</v>
      </c>
      <c r="D994" s="86">
        <v>11720000</v>
      </c>
    </row>
    <row r="995" spans="1:4">
      <c r="A995" s="87">
        <v>0.70833333333333304</v>
      </c>
      <c r="B995" s="86">
        <v>27470</v>
      </c>
      <c r="C995" s="86">
        <v>7480</v>
      </c>
      <c r="D995" s="86">
        <v>11720000</v>
      </c>
    </row>
    <row r="1000" spans="1:4">
      <c r="A1000" s="109" t="s">
        <v>405</v>
      </c>
      <c r="B1000" s="109"/>
      <c r="C1000" s="109"/>
      <c r="D1000" s="109"/>
    </row>
    <row r="1001" spans="1:4">
      <c r="A1001" s="86" t="s">
        <v>247</v>
      </c>
      <c r="B1001" s="86" t="s">
        <v>248</v>
      </c>
      <c r="C1001" s="86" t="s">
        <v>249</v>
      </c>
      <c r="D1001" s="86" t="s">
        <v>250</v>
      </c>
    </row>
    <row r="1002" spans="1:4">
      <c r="A1002" s="76">
        <v>0.45833333333333298</v>
      </c>
      <c r="B1002" s="86">
        <v>27350</v>
      </c>
      <c r="C1002" s="86">
        <v>7450</v>
      </c>
      <c r="D1002">
        <v>11690000</v>
      </c>
    </row>
    <row r="1003" spans="1:4">
      <c r="A1003" s="77" t="s">
        <v>251</v>
      </c>
      <c r="B1003" s="86">
        <v>27240</v>
      </c>
      <c r="C1003" s="86">
        <v>7440</v>
      </c>
      <c r="D1003">
        <v>11640000</v>
      </c>
    </row>
    <row r="1004" spans="1:4">
      <c r="A1004" s="78" t="s">
        <v>252</v>
      </c>
      <c r="B1004" s="86">
        <v>27070</v>
      </c>
      <c r="C1004" s="86">
        <v>7430</v>
      </c>
      <c r="D1004">
        <v>11620000</v>
      </c>
    </row>
    <row r="1005" spans="1:4">
      <c r="A1005" s="76" t="s">
        <v>253</v>
      </c>
      <c r="B1005" s="86">
        <v>27020</v>
      </c>
      <c r="C1005" s="86">
        <v>7420</v>
      </c>
      <c r="D1005">
        <v>11680000</v>
      </c>
    </row>
    <row r="1006" spans="1:4">
      <c r="A1006" s="84">
        <v>0.625</v>
      </c>
      <c r="B1006" s="86">
        <v>27020</v>
      </c>
      <c r="C1006" s="86">
        <v>7410</v>
      </c>
      <c r="D1006" s="86">
        <v>11680000</v>
      </c>
    </row>
    <row r="1007" spans="1:4">
      <c r="A1007" s="77" t="s">
        <v>254</v>
      </c>
      <c r="B1007" s="86">
        <v>27020</v>
      </c>
      <c r="C1007" s="86">
        <v>7410</v>
      </c>
      <c r="D1007" s="86">
        <v>11680000</v>
      </c>
    </row>
    <row r="1008" spans="1:4">
      <c r="A1008" s="87">
        <v>0.70833333333333304</v>
      </c>
      <c r="B1008" s="86">
        <v>27020</v>
      </c>
      <c r="C1008" s="86">
        <v>7410</v>
      </c>
      <c r="D1008" s="86">
        <v>11680000</v>
      </c>
    </row>
    <row r="1009" spans="1:4">
      <c r="D1009" s="86"/>
    </row>
    <row r="1012" spans="1:4">
      <c r="A1012" s="109" t="s">
        <v>408</v>
      </c>
      <c r="B1012" s="109"/>
      <c r="C1012" s="109"/>
      <c r="D1012" s="109"/>
    </row>
    <row r="1013" spans="1:4">
      <c r="A1013" s="86" t="s">
        <v>247</v>
      </c>
      <c r="B1013" s="86" t="s">
        <v>248</v>
      </c>
      <c r="C1013" s="86" t="s">
        <v>249</v>
      </c>
      <c r="D1013" s="86" t="s">
        <v>250</v>
      </c>
    </row>
    <row r="1014" spans="1:4">
      <c r="A1014" s="76">
        <v>0.45833333333333298</v>
      </c>
      <c r="B1014" s="86">
        <v>26980</v>
      </c>
      <c r="C1014" s="86">
        <v>7370</v>
      </c>
      <c r="D1014">
        <v>11650000</v>
      </c>
    </row>
    <row r="1015" spans="1:4">
      <c r="A1015" s="77" t="s">
        <v>251</v>
      </c>
      <c r="B1015" s="86">
        <v>27050</v>
      </c>
      <c r="C1015" s="86">
        <v>7370</v>
      </c>
      <c r="D1015">
        <v>11660000</v>
      </c>
    </row>
    <row r="1016" spans="1:4">
      <c r="A1016" s="78" t="s">
        <v>252</v>
      </c>
      <c r="B1016" s="86">
        <v>27140</v>
      </c>
      <c r="C1016" s="86">
        <v>7380</v>
      </c>
      <c r="D1016">
        <v>11695000</v>
      </c>
    </row>
    <row r="1017" spans="1:4">
      <c r="A1017" s="76" t="s">
        <v>253</v>
      </c>
      <c r="B1017" s="86">
        <v>27250</v>
      </c>
      <c r="C1017" s="86">
        <v>7390</v>
      </c>
      <c r="D1017">
        <v>11725000</v>
      </c>
    </row>
    <row r="1018" spans="1:4">
      <c r="A1018" s="84">
        <v>0.625</v>
      </c>
      <c r="B1018" s="86">
        <v>27210</v>
      </c>
      <c r="C1018" s="86">
        <v>7400</v>
      </c>
      <c r="D1018" s="86">
        <v>11735000</v>
      </c>
    </row>
    <row r="1019" spans="1:4">
      <c r="A1019" s="77" t="s">
        <v>254</v>
      </c>
      <c r="B1019" s="86">
        <v>27210</v>
      </c>
      <c r="C1019" s="86">
        <v>7400</v>
      </c>
      <c r="D1019" s="86">
        <v>11735000</v>
      </c>
    </row>
    <row r="1020" spans="1:4">
      <c r="A1020" s="87">
        <v>0.70833333333333304</v>
      </c>
      <c r="B1020" s="86">
        <v>27210</v>
      </c>
      <c r="C1020" s="86">
        <v>7400</v>
      </c>
      <c r="D1020" s="86">
        <v>11735000</v>
      </c>
    </row>
    <row r="1025" spans="1:5">
      <c r="A1025" s="109" t="s">
        <v>410</v>
      </c>
      <c r="B1025" s="109"/>
      <c r="C1025" s="109"/>
      <c r="D1025" s="109"/>
    </row>
    <row r="1026" spans="1:5">
      <c r="A1026" s="86" t="s">
        <v>247</v>
      </c>
      <c r="B1026" s="86" t="s">
        <v>248</v>
      </c>
      <c r="C1026" s="86" t="s">
        <v>249</v>
      </c>
      <c r="D1026" s="86" t="s">
        <v>250</v>
      </c>
    </row>
    <row r="1027" spans="1:5">
      <c r="A1027" s="76">
        <v>0.45833333333333298</v>
      </c>
      <c r="B1027" s="86"/>
      <c r="C1027" s="86"/>
      <c r="E1027">
        <v>11770000</v>
      </c>
    </row>
    <row r="1028" spans="1:5">
      <c r="A1028" s="77" t="s">
        <v>251</v>
      </c>
      <c r="B1028" s="86"/>
      <c r="C1028" s="86"/>
      <c r="E1028">
        <v>11730000</v>
      </c>
    </row>
    <row r="1029" spans="1:5">
      <c r="A1029" s="78" t="s">
        <v>252</v>
      </c>
      <c r="B1029" s="86"/>
      <c r="C1029" s="86"/>
    </row>
    <row r="1030" spans="1:5">
      <c r="A1030" s="76" t="s">
        <v>253</v>
      </c>
      <c r="B1030" s="86"/>
      <c r="C1030" s="86"/>
    </row>
    <row r="1031" spans="1:5">
      <c r="A1031" s="84">
        <v>0.625</v>
      </c>
      <c r="B1031" s="86"/>
      <c r="C1031" s="86"/>
      <c r="D1031" s="86"/>
    </row>
    <row r="1032" spans="1:5">
      <c r="A1032" s="77" t="s">
        <v>254</v>
      </c>
      <c r="B1032" s="86"/>
      <c r="C1032" s="86"/>
      <c r="D1032" s="86"/>
    </row>
    <row r="1033" spans="1:5">
      <c r="A1033" s="87">
        <v>0.70833333333333304</v>
      </c>
      <c r="B1033" s="86"/>
      <c r="C1033" s="86"/>
      <c r="D1033" s="86"/>
    </row>
    <row r="1037" spans="1:5">
      <c r="A1037" s="109" t="s">
        <v>413</v>
      </c>
      <c r="B1037" s="109"/>
      <c r="C1037" s="109"/>
      <c r="D1037" s="109"/>
    </row>
    <row r="1038" spans="1:5">
      <c r="A1038" s="86" t="s">
        <v>247</v>
      </c>
      <c r="B1038" s="86" t="s">
        <v>248</v>
      </c>
      <c r="C1038" s="86" t="s">
        <v>249</v>
      </c>
      <c r="D1038" s="86" t="s">
        <v>250</v>
      </c>
    </row>
    <row r="1039" spans="1:5">
      <c r="A1039" s="76">
        <v>0.45833333333333298</v>
      </c>
      <c r="B1039" s="86">
        <v>27330</v>
      </c>
      <c r="C1039" s="86">
        <v>7440</v>
      </c>
      <c r="D1039">
        <v>11730000</v>
      </c>
    </row>
    <row r="1040" spans="1:5">
      <c r="A1040" s="77" t="s">
        <v>251</v>
      </c>
      <c r="B1040" s="86">
        <v>27240</v>
      </c>
      <c r="C1040" s="86">
        <v>7420</v>
      </c>
      <c r="D1040">
        <v>11745000</v>
      </c>
    </row>
    <row r="1041" spans="1:4">
      <c r="A1041" s="78" t="s">
        <v>252</v>
      </c>
      <c r="B1041" s="86">
        <v>27250</v>
      </c>
      <c r="C1041" s="86">
        <v>7430</v>
      </c>
      <c r="D1041">
        <v>11780000</v>
      </c>
    </row>
    <row r="1042" spans="1:4">
      <c r="A1042" s="76" t="s">
        <v>253</v>
      </c>
      <c r="B1042" s="86">
        <v>27250</v>
      </c>
      <c r="C1042" s="86">
        <v>7440</v>
      </c>
      <c r="D1042">
        <v>11770000</v>
      </c>
    </row>
    <row r="1043" spans="1:4">
      <c r="A1043" s="84">
        <v>0.625</v>
      </c>
      <c r="B1043" s="86">
        <v>27250</v>
      </c>
      <c r="C1043" s="86">
        <v>7450</v>
      </c>
      <c r="D1043" s="86">
        <v>11805000</v>
      </c>
    </row>
    <row r="1044" spans="1:4">
      <c r="A1044" s="77" t="s">
        <v>254</v>
      </c>
      <c r="B1044" s="86">
        <v>27250</v>
      </c>
      <c r="C1044" s="86">
        <v>7440</v>
      </c>
      <c r="D1044" s="86">
        <v>11805000</v>
      </c>
    </row>
    <row r="1045" spans="1:4">
      <c r="A1045" s="87">
        <v>0.70833333333333304</v>
      </c>
      <c r="B1045" s="86">
        <v>27250</v>
      </c>
      <c r="C1045" s="86">
        <v>7440</v>
      </c>
      <c r="D1045" s="86">
        <v>11805000</v>
      </c>
    </row>
    <row r="1049" spans="1:4">
      <c r="A1049" s="109" t="s">
        <v>415</v>
      </c>
      <c r="B1049" s="109"/>
      <c r="C1049" s="109"/>
      <c r="D1049" s="109"/>
    </row>
    <row r="1050" spans="1:4">
      <c r="A1050" s="86" t="s">
        <v>247</v>
      </c>
      <c r="B1050" s="86" t="s">
        <v>248</v>
      </c>
      <c r="C1050" s="86" t="s">
        <v>249</v>
      </c>
      <c r="D1050" s="86" t="s">
        <v>250</v>
      </c>
    </row>
    <row r="1051" spans="1:4">
      <c r="A1051" s="76">
        <v>0.45833333333333298</v>
      </c>
      <c r="B1051" s="86">
        <v>27240</v>
      </c>
      <c r="C1051" s="86">
        <v>7440</v>
      </c>
      <c r="D1051">
        <v>11785000</v>
      </c>
    </row>
    <row r="1052" spans="1:4">
      <c r="A1052" s="77" t="s">
        <v>251</v>
      </c>
      <c r="B1052" s="86">
        <v>27250</v>
      </c>
      <c r="C1052" s="86">
        <v>7430</v>
      </c>
      <c r="D1052">
        <v>11805000</v>
      </c>
    </row>
    <row r="1053" spans="1:4">
      <c r="A1053" s="78" t="s">
        <v>252</v>
      </c>
      <c r="B1053" s="86">
        <v>27170</v>
      </c>
      <c r="C1053" s="86">
        <v>7440</v>
      </c>
      <c r="D1053">
        <v>11790000</v>
      </c>
    </row>
    <row r="1054" spans="1:4">
      <c r="A1054" s="76" t="s">
        <v>253</v>
      </c>
      <c r="B1054" s="86">
        <v>27150</v>
      </c>
      <c r="C1054" s="86">
        <v>7450</v>
      </c>
      <c r="D1054">
        <v>11775000</v>
      </c>
    </row>
    <row r="1055" spans="1:4">
      <c r="A1055" s="84">
        <v>0.625</v>
      </c>
      <c r="B1055" s="86">
        <v>27150</v>
      </c>
      <c r="C1055" s="86">
        <v>7440</v>
      </c>
      <c r="D1055" s="86">
        <v>11760000</v>
      </c>
    </row>
    <row r="1056" spans="1:4">
      <c r="A1056" s="77" t="s">
        <v>254</v>
      </c>
      <c r="B1056" s="86">
        <v>27150</v>
      </c>
      <c r="C1056" s="86">
        <v>7440</v>
      </c>
      <c r="D1056" s="86">
        <v>11740000</v>
      </c>
    </row>
    <row r="1057" spans="1:5">
      <c r="A1057" s="87">
        <v>0.70833333333333304</v>
      </c>
      <c r="B1057" s="86">
        <v>27150</v>
      </c>
      <c r="C1057" s="86">
        <v>7440</v>
      </c>
      <c r="D1057" s="86">
        <v>11740000</v>
      </c>
    </row>
    <row r="1061" spans="1:5">
      <c r="A1061" s="109" t="s">
        <v>417</v>
      </c>
      <c r="B1061" s="109"/>
      <c r="C1061" s="109"/>
      <c r="D1061" s="109"/>
    </row>
    <row r="1062" spans="1:5">
      <c r="A1062" s="86" t="s">
        <v>247</v>
      </c>
      <c r="B1062" s="86" t="s">
        <v>248</v>
      </c>
      <c r="C1062" s="86" t="s">
        <v>249</v>
      </c>
      <c r="D1062" s="86" t="s">
        <v>250</v>
      </c>
    </row>
    <row r="1063" spans="1:5">
      <c r="A1063" s="76">
        <v>0.45833333333333298</v>
      </c>
      <c r="B1063" s="86">
        <v>27070</v>
      </c>
      <c r="C1063" s="86">
        <v>7400</v>
      </c>
      <c r="D1063">
        <v>11635000</v>
      </c>
      <c r="E1063">
        <v>11635000</v>
      </c>
    </row>
    <row r="1064" spans="1:5">
      <c r="A1064" s="77" t="s">
        <v>251</v>
      </c>
      <c r="B1064" s="86">
        <v>27080</v>
      </c>
      <c r="C1064" s="86">
        <v>7390</v>
      </c>
      <c r="D1064">
        <v>11650000</v>
      </c>
      <c r="E1064">
        <v>11640000</v>
      </c>
    </row>
    <row r="1065" spans="1:5">
      <c r="A1065" s="78" t="s">
        <v>252</v>
      </c>
      <c r="B1065" s="86">
        <v>27070</v>
      </c>
      <c r="C1065" s="86">
        <v>7390</v>
      </c>
      <c r="D1065">
        <v>11665000</v>
      </c>
      <c r="E1065">
        <v>11630000</v>
      </c>
    </row>
    <row r="1066" spans="1:5">
      <c r="A1066" s="76" t="s">
        <v>253</v>
      </c>
      <c r="B1066" s="86">
        <v>27080</v>
      </c>
      <c r="C1066" s="86">
        <v>7400</v>
      </c>
      <c r="D1066">
        <v>11650000</v>
      </c>
    </row>
    <row r="1067" spans="1:5">
      <c r="A1067" s="84">
        <v>0.625</v>
      </c>
      <c r="B1067" s="86">
        <v>27080</v>
      </c>
      <c r="C1067" s="86">
        <v>7410</v>
      </c>
      <c r="D1067" s="86">
        <v>11655000</v>
      </c>
    </row>
    <row r="1068" spans="1:5">
      <c r="A1068" s="77" t="s">
        <v>254</v>
      </c>
      <c r="B1068" s="86">
        <v>27080</v>
      </c>
      <c r="C1068" s="86">
        <v>7420</v>
      </c>
      <c r="D1068" s="86">
        <v>11655000</v>
      </c>
    </row>
    <row r="1069" spans="1:5">
      <c r="A1069" s="87">
        <v>0.70833333333333304</v>
      </c>
      <c r="B1069" s="86">
        <v>27080</v>
      </c>
      <c r="C1069" s="86">
        <v>7420</v>
      </c>
      <c r="D1069" s="86">
        <v>11655000</v>
      </c>
    </row>
    <row r="1073" spans="1:4">
      <c r="A1073" s="109" t="s">
        <v>419</v>
      </c>
      <c r="B1073" s="109"/>
      <c r="C1073" s="109"/>
      <c r="D1073" s="109"/>
    </row>
    <row r="1074" spans="1:4">
      <c r="A1074" s="86" t="s">
        <v>247</v>
      </c>
      <c r="B1074" s="86" t="s">
        <v>248</v>
      </c>
      <c r="C1074" s="86" t="s">
        <v>249</v>
      </c>
      <c r="D1074" s="86" t="s">
        <v>250</v>
      </c>
    </row>
    <row r="1075" spans="1:4">
      <c r="A1075" s="76">
        <v>0.45833333333333298</v>
      </c>
      <c r="B1075" s="86">
        <v>27380</v>
      </c>
      <c r="C1075" s="86">
        <v>7455</v>
      </c>
      <c r="D1075">
        <v>11735000</v>
      </c>
    </row>
    <row r="1076" spans="1:4">
      <c r="A1076" s="77" t="s">
        <v>251</v>
      </c>
      <c r="B1076" s="86">
        <v>27370</v>
      </c>
      <c r="C1076" s="86">
        <v>7455</v>
      </c>
      <c r="D1076">
        <v>11745000</v>
      </c>
    </row>
    <row r="1077" spans="1:4">
      <c r="A1077" s="78" t="s">
        <v>252</v>
      </c>
      <c r="B1077" s="86">
        <v>27380</v>
      </c>
      <c r="C1077" s="86">
        <v>7470</v>
      </c>
      <c r="D1077">
        <v>11750000</v>
      </c>
    </row>
    <row r="1078" spans="1:4">
      <c r="A1078" s="76" t="s">
        <v>253</v>
      </c>
      <c r="B1078" s="86">
        <v>27370</v>
      </c>
      <c r="C1078" s="86">
        <v>7470</v>
      </c>
      <c r="D1078">
        <v>11760000</v>
      </c>
    </row>
    <row r="1079" spans="1:4">
      <c r="A1079" s="84">
        <v>0.625</v>
      </c>
      <c r="B1079" s="86">
        <v>27380</v>
      </c>
      <c r="C1079" s="86">
        <v>7470</v>
      </c>
      <c r="D1079" s="86">
        <v>11755000</v>
      </c>
    </row>
    <row r="1080" spans="1:4">
      <c r="A1080" s="77" t="s">
        <v>254</v>
      </c>
      <c r="B1080" s="86">
        <v>27380</v>
      </c>
      <c r="C1080" s="86">
        <v>7480</v>
      </c>
      <c r="D1080" s="86">
        <v>11750000</v>
      </c>
    </row>
    <row r="1081" spans="1:4">
      <c r="A1081" s="87">
        <v>0.70833333333333304</v>
      </c>
      <c r="B1081" s="86">
        <v>27380</v>
      </c>
      <c r="C1081" s="86">
        <v>7480</v>
      </c>
      <c r="D1081" s="86">
        <v>11750000</v>
      </c>
    </row>
    <row r="1085" spans="1:4">
      <c r="A1085" s="109" t="s">
        <v>421</v>
      </c>
      <c r="B1085" s="109"/>
      <c r="C1085" s="109"/>
      <c r="D1085" s="109"/>
    </row>
    <row r="1086" spans="1:4">
      <c r="A1086" s="86" t="s">
        <v>247</v>
      </c>
      <c r="B1086" s="86" t="s">
        <v>248</v>
      </c>
      <c r="C1086" s="86" t="s">
        <v>249</v>
      </c>
      <c r="D1086" s="86" t="s">
        <v>250</v>
      </c>
    </row>
    <row r="1087" spans="1:4">
      <c r="A1087" s="76">
        <v>0.45833333333333298</v>
      </c>
      <c r="B1087" s="86">
        <v>27390</v>
      </c>
      <c r="C1087" s="86">
        <v>7460</v>
      </c>
      <c r="D1087">
        <v>11760000</v>
      </c>
    </row>
    <row r="1088" spans="1:4">
      <c r="A1088" s="77" t="s">
        <v>251</v>
      </c>
      <c r="B1088" s="86">
        <v>27360</v>
      </c>
      <c r="C1088" s="86">
        <v>7450</v>
      </c>
      <c r="D1088">
        <v>11730000</v>
      </c>
    </row>
    <row r="1089" spans="1:5">
      <c r="A1089" s="78" t="s">
        <v>252</v>
      </c>
      <c r="B1089" s="86">
        <v>27340</v>
      </c>
      <c r="C1089" s="86">
        <v>7440</v>
      </c>
      <c r="D1089">
        <v>11735000</v>
      </c>
    </row>
    <row r="1090" spans="1:5">
      <c r="A1090" s="76" t="s">
        <v>253</v>
      </c>
      <c r="B1090" s="86">
        <v>27320</v>
      </c>
      <c r="C1090" s="86">
        <v>7430</v>
      </c>
      <c r="D1090">
        <v>11745000</v>
      </c>
    </row>
    <row r="1091" spans="1:5">
      <c r="A1091" s="84">
        <v>0.625</v>
      </c>
      <c r="B1091" s="86">
        <v>27320</v>
      </c>
      <c r="C1091" s="86">
        <v>7430</v>
      </c>
      <c r="D1091" s="86">
        <v>11720000</v>
      </c>
    </row>
    <row r="1092" spans="1:5">
      <c r="A1092" s="77" t="s">
        <v>254</v>
      </c>
      <c r="B1092" s="86">
        <v>27320</v>
      </c>
      <c r="C1092" s="86">
        <v>7440</v>
      </c>
      <c r="D1092" s="86">
        <v>11725000</v>
      </c>
    </row>
    <row r="1093" spans="1:5">
      <c r="A1093" s="87">
        <v>0.70833333333333304</v>
      </c>
      <c r="B1093" s="86">
        <v>27320</v>
      </c>
      <c r="C1093" s="86">
        <v>7430</v>
      </c>
      <c r="D1093" s="86">
        <v>11725000</v>
      </c>
    </row>
    <row r="1098" spans="1:5">
      <c r="A1098" s="109" t="s">
        <v>423</v>
      </c>
      <c r="B1098" s="109"/>
      <c r="C1098" s="109"/>
      <c r="D1098" s="109"/>
    </row>
    <row r="1099" spans="1:5">
      <c r="A1099" s="86" t="s">
        <v>247</v>
      </c>
      <c r="B1099" s="86" t="s">
        <v>248</v>
      </c>
      <c r="C1099" s="86" t="s">
        <v>249</v>
      </c>
      <c r="D1099" s="86" t="s">
        <v>250</v>
      </c>
    </row>
    <row r="1100" spans="1:5">
      <c r="A1100" s="76">
        <v>0.45833333333333298</v>
      </c>
      <c r="B1100" s="86"/>
      <c r="C1100" s="86"/>
      <c r="E1100">
        <v>11780000</v>
      </c>
    </row>
    <row r="1101" spans="1:5">
      <c r="A1101" s="77" t="s">
        <v>251</v>
      </c>
      <c r="B1101" s="86"/>
      <c r="C1101" s="86"/>
      <c r="E1101">
        <v>11815000</v>
      </c>
    </row>
    <row r="1102" spans="1:5">
      <c r="A1102" s="78" t="s">
        <v>252</v>
      </c>
      <c r="B1102" s="86"/>
      <c r="C1102" s="86"/>
    </row>
    <row r="1103" spans="1:5">
      <c r="A1103" s="76" t="s">
        <v>253</v>
      </c>
      <c r="B1103" s="86"/>
      <c r="C1103" s="86"/>
    </row>
    <row r="1104" spans="1:5">
      <c r="A1104" s="84">
        <v>0.625</v>
      </c>
      <c r="B1104" s="86"/>
      <c r="C1104" s="86"/>
      <c r="D1104" s="86"/>
    </row>
    <row r="1105" spans="1:4">
      <c r="A1105" s="77" t="s">
        <v>254</v>
      </c>
      <c r="B1105" s="86"/>
      <c r="C1105" s="86"/>
      <c r="D1105" s="86"/>
    </row>
    <row r="1106" spans="1:4">
      <c r="A1106" s="87">
        <v>0.70833333333333304</v>
      </c>
      <c r="B1106" s="86"/>
      <c r="C1106" s="86"/>
      <c r="D1106" s="86"/>
    </row>
  </sheetData>
  <mergeCells count="100">
    <mergeCell ref="A1098:D1098"/>
    <mergeCell ref="A1085:D1085"/>
    <mergeCell ref="A1073:D1073"/>
    <mergeCell ref="A1061:D1061"/>
    <mergeCell ref="A203:D203"/>
    <mergeCell ref="A213:D213"/>
    <mergeCell ref="A223:D223"/>
    <mergeCell ref="A233:D233"/>
    <mergeCell ref="A243:D243"/>
    <mergeCell ref="A253:D253"/>
    <mergeCell ref="A263:D263"/>
    <mergeCell ref="A273:D273"/>
    <mergeCell ref="A283:D283"/>
    <mergeCell ref="A293:D293"/>
    <mergeCell ref="A303:D303"/>
    <mergeCell ref="A313:D313"/>
    <mergeCell ref="A324:D324"/>
    <mergeCell ref="A335:D335"/>
    <mergeCell ref="A346:D346"/>
    <mergeCell ref="A153:D153"/>
    <mergeCell ref="A163:D163"/>
    <mergeCell ref="A173:D173"/>
    <mergeCell ref="A183:D183"/>
    <mergeCell ref="A193:D193"/>
    <mergeCell ref="A103:D103"/>
    <mergeCell ref="A113:D113"/>
    <mergeCell ref="A123:D123"/>
    <mergeCell ref="A133:D133"/>
    <mergeCell ref="A143:D143"/>
    <mergeCell ref="A51:D51"/>
    <mergeCell ref="A61:D61"/>
    <mergeCell ref="A71:D71"/>
    <mergeCell ref="A81:D81"/>
    <mergeCell ref="A93:D93"/>
    <mergeCell ref="A1:D1"/>
    <mergeCell ref="A11:D11"/>
    <mergeCell ref="A21:D21"/>
    <mergeCell ref="A31:D31"/>
    <mergeCell ref="A41:D41"/>
    <mergeCell ref="A357:D357"/>
    <mergeCell ref="A368:D368"/>
    <mergeCell ref="A379:D379"/>
    <mergeCell ref="A390:D390"/>
    <mergeCell ref="A401:D401"/>
    <mergeCell ref="A412:D412"/>
    <mergeCell ref="A423:D423"/>
    <mergeCell ref="A434:D434"/>
    <mergeCell ref="A445:D445"/>
    <mergeCell ref="A456:D456"/>
    <mergeCell ref="A467:D467"/>
    <mergeCell ref="A478:D478"/>
    <mergeCell ref="A489:D489"/>
    <mergeCell ref="A500:D500"/>
    <mergeCell ref="A511:D511"/>
    <mergeCell ref="A522:D522"/>
    <mergeCell ref="A533:D533"/>
    <mergeCell ref="A544:D544"/>
    <mergeCell ref="A555:D555"/>
    <mergeCell ref="A567:D567"/>
    <mergeCell ref="A579:D579"/>
    <mergeCell ref="A590:D590"/>
    <mergeCell ref="A601:D601"/>
    <mergeCell ref="A612:D612"/>
    <mergeCell ref="A623:D623"/>
    <mergeCell ref="A635:D635"/>
    <mergeCell ref="A647:D647"/>
    <mergeCell ref="A658:D658"/>
    <mergeCell ref="A670:D670"/>
    <mergeCell ref="A681:D681"/>
    <mergeCell ref="A692:D692"/>
    <mergeCell ref="A703:D703"/>
    <mergeCell ref="A715:D715"/>
    <mergeCell ref="A726:D726"/>
    <mergeCell ref="A738:D738"/>
    <mergeCell ref="A749:D749"/>
    <mergeCell ref="A760:D760"/>
    <mergeCell ref="A772:D772"/>
    <mergeCell ref="A784:D784"/>
    <mergeCell ref="A796:D796"/>
    <mergeCell ref="A809:D809"/>
    <mergeCell ref="A820:D820"/>
    <mergeCell ref="A831:D831"/>
    <mergeCell ref="A842:D842"/>
    <mergeCell ref="A854:D854"/>
    <mergeCell ref="A865:D865"/>
    <mergeCell ref="A876:D876"/>
    <mergeCell ref="A888:D888"/>
    <mergeCell ref="A901:D901"/>
    <mergeCell ref="A913:D913"/>
    <mergeCell ref="A961:D961"/>
    <mergeCell ref="A925:D925"/>
    <mergeCell ref="A937:D937"/>
    <mergeCell ref="A949:D949"/>
    <mergeCell ref="A974:D974"/>
    <mergeCell ref="A1049:D1049"/>
    <mergeCell ref="A1037:D1037"/>
    <mergeCell ref="A1025:D1025"/>
    <mergeCell ref="A1000:D1000"/>
    <mergeCell ref="A987:D987"/>
    <mergeCell ref="A1012:D1012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topLeftCell="B1" zoomScale="70" zoomScaleNormal="70" workbookViewId="0">
      <selection activeCell="D18" sqref="D18"/>
    </sheetView>
  </sheetViews>
  <sheetFormatPr defaultColWidth="8.5546875" defaultRowHeight="14.4"/>
  <cols>
    <col min="1" max="1" width="23.6640625" style="89" customWidth="1"/>
    <col min="2" max="2" width="22.109375" style="89" customWidth="1"/>
    <col min="3" max="3" width="22.5546875" style="89" customWidth="1"/>
    <col min="4" max="4" width="38.88671875" customWidth="1"/>
    <col min="5" max="5" width="22" customWidth="1"/>
    <col min="6" max="6" width="20.6640625" customWidth="1"/>
  </cols>
  <sheetData>
    <row r="1" spans="1:6" ht="24.9" customHeight="1">
      <c r="A1" s="110" t="s">
        <v>373</v>
      </c>
      <c r="B1" s="110"/>
      <c r="C1" s="110"/>
    </row>
    <row r="2" spans="1:6" ht="24.9" customHeight="1">
      <c r="A2" s="90"/>
      <c r="B2" s="90" t="s">
        <v>374</v>
      </c>
      <c r="C2" s="90" t="s">
        <v>375</v>
      </c>
    </row>
    <row r="3" spans="1:6" ht="24.9" customHeight="1">
      <c r="A3" s="90" t="s">
        <v>376</v>
      </c>
      <c r="B3" s="90">
        <v>10250000</v>
      </c>
      <c r="C3" s="90">
        <v>11920000</v>
      </c>
      <c r="D3" s="89" t="s">
        <v>377</v>
      </c>
      <c r="E3">
        <f t="shared" ref="E3:E10" si="0">100*(C3-B3)/B3</f>
        <v>16.292682926829269</v>
      </c>
      <c r="F3">
        <v>16</v>
      </c>
    </row>
    <row r="4" spans="1:6" ht="24.9" customHeight="1">
      <c r="A4" s="90" t="s">
        <v>378</v>
      </c>
      <c r="B4" s="90">
        <v>1018000</v>
      </c>
      <c r="C4" s="90">
        <v>1140000</v>
      </c>
      <c r="D4" s="89" t="s">
        <v>379</v>
      </c>
      <c r="E4">
        <f t="shared" si="0"/>
        <v>11.984282907662083</v>
      </c>
      <c r="F4">
        <v>12</v>
      </c>
    </row>
    <row r="5" spans="1:6" ht="24.9" customHeight="1">
      <c r="A5" s="90" t="s">
        <v>380</v>
      </c>
      <c r="B5" s="90">
        <v>23930</v>
      </c>
      <c r="C5" s="90">
        <v>27520</v>
      </c>
      <c r="D5" s="89" t="s">
        <v>381</v>
      </c>
      <c r="E5">
        <f t="shared" si="0"/>
        <v>15.002089427496866</v>
      </c>
      <c r="F5">
        <v>15</v>
      </c>
    </row>
    <row r="6" spans="1:6" ht="24.9" customHeight="1">
      <c r="A6" s="90" t="s">
        <v>382</v>
      </c>
      <c r="B6" s="90">
        <v>28324</v>
      </c>
      <c r="C6" s="90">
        <v>32347</v>
      </c>
      <c r="D6" s="89" t="s">
        <v>383</v>
      </c>
      <c r="E6">
        <f t="shared" si="0"/>
        <v>14.203502330179353</v>
      </c>
      <c r="F6">
        <v>14</v>
      </c>
    </row>
    <row r="7" spans="1:6" ht="24.9" customHeight="1">
      <c r="A7" s="90" t="s">
        <v>384</v>
      </c>
      <c r="B7" s="90">
        <v>23779</v>
      </c>
      <c r="C7" s="90">
        <v>26523</v>
      </c>
      <c r="D7" s="89" t="s">
        <v>385</v>
      </c>
      <c r="E7">
        <f t="shared" si="0"/>
        <v>11.539593759199294</v>
      </c>
      <c r="F7">
        <v>12</v>
      </c>
    </row>
    <row r="8" spans="1:6" ht="24.9" customHeight="1">
      <c r="A8" s="90" t="s">
        <v>386</v>
      </c>
      <c r="B8" s="90">
        <v>28081</v>
      </c>
      <c r="C8" s="90">
        <v>31394</v>
      </c>
      <c r="D8" s="89" t="s">
        <v>387</v>
      </c>
      <c r="E8">
        <f t="shared" si="0"/>
        <v>11.7980128912788</v>
      </c>
      <c r="F8">
        <v>12</v>
      </c>
    </row>
    <row r="9" spans="1:6" ht="24.9" customHeight="1">
      <c r="A9" s="90" t="s">
        <v>388</v>
      </c>
      <c r="B9" s="90">
        <v>23364</v>
      </c>
      <c r="C9" s="90">
        <v>26260</v>
      </c>
      <c r="D9" s="89" t="s">
        <v>389</v>
      </c>
      <c r="E9">
        <f t="shared" si="0"/>
        <v>12.395137818866633</v>
      </c>
      <c r="F9">
        <v>12</v>
      </c>
    </row>
    <row r="10" spans="1:6" ht="24.9" customHeight="1">
      <c r="A10" s="90" t="s">
        <v>390</v>
      </c>
      <c r="B10" s="90">
        <v>27693</v>
      </c>
      <c r="C10" s="90">
        <v>31147</v>
      </c>
      <c r="D10" s="89" t="s">
        <v>391</v>
      </c>
      <c r="E10">
        <f t="shared" si="0"/>
        <v>12.472465966128624</v>
      </c>
      <c r="F10">
        <v>12</v>
      </c>
    </row>
    <row r="12" spans="1:6">
      <c r="A12"/>
      <c r="B12" s="89">
        <f t="shared" ref="B12:B22" si="1">C3-B3</f>
        <v>1670000</v>
      </c>
    </row>
    <row r="13" spans="1:6">
      <c r="B13" s="89">
        <f t="shared" si="1"/>
        <v>122000</v>
      </c>
    </row>
    <row r="14" spans="1:6">
      <c r="B14" s="89">
        <f t="shared" si="1"/>
        <v>3590</v>
      </c>
    </row>
    <row r="15" spans="1:6">
      <c r="B15" s="89">
        <f t="shared" si="1"/>
        <v>4023</v>
      </c>
    </row>
    <row r="16" spans="1:6">
      <c r="B16" s="89">
        <f t="shared" si="1"/>
        <v>2744</v>
      </c>
    </row>
    <row r="17" spans="2:2">
      <c r="B17" s="89">
        <f t="shared" si="1"/>
        <v>3313</v>
      </c>
    </row>
    <row r="18" spans="2:2">
      <c r="B18" s="89">
        <f t="shared" si="1"/>
        <v>2896</v>
      </c>
    </row>
    <row r="19" spans="2:2">
      <c r="B19" s="89">
        <f t="shared" si="1"/>
        <v>3454</v>
      </c>
    </row>
    <row r="20" spans="2:2">
      <c r="B20" s="89">
        <f t="shared" si="1"/>
        <v>0</v>
      </c>
    </row>
    <row r="21" spans="2:2">
      <c r="B21" s="89">
        <f t="shared" si="1"/>
        <v>-1670000</v>
      </c>
    </row>
    <row r="22" spans="2:2">
      <c r="B22" s="89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93"/>
  <sheetViews>
    <sheetView zoomScale="85" zoomScaleNormal="85" workbookViewId="0">
      <selection activeCell="M13" sqref="M13"/>
    </sheetView>
  </sheetViews>
  <sheetFormatPr defaultColWidth="8.5546875" defaultRowHeight="14.4"/>
  <cols>
    <col min="2" max="2" width="20.109375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1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80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80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80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80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80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80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80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80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80">
        <v>27500</v>
      </c>
      <c r="D67">
        <v>11990000</v>
      </c>
      <c r="E67">
        <v>1162098</v>
      </c>
      <c r="F67">
        <f t="shared" ref="F67:F93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80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80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80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3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3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3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3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3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3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3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3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3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3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13">
      <c r="B81">
        <v>14000711</v>
      </c>
      <c r="C81" s="83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13">
      <c r="B82">
        <v>14000712</v>
      </c>
      <c r="C82" s="83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13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13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13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13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93" si="9">(D86-D85)*100/D85</f>
        <v>-0.59372349448685324</v>
      </c>
      <c r="H86">
        <f t="shared" si="8"/>
        <v>-2.6272002802346966E-2</v>
      </c>
      <c r="I86">
        <v>0.13</v>
      </c>
    </row>
    <row r="87" spans="2:13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13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13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13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>(E90-E89)*100/E89</f>
        <v>0.46548392763042334</v>
      </c>
      <c r="I90">
        <v>-0.1</v>
      </c>
    </row>
    <row r="91" spans="2:13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>(E91-E90)*100/E90</f>
        <v>-0.68187778651980069</v>
      </c>
      <c r="I91">
        <v>0.06</v>
      </c>
    </row>
    <row r="92" spans="2:13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>(E92-E91)*100/E91</f>
        <v>0.88900624944987239</v>
      </c>
      <c r="I92">
        <v>0.87</v>
      </c>
    </row>
    <row r="93" spans="2:13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>(E93-E92)*100/E92</f>
        <v>-0.4013261210957948</v>
      </c>
      <c r="I93">
        <v>-0.91</v>
      </c>
      <c r="J93">
        <v>-0.22</v>
      </c>
      <c r="K93">
        <v>-0.21</v>
      </c>
      <c r="L93">
        <v>-0.4</v>
      </c>
      <c r="M93">
        <v>-0.91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6</cp:revision>
  <dcterms:created xsi:type="dcterms:W3CDTF">2021-04-05T10:39:57Z</dcterms:created>
  <dcterms:modified xsi:type="dcterms:W3CDTF">2021-10-21T14:35:02Z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