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set'!$A$1:$BN$238</definedName>
    <definedName name="_xlnm._FilterDatabase" localSheetId="1" hidden="1">weekly!$A$1:$K$56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084" i="3" l="1"/>
  <c r="X240" i="1"/>
  <c r="H159" i="5" l="1"/>
  <c r="G159" i="5"/>
  <c r="F159" i="5"/>
  <c r="H158" i="5" l="1"/>
  <c r="G158" i="5"/>
  <c r="F158" i="5"/>
  <c r="I44" i="2"/>
  <c r="C46" i="2"/>
  <c r="H45" i="2"/>
  <c r="B47" i="2"/>
  <c r="D2061" i="3"/>
  <c r="H157" i="5" l="1"/>
  <c r="G157" i="5"/>
  <c r="F157" i="5"/>
  <c r="N236" i="1"/>
  <c r="H156" i="5" l="1"/>
  <c r="G156" i="5"/>
  <c r="F156" i="5"/>
  <c r="H155" i="5" l="1"/>
  <c r="G155" i="5"/>
  <c r="F155" i="5"/>
  <c r="V246" i="1"/>
  <c r="P239" i="1"/>
  <c r="H154" i="5" l="1"/>
  <c r="G154" i="5"/>
  <c r="F154" i="5"/>
  <c r="Y247" i="1"/>
  <c r="Y249" i="1"/>
  <c r="BR228" i="1"/>
  <c r="D2001" i="3" l="1"/>
  <c r="H153" i="5"/>
  <c r="G153" i="5"/>
  <c r="F153" i="5"/>
  <c r="O237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6" i="1" l="1"/>
  <c r="M216" i="1"/>
  <c r="L216" i="1"/>
  <c r="D1850" i="3" l="1"/>
  <c r="M215" i="1"/>
  <c r="L215" i="1"/>
  <c r="Y246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4" i="2" l="1"/>
  <c r="E46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2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3" i="1"/>
  <c r="N244" i="1"/>
  <c r="N245" i="1"/>
  <c r="N246" i="1"/>
  <c r="N247" i="1"/>
  <c r="N248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7" i="2" l="1"/>
  <c r="J46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5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6" i="2"/>
  <c r="G55" i="2"/>
  <c r="G54" i="2"/>
  <c r="G53" i="2"/>
  <c r="G52" i="2"/>
  <c r="G51" i="2"/>
  <c r="G50" i="2"/>
  <c r="G49" i="2"/>
  <c r="G48" i="2"/>
  <c r="C44" i="2"/>
  <c r="B4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8" i="2" s="1"/>
  <c r="G16" i="2"/>
  <c r="E16" i="2"/>
  <c r="C5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6" i="1" l="1"/>
  <c r="S1" i="1" s="1"/>
  <c r="M236" i="1"/>
  <c r="U1" i="1" s="1"/>
</calcChain>
</file>

<file path=xl/sharedStrings.xml><?xml version="1.0" encoding="utf-8"?>
<sst xmlns="http://schemas.openxmlformats.org/spreadsheetml/2006/main" count="2110" uniqueCount="597">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</sst>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30262496"/>
        <c:axId val="-730263584"/>
      </c:lineChart>
      <c:catAx>
        <c:axId val="-73026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63584"/>
        <c:crosses val="autoZero"/>
        <c:auto val="1"/>
        <c:lblAlgn val="ctr"/>
        <c:lblOffset val="100"/>
        <c:noMultiLvlLbl val="0"/>
      </c:catAx>
      <c:valAx>
        <c:axId val="-730263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624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weekly!$B$27:$B$43</c15:sqref>
                  </c15:fullRef>
                </c:ext>
              </c:extLst>
              <c:f>weekly!$B$28:$B$43</c:f>
              <c:numCache>
                <c:formatCode>General</c:formatCode>
                <c:ptCount val="1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0869157614784573E-16"/>
                  <c:y val="-2.21868000451042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weekly!$H$27:$H$43</c15:sqref>
                  </c15:fullRef>
                </c:ext>
              </c:extLst>
              <c:f>weekly!$H$28:$H$43</c:f>
              <c:numCache>
                <c:formatCode>General</c:formatCode>
                <c:ptCount val="1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30258144"/>
        <c:axId val="-73025868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73025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58688"/>
        <c:crosses val="autoZero"/>
        <c:auto val="1"/>
        <c:lblAlgn val="ctr"/>
        <c:lblOffset val="100"/>
        <c:noMultiLvlLbl val="0"/>
      </c:catAx>
      <c:valAx>
        <c:axId val="-73025868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581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30256512"/>
        <c:axId val="-730257600"/>
      </c:lineChart>
      <c:catAx>
        <c:axId val="-73025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57600"/>
        <c:crosses val="autoZero"/>
        <c:auto val="1"/>
        <c:lblAlgn val="ctr"/>
        <c:lblOffset val="100"/>
        <c:noMultiLvlLbl val="0"/>
      </c:catAx>
      <c:valAx>
        <c:axId val="-730257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565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30257056"/>
        <c:axId val="-730255968"/>
      </c:lineChart>
      <c:catAx>
        <c:axId val="-73025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55968"/>
        <c:crosses val="autoZero"/>
        <c:auto val="1"/>
        <c:lblAlgn val="ctr"/>
        <c:lblOffset val="100"/>
        <c:noMultiLvlLbl val="0"/>
      </c:catAx>
      <c:valAx>
        <c:axId val="-7302559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02570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35833744"/>
        <c:axId val="-435832112"/>
      </c:lineChart>
      <c:catAx>
        <c:axId val="-43583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32112"/>
        <c:crosses val="autoZero"/>
        <c:auto val="1"/>
        <c:lblAlgn val="ctr"/>
        <c:lblOffset val="100"/>
        <c:noMultiLvlLbl val="0"/>
      </c:catAx>
      <c:valAx>
        <c:axId val="-4358321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33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weekly!$C$27:$C$43</c15:sqref>
                  </c15:fullRef>
                </c:ext>
              </c:extLst>
              <c:f>weekly!$C$28:$C$43</c:f>
              <c:numCache>
                <c:formatCode>General</c:formatCode>
                <c:ptCount val="1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weekly!$I$27:$I$43</c15:sqref>
                  </c15:fullRef>
                </c:ext>
              </c:extLst>
              <c:f>weekly!$I$28:$I$43</c:f>
              <c:numCache>
                <c:formatCode>General</c:formatCode>
                <c:ptCount val="1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35833200"/>
        <c:axId val="-43582667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43583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26672"/>
        <c:crosses val="autoZero"/>
        <c:auto val="1"/>
        <c:lblAlgn val="ctr"/>
        <c:lblOffset val="100"/>
        <c:noMultiLvlLbl val="0"/>
      </c:catAx>
      <c:valAx>
        <c:axId val="-43582667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332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435829392"/>
        <c:axId val="-435832656"/>
      </c:barChart>
      <c:catAx>
        <c:axId val="-43582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32656"/>
        <c:crosses val="autoZero"/>
        <c:auto val="1"/>
        <c:lblAlgn val="ctr"/>
        <c:lblOffset val="100"/>
        <c:noMultiLvlLbl val="0"/>
      </c:catAx>
      <c:valAx>
        <c:axId val="-4358326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293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3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7"/>
          <c:order val="7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change'!$F$159:$I$159</c:f>
              <c:numCache>
                <c:formatCode>General</c:formatCode>
                <c:ptCount val="4"/>
                <c:pt idx="0">
                  <c:v>0.25107604017216645</c:v>
                </c:pt>
                <c:pt idx="1">
                  <c:v>1.2944983818770226</c:v>
                </c:pt>
                <c:pt idx="2">
                  <c:v>9.8895665073347613E-2</c:v>
                </c:pt>
                <c:pt idx="3">
                  <c:v>-1.97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35830480"/>
        <c:axId val="-4358277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</c:ext>
        </c:extLst>
      </c:barChart>
      <c:catAx>
        <c:axId val="-43583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27760"/>
        <c:crosses val="autoZero"/>
        <c:auto val="1"/>
        <c:lblAlgn val="ctr"/>
        <c:lblOffset val="100"/>
        <c:noMultiLvlLbl val="0"/>
      </c:catAx>
      <c:valAx>
        <c:axId val="-435827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358304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598</xdr:row>
      <xdr:rowOff>102960</xdr:rowOff>
    </xdr:from>
    <xdr:to>
      <xdr:col>11</xdr:col>
      <xdr:colOff>279360</xdr:colOff>
      <xdr:row>628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178</xdr:row>
      <xdr:rowOff>27711</xdr:rowOff>
    </xdr:from>
    <xdr:to>
      <xdr:col>41</xdr:col>
      <xdr:colOff>533400</xdr:colOff>
      <xdr:row>283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314</xdr:row>
      <xdr:rowOff>0</xdr:rowOff>
    </xdr:from>
    <xdr:to>
      <xdr:col>82</xdr:col>
      <xdr:colOff>0</xdr:colOff>
      <xdr:row>390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633</xdr:row>
      <xdr:rowOff>0</xdr:rowOff>
    </xdr:from>
    <xdr:to>
      <xdr:col>13</xdr:col>
      <xdr:colOff>354240</xdr:colOff>
      <xdr:row>663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413</xdr:row>
      <xdr:rowOff>0</xdr:rowOff>
    </xdr:from>
    <xdr:to>
      <xdr:col>83</xdr:col>
      <xdr:colOff>533400</xdr:colOff>
      <xdr:row>512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61</xdr:row>
      <xdr:rowOff>76321</xdr:rowOff>
    </xdr:from>
    <xdr:to>
      <xdr:col>44</xdr:col>
      <xdr:colOff>533400</xdr:colOff>
      <xdr:row>160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1"/>
  <sheetViews>
    <sheetView tabSelected="1" topLeftCell="B1" zoomScale="85" zoomScaleNormal="85" workbookViewId="0">
      <pane ySplit="1" topLeftCell="A224" activePane="bottomLeft" state="frozen"/>
      <selection activeCell="B1" sqref="B1"/>
      <selection pane="bottomLeft" activeCell="B235" sqref="B23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L236/G236</f>
        <v>#DIV/0!</v>
      </c>
      <c r="T1" s="3" t="s">
        <v>15</v>
      </c>
      <c r="U1" s="3">
        <f>M236/K236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36" customFormat="1" ht="18">
      <c r="B235" s="131" t="s">
        <v>595</v>
      </c>
      <c r="C235" s="104">
        <v>3</v>
      </c>
      <c r="D235" s="137">
        <v>25477</v>
      </c>
      <c r="E235" s="136">
        <v>25468</v>
      </c>
      <c r="F235" s="136">
        <v>25474</v>
      </c>
      <c r="H235" s="136">
        <v>28990</v>
      </c>
      <c r="I235" s="136">
        <v>28942</v>
      </c>
      <c r="J235" s="136">
        <v>28707</v>
      </c>
      <c r="L235" s="208"/>
      <c r="M235" s="208"/>
      <c r="N235" s="136">
        <v>25723</v>
      </c>
      <c r="O235" s="136">
        <v>29231</v>
      </c>
      <c r="P235" s="136">
        <v>25732</v>
      </c>
      <c r="Q235" s="136">
        <v>29280</v>
      </c>
      <c r="V235" s="136">
        <v>27850</v>
      </c>
      <c r="X235" s="136">
        <v>27950</v>
      </c>
      <c r="Y235" s="136">
        <v>31581</v>
      </c>
      <c r="Z235" s="138"/>
      <c r="AB235" s="137"/>
      <c r="AS235" s="137"/>
      <c r="AW235" s="137"/>
      <c r="BI235" s="177"/>
      <c r="BO235" s="151"/>
      <c r="BP235" s="151"/>
      <c r="BQ235" s="151"/>
      <c r="BR235" s="151"/>
    </row>
    <row r="236" spans="2:70" ht="18">
      <c r="D236" s="26"/>
      <c r="K236">
        <f>SUM(K2:K216)</f>
        <v>210358000</v>
      </c>
      <c r="L236" s="142">
        <f>SUM(L2:L216)</f>
        <v>38488576407409</v>
      </c>
      <c r="M236" s="142">
        <f>SUM(M2:M216)</f>
        <v>6182194847600</v>
      </c>
      <c r="N236">
        <f>P232-N231</f>
        <v>360</v>
      </c>
      <c r="V236" s="152"/>
      <c r="X236" s="152"/>
      <c r="Z236" s="25"/>
      <c r="AS236" s="26"/>
      <c r="AW236" s="30"/>
    </row>
    <row r="237" spans="2:70" ht="18">
      <c r="O237">
        <f>P228-N227</f>
        <v>-190</v>
      </c>
      <c r="V237" s="152"/>
      <c r="Z237" s="25"/>
      <c r="AS237" s="26"/>
      <c r="AW237" s="30"/>
    </row>
    <row r="238" spans="2:70" ht="18">
      <c r="V238" s="152"/>
      <c r="W238" s="152"/>
      <c r="Z238" s="25"/>
      <c r="AS238" s="26"/>
      <c r="AW238" s="30"/>
    </row>
    <row r="239" spans="2:70" ht="18">
      <c r="D239" s="93"/>
      <c r="P239">
        <f>P230-N229</f>
        <v>24</v>
      </c>
      <c r="W239" s="152"/>
      <c r="Z239" s="25"/>
      <c r="AW239" s="30"/>
    </row>
    <row r="240" spans="2:70" ht="17.25" customHeight="1">
      <c r="D240" s="93"/>
      <c r="P240" t="s">
        <v>523</v>
      </c>
      <c r="Q240" t="s">
        <v>524</v>
      </c>
      <c r="W240" s="152"/>
      <c r="X240">
        <f>X235-X234</f>
        <v>70</v>
      </c>
      <c r="Z240" s="25"/>
    </row>
    <row r="241" spans="4:26" ht="18">
      <c r="D241" s="93"/>
      <c r="O241" s="126" t="s">
        <v>503</v>
      </c>
      <c r="P241">
        <v>-178</v>
      </c>
      <c r="Q241">
        <v>-180</v>
      </c>
      <c r="V241" s="25"/>
      <c r="W241" s="152"/>
      <c r="Z241" s="25"/>
    </row>
    <row r="242" spans="4:26" ht="18">
      <c r="D242" s="93"/>
      <c r="H242">
        <f>(27376-26532)/26532</f>
        <v>3.1810643750942259E-2</v>
      </c>
      <c r="O242" s="132" t="s">
        <v>505</v>
      </c>
      <c r="P242">
        <v>59</v>
      </c>
      <c r="Q242">
        <v>59</v>
      </c>
      <c r="V242" s="25"/>
      <c r="W242" s="152"/>
    </row>
    <row r="243" spans="4:26" ht="18">
      <c r="D243" s="93"/>
      <c r="N243">
        <f t="shared" ref="N243:N247" si="42">N199-N198</f>
        <v>-15</v>
      </c>
      <c r="O243" s="132" t="s">
        <v>507</v>
      </c>
      <c r="P243">
        <v>-17</v>
      </c>
      <c r="Q243">
        <v>-16</v>
      </c>
      <c r="V243" s="25"/>
      <c r="W243" s="152"/>
    </row>
    <row r="244" spans="4:26" ht="18">
      <c r="D244" s="107"/>
      <c r="N244">
        <f t="shared" si="42"/>
        <v>-12</v>
      </c>
      <c r="O244" s="132" t="s">
        <v>509</v>
      </c>
      <c r="P244">
        <v>-163</v>
      </c>
      <c r="Q244">
        <v>-165</v>
      </c>
      <c r="W244" s="144"/>
    </row>
    <row r="245" spans="4:26" ht="18">
      <c r="D245" s="107"/>
      <c r="N245">
        <f t="shared" si="42"/>
        <v>-137</v>
      </c>
      <c r="O245" s="132" t="s">
        <v>511</v>
      </c>
      <c r="P245">
        <v>50</v>
      </c>
      <c r="Q245">
        <v>50</v>
      </c>
      <c r="W245" s="144"/>
      <c r="X245" s="109"/>
    </row>
    <row r="246" spans="4:26" ht="18">
      <c r="D246" s="113"/>
      <c r="N246">
        <f t="shared" si="42"/>
        <v>-138</v>
      </c>
      <c r="O246" s="145" t="s">
        <v>513</v>
      </c>
      <c r="P246">
        <v>-15</v>
      </c>
      <c r="Q246">
        <v>-15</v>
      </c>
      <c r="V246">
        <f>(3376-3251)/3251</f>
        <v>3.8449707782220857E-2</v>
      </c>
      <c r="W246" s="144"/>
      <c r="X246" s="109"/>
      <c r="Y246">
        <f>(W244-X215)/X215</f>
        <v>-1</v>
      </c>
    </row>
    <row r="247" spans="4:26" ht="18">
      <c r="D247" s="107"/>
      <c r="G247" s="9"/>
      <c r="N247">
        <f t="shared" si="42"/>
        <v>-43</v>
      </c>
      <c r="O247" s="145" t="s">
        <v>515</v>
      </c>
      <c r="P247">
        <v>-12</v>
      </c>
      <c r="Q247">
        <v>-12</v>
      </c>
      <c r="X247" s="109"/>
      <c r="Y247">
        <f>(43725-42669)/42669</f>
        <v>2.4748646558391339E-2</v>
      </c>
    </row>
    <row r="248" spans="4:26" ht="18">
      <c r="D248" s="103"/>
      <c r="G248" s="9"/>
      <c r="N248">
        <f>N236-N203</f>
        <v>-27019</v>
      </c>
      <c r="O248" s="148" t="s">
        <v>517</v>
      </c>
      <c r="P248">
        <v>-136</v>
      </c>
      <c r="Q248">
        <v>-137</v>
      </c>
      <c r="X248" s="109"/>
    </row>
    <row r="249" spans="4:26" ht="18">
      <c r="G249" s="9"/>
      <c r="O249" s="145" t="s">
        <v>519</v>
      </c>
      <c r="P249">
        <v>-137</v>
      </c>
      <c r="Q249">
        <v>-138</v>
      </c>
      <c r="X249" s="109"/>
      <c r="Y249">
        <f>(3365-3279)/3279</f>
        <v>2.6227508386703263E-2</v>
      </c>
    </row>
    <row r="250" spans="4:26" ht="18">
      <c r="G250" s="9"/>
      <c r="O250" s="131" t="s">
        <v>521</v>
      </c>
      <c r="P250">
        <v>-42</v>
      </c>
      <c r="Q250">
        <v>-43</v>
      </c>
      <c r="X250" s="109"/>
    </row>
    <row r="251" spans="4:26" ht="18">
      <c r="G251" s="9"/>
    </row>
  </sheetData>
  <autoFilter ref="A1:BN23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"/>
  <sheetViews>
    <sheetView topLeftCell="F21" zoomScaleNormal="100" workbookViewId="0">
      <selection activeCell="I43" sqref="I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>
      <c r="B44">
        <f>(B2-B8)/B2</f>
        <v>0.15346494762288476</v>
      </c>
      <c r="C44">
        <f>(C2-C8)/C2</f>
        <v>0.1154959674639829</v>
      </c>
      <c r="D44">
        <f>SUM(D2:D39)/38</f>
        <v>37702089.447368421</v>
      </c>
      <c r="I44">
        <f>I43-I42</f>
        <v>-332</v>
      </c>
    </row>
    <row r="45" spans="1:11">
      <c r="H45">
        <f>(H43-H42)/H42</f>
        <v>-1.9771428571428572E-2</v>
      </c>
    </row>
    <row r="46" spans="1:11">
      <c r="C46">
        <f>(C43-C42)/C42</f>
        <v>-1.2137997059527473E-2</v>
      </c>
      <c r="E46">
        <f>(D39-D44)/D44</f>
        <v>0.21324840799221964</v>
      </c>
      <c r="J46">
        <f>(D36-D35)/D35</f>
        <v>-0.50773339408667473</v>
      </c>
    </row>
    <row r="47" spans="1:11">
      <c r="B47">
        <f>(B43-B42)/B42</f>
        <v>-1.4413787773398253E-2</v>
      </c>
      <c r="F47">
        <f>(F36-F35)/F35</f>
        <v>-0.62892307692307692</v>
      </c>
    </row>
    <row r="48" spans="1:11">
      <c r="D48">
        <v>5375132</v>
      </c>
      <c r="E48">
        <f>(E17-D48)/D48</f>
        <v>4.5958809321644006E-2</v>
      </c>
      <c r="G48">
        <f t="shared" ref="G48:G56" si="2">B3-B2</f>
        <v>-554</v>
      </c>
    </row>
    <row r="49" spans="3:10">
      <c r="G49">
        <f t="shared" si="2"/>
        <v>-302</v>
      </c>
    </row>
    <row r="50" spans="3:10">
      <c r="C50">
        <f>(D48-E16)/E16</f>
        <v>0.17110375179746395</v>
      </c>
      <c r="G50">
        <f t="shared" si="2"/>
        <v>-511</v>
      </c>
    </row>
    <row r="51" spans="3:10">
      <c r="G51">
        <f t="shared" si="2"/>
        <v>-362</v>
      </c>
    </row>
    <row r="52" spans="3:10">
      <c r="G52">
        <f t="shared" si="2"/>
        <v>-1699</v>
      </c>
    </row>
    <row r="53" spans="3:10">
      <c r="G53">
        <f t="shared" si="2"/>
        <v>-381</v>
      </c>
    </row>
    <row r="54" spans="3:10">
      <c r="G54">
        <f t="shared" si="2"/>
        <v>1075</v>
      </c>
    </row>
    <row r="55" spans="3:10">
      <c r="F55">
        <f>(F33-F32)/F32</f>
        <v>0.23948268173034043</v>
      </c>
      <c r="G55">
        <f t="shared" si="2"/>
        <v>151</v>
      </c>
      <c r="J55">
        <f>(F34-F35)/F34</f>
        <v>0.13877341459779063</v>
      </c>
    </row>
    <row r="56" spans="3:10">
      <c r="G56">
        <f t="shared" si="2"/>
        <v>1043</v>
      </c>
    </row>
  </sheetData>
  <autoFilter ref="A1:K56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89"/>
  <sheetViews>
    <sheetView topLeftCell="A2069" zoomScaleNormal="100" workbookViewId="0">
      <selection activeCell="D2085" sqref="D208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4" t="s">
        <v>510</v>
      </c>
      <c r="B1601" s="214"/>
      <c r="C1601" s="214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4" t="s">
        <v>510</v>
      </c>
      <c r="B1613" s="214"/>
      <c r="C1613" s="214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4" t="s">
        <v>514</v>
      </c>
      <c r="B1629" s="214"/>
      <c r="C1629" s="214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4" t="s">
        <v>516</v>
      </c>
      <c r="B1640" s="214"/>
      <c r="C1640" s="214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4" t="s">
        <v>518</v>
      </c>
      <c r="B1653" s="214"/>
      <c r="C1653" s="214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4" t="s">
        <v>520</v>
      </c>
      <c r="B1665" s="214"/>
      <c r="C1665" s="214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4" t="s">
        <v>522</v>
      </c>
      <c r="B1677" s="214"/>
      <c r="C1677" s="214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4" t="s">
        <v>526</v>
      </c>
      <c r="B1690" s="214"/>
      <c r="C1690" s="214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4" t="s">
        <v>529</v>
      </c>
      <c r="B1703" s="214"/>
      <c r="C1703" s="214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4" t="s">
        <v>531</v>
      </c>
      <c r="B1716" s="214"/>
      <c r="C1716" s="214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4" t="s">
        <v>533</v>
      </c>
      <c r="B1729" s="214"/>
      <c r="C1729" s="214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4" t="s">
        <v>536</v>
      </c>
      <c r="B1742" s="214"/>
      <c r="C1742" s="214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4" t="s">
        <v>538</v>
      </c>
      <c r="B1754" s="214"/>
      <c r="C1754" s="214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4" t="s">
        <v>540</v>
      </c>
      <c r="B1767" s="214"/>
      <c r="C1767" s="214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4" t="s">
        <v>542</v>
      </c>
      <c r="B1779" s="214"/>
      <c r="C1779" s="214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4" t="s">
        <v>545</v>
      </c>
      <c r="B1791" s="214"/>
      <c r="C1791" s="214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4" t="s">
        <v>547</v>
      </c>
      <c r="B1803" s="214"/>
      <c r="C1803" s="214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4" t="s">
        <v>549</v>
      </c>
      <c r="B1816" s="214"/>
      <c r="C1816" s="214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4" t="s">
        <v>551</v>
      </c>
      <c r="B1829" s="214"/>
      <c r="C1829" s="214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4" t="s">
        <v>553</v>
      </c>
      <c r="B1842" s="214"/>
      <c r="C1842" s="214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4" t="s">
        <v>557</v>
      </c>
      <c r="B1854" s="214"/>
      <c r="C1854" s="214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4" t="s">
        <v>558</v>
      </c>
      <c r="B1866" s="214"/>
      <c r="C1866" s="214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4" t="s">
        <v>560</v>
      </c>
      <c r="B1878" s="214"/>
      <c r="C1878" s="214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4" t="s">
        <v>562</v>
      </c>
      <c r="B1890" s="214"/>
      <c r="C1890" s="214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4" t="s">
        <v>564</v>
      </c>
      <c r="B1903" s="214"/>
      <c r="C1903" s="214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4" t="s">
        <v>568</v>
      </c>
      <c r="B1916" s="214"/>
      <c r="C1916" s="214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4" t="s">
        <v>570</v>
      </c>
      <c r="B1928" s="214"/>
      <c r="C1928" s="214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4" t="s">
        <v>572</v>
      </c>
      <c r="B1940" s="214"/>
      <c r="C1940" s="214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4" t="s">
        <v>574</v>
      </c>
      <c r="B1953" s="214"/>
      <c r="C1953" s="214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4" t="s">
        <v>576</v>
      </c>
      <c r="B1966" s="214"/>
      <c r="C1966" s="214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4" t="s">
        <v>578</v>
      </c>
      <c r="B1979" s="214"/>
      <c r="C1979" s="214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4" t="s">
        <v>580</v>
      </c>
      <c r="B1992" s="214"/>
      <c r="C1992" s="214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4" t="s">
        <v>583</v>
      </c>
      <c r="B2005" s="214"/>
      <c r="C2005" s="214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4" t="s">
        <v>585</v>
      </c>
      <c r="B2017" s="214"/>
      <c r="C2017" s="214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4" t="s">
        <v>587</v>
      </c>
      <c r="B2029" s="214"/>
      <c r="C2029" s="214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4" t="s">
        <v>589</v>
      </c>
      <c r="B2042" s="214"/>
      <c r="C2042" s="214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4" t="s">
        <v>591</v>
      </c>
      <c r="B2055" s="214"/>
      <c r="C2055" s="214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4" t="s">
        <v>594</v>
      </c>
      <c r="B2068" s="214"/>
      <c r="C2068" s="214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4" t="s">
        <v>596</v>
      </c>
      <c r="B2081" s="214"/>
      <c r="C2081" s="214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</sheetData>
  <mergeCells count="179">
    <mergeCell ref="A2081:C2081"/>
    <mergeCell ref="A1816:C1816"/>
    <mergeCell ref="A2055:C2055"/>
    <mergeCell ref="A2042:C2042"/>
    <mergeCell ref="A2017:C2017"/>
    <mergeCell ref="A2005:C2005"/>
    <mergeCell ref="A1928:C1928"/>
    <mergeCell ref="A1754:C1754"/>
    <mergeCell ref="A1742:C1742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9"/>
  <sheetViews>
    <sheetView zoomScale="85" zoomScaleNormal="85" workbookViewId="0">
      <selection activeCell="K12" sqref="K1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9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>(E158-E157)*100/E157</f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>(E159-E158)*100/E158</f>
        <v>9.8895665073347613E-2</v>
      </c>
      <c r="I159">
        <v>-1.97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2022-01-23T12:58:38Z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