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 firstSheet="1" activeTab="3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set'!$A$1:$BL$125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4" i="7" l="1"/>
  <c r="G64" i="7"/>
  <c r="F64" i="7"/>
  <c r="M121" i="1"/>
  <c r="L121" i="1"/>
  <c r="M120" i="1"/>
  <c r="L120" i="1"/>
  <c r="H63" i="7" l="1"/>
  <c r="G63" i="7"/>
  <c r="F63" i="7"/>
  <c r="G121" i="1"/>
  <c r="K121" i="1"/>
  <c r="M119" i="1" l="1"/>
  <c r="L119" i="1"/>
  <c r="H62" i="7" l="1"/>
  <c r="G62" i="7"/>
  <c r="F62" i="7"/>
  <c r="M118" i="1" l="1"/>
  <c r="L118" i="1"/>
  <c r="H61" i="7" l="1"/>
  <c r="G61" i="7"/>
  <c r="F61" i="7"/>
  <c r="M117" i="1" l="1"/>
  <c r="L117" i="1"/>
  <c r="G23" i="5" l="1"/>
  <c r="E23" i="5"/>
  <c r="H60" i="7"/>
  <c r="G60" i="7"/>
  <c r="F60" i="7"/>
  <c r="M116" i="1" l="1"/>
  <c r="L116" i="1"/>
  <c r="H59" i="7"/>
  <c r="G59" i="7"/>
  <c r="F59" i="7"/>
  <c r="M115" i="1" l="1"/>
  <c r="L115" i="1"/>
  <c r="H58" i="7"/>
  <c r="G58" i="7"/>
  <c r="F58" i="7"/>
  <c r="M114" i="1" l="1"/>
  <c r="L114" i="1"/>
  <c r="H57" i="7" l="1"/>
  <c r="G57" i="7"/>
  <c r="F57" i="7"/>
  <c r="M113" i="1" l="1"/>
  <c r="L113" i="1"/>
  <c r="H56" i="7" l="1"/>
  <c r="G56" i="7"/>
  <c r="F56" i="7"/>
  <c r="M112" i="1" l="1"/>
  <c r="L112" i="1"/>
  <c r="D128" i="1" l="1"/>
  <c r="F127" i="1" l="1"/>
  <c r="G22" i="5" l="1"/>
  <c r="E22" i="5"/>
  <c r="E573" i="6"/>
  <c r="H55" i="7"/>
  <c r="G55" i="7"/>
  <c r="F55" i="7"/>
  <c r="M111" i="1" l="1"/>
  <c r="L111" i="1"/>
  <c r="H54" i="7"/>
  <c r="G54" i="7"/>
  <c r="F54" i="7"/>
  <c r="G125" i="1" l="1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8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4" i="5" l="1"/>
  <c r="M88" i="1" l="1"/>
  <c r="M89" i="1"/>
  <c r="L88" i="1"/>
  <c r="L89" i="1"/>
  <c r="G16" i="5"/>
  <c r="E16" i="5"/>
  <c r="C30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24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1" i="1"/>
  <c r="BJ2" i="1"/>
  <c r="M59" i="1" l="1"/>
  <c r="L59" i="1"/>
  <c r="M58" i="1" l="1"/>
  <c r="L58" i="1"/>
  <c r="G29" i="5" l="1"/>
  <c r="G30" i="5"/>
  <c r="G31" i="5"/>
  <c r="G32" i="5"/>
  <c r="G33" i="5"/>
  <c r="G34" i="5"/>
  <c r="G35" i="5"/>
  <c r="G36" i="5"/>
  <c r="G28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1" i="1"/>
  <c r="BI2" i="1"/>
  <c r="M53" i="1" l="1"/>
  <c r="L53" i="1"/>
  <c r="M52" i="1" l="1"/>
  <c r="L52" i="1"/>
  <c r="AW125" i="1" l="1"/>
  <c r="AW128" i="1" s="1"/>
  <c r="G10" i="5" l="1"/>
  <c r="E10" i="5"/>
  <c r="M51" i="1"/>
  <c r="L51" i="1"/>
  <c r="AY123" i="1"/>
  <c r="M50" i="1" l="1"/>
  <c r="L50" i="1"/>
  <c r="AU125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4" i="5" l="1"/>
  <c r="B24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L3" i="1"/>
  <c r="L4" i="1"/>
  <c r="L6" i="1"/>
  <c r="L7" i="1"/>
  <c r="U1" i="1" l="1"/>
  <c r="S1" i="1"/>
</calcChain>
</file>

<file path=xl/sharedStrings.xml><?xml version="1.0" encoding="utf-8"?>
<sst xmlns="http://schemas.openxmlformats.org/spreadsheetml/2006/main" count="934" uniqueCount="321">
  <si>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</si>
  <si>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</si>
  <si>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</si>
  <si>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</si>
  <si>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</si>
  <si>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</si>
  <si>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</si>
  <si>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</si>
  <si>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</si>
  <si>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</si>
  <si>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</si>
  <si>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</si>
  <si>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</si>
  <si>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</si>
  <si>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</si>
  <si>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</si>
  <si>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</si>
  <si>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</si>
  <si>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</si>
  <si>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</si>
  <si>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</si>
  <si>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</si>
  <si>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</si>
  <si>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</si>
  <si>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</si>
  <si>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</si>
  <si>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</si>
  <si>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</si>
  <si>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</si>
  <si>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</si>
  <si>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</si>
  <si>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</si>
  <si>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</si>
  <si>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</si>
  <si>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</si>
  <si>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</si>
  <si>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</si>
  <si>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</si>
  <si>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</si>
  <si>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</si>
  <si>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</si>
  <si>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</si>
  <si>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</si>
  <si>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</si>
  <si>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</si>
  <si>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</si>
  <si>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</si>
  <si>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</si>
  <si>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</si>
  <si>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</si>
  <si>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</si>
  <si>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</si>
  <si>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</si>
  <si>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</si>
  <si>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</si>
  <si>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</si>
  <si>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</si>
  <si>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</si>
  <si>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</si>
  <si>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</si>
  <si>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</si>
  <si>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</si>
  <si>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</si>
  <si>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</si>
  <si>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</si>
  <si>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</si>
  <si>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</si>
  <si>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</si>
  <si>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</si>
  <si>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</si>
  <si>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</si>
  <si>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</si>
  <si>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</si>
  <si>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</si>
  <si>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</si>
  <si>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</si>
  <si>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</si>
  <si>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</si>
  <si>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</si>
  <si>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</si>
  <si>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</si>
  <si>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</si>
  <si>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</si>
  <si>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</si>
  <si>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</si>
  <si>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</si>
  <si>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</si>
  <si>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</si>
  <si>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</si>
  <si>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</si>
  <si>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</si>
  <si>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</si>
  <si>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</si>
  <si>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</si>
  <si>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</si>
  <si>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</si>
  <si>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</si>
  <si>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</si>
  <si>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</si>
  <si>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</si>
  <si>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</si>
  <si>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</si>
  <si>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</si>
  <si>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</si>
  <si>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</si>
  <si>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</si>
  <si>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</si>
  <si>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</si>
  <si>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</si>
  <si>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</si>
  <si>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</si>
  <si>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</si>
  <si>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</si>
  <si>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</si>
  <si>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</si>
  <si>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</si>
  <si>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</si>
  <si>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</si>
  <si>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</si>
  <si>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</si>
  <si>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</si>
  <si>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</si>
  <si>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</si>
  <si>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</si>
  <si>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</si>
  <si>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</si>
  <si>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</si>
  <si>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</si>
  <si>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</si>
  <si>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</si>
  <si>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</si>
  <si>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</si>
  <si>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</si>
  <si>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</si>
  <si>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</si>
  <si>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</si>
  <si>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</si>
  <si>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</si>
  <si>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</si>
  <si>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</si>
  <si>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</si>
  <si>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</si>
  <si>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</si>
  <si>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</si>
  <si>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</si>
  <si>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</si>
  <si>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</si>
  <si>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</si>
  <si>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</si>
  <si>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</si>
  <si>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</si>
  <si>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</si>
  <si>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</si>
  <si>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</si>
  <si>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</si>
  <si>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</si>
  <si>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</si>
  <si>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</si>
  <si>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</si>
  <si>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</si>
  <si>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</si>
  <si>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</si>
  <si>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</si>
  <si>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</si>
  <si>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</si>
  <si>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</si>
  <si>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</si>
  <si>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</si>
  <si>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</si>
  <si>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</si>
  <si>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</si>
  <si>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</si>
  <si>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</si>
  <si>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</si>
  <si>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</si>
  <si>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</si>
  <si>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</si>
  <si>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</si>
  <si>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</si>
  <si>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</si>
  <si>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</si>
  <si>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</si>
  <si>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</si>
  <si>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</si>
  <si>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</si>
  <si>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</si>
  <si>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</si>
  <si>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</si>
  <si>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</si>
  <si>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</si>
  <si>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</si>
  <si>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</si>
  <si>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</si>
  <si>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</si>
  <si>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</si>
  <si>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</si>
  <si>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</si>
  <si>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</si>
  <si>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</si>
  <si>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</si>
  <si>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</si>
  <si>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</si>
  <si>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</si>
  <si>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</si>
  <si>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</si>
  <si>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</si>
  <si>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</si>
  <si>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</si>
  <si>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</si>
  <si>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</si>
  <si>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</si>
  <si>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</si>
  <si>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</si>
  <si>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</si>
  <si>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</si>
  <si>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</si>
  <si>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</si>
  <si>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</si>
  <si>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</si>
  <si>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</si>
  <si>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</si>
  <si>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</si>
  <si>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</si>
  <si>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</si>
  <si>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</si>
  <si>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</si>
  <si>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</si>
  <si>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</si>
  <si>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</si>
  <si>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</si>
  <si>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</si>
  <si>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</si>
  <si>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</si>
  <si>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</si>
  <si>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</si>
  <si>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</si>
  <si>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</si>
  <si>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</si>
  <si>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</si>
  <si>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</si>
  <si>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</si>
  <si>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</si>
  <si>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</si>
  <si>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</si>
  <si>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</si>
  <si>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</si>
  <si>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</si>
  <si>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</si>
  <si>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</si>
  <si>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</si>
  <si>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</si>
  <si>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</si>
  <si>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</si>
  <si>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</si>
  <si>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</si>
  <si>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</si>
  <si>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</si>
  <si>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</si>
  <si>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</si>
  <si>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</si>
  <si>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</si>
  <si>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</si>
  <si>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</si>
  <si>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</si>
  <si>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</si>
  <si>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</si>
  <si>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</si>
  <si>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</si>
  <si>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</si>
  <si>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</si>
  <si>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</si>
  <si>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</si>
  <si>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</si>
  <si>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</si>
  <si>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</si>
  <si>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</si>
  <si>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</si>
  <si>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</si>
  <si>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</si>
  <si>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</si>
  <si>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</si>
  <si>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</si>
  <si>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</si>
  <si>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</si>
  <si>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</si>
  <si>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</si>
  <si>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</si>
  <si>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</si>
  <si>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</si>
  <si>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</si>
  <si>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</si>
  <si>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</si>
  <si>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</si>
  <si>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</si>
  <si>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</si>
  <si>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</si>
  <si>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</si>
  <si>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</si>
  <si>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</si>
  <si>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</si>
  <si>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</si>
  <si>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</si>
  <si>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</si>
  <si>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</si>
  <si>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</si>
  <si>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</si>
  <si>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</si>
  <si>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</si>
  <si>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</si>
  <si>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</si>
  <si>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</si>
  <si>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</si>
  <si>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</si>
  <si>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</si>
  <si>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</si>
  <si>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</si>
  <si>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</si>
  <si>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</si>
  <si>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</si>
  <si>
    <t>روند روزانه بهای سکه و ارز ( ‌سه‌شنبه 16 شهریور 1400)</t>
  </si>
  <si>
    <t>16شهریور1400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</si>
</sst>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8" borderId="0" xfId="0" applyNumberFormat="1" applyFont="1" applyFill="1"/>
    <xf numFmtId="0" fontId="6" fillId="8" borderId="1" xfId="0" applyFont="1" applyFill="1" applyBorder="1"/>
    <xf numFmtId="0" fontId="6" fillId="8" borderId="0" xfId="0" applyFont="1" applyFill="1" applyBorder="1"/>
    <xf numFmtId="0" fontId="7" fillId="8" borderId="0" xfId="0" applyFont="1" applyFill="1"/>
    <xf numFmtId="0" fontId="7" fillId="8" borderId="1" xfId="0" applyFont="1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6" fillId="2" borderId="0" xfId="0" applyNumberFormat="1" applyFont="1" applyFill="1"/>
    <xf numFmtId="0" fontId="6" fillId="2" borderId="1" xfId="0" applyFont="1" applyFill="1" applyBorder="1"/>
    <xf numFmtId="0" fontId="6" fillId="2" borderId="0" xfId="0" applyFont="1" applyFill="1" applyBorder="1"/>
    <xf numFmtId="0" fontId="7" fillId="2" borderId="0" xfId="0" applyFont="1" applyFill="1"/>
    <xf numFmtId="0" fontId="7" fillId="2" borderId="0" xfId="0" applyFont="1" applyFill="1" applyBorder="1"/>
    <xf numFmtId="0" fontId="7" fillId="2" borderId="1" xfId="0" applyFont="1" applyFill="1" applyBorder="1"/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سوم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31227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19335280"/>
        <c:axId val="1519331472"/>
      </c:barChart>
      <c:catAx>
        <c:axId val="151933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31472"/>
        <c:crosses val="autoZero"/>
        <c:auto val="1"/>
        <c:lblAlgn val="ctr"/>
        <c:lblOffset val="100"/>
        <c:noMultiLvlLbl val="0"/>
      </c:catAx>
      <c:valAx>
        <c:axId val="151933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3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26644</c:v>
                </c:pt>
                <c:pt idx="1">
                  <c:v>26908</c:v>
                </c:pt>
                <c:pt idx="2">
                  <c:v>27648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26657</c:v>
                </c:pt>
                <c:pt idx="1">
                  <c:v>26837</c:v>
                </c:pt>
                <c:pt idx="2">
                  <c:v>27427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19321136"/>
        <c:axId val="151932059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1519321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20592"/>
        <c:crosses val="autoZero"/>
        <c:auto val="1"/>
        <c:lblAlgn val="ctr"/>
        <c:lblOffset val="100"/>
        <c:noMultiLvlLbl val="0"/>
      </c:catAx>
      <c:valAx>
        <c:axId val="151932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2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31446</c:v>
                </c:pt>
                <c:pt idx="1">
                  <c:v>31740</c:v>
                </c:pt>
                <c:pt idx="2">
                  <c:v>32496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31227</c:v>
                </c:pt>
                <c:pt idx="1">
                  <c:v>31393</c:v>
                </c:pt>
                <c:pt idx="2">
                  <c:v>32582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19322224"/>
        <c:axId val="151933582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151932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35824"/>
        <c:crosses val="autoZero"/>
        <c:auto val="1"/>
        <c:lblAlgn val="ctr"/>
        <c:lblOffset val="100"/>
        <c:noMultiLvlLbl val="0"/>
      </c:catAx>
      <c:valAx>
        <c:axId val="151933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2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37496400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31542000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19334736"/>
        <c:axId val="1519323312"/>
      </c:barChart>
      <c:catAx>
        <c:axId val="151933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23312"/>
        <c:crosses val="autoZero"/>
        <c:auto val="1"/>
        <c:lblAlgn val="ctr"/>
        <c:lblOffset val="100"/>
        <c:noMultiLvlLbl val="0"/>
      </c:catAx>
      <c:valAx>
        <c:axId val="151932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3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سوم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19321680"/>
        <c:axId val="1519324944"/>
      </c:barChart>
      <c:catAx>
        <c:axId val="151932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24944"/>
        <c:crosses val="autoZero"/>
        <c:auto val="1"/>
        <c:lblAlgn val="ctr"/>
        <c:lblOffset val="100"/>
        <c:noMultiLvlLbl val="0"/>
      </c:catAx>
      <c:valAx>
        <c:axId val="151932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2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3371200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6567800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19332560"/>
        <c:axId val="1519322768"/>
      </c:barChart>
      <c:catAx>
        <c:axId val="15193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22768"/>
        <c:crosses val="autoZero"/>
        <c:auto val="1"/>
        <c:lblAlgn val="ctr"/>
        <c:lblOffset val="100"/>
        <c:noMultiLvlLbl val="0"/>
      </c:catAx>
      <c:valAx>
        <c:axId val="151932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سه‌شنبه 16 شهریور 1400 )</a:t>
            </a:r>
            <a:endParaRPr lang="en-US"/>
          </a:p>
        </c:rich>
      </c:tx>
      <c:layout>
        <c:manualLayout>
          <c:xMode val="edge"/>
          <c:yMode val="edge"/>
          <c:x val="6.1090744223773648E-2"/>
          <c:y val="3.1775611903330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2"/>
          <c:order val="62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change'!$F$64:$I$64</c:f>
              <c:numCache>
                <c:formatCode>General</c:formatCode>
                <c:ptCount val="4"/>
                <c:pt idx="0">
                  <c:v>0.40725657164013329</c:v>
                </c:pt>
                <c:pt idx="1">
                  <c:v>0.74688796680497926</c:v>
                </c:pt>
                <c:pt idx="2">
                  <c:v>0.73344741752151099</c:v>
                </c:pt>
                <c:pt idx="3">
                  <c:v>-1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19323856"/>
        <c:axId val="151932440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</c15:ser>
            </c15:filteredBarSeries>
            <c15:filteredBarSeries>
              <c15:ser>
                <c:idx val="61"/>
                <c:order val="61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change'!$F$63:$I$63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-0.6620080912100037</c:v>
                      </c:pt>
                      <c:pt idx="1">
                        <c:v>-0.65952184666117064</c:v>
                      </c:pt>
                      <c:pt idx="2">
                        <c:v>-0.70855656005210799</c:v>
                      </c:pt>
                      <c:pt idx="3">
                        <c:v>0.09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519323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24400"/>
        <c:crosses val="autoZero"/>
        <c:auto val="1"/>
        <c:lblAlgn val="ctr"/>
        <c:lblOffset val="100"/>
        <c:noMultiLvlLbl val="0"/>
      </c:catAx>
      <c:valAx>
        <c:axId val="151932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23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68</xdr:row>
      <xdr:rowOff>26595</xdr:rowOff>
    </xdr:from>
    <xdr:to>
      <xdr:col>11</xdr:col>
      <xdr:colOff>372031</xdr:colOff>
      <xdr:row>98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177</xdr:row>
      <xdr:rowOff>66946</xdr:rowOff>
    </xdr:from>
    <xdr:to>
      <xdr:col>15</xdr:col>
      <xdr:colOff>391886</xdr:colOff>
      <xdr:row>202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205</xdr:row>
      <xdr:rowOff>174972</xdr:rowOff>
    </xdr:from>
    <xdr:to>
      <xdr:col>14</xdr:col>
      <xdr:colOff>402771</xdr:colOff>
      <xdr:row>231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98331</xdr:rowOff>
    </xdr:from>
    <xdr:to>
      <xdr:col>10</xdr:col>
      <xdr:colOff>874339</xdr:colOff>
      <xdr:row>128</xdr:row>
      <xdr:rowOff>124776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33</xdr:row>
      <xdr:rowOff>128896</xdr:rowOff>
    </xdr:from>
    <xdr:to>
      <xdr:col>10</xdr:col>
      <xdr:colOff>1167332</xdr:colOff>
      <xdr:row>63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134</xdr:row>
      <xdr:rowOff>176893</xdr:rowOff>
    </xdr:from>
    <xdr:to>
      <xdr:col>10</xdr:col>
      <xdr:colOff>125506</xdr:colOff>
      <xdr:row>163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135255</xdr:colOff>
      <xdr:row>3</xdr:row>
      <xdr:rowOff>11430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30"/>
  <sheetViews>
    <sheetView topLeftCell="W1" zoomScaleNormal="100" workbookViewId="0">
      <selection activeCell="W122" sqref="W122"/>
    </sheetView>
  </sheetViews>
  <sheetFormatPr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L121/G121</f>
        <v>2857574.5682051666</v>
      </c>
      <c r="T1" s="9" t="s">
        <v>32</v>
      </c>
      <c r="U1" s="9">
        <f>M121/K121</f>
        <v>28515.368633872931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hidden="1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 hidden="1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1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 hidden="1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 hidden="1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 hidden="1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 hidden="1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 hidden="1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 hidden="1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 hidden="1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 hidden="1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 hidden="1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 hidden="1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 hidden="1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 hidden="1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hidden="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hidden="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hidden="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hidden="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hidden="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hidden="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hidden="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hidden="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hidden="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hidden="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hidden="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hidden="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hidden="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hidden="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hidden="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hidden="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hidden="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hidden="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hidden="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hidden="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hidden="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hidden="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hidden="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hidden="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hidden="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hidden="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hidden="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hidden="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hidden="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hidden="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hidden="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hidden="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hidden="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hidden="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hidden="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hidden="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hidden="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hidden="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hidden="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hidden="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K121/K62</f>
        <v>136.05209774089442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hidden="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hidden="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hidden="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hidden="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hidden="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hidden="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hidden="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hidden="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hidden="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hidden="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hidden="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hidden="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hidden="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hidden="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hidden="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hidden="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20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hidden="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hidden="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hidden="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hidden="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hidden="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hidden="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hidden="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hidden="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hidden="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hidden="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hidden="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20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hidden="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hidden="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hidden="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hidden="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hidden="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hidden="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hidden="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hidden="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hidden="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hidden="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hidden="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hidden="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hidden="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hidden="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hidden="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hidden="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15">
        <f t="shared" si="14"/>
        <v>252384066300</v>
      </c>
      <c r="M105" s="15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hidden="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hidden="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hidden="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hidden="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hidden="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hidden="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17" customFormat="1" ht="21" customHeight="1">
      <c r="A112" s="14"/>
      <c r="B112" s="15" t="s">
        <v>300</v>
      </c>
      <c r="C112" s="15">
        <v>6</v>
      </c>
      <c r="D112" s="50">
        <v>27784</v>
      </c>
      <c r="E112" s="15">
        <v>27442</v>
      </c>
      <c r="F112" s="15">
        <v>27663</v>
      </c>
      <c r="G112" s="15">
        <v>5677600</v>
      </c>
      <c r="H112" s="15">
        <v>31798</v>
      </c>
      <c r="I112" s="15">
        <v>31992</v>
      </c>
      <c r="J112" s="15">
        <v>32158</v>
      </c>
      <c r="K112" s="15">
        <v>1457800</v>
      </c>
      <c r="L112" s="15">
        <f t="shared" si="14"/>
        <v>157059448800</v>
      </c>
      <c r="M112" s="15">
        <f t="shared" si="13"/>
        <v>46879932400</v>
      </c>
      <c r="N112" s="17">
        <v>27716</v>
      </c>
      <c r="O112" s="17">
        <v>32312</v>
      </c>
      <c r="P112" s="15">
        <v>28062</v>
      </c>
      <c r="Q112" s="17">
        <v>32116</v>
      </c>
      <c r="R112" s="15"/>
      <c r="S112" s="15"/>
      <c r="T112" s="15"/>
      <c r="U112" s="15"/>
      <c r="V112" s="17">
        <v>28270</v>
      </c>
      <c r="X112" s="17">
        <v>28260</v>
      </c>
      <c r="Y112" s="17">
        <v>33394</v>
      </c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50"/>
      <c r="AT112" s="50"/>
      <c r="AU112" s="50"/>
      <c r="AV112" s="50"/>
      <c r="AW112" s="50"/>
      <c r="AX112" s="50"/>
      <c r="AY112" s="15"/>
      <c r="AZ112" s="15"/>
      <c r="BA112" s="15"/>
      <c r="BB112" s="15"/>
      <c r="BC112" s="15"/>
      <c r="BE112" s="16"/>
      <c r="BF112" s="16"/>
      <c r="BG112" s="16"/>
      <c r="BH112" s="16"/>
    </row>
    <row r="113" spans="1:62" s="17" customFormat="1" ht="21" customHeight="1">
      <c r="A113" s="14"/>
      <c r="B113" s="15" t="s">
        <v>303</v>
      </c>
      <c r="C113" s="15">
        <v>7</v>
      </c>
      <c r="D113" s="50">
        <v>27340</v>
      </c>
      <c r="E113" s="15">
        <v>26965</v>
      </c>
      <c r="F113" s="15">
        <v>27148</v>
      </c>
      <c r="G113" s="15">
        <v>5269000</v>
      </c>
      <c r="H113" s="15">
        <v>32350</v>
      </c>
      <c r="I113" s="15">
        <v>31300</v>
      </c>
      <c r="J113" s="15">
        <v>31609</v>
      </c>
      <c r="K113" s="15">
        <v>1605500</v>
      </c>
      <c r="L113" s="15">
        <f t="shared" si="14"/>
        <v>143042812000</v>
      </c>
      <c r="M113" s="15">
        <f t="shared" si="13"/>
        <v>50748249500</v>
      </c>
      <c r="N113" s="17">
        <v>27234</v>
      </c>
      <c r="O113" s="17">
        <v>31613</v>
      </c>
      <c r="P113" s="15">
        <v>27614</v>
      </c>
      <c r="Q113" s="17">
        <v>32673</v>
      </c>
      <c r="R113" s="15"/>
      <c r="S113" s="15"/>
      <c r="T113" s="15"/>
      <c r="U113" s="15"/>
      <c r="V113" s="17">
        <v>28080</v>
      </c>
      <c r="X113" s="16">
        <v>27830</v>
      </c>
      <c r="Y113" s="17">
        <v>33099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customHeight="1">
      <c r="A114" s="14"/>
      <c r="B114" s="15" t="s">
        <v>304</v>
      </c>
      <c r="C114" s="15">
        <v>8</v>
      </c>
      <c r="D114" s="50">
        <v>26965</v>
      </c>
      <c r="E114" s="15">
        <v>25931</v>
      </c>
      <c r="F114" s="15">
        <v>26198</v>
      </c>
      <c r="G114" s="15">
        <v>5319000</v>
      </c>
      <c r="H114" s="15">
        <v>31300</v>
      </c>
      <c r="I114" s="15">
        <v>30387</v>
      </c>
      <c r="J114" s="15">
        <v>30487</v>
      </c>
      <c r="K114" s="15">
        <v>1376600</v>
      </c>
      <c r="L114" s="15">
        <f t="shared" si="14"/>
        <v>139347162000</v>
      </c>
      <c r="M114" s="15">
        <f t="shared" si="13"/>
        <v>41968404200</v>
      </c>
      <c r="N114" s="17">
        <v>26190</v>
      </c>
      <c r="O114" s="17">
        <v>30691</v>
      </c>
      <c r="P114" s="15">
        <v>27234</v>
      </c>
      <c r="Q114" s="17">
        <v>31613</v>
      </c>
      <c r="R114" s="15"/>
      <c r="S114" s="15"/>
      <c r="T114" s="15"/>
      <c r="U114" s="15"/>
      <c r="V114" s="53">
        <v>27230</v>
      </c>
      <c r="X114" s="17">
        <v>26900</v>
      </c>
      <c r="Y114" s="17">
        <v>32122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customHeight="1">
      <c r="A115" s="14"/>
      <c r="B115" s="15" t="s">
        <v>307</v>
      </c>
      <c r="C115" s="15">
        <v>9</v>
      </c>
      <c r="D115" s="50">
        <v>26285</v>
      </c>
      <c r="E115" s="15">
        <v>26215</v>
      </c>
      <c r="F115" s="15">
        <v>26265</v>
      </c>
      <c r="G115" s="15">
        <v>8186900</v>
      </c>
      <c r="H115" s="15">
        <v>30387</v>
      </c>
      <c r="I115" s="15">
        <v>30934</v>
      </c>
      <c r="J115" s="15">
        <v>30715</v>
      </c>
      <c r="K115" s="15">
        <v>1183300</v>
      </c>
      <c r="L115" s="15">
        <f t="shared" si="14"/>
        <v>215028928500</v>
      </c>
      <c r="M115" s="15">
        <f t="shared" si="13"/>
        <v>36345059500</v>
      </c>
      <c r="N115" s="17">
        <v>26477</v>
      </c>
      <c r="O115" s="17">
        <v>31243</v>
      </c>
      <c r="P115" s="15">
        <v>26548</v>
      </c>
      <c r="Q115" s="17">
        <v>30691</v>
      </c>
      <c r="R115" s="15"/>
      <c r="S115" s="15"/>
      <c r="T115" s="15"/>
      <c r="U115" s="15"/>
      <c r="V115" s="53">
        <v>27370</v>
      </c>
      <c r="X115" s="17">
        <v>27250</v>
      </c>
      <c r="Y115" s="17">
        <v>32333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customHeight="1">
      <c r="A116" s="14"/>
      <c r="B116" s="15" t="s">
        <v>308</v>
      </c>
      <c r="C116" s="15">
        <v>10</v>
      </c>
      <c r="D116" s="50">
        <v>26215</v>
      </c>
      <c r="E116" s="15">
        <v>26307</v>
      </c>
      <c r="F116" s="15">
        <v>26285</v>
      </c>
      <c r="G116" s="15">
        <v>7089500</v>
      </c>
      <c r="H116" s="15">
        <v>30934</v>
      </c>
      <c r="I116" s="15">
        <v>30797</v>
      </c>
      <c r="J116" s="15">
        <v>30862</v>
      </c>
      <c r="K116" s="15">
        <v>944600</v>
      </c>
      <c r="L116" s="15">
        <f t="shared" si="14"/>
        <v>186347507500</v>
      </c>
      <c r="M116" s="15">
        <f t="shared" si="13"/>
        <v>29152245200</v>
      </c>
      <c r="N116" s="17">
        <v>26570</v>
      </c>
      <c r="O116" s="17">
        <v>31105</v>
      </c>
      <c r="P116" s="15">
        <v>26477</v>
      </c>
      <c r="Q116" s="17">
        <v>31243</v>
      </c>
      <c r="R116" s="15"/>
      <c r="S116" s="15"/>
      <c r="T116" s="15"/>
      <c r="U116" s="15"/>
      <c r="V116" s="53">
        <v>27320</v>
      </c>
      <c r="X116" s="17">
        <v>27130</v>
      </c>
      <c r="Y116" s="17">
        <v>32247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32" customFormat="1" ht="21" customHeight="1">
      <c r="A117" s="30"/>
      <c r="B117" s="4" t="s">
        <v>313</v>
      </c>
      <c r="C117" s="4">
        <v>13</v>
      </c>
      <c r="D117" s="19">
        <v>26408</v>
      </c>
      <c r="E117" s="4">
        <v>26500</v>
      </c>
      <c r="F117" s="4">
        <v>26424</v>
      </c>
      <c r="G117" s="4">
        <v>6055600</v>
      </c>
      <c r="H117" s="4">
        <v>31052</v>
      </c>
      <c r="I117" s="4">
        <v>30992</v>
      </c>
      <c r="J117" s="4">
        <v>31080</v>
      </c>
      <c r="K117" s="4">
        <v>857400</v>
      </c>
      <c r="L117" s="4">
        <f t="shared" si="14"/>
        <v>160013174400</v>
      </c>
      <c r="M117" s="4">
        <f t="shared" si="13"/>
        <v>26647992000</v>
      </c>
      <c r="N117" s="32">
        <v>26765</v>
      </c>
      <c r="O117" s="32">
        <v>31302</v>
      </c>
      <c r="P117" s="4">
        <v>26672</v>
      </c>
      <c r="Q117" s="32">
        <v>31362</v>
      </c>
      <c r="R117" s="4"/>
      <c r="S117" s="4"/>
      <c r="T117" s="4"/>
      <c r="U117" s="4"/>
      <c r="V117" s="49">
        <v>27170</v>
      </c>
      <c r="X117" s="32">
        <v>27050</v>
      </c>
      <c r="Y117" s="32">
        <v>32273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19"/>
      <c r="AT117" s="19"/>
      <c r="AU117" s="19"/>
      <c r="AV117" s="19"/>
      <c r="AW117" s="19"/>
      <c r="AX117" s="19"/>
      <c r="AY117" s="4"/>
      <c r="AZ117" s="4"/>
      <c r="BA117" s="4"/>
      <c r="BB117" s="4"/>
      <c r="BC117" s="4"/>
      <c r="BE117" s="31"/>
      <c r="BF117" s="31"/>
      <c r="BG117" s="31"/>
      <c r="BH117" s="31"/>
    </row>
    <row r="118" spans="1:62" s="63" customFormat="1" ht="21" customHeight="1">
      <c r="A118" s="60"/>
      <c r="B118" s="61" t="s">
        <v>315</v>
      </c>
      <c r="C118" s="61">
        <v>14</v>
      </c>
      <c r="D118" s="62">
        <v>26441</v>
      </c>
      <c r="E118" s="61">
        <v>26423</v>
      </c>
      <c r="F118" s="61">
        <v>26453</v>
      </c>
      <c r="G118" s="61">
        <v>6934900</v>
      </c>
      <c r="H118" s="61">
        <v>31300</v>
      </c>
      <c r="I118" s="61">
        <v>31047</v>
      </c>
      <c r="J118" s="61">
        <v>31045</v>
      </c>
      <c r="K118" s="61">
        <v>1267000</v>
      </c>
      <c r="L118" s="61">
        <f t="shared" si="14"/>
        <v>183448909700</v>
      </c>
      <c r="M118" s="61">
        <f t="shared" si="13"/>
        <v>39334015000</v>
      </c>
      <c r="N118" s="63">
        <v>26687</v>
      </c>
      <c r="O118" s="63">
        <v>31358</v>
      </c>
      <c r="P118" s="61">
        <v>26705</v>
      </c>
      <c r="Q118" s="63">
        <v>31613</v>
      </c>
      <c r="R118" s="61"/>
      <c r="S118" s="61"/>
      <c r="T118" s="61"/>
      <c r="U118" s="61"/>
      <c r="V118" s="64">
        <v>27170</v>
      </c>
      <c r="X118" s="63">
        <v>27190</v>
      </c>
      <c r="Y118" s="63">
        <v>32356</v>
      </c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2"/>
      <c r="AT118" s="62"/>
      <c r="AU118" s="62"/>
      <c r="AV118" s="62"/>
      <c r="AW118" s="62"/>
      <c r="AX118" s="62"/>
      <c r="AY118" s="61"/>
      <c r="AZ118" s="61"/>
      <c r="BA118" s="61"/>
      <c r="BB118" s="61"/>
      <c r="BC118" s="61"/>
      <c r="BE118" s="65"/>
      <c r="BF118" s="65"/>
      <c r="BG118" s="65"/>
      <c r="BH118" s="65"/>
    </row>
    <row r="119" spans="1:62" s="69" customFormat="1" ht="21" customHeight="1">
      <c r="A119" s="66"/>
      <c r="B119" s="67" t="s">
        <v>317</v>
      </c>
      <c r="C119" s="67">
        <v>15</v>
      </c>
      <c r="D119" s="68">
        <v>26450</v>
      </c>
      <c r="E119" s="67">
        <v>26328</v>
      </c>
      <c r="F119" s="67">
        <v>26359</v>
      </c>
      <c r="G119" s="67">
        <v>5658100</v>
      </c>
      <c r="H119" s="67">
        <v>30950</v>
      </c>
      <c r="I119" s="67">
        <v>31104</v>
      </c>
      <c r="J119" s="67">
        <v>31137</v>
      </c>
      <c r="K119" s="67">
        <v>702100</v>
      </c>
      <c r="L119" s="67">
        <f t="shared" si="14"/>
        <v>149141857900</v>
      </c>
      <c r="M119" s="67">
        <f t="shared" si="13"/>
        <v>21861287700</v>
      </c>
      <c r="N119" s="69">
        <v>26591</v>
      </c>
      <c r="O119" s="69">
        <v>31415</v>
      </c>
      <c r="P119" s="67">
        <v>26714</v>
      </c>
      <c r="Q119" s="69">
        <v>31259</v>
      </c>
      <c r="R119" s="67"/>
      <c r="S119" s="67"/>
      <c r="T119" s="67"/>
      <c r="U119" s="67"/>
      <c r="V119" s="70">
        <v>27070</v>
      </c>
      <c r="X119" s="69">
        <v>27010</v>
      </c>
      <c r="Y119" s="69">
        <v>32081</v>
      </c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67"/>
      <c r="AQ119" s="67"/>
      <c r="AR119" s="67"/>
      <c r="AS119" s="68"/>
      <c r="AT119" s="68"/>
      <c r="AU119" s="68"/>
      <c r="AV119" s="68"/>
      <c r="AW119" s="68"/>
      <c r="AX119" s="68"/>
      <c r="AY119" s="67"/>
      <c r="AZ119" s="67"/>
      <c r="BA119" s="67"/>
      <c r="BB119" s="67"/>
      <c r="BC119" s="67"/>
      <c r="BE119" s="71"/>
      <c r="BF119" s="71"/>
      <c r="BG119" s="71"/>
      <c r="BH119" s="71"/>
    </row>
    <row r="120" spans="1:62" s="58" customFormat="1" ht="21" customHeight="1">
      <c r="A120" s="55"/>
      <c r="B120" s="56" t="s">
        <v>320</v>
      </c>
      <c r="C120" s="56">
        <v>16</v>
      </c>
      <c r="D120" s="57">
        <v>26570</v>
      </c>
      <c r="E120" s="56">
        <v>26360</v>
      </c>
      <c r="F120" s="56">
        <v>26384</v>
      </c>
      <c r="G120" s="56">
        <v>7781600</v>
      </c>
      <c r="H120" s="56">
        <v>31212</v>
      </c>
      <c r="I120" s="56">
        <v>31350</v>
      </c>
      <c r="J120" s="56">
        <v>31111</v>
      </c>
      <c r="K120" s="56">
        <v>1167200</v>
      </c>
      <c r="L120" s="67">
        <f t="shared" si="14"/>
        <v>205309734400</v>
      </c>
      <c r="M120" s="67">
        <f t="shared" si="13"/>
        <v>36312759200</v>
      </c>
      <c r="N120" s="58">
        <v>26623</v>
      </c>
      <c r="O120" s="58">
        <v>31663</v>
      </c>
      <c r="P120" s="56">
        <v>26836</v>
      </c>
      <c r="Q120" s="58">
        <v>31525</v>
      </c>
      <c r="R120" s="56"/>
      <c r="S120" s="56"/>
      <c r="T120" s="56"/>
      <c r="U120" s="56"/>
      <c r="V120" s="58">
        <v>27180</v>
      </c>
      <c r="X120" s="58">
        <v>27120</v>
      </c>
      <c r="Y120" s="58">
        <v>32297</v>
      </c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7"/>
      <c r="AT120" s="57"/>
      <c r="AU120" s="57"/>
      <c r="AV120" s="57"/>
      <c r="AW120" s="57"/>
      <c r="AX120" s="57"/>
      <c r="AY120" s="56"/>
      <c r="AZ120" s="56"/>
      <c r="BA120" s="56"/>
      <c r="BB120" s="56"/>
      <c r="BC120" s="56"/>
      <c r="BE120" s="59"/>
      <c r="BF120" s="59"/>
      <c r="BG120" s="59"/>
      <c r="BH120" s="59"/>
    </row>
    <row r="121" spans="1:62" ht="18">
      <c r="A121" s="6"/>
      <c r="B121" s="7"/>
      <c r="C121" s="7"/>
      <c r="D121" s="19"/>
      <c r="E121" s="7"/>
      <c r="F121" s="7"/>
      <c r="G121" s="7">
        <f>SUM(G2:G119)/118</f>
        <v>5801599.1440677969</v>
      </c>
      <c r="H121" s="7"/>
      <c r="I121" s="7"/>
      <c r="J121" s="7"/>
      <c r="K121" s="7">
        <f>SUM(K2:K119)</f>
        <v>118038800</v>
      </c>
      <c r="L121" s="7">
        <f>SUM(L2:L120)</f>
        <v>16578502169009</v>
      </c>
      <c r="M121" s="4">
        <f>SUM(M2:M120)</f>
        <v>3365919895100</v>
      </c>
      <c r="N121" s="4"/>
      <c r="O121" s="4"/>
      <c r="P121" s="4"/>
      <c r="Q121" s="4"/>
      <c r="R121" s="4"/>
      <c r="S121" s="4"/>
      <c r="T121" s="4"/>
      <c r="U121" s="4"/>
      <c r="W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Y121" s="4"/>
      <c r="AZ121" s="4"/>
      <c r="BA121" s="4"/>
      <c r="BB121" s="4"/>
      <c r="BC121" s="4"/>
      <c r="BD121" s="4"/>
      <c r="BE121" s="3"/>
      <c r="BF121" s="3"/>
      <c r="BG121" s="3"/>
      <c r="BH121" s="3"/>
      <c r="BI121" t="e">
        <f>#REF!-N121</f>
        <v>#REF!</v>
      </c>
      <c r="BJ121" t="e">
        <f t="shared" si="3"/>
        <v>#DIV/0!</v>
      </c>
    </row>
    <row r="122" spans="1:62" ht="18">
      <c r="D122" s="19"/>
      <c r="Z122" s="12"/>
      <c r="AB122" s="12"/>
      <c r="AS122" s="12"/>
      <c r="AW122" s="29"/>
    </row>
    <row r="123" spans="1:62" ht="18">
      <c r="D123" s="19"/>
      <c r="Z123" s="12"/>
      <c r="AS123" s="19"/>
      <c r="AW123" s="29"/>
      <c r="AY123">
        <f>AY51-AY50</f>
        <v>35000</v>
      </c>
    </row>
    <row r="124" spans="1:62" ht="18">
      <c r="Z124" s="12"/>
      <c r="AS124" s="19">
        <v>10290000</v>
      </c>
      <c r="AW124" s="29"/>
      <c r="BB124">
        <f>AY60-AY59</f>
        <v>70000</v>
      </c>
    </row>
    <row r="125" spans="1:62" ht="18">
      <c r="G125">
        <f>(G110-G121)/G121</f>
        <v>0.62241474570412092</v>
      </c>
      <c r="V125" s="12"/>
      <c r="Z125" s="12"/>
      <c r="AS125" s="19"/>
      <c r="AU125">
        <f>AS124-AS49</f>
        <v>195000</v>
      </c>
      <c r="AW125" s="29">
        <f>AC52-AY51</f>
        <v>305000</v>
      </c>
    </row>
    <row r="126" spans="1:62" ht="18">
      <c r="V126" s="12"/>
      <c r="Z126" s="12"/>
      <c r="AW126" s="29"/>
    </row>
    <row r="127" spans="1:62" ht="17.25" customHeight="1">
      <c r="F127">
        <f>(D112-F111)/F111</f>
        <v>3.7955768081291093E-2</v>
      </c>
      <c r="V127" s="12"/>
      <c r="Z127" s="12"/>
    </row>
    <row r="128" spans="1:62" ht="18">
      <c r="D128">
        <f>(D112-F111)/F111</f>
        <v>3.7955768081291093E-2</v>
      </c>
      <c r="V128" s="12"/>
      <c r="Z128" s="12"/>
      <c r="AW128">
        <f>AW125/AY51</f>
        <v>2.9539951573849879E-2</v>
      </c>
    </row>
    <row r="129" spans="22:22" ht="18">
      <c r="V129" s="12"/>
    </row>
    <row r="130" spans="22:22" ht="18">
      <c r="V130" s="12"/>
    </row>
  </sheetData>
  <autoFilter ref="A1:BL125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topLeftCell="A214" zoomScale="70" zoomScaleNormal="70" workbookViewId="0">
      <selection activeCell="B240" sqref="B240"/>
    </sheetView>
  </sheetViews>
  <sheetFormatPr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ht="13.9" customHeight="1">
      <c r="A22" t="s">
        <v>299</v>
      </c>
      <c r="B22">
        <v>26644</v>
      </c>
      <c r="C22">
        <v>31446</v>
      </c>
      <c r="D22">
        <v>37496400</v>
      </c>
      <c r="E22">
        <f>D22/4</f>
        <v>9374100</v>
      </c>
      <c r="F22">
        <v>3371200</v>
      </c>
      <c r="G22">
        <f>F22/4</f>
        <v>842800</v>
      </c>
      <c r="H22">
        <v>26908</v>
      </c>
      <c r="I22">
        <v>31740</v>
      </c>
      <c r="J22">
        <v>27648</v>
      </c>
      <c r="K22">
        <v>32496</v>
      </c>
    </row>
    <row r="23" spans="1:11" ht="13.9" customHeight="1">
      <c r="A23" t="s">
        <v>312</v>
      </c>
      <c r="B23">
        <v>26657</v>
      </c>
      <c r="C23">
        <v>31227</v>
      </c>
      <c r="D23">
        <v>31542000</v>
      </c>
      <c r="E23">
        <f>D23/5</f>
        <v>6308400</v>
      </c>
      <c r="F23">
        <v>6567800</v>
      </c>
      <c r="G23">
        <f>F23/5</f>
        <v>1313560</v>
      </c>
      <c r="H23">
        <v>26837</v>
      </c>
      <c r="I23">
        <v>31393</v>
      </c>
      <c r="J23">
        <v>27427</v>
      </c>
      <c r="K23">
        <v>32582</v>
      </c>
    </row>
    <row r="24" spans="1:11">
      <c r="B24">
        <f>(B2-B8)/B2</f>
        <v>0.15346494762288476</v>
      </c>
      <c r="C24">
        <f>(C2-C8)/C2</f>
        <v>0.1154959674639829</v>
      </c>
      <c r="D24">
        <f>SUM(D2:D16)/15</f>
        <v>29639479.933333334</v>
      </c>
    </row>
    <row r="28" spans="1:11">
      <c r="D28">
        <v>5375132</v>
      </c>
      <c r="E28">
        <f>(E17-D28)/D28</f>
        <v>4.5958809321644006E-2</v>
      </c>
      <c r="G28">
        <f>B3-B2</f>
        <v>-554</v>
      </c>
    </row>
    <row r="29" spans="1:11">
      <c r="G29">
        <f t="shared" ref="G29:G36" si="0">B4-B3</f>
        <v>-302</v>
      </c>
    </row>
    <row r="30" spans="1:11">
      <c r="C30">
        <f>(D28-E16)/E16</f>
        <v>0.17110375179746395</v>
      </c>
      <c r="G30">
        <f t="shared" si="0"/>
        <v>-511</v>
      </c>
    </row>
    <row r="31" spans="1:11">
      <c r="G31">
        <f t="shared" si="0"/>
        <v>-362</v>
      </c>
    </row>
    <row r="32" spans="1:11">
      <c r="G32">
        <f t="shared" si="0"/>
        <v>-1699</v>
      </c>
    </row>
    <row r="33" spans="7:7">
      <c r="G33">
        <f t="shared" si="0"/>
        <v>-381</v>
      </c>
    </row>
    <row r="34" spans="7:7">
      <c r="G34">
        <f t="shared" si="0"/>
        <v>1075</v>
      </c>
    </row>
    <row r="35" spans="7:7">
      <c r="G35">
        <f t="shared" si="0"/>
        <v>151</v>
      </c>
    </row>
    <row r="36" spans="7:7">
      <c r="G36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9"/>
  <sheetViews>
    <sheetView topLeftCell="A676" workbookViewId="0">
      <selection activeCell="D693" sqref="D693"/>
    </sheetView>
  </sheetViews>
  <sheetFormatPr defaultRowHeight="15"/>
  <cols>
    <col min="2" max="3" width="19.7109375" customWidth="1"/>
    <col min="4" max="4" width="15.85546875" bestFit="1" customWidth="1"/>
    <col min="5" max="5" width="10" bestFit="1" customWidth="1"/>
    <col min="7" max="7" width="13.42578125" customWidth="1"/>
    <col min="8" max="8" width="15.85546875" bestFit="1" customWidth="1"/>
    <col min="9" max="9" width="10.7109375" bestFit="1" customWidth="1"/>
  </cols>
  <sheetData>
    <row r="1" spans="1:4" ht="20.100000000000001" customHeight="1">
      <c r="A1" s="72" t="s">
        <v>162</v>
      </c>
      <c r="B1" s="72"/>
      <c r="C1" s="72"/>
      <c r="D1" s="72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72" t="s">
        <v>169</v>
      </c>
      <c r="B11" s="72"/>
      <c r="C11" s="72"/>
      <c r="D11" s="72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72" t="s">
        <v>170</v>
      </c>
      <c r="B21" s="72"/>
      <c r="C21" s="72"/>
      <c r="D21" s="72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72" t="s">
        <v>172</v>
      </c>
      <c r="B31" s="72"/>
      <c r="C31" s="72"/>
      <c r="D31" s="72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72" t="s">
        <v>173</v>
      </c>
      <c r="B41" s="72"/>
      <c r="C41" s="72"/>
      <c r="D41" s="72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72" t="s">
        <v>177</v>
      </c>
      <c r="B51" s="72"/>
      <c r="C51" s="72"/>
      <c r="D51" s="72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72" t="s">
        <v>179</v>
      </c>
      <c r="B61" s="72"/>
      <c r="C61" s="72"/>
      <c r="D61" s="72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72" t="s">
        <v>182</v>
      </c>
      <c r="B71" s="72"/>
      <c r="C71" s="72"/>
      <c r="D71" s="72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72" t="s">
        <v>184</v>
      </c>
      <c r="B81" s="72"/>
      <c r="C81" s="72"/>
      <c r="D81" s="72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72" t="s">
        <v>190</v>
      </c>
      <c r="B93" s="72"/>
      <c r="C93" s="72"/>
      <c r="D93" s="72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72" t="s">
        <v>191</v>
      </c>
      <c r="B103" s="72"/>
      <c r="C103" s="72"/>
      <c r="D103" s="72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72" t="s">
        <v>194</v>
      </c>
      <c r="B113" s="72"/>
      <c r="C113" s="72"/>
      <c r="D113" s="72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72" t="s">
        <v>197</v>
      </c>
      <c r="B123" s="72"/>
      <c r="C123" s="72"/>
      <c r="D123" s="72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72" t="s">
        <v>199</v>
      </c>
      <c r="B133" s="72"/>
      <c r="C133" s="72"/>
      <c r="D133" s="72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72" t="s">
        <v>201</v>
      </c>
      <c r="B143" s="72"/>
      <c r="C143" s="72"/>
      <c r="D143" s="72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72" t="s">
        <v>205</v>
      </c>
      <c r="B153" s="72"/>
      <c r="C153" s="72"/>
      <c r="D153" s="72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72" t="s">
        <v>207</v>
      </c>
      <c r="B163" s="72"/>
      <c r="C163" s="72"/>
      <c r="D163" s="72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72" t="s">
        <v>209</v>
      </c>
      <c r="B173" s="72"/>
      <c r="C173" s="72"/>
      <c r="D173" s="72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72" t="s">
        <v>210</v>
      </c>
      <c r="B183" s="72"/>
      <c r="C183" s="72"/>
      <c r="D183" s="72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72" t="s">
        <v>212</v>
      </c>
      <c r="B193" s="72"/>
      <c r="C193" s="72"/>
      <c r="D193" s="72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72" t="s">
        <v>214</v>
      </c>
      <c r="B203" s="72"/>
      <c r="C203" s="72"/>
      <c r="D203" s="72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72" t="s">
        <v>216</v>
      </c>
      <c r="B213" s="72"/>
      <c r="C213" s="72"/>
      <c r="D213" s="72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72" t="s">
        <v>217</v>
      </c>
      <c r="B223" s="72"/>
      <c r="C223" s="72"/>
      <c r="D223" s="72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72" t="s">
        <v>221</v>
      </c>
      <c r="B233" s="72"/>
      <c r="C233" s="72"/>
      <c r="D233" s="72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72" t="s">
        <v>222</v>
      </c>
      <c r="B243" s="72"/>
      <c r="C243" s="72"/>
      <c r="D243" s="72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72" t="s">
        <v>224</v>
      </c>
      <c r="B253" s="72"/>
      <c r="C253" s="72"/>
      <c r="D253" s="72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72" t="s">
        <v>226</v>
      </c>
      <c r="B263" s="72"/>
      <c r="C263" s="72"/>
      <c r="D263" s="72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72" t="s">
        <v>229</v>
      </c>
      <c r="B273" s="72"/>
      <c r="C273" s="72"/>
      <c r="D273" s="72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72" t="s">
        <v>231</v>
      </c>
      <c r="B283" s="72"/>
      <c r="C283" s="72"/>
      <c r="D283" s="72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72" t="s">
        <v>232</v>
      </c>
      <c r="B293" s="72"/>
      <c r="C293" s="72"/>
      <c r="D293" s="72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72" t="s">
        <v>234</v>
      </c>
      <c r="B303" s="72"/>
      <c r="C303" s="72"/>
      <c r="D303" s="72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72" t="s">
        <v>240</v>
      </c>
      <c r="B313" s="72"/>
      <c r="C313" s="72"/>
      <c r="D313" s="72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72" t="s">
        <v>245</v>
      </c>
      <c r="B324" s="72"/>
      <c r="C324" s="72"/>
      <c r="D324" s="72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72" t="s">
        <v>246</v>
      </c>
      <c r="B335" s="72"/>
      <c r="C335" s="72"/>
      <c r="D335" s="72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72" t="s">
        <v>247</v>
      </c>
      <c r="B346" s="72"/>
      <c r="C346" s="72"/>
      <c r="D346" s="72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72" t="s">
        <v>249</v>
      </c>
      <c r="B357" s="72"/>
      <c r="C357" s="72"/>
      <c r="D357" s="72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72" t="s">
        <v>250</v>
      </c>
      <c r="B368" s="72"/>
      <c r="C368" s="72"/>
      <c r="D368" s="72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72" t="s">
        <v>251</v>
      </c>
      <c r="B379" s="72"/>
      <c r="C379" s="72"/>
      <c r="D379" s="72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72" t="s">
        <v>252</v>
      </c>
      <c r="B390" s="72"/>
      <c r="C390" s="72"/>
      <c r="D390" s="72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72" t="s">
        <v>253</v>
      </c>
      <c r="B401" s="72"/>
      <c r="C401" s="72"/>
      <c r="D401" s="72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72" t="s">
        <v>254</v>
      </c>
      <c r="B412" s="72"/>
      <c r="C412" s="72"/>
      <c r="D412" s="72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72" t="s">
        <v>255</v>
      </c>
      <c r="B423" s="72"/>
      <c r="C423" s="72"/>
      <c r="D423" s="72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72" t="s">
        <v>260</v>
      </c>
      <c r="B434" s="72"/>
      <c r="C434" s="72"/>
      <c r="D434" s="72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72" t="s">
        <v>261</v>
      </c>
      <c r="B445" s="72"/>
      <c r="C445" s="72"/>
      <c r="D445" s="72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72" t="s">
        <v>262</v>
      </c>
      <c r="B456" s="72"/>
      <c r="C456" s="72"/>
      <c r="D456" s="72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72" t="s">
        <v>263</v>
      </c>
      <c r="B467" s="72"/>
      <c r="C467" s="72"/>
      <c r="D467" s="72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72" t="s">
        <v>277</v>
      </c>
      <c r="B478" s="72"/>
      <c r="C478" s="72"/>
      <c r="D478" s="72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72" t="s">
        <v>278</v>
      </c>
      <c r="B489" s="72"/>
      <c r="C489" s="72"/>
      <c r="D489" s="72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72" t="s">
        <v>282</v>
      </c>
      <c r="B500" s="72"/>
      <c r="C500" s="72"/>
      <c r="D500" s="72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72" t="s">
        <v>287</v>
      </c>
      <c r="B511" s="72"/>
      <c r="C511" s="72"/>
      <c r="D511" s="72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72" t="s">
        <v>288</v>
      </c>
      <c r="B522" s="72"/>
      <c r="C522" s="72"/>
      <c r="D522" s="72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72" t="s">
        <v>290</v>
      </c>
      <c r="B533" s="72"/>
      <c r="C533" s="72"/>
      <c r="D533" s="72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72" t="s">
        <v>291</v>
      </c>
      <c r="B544" s="72"/>
      <c r="C544" s="72"/>
      <c r="D544" s="72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72" t="s">
        <v>294</v>
      </c>
      <c r="B555" s="72"/>
      <c r="C555" s="72"/>
      <c r="D555" s="72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72" t="s">
        <v>294</v>
      </c>
      <c r="B567" s="72"/>
      <c r="C567" s="72"/>
      <c r="D567" s="72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72" t="s">
        <v>301</v>
      </c>
      <c r="B579" s="72"/>
      <c r="C579" s="72"/>
      <c r="D579" s="72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72" t="s">
        <v>302</v>
      </c>
      <c r="B590" s="72"/>
      <c r="C590" s="72"/>
      <c r="D590" s="72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72" t="s">
        <v>305</v>
      </c>
      <c r="B601" s="72"/>
      <c r="C601" s="72"/>
      <c r="D601" s="72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72" t="s">
        <v>306</v>
      </c>
      <c r="B612" s="72"/>
      <c r="C612" s="72"/>
      <c r="D612" s="72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72" t="s">
        <v>309</v>
      </c>
      <c r="B623" s="72"/>
      <c r="C623" s="72"/>
      <c r="D623" s="72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72" t="s">
        <v>310</v>
      </c>
      <c r="B635" s="72"/>
      <c r="C635" s="72"/>
      <c r="D635" s="72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72" t="s">
        <v>314</v>
      </c>
      <c r="B647" s="72"/>
      <c r="C647" s="72"/>
      <c r="D647" s="72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72" t="s">
        <v>316</v>
      </c>
      <c r="B658" s="72"/>
      <c r="C658" s="72"/>
      <c r="D658" s="72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72" t="s">
        <v>318</v>
      </c>
      <c r="B670" s="72"/>
      <c r="C670" s="72"/>
      <c r="D670" s="72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4">
      <c r="A673" s="44" t="s">
        <v>158</v>
      </c>
      <c r="B673" s="3">
        <v>27050</v>
      </c>
      <c r="C673" s="3">
        <v>7400</v>
      </c>
      <c r="D673">
        <v>12070000</v>
      </c>
    </row>
    <row r="674" spans="1:4">
      <c r="A674" s="45" t="s">
        <v>157</v>
      </c>
      <c r="B674" s="3">
        <v>27000</v>
      </c>
      <c r="C674" s="3">
        <v>7370</v>
      </c>
      <c r="D674">
        <v>12040000</v>
      </c>
    </row>
    <row r="675" spans="1:4">
      <c r="A675" s="43" t="s">
        <v>156</v>
      </c>
      <c r="B675" s="3">
        <v>27020</v>
      </c>
      <c r="C675" s="3">
        <v>7390</v>
      </c>
      <c r="D675">
        <v>12030000</v>
      </c>
    </row>
    <row r="676" spans="1:4">
      <c r="A676" s="43">
        <v>0.625</v>
      </c>
      <c r="B676" s="3">
        <v>27010</v>
      </c>
      <c r="C676" s="3">
        <v>7385</v>
      </c>
      <c r="D676">
        <v>12060000</v>
      </c>
    </row>
    <row r="677" spans="1:4">
      <c r="A677" s="44" t="s">
        <v>159</v>
      </c>
      <c r="B677" s="3">
        <v>27010</v>
      </c>
      <c r="C677" s="3">
        <v>7385</v>
      </c>
      <c r="D677">
        <v>12030000</v>
      </c>
    </row>
    <row r="678" spans="1:4">
      <c r="A678" s="44" t="s">
        <v>160</v>
      </c>
      <c r="B678" s="3">
        <v>27010</v>
      </c>
      <c r="C678" s="3">
        <v>7385</v>
      </c>
      <c r="D678">
        <v>12050000</v>
      </c>
    </row>
    <row r="681" spans="1:4">
      <c r="A681" s="72" t="s">
        <v>319</v>
      </c>
      <c r="B681" s="72"/>
      <c r="C681" s="72"/>
      <c r="D681" s="72"/>
    </row>
    <row r="682" spans="1:4">
      <c r="A682" s="3" t="s">
        <v>148</v>
      </c>
      <c r="B682" s="3" t="s">
        <v>165</v>
      </c>
      <c r="C682" s="3" t="s">
        <v>164</v>
      </c>
      <c r="D682" s="3" t="s">
        <v>163</v>
      </c>
    </row>
    <row r="683" spans="1:4">
      <c r="A683" s="43">
        <v>0.45833333333333331</v>
      </c>
      <c r="B683" s="3">
        <v>27180</v>
      </c>
      <c r="C683" s="3">
        <v>7410</v>
      </c>
      <c r="D683">
        <v>12100000</v>
      </c>
    </row>
    <row r="684" spans="1:4">
      <c r="A684" s="44" t="s">
        <v>158</v>
      </c>
      <c r="B684" s="3">
        <v>27170</v>
      </c>
      <c r="C684" s="3">
        <v>7405</v>
      </c>
      <c r="D684">
        <v>12110000</v>
      </c>
    </row>
    <row r="685" spans="1:4">
      <c r="A685" s="45" t="s">
        <v>157</v>
      </c>
      <c r="B685" s="3">
        <v>27080</v>
      </c>
      <c r="C685" s="3">
        <v>7420</v>
      </c>
      <c r="D685">
        <v>12080000</v>
      </c>
    </row>
    <row r="686" spans="1:4">
      <c r="A686" s="43" t="s">
        <v>156</v>
      </c>
      <c r="B686" s="3">
        <v>27120</v>
      </c>
      <c r="C686" s="3">
        <v>7410</v>
      </c>
      <c r="D686">
        <v>12080000</v>
      </c>
    </row>
    <row r="687" spans="1:4">
      <c r="A687" s="43">
        <v>0.625</v>
      </c>
      <c r="B687" s="3">
        <v>27120</v>
      </c>
      <c r="C687" s="3">
        <v>7410</v>
      </c>
      <c r="D687">
        <v>12080000</v>
      </c>
    </row>
    <row r="688" spans="1:4">
      <c r="A688" s="44" t="s">
        <v>159</v>
      </c>
      <c r="B688" s="3">
        <v>27120</v>
      </c>
      <c r="C688" s="3">
        <v>7410</v>
      </c>
      <c r="D688">
        <v>12110000</v>
      </c>
    </row>
    <row r="689" spans="1:4">
      <c r="A689" s="44" t="s">
        <v>160</v>
      </c>
      <c r="B689" s="3">
        <v>27120</v>
      </c>
      <c r="C689" s="3">
        <v>7410</v>
      </c>
      <c r="D689">
        <v>12140000</v>
      </c>
    </row>
  </sheetData>
  <mergeCells count="65">
    <mergeCell ref="A681:D681"/>
    <mergeCell ref="A670:D670"/>
    <mergeCell ref="A283:D283"/>
    <mergeCell ref="A601:D601"/>
    <mergeCell ref="A590:D590"/>
    <mergeCell ref="A579:D579"/>
    <mergeCell ref="A567:D567"/>
    <mergeCell ref="A346:D346"/>
    <mergeCell ref="A313:D313"/>
    <mergeCell ref="A335:D335"/>
    <mergeCell ref="A324:D324"/>
    <mergeCell ref="A293:D293"/>
    <mergeCell ref="A456:D456"/>
    <mergeCell ref="A303:D303"/>
    <mergeCell ref="A445:D445"/>
    <mergeCell ref="A533:D533"/>
    <mergeCell ref="A401:D401"/>
    <mergeCell ref="A390:D390"/>
    <mergeCell ref="A434:D434"/>
    <mergeCell ref="A423:D423"/>
    <mergeCell ref="A412:D412"/>
    <mergeCell ref="A357:D357"/>
    <mergeCell ref="A273:D273"/>
    <mergeCell ref="A263:D263"/>
    <mergeCell ref="A253:D253"/>
    <mergeCell ref="A379:D379"/>
    <mergeCell ref="A368:D368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33:D133"/>
    <mergeCell ref="A143:D143"/>
    <mergeCell ref="A555:D555"/>
    <mergeCell ref="A544:D544"/>
    <mergeCell ref="A511:D511"/>
    <mergeCell ref="A467:D467"/>
    <mergeCell ref="A500:D500"/>
    <mergeCell ref="A489:D489"/>
    <mergeCell ref="A478:D478"/>
    <mergeCell ref="A522:D522"/>
    <mergeCell ref="A658:D658"/>
    <mergeCell ref="A647:D647"/>
    <mergeCell ref="A635:D635"/>
    <mergeCell ref="A623:D623"/>
    <mergeCell ref="A612:D6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64"/>
  <sheetViews>
    <sheetView tabSelected="1" workbookViewId="0">
      <selection activeCell="M65" sqref="M65"/>
    </sheetView>
  </sheetViews>
  <sheetFormatPr defaultRowHeight="15"/>
  <cols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4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4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13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13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13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13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13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13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13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13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13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13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13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13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13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13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13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</row>
    <row r="64" spans="2:13">
      <c r="B64">
        <v>14000616</v>
      </c>
      <c r="C64" s="54">
        <v>27120</v>
      </c>
      <c r="D64">
        <v>12140000</v>
      </c>
      <c r="E64">
        <v>1173179</v>
      </c>
      <c r="F64">
        <f t="shared" si="1"/>
        <v>0.40725657164013329</v>
      </c>
      <c r="G64">
        <f t="shared" si="0"/>
        <v>0.74688796680497926</v>
      </c>
      <c r="H64">
        <f t="shared" si="0"/>
        <v>0.73344741752151099</v>
      </c>
      <c r="I64">
        <v>-1</v>
      </c>
      <c r="J64">
        <v>0.41</v>
      </c>
      <c r="K64">
        <v>0.75</v>
      </c>
      <c r="L64">
        <v>0.73</v>
      </c>
      <c r="M64">
        <v>-1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2021-04-05T10:39:57Z</dcterms:created>
  <dcterms:modified xsi:type="dcterms:W3CDTF">2021-09-07T12:21:25Z</dcterms:modified>
</cp:coreProperties>
</file>