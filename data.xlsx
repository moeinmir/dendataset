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set'!$A$1:$BL$176</definedName>
    <definedName name="_xlnm._FilterDatabase" localSheetId="1" hidden="1">weekly!$A$1:$K$45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87" i="1"/>
  <c r="H102" i="5" l="1"/>
  <c r="G102" i="5"/>
  <c r="F102" i="5"/>
  <c r="G172" i="1" l="1"/>
  <c r="I176" i="1" s="1"/>
  <c r="H101" i="5" l="1"/>
  <c r="G101" i="5"/>
  <c r="F101" i="5"/>
  <c r="G177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5" i="2"/>
  <c r="G44" i="2"/>
  <c r="G43" i="2"/>
  <c r="G42" i="2"/>
  <c r="G41" i="2"/>
  <c r="G40" i="2"/>
  <c r="G39" i="2"/>
  <c r="G38" i="2"/>
  <c r="G37" i="2"/>
  <c r="D33" i="2"/>
  <c r="C33" i="2"/>
  <c r="B3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7" i="2" s="1"/>
  <c r="G16" i="2"/>
  <c r="E16" i="2"/>
  <c r="C3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90" i="1"/>
  <c r="AW176" i="1"/>
  <c r="AW179" i="1" s="1"/>
  <c r="AU176" i="1"/>
  <c r="T176" i="1"/>
  <c r="BB175" i="1"/>
  <c r="AY174" i="1"/>
  <c r="BJ172" i="1"/>
  <c r="BI172" i="1"/>
  <c r="K172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72" i="1" l="1"/>
  <c r="S1" i="1" s="1"/>
  <c r="M172" i="1"/>
  <c r="U1" i="1" s="1"/>
</calcChain>
</file>

<file path=xl/sharedStrings.xml><?xml version="1.0" encoding="utf-8"?>
<sst xmlns="http://schemas.openxmlformats.org/spreadsheetml/2006/main" count="1475" uniqueCount="455">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</sst>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6272272"/>
        <c:axId val="1096271728"/>
      </c:lineChart>
      <c:catAx>
        <c:axId val="1096272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1728"/>
        <c:crosses val="autoZero"/>
        <c:auto val="1"/>
        <c:lblAlgn val="ctr"/>
        <c:lblOffset val="100"/>
        <c:noMultiLvlLbl val="0"/>
      </c:catAx>
      <c:valAx>
        <c:axId val="10962717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22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weekly!$B$27:$B$32</c15:sqref>
                  </c15:fullRef>
                </c:ext>
              </c:extLst>
              <c:f>weekly!$B$28:$B$32</c:f>
              <c:numCache>
                <c:formatCode>General</c:formatCode>
                <c:ptCount val="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weekly!$H$27:$H$32</c15:sqref>
                  </c15:fullRef>
                </c:ext>
              </c:extLst>
              <c:f>weekly!$H$28:$H$32</c:f>
              <c:numCache>
                <c:formatCode>General</c:formatCode>
                <c:ptCount val="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weekly!$J$27:$J$32</c15:sqref>
                  </c15:fullRef>
                </c:ext>
              </c:extLst>
              <c:f>weekly!$J$28:$J$32</c:f>
              <c:numCache>
                <c:formatCode>General</c:formatCode>
                <c:ptCount val="5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6273360"/>
        <c:axId val="1096280432"/>
      </c:lineChart>
      <c:catAx>
        <c:axId val="109627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80432"/>
        <c:crosses val="autoZero"/>
        <c:auto val="1"/>
        <c:lblAlgn val="ctr"/>
        <c:lblOffset val="100"/>
        <c:noMultiLvlLbl val="0"/>
      </c:catAx>
      <c:valAx>
        <c:axId val="1096280432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33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دوم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1219338150031218E-3"/>
                  <c:y val="-6.05577950101914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weekly!$D$2:$D$32</c:f>
              <c:numCache>
                <c:formatCode>General</c:formatCode>
                <c:ptCount val="31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6282608"/>
        <c:axId val="1096278800"/>
      </c:lineChart>
      <c:catAx>
        <c:axId val="109628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8800"/>
        <c:crosses val="autoZero"/>
        <c:auto val="1"/>
        <c:lblAlgn val="ctr"/>
        <c:lblOffset val="100"/>
        <c:noMultiLvlLbl val="0"/>
      </c:catAx>
      <c:valAx>
        <c:axId val="10962788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826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6273904"/>
        <c:axId val="1096276624"/>
      </c:lineChart>
      <c:catAx>
        <c:axId val="1096273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6624"/>
        <c:crosses val="autoZero"/>
        <c:auto val="1"/>
        <c:lblAlgn val="ctr"/>
        <c:lblOffset val="100"/>
        <c:noMultiLvlLbl val="0"/>
      </c:catAx>
      <c:valAx>
        <c:axId val="10962766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390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دوم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weekly!$F$2:$F$32</c:f>
              <c:numCache>
                <c:formatCode>General</c:formatCode>
                <c:ptCount val="31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6283152"/>
        <c:axId val="1096275536"/>
      </c:lineChart>
      <c:catAx>
        <c:axId val="109628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5536"/>
        <c:crosses val="autoZero"/>
        <c:auto val="1"/>
        <c:lblAlgn val="ctr"/>
        <c:lblOffset val="100"/>
        <c:noMultiLvlLbl val="0"/>
      </c:catAx>
      <c:valAx>
        <c:axId val="10962755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831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weekly!$C$27:$C$32</c15:sqref>
                  </c15:fullRef>
                </c:ext>
              </c:extLst>
              <c:f>weekly!$C$28:$C$32</c:f>
              <c:numCache>
                <c:formatCode>General</c:formatCode>
                <c:ptCount val="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weekly!$K$27:$K$32</c15:sqref>
                  </c15:fullRef>
                </c:ext>
              </c:extLst>
              <c:f>weekly!$K$28:$K$32</c:f>
              <c:numCache>
                <c:formatCode>General</c:formatCode>
                <c:ptCount val="5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weekly!$I$27:$I$32</c15:sqref>
                  </c15:fullRef>
                </c:ext>
              </c:extLst>
              <c:f>weekly!$I$28:$I$32</c:f>
              <c:numCache>
                <c:formatCode>General</c:formatCode>
                <c:ptCount val="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6276080"/>
        <c:axId val="1096272816"/>
      </c:lineChart>
      <c:catAx>
        <c:axId val="109627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2816"/>
        <c:crosses val="autoZero"/>
        <c:auto val="1"/>
        <c:lblAlgn val="ctr"/>
        <c:lblOffset val="100"/>
        <c:noMultiLvlLbl val="0"/>
      </c:catAx>
      <c:valAx>
        <c:axId val="1096272816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60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6279344"/>
        <c:axId val="1096284240"/>
      </c:barChart>
      <c:catAx>
        <c:axId val="109627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84240"/>
        <c:crosses val="autoZero"/>
        <c:auto val="1"/>
        <c:lblAlgn val="ctr"/>
        <c:lblOffset val="100"/>
        <c:noMultiLvlLbl val="0"/>
      </c:catAx>
      <c:valAx>
        <c:axId val="10962842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93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دوشنبه 17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3"/>
          <c:order val="2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change'!$F$105:$I$105</c:f>
              <c:numCache>
                <c:formatCode>General</c:formatCode>
                <c:ptCount val="4"/>
                <c:pt idx="0">
                  <c:v>0.71684587813620071</c:v>
                </c:pt>
                <c:pt idx="1">
                  <c:v>0.32921810699588477</c:v>
                </c:pt>
                <c:pt idx="2">
                  <c:v>0.67629623444936127</c:v>
                </c:pt>
                <c:pt idx="3">
                  <c:v>0.24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96270096"/>
        <c:axId val="94162963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09627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41629632"/>
        <c:crosses val="autoZero"/>
        <c:auto val="1"/>
        <c:lblAlgn val="ctr"/>
        <c:lblOffset val="100"/>
        <c:noMultiLvlLbl val="0"/>
      </c:catAx>
      <c:valAx>
        <c:axId val="9416296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62700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587</xdr:row>
      <xdr:rowOff>102960</xdr:rowOff>
    </xdr:from>
    <xdr:to>
      <xdr:col>11</xdr:col>
      <xdr:colOff>279360</xdr:colOff>
      <xdr:row>617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167</xdr:row>
      <xdr:rowOff>27711</xdr:rowOff>
    </xdr:from>
    <xdr:to>
      <xdr:col>41</xdr:col>
      <xdr:colOff>533400</xdr:colOff>
      <xdr:row>272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303</xdr:row>
      <xdr:rowOff>0</xdr:rowOff>
    </xdr:from>
    <xdr:to>
      <xdr:col>82</xdr:col>
      <xdr:colOff>0</xdr:colOff>
      <xdr:row>379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622</xdr:row>
      <xdr:rowOff>0</xdr:rowOff>
    </xdr:from>
    <xdr:to>
      <xdr:col>13</xdr:col>
      <xdr:colOff>354240</xdr:colOff>
      <xdr:row>652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402</xdr:row>
      <xdr:rowOff>0</xdr:rowOff>
    </xdr:from>
    <xdr:to>
      <xdr:col>83</xdr:col>
      <xdr:colOff>533400</xdr:colOff>
      <xdr:row>501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50</xdr:row>
      <xdr:rowOff>76321</xdr:rowOff>
    </xdr:from>
    <xdr:to>
      <xdr:col>44</xdr:col>
      <xdr:colOff>533400</xdr:colOff>
      <xdr:row>149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90"/>
  <sheetViews>
    <sheetView tabSelected="1" topLeftCell="B1" zoomScaleNormal="100" workbookViewId="0">
      <selection activeCell="E168" sqref="E16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L172/G172</f>
        <v>4217092.6780865043</v>
      </c>
      <c r="T1" s="3" t="s">
        <v>15</v>
      </c>
      <c r="U1" s="3">
        <f>M172/K172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K172/K62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0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2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2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2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2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0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2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2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2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2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2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2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2" s="113" customFormat="1" ht="21" customHeight="1">
      <c r="A171" s="109"/>
      <c r="B171" s="110" t="s">
        <v>453</v>
      </c>
      <c r="C171" s="111">
        <v>17</v>
      </c>
      <c r="D171" s="112">
        <v>27207</v>
      </c>
      <c r="E171" s="111">
        <v>27354</v>
      </c>
      <c r="F171" s="111">
        <v>27306</v>
      </c>
      <c r="G171" s="111">
        <v>8489900</v>
      </c>
      <c r="H171" s="111">
        <v>31137</v>
      </c>
      <c r="I171" s="111">
        <v>31294</v>
      </c>
      <c r="J171" s="113">
        <v>31148</v>
      </c>
      <c r="K171" s="111">
        <v>2332400</v>
      </c>
      <c r="L171" s="134"/>
      <c r="M171" s="134"/>
      <c r="N171" s="113">
        <v>27627</v>
      </c>
      <c r="O171" s="113">
        <v>31607</v>
      </c>
      <c r="P171" s="113">
        <v>27479</v>
      </c>
      <c r="Q171" s="113">
        <v>31449</v>
      </c>
      <c r="R171" s="111"/>
      <c r="S171" s="111"/>
      <c r="T171" s="111"/>
      <c r="U171" s="111"/>
      <c r="V171" s="113">
        <v>28020</v>
      </c>
      <c r="X171" s="113">
        <v>28100</v>
      </c>
      <c r="Y171" s="113">
        <v>32413</v>
      </c>
      <c r="Z171" s="111"/>
      <c r="AA171" s="111"/>
      <c r="AB171" s="111"/>
      <c r="AC171" s="111"/>
      <c r="AD171" s="111"/>
      <c r="AE171" s="111"/>
      <c r="AF171" s="111"/>
      <c r="AG171" s="111"/>
      <c r="AH171" s="111"/>
      <c r="AI171" s="111"/>
      <c r="AJ171" s="111"/>
      <c r="AK171" s="111"/>
      <c r="AL171" s="111"/>
      <c r="AM171" s="111"/>
      <c r="AN171" s="111"/>
      <c r="AO171" s="111"/>
      <c r="AP171" s="111"/>
      <c r="AQ171" s="111"/>
      <c r="AR171" s="111"/>
      <c r="AS171" s="112"/>
      <c r="AT171" s="112"/>
      <c r="AU171" s="112"/>
      <c r="AV171" s="112"/>
      <c r="AW171" s="112"/>
      <c r="AX171" s="112"/>
      <c r="AY171" s="111"/>
      <c r="AZ171" s="111"/>
      <c r="BA171" s="111"/>
      <c r="BB171" s="111"/>
      <c r="BC171" s="111"/>
      <c r="BE171" s="114"/>
      <c r="BF171" s="114"/>
      <c r="BG171" s="114"/>
      <c r="BH171" s="114"/>
    </row>
    <row r="172" spans="1:62" ht="18">
      <c r="A172" s="7"/>
      <c r="B172" s="8"/>
      <c r="C172" s="8"/>
      <c r="D172" s="26"/>
      <c r="E172" s="8"/>
      <c r="F172" s="8"/>
      <c r="G172" s="8">
        <f>SUM(G2:G166)/165</f>
        <v>6472793.3272727272</v>
      </c>
      <c r="H172" s="8"/>
      <c r="I172" s="8"/>
      <c r="J172" s="8"/>
      <c r="K172" s="8">
        <f>SUM(K2:K126)</f>
        <v>125564600</v>
      </c>
      <c r="L172" s="8">
        <f>SUM(L2:L169)</f>
        <v>27296369347209</v>
      </c>
      <c r="M172" s="9">
        <f>SUM(M2:M169)</f>
        <v>5008813900300</v>
      </c>
      <c r="N172" s="9"/>
      <c r="O172" s="9"/>
      <c r="P172" s="9"/>
      <c r="Q172" s="9"/>
      <c r="R172" s="9"/>
      <c r="S172" s="9"/>
      <c r="T172" s="9"/>
      <c r="U172" s="9"/>
      <c r="V172">
        <v>28010</v>
      </c>
      <c r="W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Y172" s="9"/>
      <c r="AZ172" s="9"/>
      <c r="BA172" s="9"/>
      <c r="BB172" s="9"/>
      <c r="BC172" s="9"/>
      <c r="BD172" s="9"/>
      <c r="BE172" s="10"/>
      <c r="BF172" s="10"/>
      <c r="BG172" s="10"/>
      <c r="BH172" s="10"/>
      <c r="BI172" t="e">
        <f>#REF!-N172</f>
        <v>#REF!</v>
      </c>
      <c r="BJ172" t="e">
        <f>(Y172-O172)/O172</f>
        <v>#DIV/0!</v>
      </c>
    </row>
    <row r="173" spans="1:62" ht="18">
      <c r="D173" s="26"/>
      <c r="Z173" s="25"/>
      <c r="AB173" s="25"/>
      <c r="AS173" s="25"/>
      <c r="AW173" s="30"/>
    </row>
    <row r="174" spans="1:62" ht="18">
      <c r="D174" s="26"/>
      <c r="Z174" s="25"/>
      <c r="AS174" s="26"/>
      <c r="AW174" s="30"/>
      <c r="AY174">
        <f>AY51-AY50</f>
        <v>35000</v>
      </c>
    </row>
    <row r="175" spans="1:62" ht="18">
      <c r="Z175" s="25"/>
      <c r="AS175" s="26">
        <v>10290000</v>
      </c>
      <c r="AW175" s="30"/>
      <c r="BB175">
        <f>AY60-AY59</f>
        <v>70000</v>
      </c>
    </row>
    <row r="176" spans="1:62" ht="18">
      <c r="I176">
        <f>(G166-G172)/G172</f>
        <v>0.61930089067377581</v>
      </c>
      <c r="T176">
        <f>V137-X140</f>
        <v>-620</v>
      </c>
      <c r="V176" s="25"/>
      <c r="Z176" s="25"/>
      <c r="AS176" s="26"/>
      <c r="AU176">
        <f>AS175-AS49</f>
        <v>195000</v>
      </c>
      <c r="AW176" s="30">
        <f>AC52-AY51</f>
        <v>305000</v>
      </c>
    </row>
    <row r="177" spans="4:49" ht="18">
      <c r="D177" s="99">
        <v>9387100</v>
      </c>
      <c r="G177">
        <f>(G165-G172)/G172</f>
        <v>0.73452162495206896</v>
      </c>
      <c r="V177" s="25"/>
      <c r="Z177" s="25"/>
      <c r="AW177" s="30"/>
    </row>
    <row r="178" spans="4:49" ht="17.25" customHeight="1">
      <c r="D178" s="99">
        <v>7622400</v>
      </c>
      <c r="V178" s="25"/>
      <c r="Z178" s="25"/>
    </row>
    <row r="179" spans="4:49" ht="18">
      <c r="D179" s="99">
        <v>9805000</v>
      </c>
      <c r="V179" s="25"/>
      <c r="Z179" s="25"/>
      <c r="AW179">
        <f>AW176/AY51</f>
        <v>2.9539951573849879E-2</v>
      </c>
    </row>
    <row r="180" spans="4:49" ht="18">
      <c r="D180" s="99">
        <v>12098700</v>
      </c>
      <c r="V180" s="25"/>
    </row>
    <row r="181" spans="4:49" ht="18">
      <c r="D181" s="99">
        <v>8231300</v>
      </c>
      <c r="V181" s="25"/>
    </row>
    <row r="182" spans="4:49" ht="18">
      <c r="D182" s="117">
        <v>8525400</v>
      </c>
    </row>
    <row r="183" spans="4:49" ht="18">
      <c r="D183" s="117">
        <v>8525400</v>
      </c>
    </row>
    <row r="184" spans="4:49" ht="18">
      <c r="D184" s="123">
        <v>11227200</v>
      </c>
    </row>
    <row r="185" spans="4:49" ht="18">
      <c r="D185" s="117">
        <v>10481400</v>
      </c>
      <c r="G185" s="9">
        <v>8861800</v>
      </c>
    </row>
    <row r="186" spans="4:49" ht="18">
      <c r="D186" s="111">
        <v>10300800</v>
      </c>
      <c r="G186" s="9">
        <v>8230700</v>
      </c>
    </row>
    <row r="187" spans="4:49" ht="18">
      <c r="D187">
        <f>SUM(D177:D186)/10</f>
        <v>9620470</v>
      </c>
      <c r="G187" s="9">
        <v>8995300</v>
      </c>
    </row>
    <row r="188" spans="4:49" ht="18">
      <c r="G188" s="9">
        <v>10062100</v>
      </c>
    </row>
    <row r="189" spans="4:49" ht="18">
      <c r="G189" s="9">
        <v>8462400</v>
      </c>
    </row>
    <row r="190" spans="4:49">
      <c r="G190">
        <f>SUM(G185:G189)</f>
        <v>44612300</v>
      </c>
    </row>
  </sheetData>
  <autoFilter ref="A1:BL176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B10" zoomScale="85" zoomScaleNormal="85" workbookViewId="0">
      <selection activeCell="E24" sqref="E24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2:7">
      <c r="B33">
        <f>(B2-B8)/B2</f>
        <v>0.15346494762288476</v>
      </c>
      <c r="C33">
        <f>(C2-C8)/C2</f>
        <v>0.1154959674639829</v>
      </c>
      <c r="D33">
        <f>SUM(D2:D16)/15</f>
        <v>29639479.933333334</v>
      </c>
    </row>
    <row r="37" spans="2:7">
      <c r="D37">
        <v>5375132</v>
      </c>
      <c r="E37">
        <f>(E17-D37)/D37</f>
        <v>4.5958809321644006E-2</v>
      </c>
      <c r="G37">
        <f t="shared" ref="G37:G45" si="0">B3-B2</f>
        <v>-554</v>
      </c>
    </row>
    <row r="38" spans="2:7">
      <c r="G38">
        <f t="shared" si="0"/>
        <v>-302</v>
      </c>
    </row>
    <row r="39" spans="2:7">
      <c r="C39">
        <f>(D37-E16)/E16</f>
        <v>0.17110375179746395</v>
      </c>
      <c r="G39">
        <f t="shared" si="0"/>
        <v>-511</v>
      </c>
    </row>
    <row r="40" spans="2:7">
      <c r="G40">
        <f t="shared" si="0"/>
        <v>-362</v>
      </c>
    </row>
    <row r="41" spans="2:7">
      <c r="G41">
        <f t="shared" si="0"/>
        <v>-1699</v>
      </c>
    </row>
    <row r="42" spans="2:7">
      <c r="G42">
        <f t="shared" si="0"/>
        <v>-381</v>
      </c>
    </row>
    <row r="43" spans="2:7">
      <c r="G43">
        <f t="shared" si="0"/>
        <v>1075</v>
      </c>
    </row>
    <row r="44" spans="2:7">
      <c r="G44">
        <f t="shared" si="0"/>
        <v>151</v>
      </c>
    </row>
    <row r="45" spans="2:7">
      <c r="G45">
        <f t="shared" si="0"/>
        <v>1043</v>
      </c>
    </row>
  </sheetData>
  <autoFilter ref="A1:K45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78"/>
  <sheetViews>
    <sheetView topLeftCell="A1258" zoomScale="85" zoomScaleNormal="85" workbookViewId="0">
      <selection activeCell="A1270" sqref="A1270:D1278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5" t="s">
        <v>246</v>
      </c>
      <c r="B1" s="135"/>
      <c r="C1" s="135"/>
      <c r="D1" s="135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5" t="s">
        <v>256</v>
      </c>
      <c r="B11" s="135"/>
      <c r="C11" s="135"/>
      <c r="D11" s="135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5" t="s">
        <v>258</v>
      </c>
      <c r="B21" s="135"/>
      <c r="C21" s="135"/>
      <c r="D21" s="135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5" t="s">
        <v>259</v>
      </c>
      <c r="B31" s="135"/>
      <c r="C31" s="135"/>
      <c r="D31" s="135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5" t="s">
        <v>260</v>
      </c>
      <c r="B41" s="135"/>
      <c r="C41" s="135"/>
      <c r="D41" s="135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5" t="s">
        <v>262</v>
      </c>
      <c r="B51" s="135"/>
      <c r="C51" s="135"/>
      <c r="D51" s="135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5" t="s">
        <v>263</v>
      </c>
      <c r="B61" s="135"/>
      <c r="C61" s="135"/>
      <c r="D61" s="135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5" t="s">
        <v>264</v>
      </c>
      <c r="B71" s="135"/>
      <c r="C71" s="135"/>
      <c r="D71" s="135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5" t="s">
        <v>265</v>
      </c>
      <c r="B81" s="135"/>
      <c r="C81" s="135"/>
      <c r="D81" s="135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5" t="s">
        <v>269</v>
      </c>
      <c r="B93" s="135"/>
      <c r="C93" s="135"/>
      <c r="D93" s="135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5" t="s">
        <v>270</v>
      </c>
      <c r="B103" s="135"/>
      <c r="C103" s="135"/>
      <c r="D103" s="135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5" t="s">
        <v>272</v>
      </c>
      <c r="B113" s="135"/>
      <c r="C113" s="135"/>
      <c r="D113" s="135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5" t="s">
        <v>273</v>
      </c>
      <c r="B123" s="135"/>
      <c r="C123" s="135"/>
      <c r="D123" s="135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5" t="s">
        <v>274</v>
      </c>
      <c r="B133" s="135"/>
      <c r="C133" s="135"/>
      <c r="D133" s="135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5" t="s">
        <v>275</v>
      </c>
      <c r="B143" s="135"/>
      <c r="C143" s="135"/>
      <c r="D143" s="135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5" t="s">
        <v>277</v>
      </c>
      <c r="B153" s="135"/>
      <c r="C153" s="135"/>
      <c r="D153" s="135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5" t="s">
        <v>278</v>
      </c>
      <c r="B163" s="135"/>
      <c r="C163" s="135"/>
      <c r="D163" s="135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5" t="s">
        <v>279</v>
      </c>
      <c r="B173" s="135"/>
      <c r="C173" s="135"/>
      <c r="D173" s="135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5" t="s">
        <v>280</v>
      </c>
      <c r="B183" s="135"/>
      <c r="C183" s="135"/>
      <c r="D183" s="135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5" t="s">
        <v>281</v>
      </c>
      <c r="B193" s="135"/>
      <c r="C193" s="135"/>
      <c r="D193" s="135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5" t="s">
        <v>282</v>
      </c>
      <c r="B203" s="135"/>
      <c r="C203" s="135"/>
      <c r="D203" s="135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5" t="s">
        <v>283</v>
      </c>
      <c r="B213" s="135"/>
      <c r="C213" s="135"/>
      <c r="D213" s="135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5" t="s">
        <v>284</v>
      </c>
      <c r="B223" s="135"/>
      <c r="C223" s="135"/>
      <c r="D223" s="135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5" t="s">
        <v>285</v>
      </c>
      <c r="B233" s="135"/>
      <c r="C233" s="135"/>
      <c r="D233" s="135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5" t="s">
        <v>286</v>
      </c>
      <c r="B243" s="135"/>
      <c r="C243" s="135"/>
      <c r="D243" s="135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5" t="s">
        <v>287</v>
      </c>
      <c r="B253" s="135"/>
      <c r="C253" s="135"/>
      <c r="D253" s="135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5" t="s">
        <v>288</v>
      </c>
      <c r="B263" s="135"/>
      <c r="C263" s="135"/>
      <c r="D263" s="135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5" t="s">
        <v>289</v>
      </c>
      <c r="B273" s="135"/>
      <c r="C273" s="135"/>
      <c r="D273" s="135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5" t="s">
        <v>290</v>
      </c>
      <c r="B283" s="135"/>
      <c r="C283" s="135"/>
      <c r="D283" s="135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5" t="s">
        <v>291</v>
      </c>
      <c r="B293" s="135"/>
      <c r="C293" s="135"/>
      <c r="D293" s="135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5" t="s">
        <v>292</v>
      </c>
      <c r="B303" s="135"/>
      <c r="C303" s="135"/>
      <c r="D303" s="135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5" t="s">
        <v>296</v>
      </c>
      <c r="B313" s="135"/>
      <c r="C313" s="135"/>
      <c r="D313" s="135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5" t="s">
        <v>300</v>
      </c>
      <c r="B324" s="135"/>
      <c r="C324" s="135"/>
      <c r="D324" s="135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5" t="s">
        <v>303</v>
      </c>
      <c r="B335" s="135"/>
      <c r="C335" s="135"/>
      <c r="D335" s="135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5" t="s">
        <v>304</v>
      </c>
      <c r="B346" s="135"/>
      <c r="C346" s="135"/>
      <c r="D346" s="135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5" t="s">
        <v>305</v>
      </c>
      <c r="B357" s="135"/>
      <c r="C357" s="135"/>
      <c r="D357" s="135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5" t="s">
        <v>306</v>
      </c>
      <c r="B368" s="135"/>
      <c r="C368" s="135"/>
      <c r="D368" s="135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5" t="s">
        <v>307</v>
      </c>
      <c r="B379" s="135"/>
      <c r="C379" s="135"/>
      <c r="D379" s="135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5" t="s">
        <v>308</v>
      </c>
      <c r="B390" s="135"/>
      <c r="C390" s="135"/>
      <c r="D390" s="135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5" t="s">
        <v>309</v>
      </c>
      <c r="B401" s="135"/>
      <c r="C401" s="135"/>
      <c r="D401" s="135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5" t="s">
        <v>310</v>
      </c>
      <c r="B412" s="135"/>
      <c r="C412" s="135"/>
      <c r="D412" s="135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5" t="s">
        <v>311</v>
      </c>
      <c r="B423" s="135"/>
      <c r="C423" s="135"/>
      <c r="D423" s="135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5" t="s">
        <v>315</v>
      </c>
      <c r="B434" s="135"/>
      <c r="C434" s="135"/>
      <c r="D434" s="135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5" t="s">
        <v>316</v>
      </c>
      <c r="B445" s="135"/>
      <c r="C445" s="135"/>
      <c r="D445" s="135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5" t="s">
        <v>317</v>
      </c>
      <c r="B456" s="135"/>
      <c r="C456" s="135"/>
      <c r="D456" s="135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5" t="s">
        <v>318</v>
      </c>
      <c r="B467" s="135"/>
      <c r="C467" s="135"/>
      <c r="D467" s="135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5" t="s">
        <v>319</v>
      </c>
      <c r="B478" s="135"/>
      <c r="C478" s="135"/>
      <c r="D478" s="135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5" t="s">
        <v>320</v>
      </c>
      <c r="B489" s="135"/>
      <c r="C489" s="135"/>
      <c r="D489" s="135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5" t="s">
        <v>323</v>
      </c>
      <c r="B500" s="135"/>
      <c r="C500" s="135"/>
      <c r="D500" s="135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5" t="s">
        <v>324</v>
      </c>
      <c r="B511" s="135"/>
      <c r="C511" s="135"/>
      <c r="D511" s="135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5" t="s">
        <v>325</v>
      </c>
      <c r="B522" s="135"/>
      <c r="C522" s="135"/>
      <c r="D522" s="135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5" t="s">
        <v>326</v>
      </c>
      <c r="B533" s="135"/>
      <c r="C533" s="135"/>
      <c r="D533" s="135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5" t="s">
        <v>327</v>
      </c>
      <c r="B544" s="135"/>
      <c r="C544" s="135"/>
      <c r="D544" s="135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5" t="s">
        <v>328</v>
      </c>
      <c r="B555" s="135"/>
      <c r="C555" s="135"/>
      <c r="D555" s="135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5" t="s">
        <v>328</v>
      </c>
      <c r="B567" s="135"/>
      <c r="C567" s="135"/>
      <c r="D567" s="135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5" t="s">
        <v>333</v>
      </c>
      <c r="B579" s="135"/>
      <c r="C579" s="135"/>
      <c r="D579" s="135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5" t="s">
        <v>334</v>
      </c>
      <c r="B590" s="135"/>
      <c r="C590" s="135"/>
      <c r="D590" s="135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5" t="s">
        <v>335</v>
      </c>
      <c r="B601" s="135"/>
      <c r="C601" s="135"/>
      <c r="D601" s="135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5" t="s">
        <v>336</v>
      </c>
      <c r="B612" s="135"/>
      <c r="C612" s="135"/>
      <c r="D612" s="135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5" t="s">
        <v>337</v>
      </c>
      <c r="B623" s="135"/>
      <c r="C623" s="135"/>
      <c r="D623" s="135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5" t="s">
        <v>338</v>
      </c>
      <c r="B635" s="135"/>
      <c r="C635" s="135"/>
      <c r="D635" s="135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5" t="s">
        <v>340</v>
      </c>
      <c r="B647" s="135"/>
      <c r="C647" s="135"/>
      <c r="D647" s="135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5" t="s">
        <v>341</v>
      </c>
      <c r="B658" s="135"/>
      <c r="C658" s="135"/>
      <c r="D658" s="135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5" t="s">
        <v>342</v>
      </c>
      <c r="B670" s="135"/>
      <c r="C670" s="135"/>
      <c r="D670" s="135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5" t="s">
        <v>343</v>
      </c>
      <c r="B681" s="135"/>
      <c r="C681" s="135"/>
      <c r="D681" s="135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5" t="s">
        <v>344</v>
      </c>
      <c r="B692" s="135"/>
      <c r="C692" s="135"/>
      <c r="D692" s="135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5" t="s">
        <v>345</v>
      </c>
      <c r="B703" s="135"/>
      <c r="C703" s="135"/>
      <c r="D703" s="135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5" t="s">
        <v>348</v>
      </c>
      <c r="B715" s="135"/>
      <c r="C715" s="135"/>
      <c r="D715" s="135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5" t="s">
        <v>349</v>
      </c>
      <c r="B726" s="135"/>
      <c r="C726" s="135"/>
      <c r="D726" s="135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5" t="s">
        <v>350</v>
      </c>
      <c r="B738" s="135"/>
      <c r="C738" s="135"/>
      <c r="D738" s="135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5" t="s">
        <v>351</v>
      </c>
      <c r="B749" s="135"/>
      <c r="C749" s="135"/>
      <c r="D749" s="135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5" t="s">
        <v>352</v>
      </c>
      <c r="B760" s="135"/>
      <c r="C760" s="135"/>
      <c r="D760" s="135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5" t="s">
        <v>353</v>
      </c>
      <c r="B772" s="135"/>
      <c r="C772" s="135"/>
      <c r="D772" s="135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5" t="s">
        <v>355</v>
      </c>
      <c r="B784" s="135"/>
      <c r="C784" s="135"/>
      <c r="D784" s="135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5" t="s">
        <v>356</v>
      </c>
      <c r="B796" s="135"/>
      <c r="C796" s="135"/>
      <c r="D796" s="135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5" t="s">
        <v>357</v>
      </c>
      <c r="B809" s="135"/>
      <c r="C809" s="135"/>
      <c r="D809" s="135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5" t="s">
        <v>358</v>
      </c>
      <c r="B820" s="135"/>
      <c r="C820" s="135"/>
      <c r="D820" s="135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5" t="s">
        <v>359</v>
      </c>
      <c r="B831" s="135"/>
      <c r="C831" s="135"/>
      <c r="D831" s="135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5" t="s">
        <v>360</v>
      </c>
      <c r="B842" s="135"/>
      <c r="C842" s="135"/>
      <c r="D842" s="135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5" t="s">
        <v>361</v>
      </c>
      <c r="B854" s="135"/>
      <c r="C854" s="135"/>
      <c r="D854" s="135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5" t="s">
        <v>363</v>
      </c>
      <c r="B865" s="135"/>
      <c r="C865" s="135"/>
      <c r="D865" s="135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5" t="s">
        <v>364</v>
      </c>
      <c r="B876" s="135"/>
      <c r="C876" s="135"/>
      <c r="D876" s="135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5" t="s">
        <v>367</v>
      </c>
      <c r="B888" s="135"/>
      <c r="C888" s="135"/>
      <c r="D888" s="135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5" t="s">
        <v>368</v>
      </c>
      <c r="B901" s="135"/>
      <c r="C901" s="135"/>
      <c r="D901" s="135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5" t="s">
        <v>369</v>
      </c>
      <c r="B913" s="135"/>
      <c r="C913" s="135"/>
      <c r="D913" s="135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5" t="s">
        <v>370</v>
      </c>
      <c r="B925" s="135"/>
      <c r="C925" s="135"/>
      <c r="D925" s="135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5" t="s">
        <v>371</v>
      </c>
      <c r="B937" s="135"/>
      <c r="C937" s="135"/>
      <c r="D937" s="135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5" t="s">
        <v>372</v>
      </c>
      <c r="B949" s="135"/>
      <c r="C949" s="135"/>
      <c r="D949" s="135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5" t="s">
        <v>400</v>
      </c>
      <c r="B961" s="135"/>
      <c r="C961" s="135"/>
      <c r="D961" s="135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5" t="s">
        <v>402</v>
      </c>
      <c r="B974" s="135"/>
      <c r="C974" s="135"/>
      <c r="D974" s="135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5" t="s">
        <v>404</v>
      </c>
      <c r="B987" s="135"/>
      <c r="C987" s="135"/>
      <c r="D987" s="135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5" t="s">
        <v>405</v>
      </c>
      <c r="B1000" s="135"/>
      <c r="C1000" s="135"/>
      <c r="D1000" s="135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5" t="s">
        <v>408</v>
      </c>
      <c r="B1012" s="135"/>
      <c r="C1012" s="135"/>
      <c r="D1012" s="135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5" t="s">
        <v>410</v>
      </c>
      <c r="B1025" s="135"/>
      <c r="C1025" s="135"/>
      <c r="D1025" s="135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5" t="s">
        <v>413</v>
      </c>
      <c r="B1037" s="135"/>
      <c r="C1037" s="135"/>
      <c r="D1037" s="135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5" t="s">
        <v>415</v>
      </c>
      <c r="B1049" s="135"/>
      <c r="C1049" s="135"/>
      <c r="D1049" s="135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5" t="s">
        <v>417</v>
      </c>
      <c r="B1061" s="135"/>
      <c r="C1061" s="135"/>
      <c r="D1061" s="135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5" t="s">
        <v>419</v>
      </c>
      <c r="B1073" s="135"/>
      <c r="C1073" s="135"/>
      <c r="D1073" s="135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5" t="s">
        <v>421</v>
      </c>
      <c r="B1085" s="135"/>
      <c r="C1085" s="135"/>
      <c r="D1085" s="135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5" t="s">
        <v>423</v>
      </c>
      <c r="B1098" s="135"/>
      <c r="C1098" s="135"/>
      <c r="D1098" s="135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5" t="s">
        <v>426</v>
      </c>
      <c r="B1110" s="135"/>
      <c r="C1110" s="135"/>
      <c r="D1110" s="135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5" t="s">
        <v>428</v>
      </c>
      <c r="B1123" s="135"/>
      <c r="C1123" s="135"/>
      <c r="D1123" s="135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5" t="s">
        <v>430</v>
      </c>
      <c r="B1136" s="135"/>
      <c r="C1136" s="135"/>
      <c r="D1136" s="135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5" t="s">
        <v>432</v>
      </c>
      <c r="B1149" s="135"/>
      <c r="C1149" s="135"/>
      <c r="D1149" s="135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5" t="s">
        <v>434</v>
      </c>
      <c r="B1162" s="135"/>
      <c r="C1162" s="135"/>
      <c r="D1162" s="135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5" t="s">
        <v>437</v>
      </c>
      <c r="B1173" s="135"/>
      <c r="C1173" s="135"/>
      <c r="D1173" s="135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5" t="s">
        <v>439</v>
      </c>
      <c r="B1185" s="135"/>
      <c r="C1185" s="135"/>
      <c r="D1185" s="135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5" t="s">
        <v>441</v>
      </c>
      <c r="B1197" s="135"/>
      <c r="C1197" s="135"/>
      <c r="D1197" s="135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5" t="s">
        <v>443</v>
      </c>
      <c r="B1209" s="135"/>
      <c r="C1209" s="135"/>
      <c r="D1209" s="135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5" t="s">
        <v>445</v>
      </c>
      <c r="B1222" s="135"/>
      <c r="C1222" s="135"/>
      <c r="D1222" s="135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5" t="s">
        <v>447</v>
      </c>
      <c r="B1234" s="135"/>
      <c r="C1234" s="135"/>
      <c r="D1234" s="135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5" t="s">
        <v>449</v>
      </c>
      <c r="B1246" s="135"/>
      <c r="C1246" s="135"/>
      <c r="D1246" s="135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5" t="s">
        <v>452</v>
      </c>
      <c r="B1258" s="135"/>
      <c r="C1258" s="135"/>
      <c r="D1258" s="135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5" t="s">
        <v>454</v>
      </c>
      <c r="B1270" s="135"/>
      <c r="C1270" s="135"/>
      <c r="D1270" s="135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</sheetData>
  <mergeCells count="114">
    <mergeCell ref="A1234:D1234"/>
    <mergeCell ref="A1209:D1209"/>
    <mergeCell ref="A1197:D1197"/>
    <mergeCell ref="A1173:D1173"/>
    <mergeCell ref="A1162:D1162"/>
    <mergeCell ref="A1149:D1149"/>
    <mergeCell ref="A1136:D1136"/>
    <mergeCell ref="A1123:D1123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658:D658"/>
    <mergeCell ref="A670:D670"/>
    <mergeCell ref="A681:D681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45:D445"/>
    <mergeCell ref="A456:D456"/>
    <mergeCell ref="A113:D113"/>
    <mergeCell ref="A123:D12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647:D647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270:D1270"/>
    <mergeCell ref="A1258:D1258"/>
    <mergeCell ref="A1246:D1246"/>
    <mergeCell ref="A253:D253"/>
    <mergeCell ref="A263:D263"/>
    <mergeCell ref="A273:D273"/>
    <mergeCell ref="A283:D283"/>
    <mergeCell ref="A293:D293"/>
    <mergeCell ref="A303:D303"/>
    <mergeCell ref="A313:D313"/>
    <mergeCell ref="A357:D357"/>
    <mergeCell ref="A368:D368"/>
    <mergeCell ref="A379:D379"/>
    <mergeCell ref="A390:D390"/>
    <mergeCell ref="A401:D401"/>
    <mergeCell ref="A324:D324"/>
    <mergeCell ref="A335:D335"/>
    <mergeCell ref="A346:D346"/>
    <mergeCell ref="A692:D692"/>
    <mergeCell ref="A703:D703"/>
    <mergeCell ref="A715:D715"/>
    <mergeCell ref="A726:D726"/>
    <mergeCell ref="A738:D738"/>
    <mergeCell ref="A635:D63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13" sqref="C13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6" t="s">
        <v>373</v>
      </c>
      <c r="B1" s="136"/>
      <c r="C1" s="136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05"/>
  <sheetViews>
    <sheetView zoomScale="85" zoomScaleNormal="85" workbookViewId="0">
      <selection activeCell="F111" sqref="F111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05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5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5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13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13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  <c r="J105">
        <v>0.72</v>
      </c>
      <c r="K105">
        <v>0.33</v>
      </c>
      <c r="L105">
        <v>0.68</v>
      </c>
      <c r="M105">
        <v>0.24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2021-11-08T13:45:24Z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