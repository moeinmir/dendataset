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set'!$A$1:$BN$244</definedName>
    <definedName name="_xlnm._FilterDatabase" localSheetId="1" hidden="1">weekly!$A$1:$K$57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44" i="1" l="1"/>
  <c r="X244" i="1" l="1"/>
  <c r="H164" i="5" l="1"/>
  <c r="G164" i="5"/>
  <c r="F164" i="5"/>
  <c r="W252" i="1"/>
  <c r="W253" i="1"/>
  <c r="D2162" i="3"/>
  <c r="H163" i="5" l="1"/>
  <c r="G163" i="5"/>
  <c r="F163" i="5"/>
  <c r="D2152" i="3"/>
  <c r="D2149" i="3"/>
  <c r="W243" i="1"/>
  <c r="A47" i="2" l="1"/>
  <c r="B45" i="2"/>
  <c r="D2135" i="3"/>
  <c r="P243" i="1"/>
  <c r="H162" i="5" l="1"/>
  <c r="G162" i="5"/>
  <c r="F162" i="5"/>
  <c r="E250" i="1"/>
  <c r="F248" i="1"/>
  <c r="E247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2" i="1"/>
  <c r="P245" i="1"/>
  <c r="H154" i="5" l="1"/>
  <c r="G154" i="5"/>
  <c r="F154" i="5"/>
  <c r="Y253" i="1"/>
  <c r="Y255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2" i="1" l="1"/>
  <c r="M216" i="1"/>
  <c r="L216" i="1"/>
  <c r="D1850" i="3" l="1"/>
  <c r="M215" i="1"/>
  <c r="L215" i="1"/>
  <c r="Y252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8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9" i="1"/>
  <c r="N250" i="1"/>
  <c r="N251" i="1"/>
  <c r="N252" i="1"/>
  <c r="N253" i="1"/>
  <c r="N254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2" i="1" l="1"/>
  <c r="S1" i="1" s="1"/>
  <c r="M242" i="1"/>
  <c r="U1" i="1" s="1"/>
</calcChain>
</file>

<file path=xl/sharedStrings.xml><?xml version="1.0" encoding="utf-8"?>
<sst xmlns="http://schemas.openxmlformats.org/spreadsheetml/2006/main" count="2165" uniqueCount="610">
  <si>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</si>
  <si>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</si>
  <si>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</si>
  <si>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</si>
  <si>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</si>
  <si>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</si>
  <si>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</si>
  <si>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</si>
  <si>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</si>
  <si>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</si>
  <si>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</si>
  <si>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</si>
  <si>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</si>
  <si>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</si>
  <si>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</si>
  <si>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</si>
  <si>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</si>
  <si>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</si>
  <si>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</si>
  <si>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</si>
  <si>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</si>
  <si>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</si>
  <si>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</si>
  <si>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</si>
  <si>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</si>
  <si>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</si>
  <si>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</si>
  <si>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</si>
  <si>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</si>
  <si>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</si>
  <si>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</si>
  <si>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</si>
  <si>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</si>
  <si>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</si>
  <si>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</si>
  <si>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</si>
  <si>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</si>
  <si>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</si>
  <si>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</si>
  <si>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</si>
  <si>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</si>
  <si>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</si>
  <si>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</si>
  <si>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</si>
  <si>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</si>
  <si>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</si>
  <si>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</si>
  <si>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</si>
  <si>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</si>
  <si>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</si>
  <si>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</si>
  <si>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</si>
  <si>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</si>
  <si>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</si>
  <si>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</si>
  <si>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</si>
  <si>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</si>
  <si>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</si>
  <si>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</si>
  <si>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</si>
  <si>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</si>
  <si>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</si>
  <si>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</si>
  <si>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</si>
  <si>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</si>
  <si>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</si>
  <si>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</si>
  <si>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</si>
  <si>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</si>
  <si>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</si>
  <si>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</si>
  <si>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</si>
  <si>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</si>
  <si>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</si>
  <si>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</si>
  <si>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</si>
  <si>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</si>
  <si>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</si>
  <si>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</si>
  <si>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</si>
  <si>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</si>
  <si>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</si>
  <si>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</si>
  <si>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</si>
  <si>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</si>
  <si>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</si>
  <si>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</si>
  <si>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</si>
  <si>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</si>
  <si>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</si>
  <si>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</si>
  <si>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</si>
  <si>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</si>
  <si>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</si>
  <si>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</si>
  <si>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</si>
  <si>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</si>
  <si>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</si>
  <si>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</si>
  <si>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</si>
  <si>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</si>
  <si>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</si>
  <si>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</si>
  <si>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</si>
  <si>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</si>
  <si>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</si>
  <si>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</si>
  <si>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</si>
  <si>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</si>
  <si>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</si>
  <si>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</si>
  <si>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</si>
  <si>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</si>
  <si>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</si>
  <si>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</si>
  <si>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</si>
  <si>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</si>
  <si>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</si>
  <si>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</si>
  <si>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</si>
  <si>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</si>
  <si>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</si>
  <si>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</si>
  <si>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</si>
  <si>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</si>
  <si>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</si>
  <si>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</si>
  <si>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</si>
  <si>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</si>
  <si>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</si>
  <si>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</si>
  <si>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</si>
  <si>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</si>
  <si>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</si>
  <si>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</si>
  <si>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</si>
  <si>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</si>
  <si>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</si>
  <si>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</si>
  <si>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</si>
  <si>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</si>
  <si>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</si>
  <si>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</si>
  <si>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</si>
  <si>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</si>
  <si>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</si>
  <si>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</si>
  <si>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</si>
  <si>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</si>
  <si>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</si>
  <si>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</si>
  <si>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</si>
  <si>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</si>
  <si>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</si>
  <si>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</si>
  <si>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</si>
  <si>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</si>
  <si>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</si>
  <si>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</si>
  <si>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</si>
  <si>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</si>
  <si>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</si>
  <si>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</si>
  <si>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</si>
  <si>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</si>
  <si>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</si>
  <si>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</si>
  <si>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</si>
  <si>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</si>
  <si>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</si>
  <si>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</si>
  <si>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</si>
  <si>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</si>
  <si>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</si>
  <si>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</si>
  <si>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</si>
  <si>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</si>
  <si>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</si>
  <si>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</si>
  <si>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</si>
  <si>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</si>
  <si>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</si>
  <si>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</si>
  <si>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</si>
  <si>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</si>
  <si>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</si>
  <si>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</si>
  <si>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</si>
  <si>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</si>
  <si>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</si>
  <si>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</si>
  <si>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</si>
  <si>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</si>
  <si>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</si>
  <si>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</si>
  <si>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</si>
  <si>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</si>
  <si>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</si>
  <si>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</si>
  <si>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</si>
  <si>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</si>
  <si>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</si>
  <si>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</si>
  <si>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</si>
  <si>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</si>
  <si>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</si>
  <si>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</si>
  <si>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</si>
  <si>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</si>
  <si>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</si>
  <si>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</si>
  <si>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</si>
  <si>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</si>
  <si>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</si>
  <si>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</si>
  <si>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</si>
  <si>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</si>
  <si>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</si>
  <si>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</si>
  <si>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</si>
  <si>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</si>
  <si>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</si>
  <si>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</si>
  <si>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</si>
  <si>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</si>
  <si>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</si>
  <si>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</si>
  <si>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</si>
  <si>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</si>
  <si>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</si>
  <si>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</si>
  <si>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</si>
  <si>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</si>
  <si>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</si>
  <si>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</si>
  <si>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</si>
  <si>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</si>
  <si>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</si>
  <si>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</si>
  <si>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</si>
  <si>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</si>
  <si>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</si>
  <si>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</si>
  <si>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</si>
  <si>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</si>
  <si>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</si>
  <si>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</si>
  <si>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</si>
  <si>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</si>
  <si>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</si>
  <si>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</si>
  <si>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</si>
  <si>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</si>
  <si>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</si>
  <si>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</si>
  <si>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</si>
  <si>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</si>
  <si>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</si>
  <si>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</si>
  <si>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</si>
  <si>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</si>
  <si>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</si>
  <si>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</si>
  <si>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</si>
  <si>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</si>
  <si>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</si>
  <si>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</si>
  <si>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</si>
  <si>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</si>
  <si>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</si>
  <si>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</si>
  <si>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</si>
  <si>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</si>
  <si>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</si>
  <si>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</si>
  <si>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</si>
  <si>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</si>
  <si>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</si>
  <si>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</si>
  <si>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</si>
  <si>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</si>
  <si>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</si>
  <si>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</si>
  <si>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</si>
  <si>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</si>
  <si>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</si>
  <si>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</si>
  <si>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</si>
  <si>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</si>
  <si>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</si>
  <si>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</si>
  <si>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</si>
  <si>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</si>
  <si>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</si>
  <si>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</si>
  <si>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</si>
  <si>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</si>
  <si>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</si>
  <si>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</si>
  <si>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</si>
  <si>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</si>
  <si>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</si>
  <si>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</si>
  <si>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</si>
  <si>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</si>
  <si>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</si>
  <si>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</si>
  <si>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</si>
  <si>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</si>
  <si>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</si>
  <si>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</si>
  <si>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</si>
  <si>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</si>
  <si>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</si>
  <si>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</si>
  <si>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</si>
  <si>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</si>
  <si>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</si>
  <si>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</si>
  <si>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</si>
  <si>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</si>
  <si>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</si>
  <si>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</si>
  <si>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</si>
  <si>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</si>
  <si>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</si>
  <si>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</si>
  <si>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</si>
  <si>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</si>
  <si>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</si>
  <si>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</si>
  <si>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</si>
  <si>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</si>
  <si>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</si>
  <si>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</si>
  <si>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</si>
  <si>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</si>
  <si>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</si>
  <si>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</si>
  <si>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</si>
  <si>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</si>
  <si>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</si>
  <si>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</si>
  <si>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</si>
  <si>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</si>
  <si>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</si>
  <si>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</si>
  <si>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</si>
  <si>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</si>
  <si>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</si>
  <si>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</si>
  <si>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</si>
  <si>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</si>
  <si>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</si>
  <si>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</si>
  <si>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</si>
  <si>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</si>
  <si>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</si>
  <si>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</si>
  <si>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</si>
  <si>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</si>
  <si>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</si>
  <si>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</si>
  <si>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</si>
  <si>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</si>
  <si>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</si>
  <si>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</si>
  <si>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</si>
  <si>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</si>
  <si>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</si>
  <si>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</si>
  <si>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</si>
  <si>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</si>
  <si>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</si>
  <si>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</si>
  <si>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</si>
  <si>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</si>
  <si>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</si>
  <si>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</si>
  <si>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</si>
  <si>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</si>
  <si>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</si>
  <si>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</si>
  <si>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</si>
  <si>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</si>
  <si>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</si>
  <si>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</si>
  <si>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</si>
  <si>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</si>
  <si>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</si>
  <si>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</si>
  <si>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</si>
  <si>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</si>
  <si>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</si>
  <si>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</si>
  <si>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</si>
  <si>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</si>
  <si>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</si>
  <si>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</si>
  <si>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</si>
  <si>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</si>
  <si>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</si>
  <si>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</si>
  <si>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</si>
  <si>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</si>
  <si>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</si>
  <si>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</si>
  <si>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</si>
  <si>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</si>
  <si>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</si>
  <si>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</si>
  <si>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</si>
  <si>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</si>
  <si>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</si>
  <si>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</si>
  <si>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</si>
  <si>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</si>
  <si>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</si>
  <si>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</si>
  <si>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</si>
  <si>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</si>
  <si>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</si>
  <si>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</si>
  <si>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</si>
  <si>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</si>
  <si>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</si>
  <si>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</si>
  <si>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</si>
  <si>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</si>
  <si>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</si>
  <si>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</si>
  <si>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</si>
  <si>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</si>
  <si>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</si>
  <si>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</si>
  <si>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</si>
  <si>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</si>
  <si>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</si>
  <si>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</si>
  <si>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</si>
  <si>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</si>
  <si>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</si>
  <si>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</si>
  <si>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</si>
  <si>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</si>
  <si>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</si>
  <si>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</si>
  <si>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</si>
  <si>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</si>
  <si>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</si>
  <si>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</si>
  <si>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</si>
  <si>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</si>
  <si>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</si>
  <si>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</si>
  <si>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</si>
  <si>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</si>
  <si>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</si>
  <si>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</si>
  <si>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</si>
  <si>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</si>
  <si>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</si>
  <si>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</si>
  <si>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</si>
  <si>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</si>
  <si>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</si>
  <si>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</si>
  <si>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</si>
  <si>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</si>
  <si>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</si>
  <si>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</si>
  <si>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</si>
  <si>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</si>
  <si>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</si>
  <si>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</si>
  <si>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</si>
  <si>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</si>
  <si>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</si>
  <si>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</si>
  <si>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</si>
  <si>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</si>
  <si>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</si>
  <si>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</si>
  <si>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</si>
  <si>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</si>
  <si>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</si>
  <si>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</si>
  <si>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</si>
  <si>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</si>
  <si>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</si>
  <si>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</si>
  <si>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</si>
  <si>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</si>
  <si>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</si>
  <si>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</si>
  <si>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</si>
  <si>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</si>
  <si>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</si>
  <si>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</si>
  <si>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</si>
  <si>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</si>
  <si>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</si>
  <si>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</si>
  <si>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</si>
  <si>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</si>
  <si>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</si>
  <si>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</si>
  <si>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</si>
  <si>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</si>
  <si>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</si>
  <si>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</si>
  <si>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</si>
  <si>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</si>
  <si>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</si>
  <si>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</si>
  <si>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</si>
  <si>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</si>
  <si>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</si>
  <si>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</si>
  <si>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</si>
  <si>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</si>
  <si>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</si>
  <si>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</si>
  <si>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</si>
  <si>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</si>
  <si>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</si>
  <si>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</si>
  <si>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</si>
  <si>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</si>
  <si>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</si>
  <si>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</si>
  <si>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</si>
  <si>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</si>
  <si>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</si>
  <si>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</si>
  <si>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</si>
  <si>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</si>
  <si>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</si>
  <si>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</si>
  <si>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</si>
  <si>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</si>
  <si>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</si>
  <si>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</si>
  <si>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</si>
  <si>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</si>
  <si>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</si>
  <si>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</si>
  <si>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</si>
  <si>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</si>
  <si>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</si>
  <si>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</si>
  <si>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</si>
  <si>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</si>
  <si>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</si>
  <si>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</si>
  <si>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</si>
  <si>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</si>
  <si>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</si>
  <si>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</si>
  <si>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</si>
  <si>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</si>
  <si>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</si>
  <si>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</si>
  <si>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</si>
  <si>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</si>
  <si>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</si>
  <si>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</si>
  <si>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</si>
  <si>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</si>
  <si>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</si>
  <si>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</si>
  <si>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</si>
  <si>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</si>
  <si>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</si>
  <si>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</si>
  <si>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</si>
  <si>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</si>
  <si>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</si>
  <si>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</si>
  <si>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</si>
  <si>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</si>
  <si>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</si>
  <si>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</si>
  <si>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</si>
  <si>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</si>
  <si>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</si>
  <si>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</si>
  <si>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</si>
  <si>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</si>
  <si>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</si>
  <si>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</si>
  <si>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</si>
  <si>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</si>
  <si>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</si>
  <si>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</si>
  <si>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</si>
  <si>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</si>
  <si>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</si>
  <si>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</si>
  <si>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</si>
  <si>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</si>
  <si>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</si>
  <si>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</si>
  <si>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</si>
  <si>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</si>
  <si>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</si>
  <si>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08بهمن1400</t>
  </si>
  <si>
    <t>روند روزانه بهای سکه و ارز ( شنبه 09 بهمن 1400)</t>
  </si>
  <si>
    <t>09بهمن1400</t>
  </si>
  <si>
    <t>روند روزانه بهای سکه و ارز ( یکشنبه 10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</si>
</sst>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398416"/>
        <c:axId val="-1022403856"/>
      </c:lineChart>
      <c:catAx>
        <c:axId val="-10223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403856"/>
        <c:crosses val="autoZero"/>
        <c:auto val="1"/>
        <c:lblAlgn val="ctr"/>
        <c:lblOffset val="100"/>
        <c:noMultiLvlLbl val="0"/>
      </c:catAx>
      <c:valAx>
        <c:axId val="-1022403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8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403312"/>
        <c:axId val="-102239624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02240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6240"/>
        <c:crosses val="autoZero"/>
        <c:auto val="1"/>
        <c:lblAlgn val="ctr"/>
        <c:lblOffset val="100"/>
        <c:noMultiLvlLbl val="0"/>
      </c:catAx>
      <c:valAx>
        <c:axId val="-102239624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4033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402224"/>
        <c:axId val="-1022392976"/>
      </c:lineChart>
      <c:catAx>
        <c:axId val="-102240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2976"/>
        <c:crosses val="autoZero"/>
        <c:auto val="1"/>
        <c:lblAlgn val="ctr"/>
        <c:lblOffset val="100"/>
        <c:noMultiLvlLbl val="0"/>
      </c:catAx>
      <c:valAx>
        <c:axId val="-10223929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4022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401136"/>
        <c:axId val="-1022397872"/>
      </c:lineChart>
      <c:catAx>
        <c:axId val="-102240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7872"/>
        <c:crosses val="autoZero"/>
        <c:auto val="1"/>
        <c:lblAlgn val="ctr"/>
        <c:lblOffset val="100"/>
        <c:noMultiLvlLbl val="0"/>
      </c:catAx>
      <c:valAx>
        <c:axId val="-1022397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4011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395696"/>
        <c:axId val="-1022391888"/>
      </c:lineChart>
      <c:catAx>
        <c:axId val="-102239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1888"/>
        <c:crosses val="autoZero"/>
        <c:auto val="1"/>
        <c:lblAlgn val="ctr"/>
        <c:lblOffset val="100"/>
        <c:noMultiLvlLbl val="0"/>
      </c:catAx>
      <c:valAx>
        <c:axId val="-1022391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56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22395152"/>
        <c:axId val="-102239134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02239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1344"/>
        <c:crosses val="autoZero"/>
        <c:auto val="1"/>
        <c:lblAlgn val="ctr"/>
        <c:lblOffset val="100"/>
        <c:noMultiLvlLbl val="0"/>
      </c:catAx>
      <c:valAx>
        <c:axId val="-102239134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223951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201100960"/>
        <c:axId val="-1201111840"/>
      </c:barChart>
      <c:catAx>
        <c:axId val="-120110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01111840"/>
        <c:crosses val="autoZero"/>
        <c:auto val="1"/>
        <c:lblAlgn val="ctr"/>
        <c:lblOffset val="100"/>
        <c:noMultiLvlLbl val="0"/>
      </c:catAx>
      <c:valAx>
        <c:axId val="-1201111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011009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یکشنبه 10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2"/>
          <c:order val="8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change'!$F$164:$I$164</c:f>
              <c:numCache>
                <c:formatCode>General</c:formatCode>
                <c:ptCount val="4"/>
                <c:pt idx="0">
                  <c:v>-0.38965639390719092</c:v>
                </c:pt>
                <c:pt idx="1">
                  <c:v>-0.76274588518667197</c:v>
                </c:pt>
                <c:pt idx="2">
                  <c:v>-1.7428319010521243</c:v>
                </c:pt>
                <c:pt idx="3">
                  <c:v>2.0299999999999998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01107488"/>
        <c:axId val="-97570209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20110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75702096"/>
        <c:crosses val="autoZero"/>
        <c:auto val="1"/>
        <c:lblAlgn val="ctr"/>
        <c:lblOffset val="100"/>
        <c:noMultiLvlLbl val="0"/>
      </c:catAx>
      <c:valAx>
        <c:axId val="-975702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011074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7"/>
  <sheetViews>
    <sheetView tabSelected="1" topLeftCell="W1" zoomScaleNormal="100" workbookViewId="0">
      <pane ySplit="1" topLeftCell="A231" activePane="bottomLeft" state="frozen"/>
      <selection activeCell="B1" sqref="B1"/>
      <selection pane="bottomLeft" activeCell="Y244" sqref="Y244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L242/G242</f>
        <v>#DIV/0!</v>
      </c>
      <c r="T1" s="3" t="s">
        <v>15</v>
      </c>
      <c r="U1" s="3">
        <f>M242/K242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606</v>
      </c>
      <c r="C240" s="121">
        <v>8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36" customFormat="1" ht="18">
      <c r="B241" s="131" t="s">
        <v>608</v>
      </c>
      <c r="C241" s="104">
        <v>9</v>
      </c>
      <c r="D241" s="137">
        <v>24994</v>
      </c>
      <c r="H241" s="136">
        <v>28101</v>
      </c>
      <c r="L241" s="208"/>
      <c r="M241" s="208"/>
      <c r="P241" s="136">
        <v>25244</v>
      </c>
      <c r="Q241" s="136">
        <v>28382</v>
      </c>
      <c r="V241" s="136">
        <v>28000</v>
      </c>
      <c r="X241" s="136">
        <v>28120</v>
      </c>
      <c r="Y241" s="136">
        <v>31197</v>
      </c>
      <c r="Z241" s="138"/>
      <c r="AB241" s="137"/>
      <c r="AS241" s="137"/>
      <c r="AW241" s="137"/>
      <c r="BI241" s="177"/>
      <c r="BO241" s="151"/>
      <c r="BP241" s="151"/>
      <c r="BQ241" s="151"/>
      <c r="BR241" s="151"/>
    </row>
    <row r="242" spans="2:70" ht="18">
      <c r="D242" s="26"/>
      <c r="K242">
        <f>SUM(K2:K216)</f>
        <v>210358000</v>
      </c>
      <c r="L242" s="142">
        <f>SUM(L2:L216)</f>
        <v>38488576407409</v>
      </c>
      <c r="M242" s="142">
        <f>SUM(M2:M216)</f>
        <v>6182194847600</v>
      </c>
      <c r="V242" s="144">
        <v>27980</v>
      </c>
      <c r="Z242" s="25"/>
      <c r="AS242" s="26"/>
      <c r="AW242" s="30"/>
    </row>
    <row r="243" spans="2:70" ht="18">
      <c r="P243">
        <f>P239-N238</f>
        <v>83</v>
      </c>
      <c r="V243">
        <v>27970</v>
      </c>
      <c r="W243">
        <f>V240-X239</f>
        <v>380</v>
      </c>
      <c r="Z243" s="25"/>
      <c r="AS243" s="26"/>
      <c r="AW243" s="30"/>
    </row>
    <row r="244" spans="2:70" ht="18">
      <c r="V244">
        <v>27980</v>
      </c>
      <c r="W244" s="152"/>
      <c r="X244">
        <f>X241-X240</f>
        <v>-110</v>
      </c>
      <c r="Y244">
        <f>Y241-Y240</f>
        <v>-570</v>
      </c>
      <c r="Z244" s="25"/>
      <c r="AS244" s="26"/>
      <c r="AW244" s="30"/>
    </row>
    <row r="245" spans="2:70" ht="18">
      <c r="D245" s="93"/>
      <c r="P245">
        <f>P230-N229</f>
        <v>24</v>
      </c>
      <c r="W245" s="152"/>
      <c r="Z245" s="25"/>
      <c r="AW245" s="30"/>
    </row>
    <row r="246" spans="2:70" ht="17.25" customHeight="1">
      <c r="D246" s="93"/>
      <c r="P246" t="s">
        <v>523</v>
      </c>
      <c r="Q246" t="s">
        <v>524</v>
      </c>
      <c r="W246" s="152"/>
      <c r="Z246" s="25"/>
    </row>
    <row r="247" spans="2:70" ht="18">
      <c r="D247" s="93"/>
      <c r="E247">
        <f>(28300-25088)/25088</f>
        <v>0.12802933673469388</v>
      </c>
      <c r="O247" s="126" t="s">
        <v>503</v>
      </c>
      <c r="P247">
        <v>-178</v>
      </c>
      <c r="Q247">
        <v>-180</v>
      </c>
      <c r="V247" s="25"/>
      <c r="W247" s="152"/>
      <c r="Z247" s="25"/>
    </row>
    <row r="248" spans="2:70" ht="18">
      <c r="D248" s="93"/>
      <c r="F248">
        <f>(37881-36136)/37136</f>
        <v>4.6989444205084017E-2</v>
      </c>
      <c r="H248">
        <f>(27376-26532)/26532</f>
        <v>3.1810643750942259E-2</v>
      </c>
      <c r="O248" s="132" t="s">
        <v>505</v>
      </c>
      <c r="P248">
        <v>59</v>
      </c>
      <c r="Q248">
        <v>59</v>
      </c>
      <c r="V248" s="25"/>
      <c r="W248" s="152"/>
    </row>
    <row r="249" spans="2:70" ht="18">
      <c r="D249" s="93"/>
      <c r="N249">
        <f t="shared" ref="N249:N253" si="42">N199-N198</f>
        <v>-15</v>
      </c>
      <c r="O249" s="132" t="s">
        <v>507</v>
      </c>
      <c r="P249">
        <v>-17</v>
      </c>
      <c r="Q249">
        <v>-16</v>
      </c>
      <c r="V249" s="25"/>
      <c r="W249" s="152"/>
    </row>
    <row r="250" spans="2:70" ht="18">
      <c r="D250" s="107"/>
      <c r="E250">
        <f>(2499-2381)/2381</f>
        <v>4.9559008819823606E-2</v>
      </c>
      <c r="N250">
        <f t="shared" si="42"/>
        <v>-12</v>
      </c>
      <c r="O250" s="132" t="s">
        <v>509</v>
      </c>
      <c r="P250">
        <v>-163</v>
      </c>
      <c r="Q250">
        <v>-165</v>
      </c>
      <c r="W250" s="144"/>
    </row>
    <row r="251" spans="2:70" ht="18">
      <c r="D251" s="107"/>
      <c r="N251">
        <f t="shared" si="42"/>
        <v>-137</v>
      </c>
      <c r="O251" s="132" t="s">
        <v>511</v>
      </c>
      <c r="P251">
        <v>50</v>
      </c>
      <c r="Q251">
        <v>50</v>
      </c>
      <c r="W251" s="144"/>
      <c r="X251" s="109"/>
    </row>
    <row r="252" spans="2:70" ht="18">
      <c r="D252" s="113"/>
      <c r="N252">
        <f t="shared" si="42"/>
        <v>-138</v>
      </c>
      <c r="O252" s="145" t="s">
        <v>513</v>
      </c>
      <c r="P252">
        <v>-15</v>
      </c>
      <c r="Q252">
        <v>-15</v>
      </c>
      <c r="V252">
        <f>(3376-3251)/3251</f>
        <v>3.8449707782220857E-2</v>
      </c>
      <c r="W252" s="144">
        <f>(2628-2533)/2533</f>
        <v>3.750493485984998E-2</v>
      </c>
      <c r="X252" s="109"/>
      <c r="Y252">
        <f>(W250-X215)/X215</f>
        <v>-1</v>
      </c>
    </row>
    <row r="253" spans="2:70" ht="18">
      <c r="D253" s="107"/>
      <c r="G253" s="9"/>
      <c r="N253">
        <f t="shared" si="42"/>
        <v>-43</v>
      </c>
      <c r="O253" s="145" t="s">
        <v>515</v>
      </c>
      <c r="P253">
        <v>-12</v>
      </c>
      <c r="Q253">
        <v>-12</v>
      </c>
      <c r="W253">
        <f>(38576-37406)/37406</f>
        <v>3.1278404534031974E-2</v>
      </c>
      <c r="X253" s="109"/>
      <c r="Y253">
        <f>(43725-42669)/42669</f>
        <v>2.4748646558391339E-2</v>
      </c>
    </row>
    <row r="254" spans="2:70" ht="18">
      <c r="D254" s="103"/>
      <c r="G254" s="9"/>
      <c r="N254">
        <f>N242-N203</f>
        <v>-27379</v>
      </c>
      <c r="O254" s="148" t="s">
        <v>517</v>
      </c>
      <c r="P254">
        <v>-136</v>
      </c>
      <c r="Q254">
        <v>-137</v>
      </c>
      <c r="X254" s="109"/>
    </row>
    <row r="255" spans="2:70" ht="18">
      <c r="G255" s="9"/>
      <c r="O255" s="145" t="s">
        <v>519</v>
      </c>
      <c r="P255">
        <v>-137</v>
      </c>
      <c r="Q255">
        <v>-138</v>
      </c>
      <c r="X255" s="109"/>
      <c r="Y255">
        <f>(3365-3279)/3279</f>
        <v>2.6227508386703263E-2</v>
      </c>
    </row>
    <row r="256" spans="2:70" ht="18">
      <c r="G256" s="9"/>
      <c r="O256" s="131" t="s">
        <v>521</v>
      </c>
      <c r="P256">
        <v>-42</v>
      </c>
      <c r="Q256">
        <v>-43</v>
      </c>
      <c r="X256" s="109"/>
    </row>
    <row r="257" spans="7:7" ht="18">
      <c r="G257" s="9"/>
    </row>
  </sheetData>
  <autoFilter ref="A1:BN24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31" zoomScale="70" zoomScaleNormal="70" workbookViewId="0">
      <selection activeCell="B46" sqref="B4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62"/>
  <sheetViews>
    <sheetView topLeftCell="A2147" zoomScaleNormal="100" workbookViewId="0">
      <selection activeCell="D2163" sqref="D216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607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609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</sheetData>
  <mergeCells count="185"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4"/>
  <sheetViews>
    <sheetView topLeftCell="A5" zoomScale="85" zoomScaleNormal="85" workbookViewId="0">
      <selection activeCell="A14" sqref="A1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4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>(D163-D162)*100/D162</f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>(D164-D163)*100/D163</f>
        <v>-0.76274588518667197</v>
      </c>
      <c r="H164">
        <f t="shared" si="12"/>
        <v>-1.7428319010521243</v>
      </c>
      <c r="I164">
        <v>2.0299999999999998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2022-01-30T13:07:26Z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