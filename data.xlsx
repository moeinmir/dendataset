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firstSheet="1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set'!$A$1:$BN$252</definedName>
    <definedName name="_xlnm._FilterDatabase" localSheetId="1" hidden="1">weekly!$A$1:$K$58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261" i="3" l="1"/>
  <c r="Y250" i="1"/>
  <c r="H171" i="5" l="1"/>
  <c r="G171" i="5"/>
  <c r="F171" i="5"/>
  <c r="X255" i="1" l="1"/>
  <c r="H170" i="5" l="1"/>
  <c r="G170" i="5"/>
  <c r="F170" i="5"/>
  <c r="V261" i="1"/>
  <c r="Y253" i="1" l="1"/>
  <c r="H169" i="5" l="1"/>
  <c r="G169" i="5"/>
  <c r="F169" i="5"/>
  <c r="D2226" i="3" l="1"/>
  <c r="D2222" i="3"/>
  <c r="W256" i="1" l="1"/>
  <c r="H168" i="5" l="1"/>
  <c r="G168" i="5"/>
  <c r="F168" i="5"/>
  <c r="H2223" i="3" l="1"/>
  <c r="H167" i="5" l="1"/>
  <c r="G167" i="5"/>
  <c r="F167" i="5"/>
  <c r="D2185" i="3" l="1"/>
  <c r="H166" i="5" l="1"/>
  <c r="G166" i="5"/>
  <c r="F166" i="5"/>
  <c r="N253" i="1" l="1"/>
  <c r="N251" i="1"/>
  <c r="D251" i="1"/>
  <c r="D2177" i="3" l="1"/>
  <c r="H165" i="5" l="1"/>
  <c r="G165" i="5"/>
  <c r="F165" i="5"/>
  <c r="Y255" i="1"/>
  <c r="O252" i="1"/>
  <c r="E252" i="1"/>
  <c r="Y252" i="1" l="1"/>
  <c r="H164" i="5" l="1"/>
  <c r="G164" i="5"/>
  <c r="F164" i="5"/>
  <c r="W260" i="1"/>
  <c r="W261" i="1"/>
  <c r="D2162" i="3"/>
  <c r="H163" i="5" l="1"/>
  <c r="G163" i="5"/>
  <c r="F163" i="5"/>
  <c r="D2152" i="3"/>
  <c r="D2149" i="3"/>
  <c r="A48" i="2" l="1"/>
  <c r="B46" i="2"/>
  <c r="D2135" i="3"/>
  <c r="H162" i="5" l="1"/>
  <c r="G162" i="5"/>
  <c r="F162" i="5"/>
  <c r="E258" i="1"/>
  <c r="F256" i="1"/>
  <c r="E255" i="1"/>
  <c r="H161" i="5" l="1"/>
  <c r="G161" i="5"/>
  <c r="F161" i="5"/>
  <c r="H160" i="5" l="1"/>
  <c r="G160" i="5"/>
  <c r="F160" i="5"/>
  <c r="D2084" i="3" l="1"/>
  <c r="H159" i="5" l="1"/>
  <c r="G159" i="5"/>
  <c r="F159" i="5"/>
  <c r="H158" i="5" l="1"/>
  <c r="G158" i="5"/>
  <c r="F158" i="5"/>
  <c r="I46" i="2"/>
  <c r="C48" i="2"/>
  <c r="H47" i="2"/>
  <c r="B49" i="2"/>
  <c r="D2061" i="3"/>
  <c r="H157" i="5" l="1"/>
  <c r="G157" i="5"/>
  <c r="F157" i="5"/>
  <c r="H156" i="5" l="1"/>
  <c r="G156" i="5"/>
  <c r="F156" i="5"/>
  <c r="H155" i="5" l="1"/>
  <c r="G155" i="5"/>
  <c r="F155" i="5"/>
  <c r="P253" i="1"/>
  <c r="H154" i="5" l="1"/>
  <c r="G154" i="5"/>
  <c r="F154" i="5"/>
  <c r="Y261" i="1"/>
  <c r="Y263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50" i="1" l="1"/>
  <c r="M216" i="1"/>
  <c r="L216" i="1"/>
  <c r="D1850" i="3" l="1"/>
  <c r="M215" i="1"/>
  <c r="L215" i="1"/>
  <c r="Y260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6" i="2" l="1"/>
  <c r="E48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56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57" i="1"/>
  <c r="N258" i="1"/>
  <c r="N259" i="1"/>
  <c r="N260" i="1"/>
  <c r="N261" i="1"/>
  <c r="N262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9" i="2" l="1"/>
  <c r="J48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7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7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8" i="2"/>
  <c r="G57" i="2"/>
  <c r="G56" i="2"/>
  <c r="G55" i="2"/>
  <c r="G54" i="2"/>
  <c r="G53" i="2"/>
  <c r="G52" i="2"/>
  <c r="G51" i="2"/>
  <c r="G50" i="2"/>
  <c r="C46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50" i="2" s="1"/>
  <c r="G16" i="2"/>
  <c r="E16" i="2"/>
  <c r="C52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50" i="1" l="1"/>
  <c r="S1" i="1" s="1"/>
  <c r="M250" i="1"/>
  <c r="U1" i="1" s="1"/>
</calcChain>
</file>

<file path=xl/sharedStrings.xml><?xml version="1.0" encoding="utf-8"?>
<sst xmlns="http://schemas.openxmlformats.org/spreadsheetml/2006/main" count="2239" uniqueCount="628">
  <si>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</si>
  <si>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</si>
  <si>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</si>
  <si>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</si>
  <si>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</si>
  <si>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</si>
  <si>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</si>
  <si>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</si>
  <si>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</si>
  <si>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</si>
  <si>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</si>
  <si>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</si>
  <si>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</si>
  <si>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</si>
  <si>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</si>
  <si>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</si>
  <si>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</si>
  <si>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</si>
  <si>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</si>
  <si>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</si>
  <si>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</si>
  <si>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</si>
  <si>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</si>
  <si>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</si>
  <si>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</si>
  <si>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</si>
  <si>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</si>
  <si>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</si>
  <si>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</si>
  <si>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</si>
  <si>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</si>
  <si>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</si>
  <si>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</si>
  <si>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</si>
  <si>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</si>
  <si>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</si>
  <si>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</si>
  <si>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</si>
  <si>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</si>
  <si>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</si>
  <si>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</si>
  <si>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</si>
  <si>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</si>
  <si>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</si>
  <si>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</si>
  <si>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</si>
  <si>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</si>
  <si>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</si>
  <si>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</si>
  <si>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</si>
  <si>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</si>
  <si>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</si>
  <si>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</si>
  <si>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</si>
  <si>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</si>
  <si>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</si>
  <si>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</si>
  <si>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</si>
  <si>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</si>
  <si>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</si>
  <si>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</si>
  <si>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</si>
  <si>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</si>
  <si>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</si>
  <si>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</si>
  <si>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</si>
  <si>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</si>
  <si>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</si>
  <si>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</si>
  <si>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</si>
  <si>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</si>
  <si>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</si>
  <si>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</si>
  <si>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</si>
  <si>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</si>
  <si>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</si>
  <si>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</si>
  <si>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</si>
  <si>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</si>
  <si>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</si>
  <si>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</si>
  <si>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</si>
  <si>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</si>
  <si>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</si>
  <si>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</si>
  <si>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</si>
  <si>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</si>
  <si>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</si>
  <si>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</si>
  <si>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</si>
  <si>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</si>
  <si>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</si>
  <si>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</si>
  <si>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</si>
  <si>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</si>
  <si>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</si>
  <si>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</si>
  <si>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</si>
  <si>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</si>
  <si>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</si>
  <si>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</si>
  <si>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</si>
  <si>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</si>
  <si>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</si>
  <si>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</si>
  <si>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</si>
  <si>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</si>
  <si>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</si>
  <si>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</si>
  <si>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</si>
  <si>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</si>
  <si>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</si>
  <si>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</si>
  <si>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</si>
  <si>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</si>
  <si>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</si>
  <si>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</si>
  <si>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</si>
  <si>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</si>
  <si>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</si>
  <si>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</si>
  <si>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</si>
  <si>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</si>
  <si>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</si>
  <si>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</si>
  <si>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</si>
  <si>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</si>
  <si>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</si>
  <si>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</si>
  <si>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</si>
  <si>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</si>
  <si>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</si>
  <si>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</si>
  <si>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</si>
  <si>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</si>
  <si>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</si>
  <si>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</si>
  <si>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</si>
  <si>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</si>
  <si>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</si>
  <si>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</si>
  <si>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</si>
  <si>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</si>
  <si>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</si>
  <si>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</si>
  <si>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</si>
  <si>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</si>
  <si>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</si>
  <si>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</si>
  <si>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</si>
  <si>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</si>
  <si>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</si>
  <si>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</si>
  <si>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</si>
  <si>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</si>
  <si>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</si>
  <si>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</si>
  <si>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</si>
  <si>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</si>
  <si>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</si>
  <si>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</si>
  <si>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</si>
  <si>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</si>
  <si>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</si>
  <si>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</si>
  <si>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</si>
  <si>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</si>
  <si>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</si>
  <si>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</si>
  <si>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</si>
  <si>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</si>
  <si>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</si>
  <si>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</si>
  <si>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</si>
  <si>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</si>
  <si>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</si>
  <si>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</si>
  <si>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</si>
  <si>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</si>
  <si>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</si>
  <si>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</si>
  <si>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</si>
  <si>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</si>
  <si>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</si>
  <si>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</si>
  <si>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</si>
  <si>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</si>
  <si>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</si>
  <si>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</si>
  <si>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</si>
  <si>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</si>
  <si>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</si>
  <si>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</si>
  <si>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</si>
  <si>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</si>
  <si>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</si>
  <si>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</si>
  <si>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</si>
  <si>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</si>
  <si>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</si>
  <si>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</si>
  <si>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</si>
  <si>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</si>
  <si>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</si>
  <si>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</si>
  <si>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</si>
  <si>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</si>
  <si>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</si>
  <si>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</si>
  <si>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</si>
  <si>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</si>
  <si>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</si>
  <si>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</si>
  <si>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</si>
  <si>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</si>
  <si>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</si>
  <si>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</si>
  <si>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</si>
  <si>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</si>
  <si>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</si>
  <si>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</si>
  <si>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</si>
  <si>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</si>
  <si>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</si>
  <si>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</si>
  <si>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</si>
  <si>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</si>
  <si>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</si>
  <si>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</si>
  <si>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</si>
  <si>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</si>
  <si>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</si>
  <si>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</si>
  <si>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</si>
  <si>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</si>
  <si>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</si>
  <si>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</si>
  <si>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</si>
  <si>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</si>
  <si>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</si>
  <si>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</si>
  <si>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</si>
  <si>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</si>
  <si>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</si>
  <si>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</si>
  <si>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</si>
  <si>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</si>
  <si>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</si>
  <si>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</si>
  <si>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</si>
  <si>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</si>
  <si>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</si>
  <si>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</si>
  <si>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</si>
  <si>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</si>
  <si>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</si>
  <si>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</si>
  <si>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</si>
  <si>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</si>
  <si>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</si>
  <si>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</si>
  <si>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</si>
  <si>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</si>
  <si>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</si>
  <si>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</si>
  <si>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</si>
  <si>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</si>
  <si>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</si>
  <si>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</si>
  <si>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</si>
  <si>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</si>
  <si>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</si>
  <si>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</si>
  <si>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</si>
  <si>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</si>
  <si>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</si>
  <si>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</si>
  <si>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</si>
  <si>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</si>
  <si>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</si>
  <si>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</si>
  <si>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</si>
  <si>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</si>
  <si>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</si>
  <si>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</si>
  <si>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</si>
  <si>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</si>
  <si>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</si>
  <si>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</si>
  <si>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</si>
  <si>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</si>
  <si>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</si>
  <si>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</si>
  <si>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</si>
  <si>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</si>
  <si>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</si>
  <si>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</si>
  <si>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</si>
  <si>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</si>
  <si>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</si>
  <si>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</si>
  <si>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</si>
  <si>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</si>
  <si>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</si>
  <si>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</si>
  <si>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</si>
  <si>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</si>
  <si>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</si>
  <si>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</si>
  <si>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</si>
  <si>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</si>
  <si>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</si>
  <si>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</si>
  <si>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</si>
  <si>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</si>
  <si>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</si>
  <si>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</si>
  <si>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</si>
  <si>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</si>
  <si>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</si>
  <si>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</si>
  <si>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</si>
  <si>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</si>
  <si>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</si>
  <si>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</si>
  <si>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</si>
  <si>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</si>
  <si>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</si>
  <si>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</si>
  <si>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</si>
  <si>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</si>
  <si>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</si>
  <si>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</si>
  <si>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</si>
  <si>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</si>
  <si>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</si>
  <si>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</si>
  <si>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</si>
  <si>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</si>
  <si>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</si>
  <si>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</si>
  <si>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</si>
  <si>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</si>
  <si>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</si>
  <si>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</si>
  <si>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</si>
  <si>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</si>
  <si>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</si>
  <si>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</si>
  <si>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</si>
  <si>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</si>
  <si>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</si>
  <si>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</si>
  <si>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</si>
  <si>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</si>
  <si>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</si>
  <si>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</si>
  <si>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</si>
  <si>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</si>
  <si>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</si>
  <si>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</si>
  <si>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</si>
  <si>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</si>
  <si>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</si>
  <si>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</si>
  <si>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</si>
  <si>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</si>
  <si>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</si>
  <si>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</si>
  <si>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</si>
  <si>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</si>
  <si>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</si>
  <si>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</si>
  <si>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</si>
  <si>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</si>
  <si>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</si>
  <si>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</si>
  <si>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</si>
  <si>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</si>
  <si>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</si>
  <si>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</si>
  <si>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</si>
  <si>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</si>
  <si>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</si>
  <si>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</si>
  <si>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</si>
  <si>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</si>
  <si>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</si>
  <si>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</si>
  <si>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</si>
  <si>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</si>
  <si>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</si>
  <si>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</si>
  <si>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</si>
  <si>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</si>
  <si>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</si>
  <si>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</si>
  <si>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</si>
  <si>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</si>
  <si>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</si>
  <si>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</si>
  <si>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</si>
  <si>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</si>
  <si>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</si>
  <si>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</si>
  <si>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</si>
  <si>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</si>
  <si>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</si>
  <si>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</si>
  <si>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</si>
  <si>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</si>
  <si>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</si>
  <si>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</si>
  <si>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</si>
  <si>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</si>
  <si>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</si>
  <si>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</si>
  <si>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</si>
  <si>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</si>
  <si>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</si>
  <si>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</si>
  <si>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</si>
  <si>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</si>
  <si>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</si>
  <si>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</si>
  <si>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</si>
  <si>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</si>
  <si>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</si>
  <si>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</si>
  <si>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</si>
  <si>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</si>
  <si>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</si>
  <si>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</si>
  <si>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</si>
  <si>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</si>
  <si>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</si>
  <si>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</si>
  <si>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</si>
  <si>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</si>
  <si>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</si>
  <si>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</si>
  <si>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</si>
  <si>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</si>
  <si>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</si>
  <si>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</si>
  <si>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</si>
  <si>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</si>
  <si>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</si>
  <si>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</si>
  <si>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</si>
  <si>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</si>
  <si>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</si>
  <si>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</si>
  <si>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</si>
  <si>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</si>
  <si>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</si>
  <si>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</si>
  <si>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</si>
  <si>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</si>
  <si>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</si>
  <si>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</si>
  <si>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</si>
  <si>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</si>
  <si>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</si>
  <si>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</si>
  <si>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</si>
  <si>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</si>
  <si>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</si>
  <si>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</si>
  <si>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</si>
  <si>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</si>
  <si>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</si>
  <si>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</si>
  <si>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</si>
  <si>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</si>
  <si>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</si>
  <si>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</si>
  <si>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</si>
  <si>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</si>
  <si>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</si>
  <si>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</si>
  <si>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</si>
  <si>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</si>
  <si>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</si>
  <si>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</si>
  <si>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</si>
  <si>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</si>
  <si>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</si>
  <si>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</si>
  <si>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</si>
  <si>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</si>
  <si>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</si>
  <si>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</si>
  <si>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</si>
  <si>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</si>
  <si>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</si>
  <si>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</si>
  <si>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</si>
  <si>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</si>
  <si>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</si>
  <si>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</si>
  <si>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</si>
  <si>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</si>
  <si>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</si>
  <si>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</si>
  <si>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</si>
  <si>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</si>
  <si>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</si>
  <si>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</si>
  <si>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</si>
  <si>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</si>
  <si>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</si>
  <si>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</si>
  <si>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</si>
  <si>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</si>
  <si>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</si>
  <si>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</si>
  <si>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</si>
  <si>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</si>
  <si>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</si>
  <si>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</si>
  <si>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</si>
  <si>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</si>
  <si>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</si>
  <si>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</si>
  <si>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</si>
  <si>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</si>
  <si>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</si>
  <si>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</si>
  <si>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</si>
  <si>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</si>
  <si>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</si>
  <si>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</si>
  <si>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</si>
  <si>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</si>
  <si>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</si>
  <si>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</si>
  <si>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</si>
  <si>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</si>
  <si>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</si>
  <si>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</si>
  <si>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</si>
  <si>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</si>
  <si>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</si>
  <si>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</si>
  <si>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</si>
  <si>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</si>
  <si>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</si>
  <si>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</si>
  <si>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</si>
  <si>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</si>
  <si>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</si>
  <si>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</si>
  <si>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</si>
  <si>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</si>
  <si>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</si>
  <si>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</si>
  <si>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</si>
  <si>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</si>
  <si>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</si>
  <si>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</si>
  <si>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</si>
  <si>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</si>
  <si>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</si>
  <si>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</si>
  <si>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</si>
  <si>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</si>
  <si>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</si>
  <si>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</si>
  <si>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</si>
  <si>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</si>
  <si>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</si>
  <si>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</si>
  <si>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</si>
  <si>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</si>
  <si>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</si>
  <si>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</si>
  <si>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</si>
  <si>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</si>
  <si>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</si>
  <si>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</si>
  <si>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</si>
  <si>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</si>
  <si>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</si>
  <si>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</si>
  <si>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</si>
  <si>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</si>
  <si>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</si>
  <si>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</si>
  <si>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</si>
  <si>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</si>
  <si>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</si>
  <si>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</si>
  <si>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</si>
  <si>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</si>
  <si>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</si>
  <si>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</si>
  <si>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</si>
  <si>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</si>
  <si>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</si>
  <si>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</si>
  <si>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</si>
  <si>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</si>
  <si>
    <t>07بهمن1400</t>
  </si>
  <si>
    <t>روند روزانه بهای سکه و ارز ( پنج‌شنبه 07 بهمن 1400)</t>
  </si>
  <si>
    <t>هفته 44 سال</t>
  </si>
  <si>
    <t>روند روزانه بهای سکه و ارز ( شنبه 09 بهمن 1400)</t>
  </si>
  <si>
    <t>09بهمن1400</t>
  </si>
  <si>
    <t>روند روزانه بهای سکه و ارز ( یکشنبه 10 بهمن 1400)</t>
  </si>
  <si>
    <t>روند روزانه بهای سکه و ارز ( یکشنبه 11 بهمن 1400)</t>
  </si>
  <si>
    <t>10بهمن1400</t>
  </si>
  <si>
    <t>11بهمن1400</t>
  </si>
  <si>
    <t>12بهمن1400</t>
  </si>
  <si>
    <t>روند روزانه بهای سکه و ارز ( سه‌شنبه 12 بهمن 1400)</t>
  </si>
  <si>
    <t>13بهمن1400</t>
  </si>
  <si>
    <t>روند روزانه بهای سکه و ارز ( چهارشنبه 13 بهمن 1400)</t>
  </si>
  <si>
    <t>14بهمن1400</t>
  </si>
  <si>
    <t>روند روزانه بهای سکه و ارز ( پنج‌شنبه 15 بهمن 1400)</t>
  </si>
  <si>
    <t>هفته 45 سال</t>
  </si>
  <si>
    <t>16بهمن1400</t>
  </si>
  <si>
    <t>روند روزانه بهای سکه و ارز ( شنبه 16 بهمن 1400)</t>
  </si>
  <si>
    <t>17بهمن1400</t>
  </si>
  <si>
    <t>روند روزانه بهای سکه و ارز ( یکشنبه 17 بهمن 1400)</t>
  </si>
  <si>
    <t>18بهمن1400</t>
  </si>
  <si>
    <t>روند روزانه بهای سکه و ارز ( دوشنبه 18 بهمن 1400)</t>
  </si>
  <si>
    <t>13 52</t>
  </si>
  <si>
    <t>19بهمن1400</t>
  </si>
  <si>
    <t>روند روزانه بهای سکه و ارز ( سه‌شنبه 19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</si>
</sst>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812099664"/>
        <c:axId val="-520009248"/>
      </c:lineChart>
      <c:catAx>
        <c:axId val="-81209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09248"/>
        <c:crosses val="autoZero"/>
        <c:auto val="1"/>
        <c:lblAlgn val="ctr"/>
        <c:lblOffset val="100"/>
        <c:noMultiLvlLbl val="0"/>
      </c:catAx>
      <c:valAx>
        <c:axId val="-5200092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81209966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18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8468976525814605E-2"/>
                  <c:y val="9.887819700979875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-5.5406929577444574E-3"/>
                  <c:y val="2.37307672823517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weekly!$B$27:$B$45</c15:sqref>
                  </c15:fullRef>
                </c:ext>
              </c:extLst>
              <c:f>weekly!$B$28:$B$45</c:f>
              <c:numCache>
                <c:formatCode>General</c:formatCode>
                <c:ptCount val="18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  <c:pt idx="16">
                  <c:v>25255</c:v>
                </c:pt>
                <c:pt idx="17">
                  <c:v>24969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2558904037553966E-2"/>
                  <c:y val="-3.00970698419526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6"/>
              <c:layout>
                <c:manualLayout>
                  <c:x val="0"/>
                  <c:y val="-2.241239132222104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4F6-48C4-8305-527D22166FE6}"/>
                </c:ext>
                <c:ext xmlns:c15="http://schemas.microsoft.com/office/drawing/2012/chart" uri="{CE6537A1-D6FC-4f65-9D91-7224C49458BB}"/>
              </c:extLst>
            </c:dLbl>
            <c:dLbl>
              <c:idx val="17"/>
              <c:layout>
                <c:manualLayout>
                  <c:x val="0"/>
                  <c:y val="-1.69379126500251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39B-42FE-890C-FBBD5EA10856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weekly!$H$27:$H$45</c15:sqref>
                  </c15:fullRef>
                </c:ext>
              </c:extLst>
              <c:f>weekly!$H$28:$H$45</c:f>
              <c:numCache>
                <c:formatCode>General</c:formatCode>
                <c:ptCount val="18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  <c:pt idx="16">
                  <c:v>25479</c:v>
                </c:pt>
                <c:pt idx="17">
                  <c:v>25191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20010880"/>
        <c:axId val="-52000163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520010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01632"/>
        <c:crosses val="autoZero"/>
        <c:auto val="1"/>
        <c:lblAlgn val="ctr"/>
        <c:lblOffset val="100"/>
        <c:noMultiLvlLbl val="0"/>
      </c:catAx>
      <c:valAx>
        <c:axId val="-52000163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1088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20010336"/>
        <c:axId val="-520001088"/>
      </c:lineChart>
      <c:catAx>
        <c:axId val="-52001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01088"/>
        <c:crosses val="autoZero"/>
        <c:auto val="1"/>
        <c:lblAlgn val="ctr"/>
        <c:lblOffset val="100"/>
        <c:noMultiLvlLbl val="0"/>
      </c:catAx>
      <c:valAx>
        <c:axId val="-5200010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103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20009792"/>
        <c:axId val="-520004352"/>
      </c:lineChart>
      <c:catAx>
        <c:axId val="-52000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04352"/>
        <c:crosses val="autoZero"/>
        <c:auto val="1"/>
        <c:lblAlgn val="ctr"/>
        <c:lblOffset val="100"/>
        <c:noMultiLvlLbl val="0"/>
      </c:catAx>
      <c:valAx>
        <c:axId val="-520004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097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20008704"/>
        <c:axId val="-520005984"/>
      </c:lineChart>
      <c:catAx>
        <c:axId val="-52000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05984"/>
        <c:crosses val="autoZero"/>
        <c:auto val="1"/>
        <c:lblAlgn val="ctr"/>
        <c:lblOffset val="100"/>
        <c:noMultiLvlLbl val="0"/>
      </c:catAx>
      <c:valAx>
        <c:axId val="-5200059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087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18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weekly!$C$27:$C$45</c15:sqref>
                  </c15:fullRef>
                </c:ext>
              </c:extLst>
              <c:f>weekly!$C$28:$C$45</c:f>
              <c:numCache>
                <c:formatCode>General</c:formatCode>
                <c:ptCount val="18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  <c:pt idx="16">
                  <c:v>28631</c:v>
                </c:pt>
                <c:pt idx="17">
                  <c:v>28422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weekly!$A$27:$A$45</c15:sqref>
                  </c15:fullRef>
                </c:ext>
              </c:extLst>
              <c:f>weekly!$A$28:$A$45</c:f>
              <c:strCache>
                <c:ptCount val="18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  <c:pt idx="16">
                  <c:v>هفته 44 سال</c:v>
                </c:pt>
                <c:pt idx="17">
                  <c:v>هفته 45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weekly!$I$27:$I$45</c15:sqref>
                  </c15:fullRef>
                </c:ext>
              </c:extLst>
              <c:f>weekly!$I$28:$I$45</c:f>
              <c:numCache>
                <c:formatCode>General</c:formatCode>
                <c:ptCount val="18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  <c:pt idx="16">
                  <c:v>28888</c:v>
                </c:pt>
                <c:pt idx="17">
                  <c:v>28608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19997824"/>
        <c:axId val="-51999945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weekly!$A$27:$A$45</c15:sqref>
                        </c15:fullRef>
                        <c15:formulaRef>
                          <c15:sqref>weekly!$A$28:$A$45</c15:sqref>
                        </c15:formulaRef>
                      </c:ext>
                    </c:extLst>
                    <c:strCache>
                      <c:ptCount val="18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  <c:pt idx="16">
                        <c:v>هفته 44 سال</c:v>
                      </c:pt>
                      <c:pt idx="17">
                        <c:v>هفته 45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519997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19999456"/>
        <c:crosses val="autoZero"/>
        <c:auto val="1"/>
        <c:lblAlgn val="ctr"/>
        <c:lblOffset val="100"/>
        <c:noMultiLvlLbl val="0"/>
      </c:catAx>
      <c:valAx>
        <c:axId val="-51999945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199978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520003808"/>
        <c:axId val="-520011424"/>
      </c:barChart>
      <c:catAx>
        <c:axId val="-520003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11424"/>
        <c:crosses val="autoZero"/>
        <c:auto val="1"/>
        <c:lblAlgn val="ctr"/>
        <c:lblOffset val="100"/>
        <c:noMultiLvlLbl val="0"/>
      </c:catAx>
      <c:valAx>
        <c:axId val="-5200114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0380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 سه‌شنبه 19 بهمن 1400 )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9"/>
          <c:order val="89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change'!$F$171:$I$171</c:f>
              <c:numCache>
                <c:formatCode>General</c:formatCode>
                <c:ptCount val="4"/>
                <c:pt idx="0">
                  <c:v>-1.905829596412556</c:v>
                </c:pt>
                <c:pt idx="1">
                  <c:v>-1.0499790004199916</c:v>
                </c:pt>
                <c:pt idx="2">
                  <c:v>-1.4834279901669916</c:v>
                </c:pt>
                <c:pt idx="3">
                  <c:v>0.53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519997280"/>
        <c:axId val="-52000054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80A-4DC9-AF07-7B1D9A94AFC4}"/>
                  </c:ext>
                </c:extLst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80A-4DC9-AF07-7B1D9A94AFC4}"/>
                  </c:ext>
                </c:extLst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80A-4DC9-AF07-7B1D9A94AFC4}"/>
                  </c:ext>
                </c:extLst>
              </c15:ser>
            </c15:filteredBarSeries>
            <c15:filteredBarSeries>
              <c15:ser>
                <c:idx val="80"/>
                <c:order val="8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change'!$F$162:$I$162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0.17793594306049823</c:v>
                      </c:pt>
                      <c:pt idx="1">
                        <c:v>1.0847730012053034</c:v>
                      </c:pt>
                      <c:pt idx="2">
                        <c:v>2.7943308101143502</c:v>
                      </c:pt>
                      <c:pt idx="3">
                        <c:v>1.78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80A-4DC9-AF07-7B1D9A94AFC4}"/>
                  </c:ext>
                </c:extLst>
              </c15:ser>
            </c15:filteredBarSeries>
            <c15:filteredBarSeries>
              <c15:ser>
                <c:idx val="81"/>
                <c:order val="8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change'!$F$163:$I$163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0.28419182948490229</c:v>
                      </c:pt>
                      <c:pt idx="1">
                        <c:v>-0.99364069952305245</c:v>
                      </c:pt>
                      <c:pt idx="2">
                        <c:v>-2.4598511555033293</c:v>
                      </c:pt>
                      <c:pt idx="3">
                        <c:v>2.41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25-4A13-98D8-CAB9E1153C64}"/>
                  </c:ext>
                </c:extLst>
              </c15:ser>
            </c15:filteredBarSeries>
            <c15:filteredBarSeries>
              <c15:ser>
                <c:idx val="82"/>
                <c:order val="8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change'!$F$164:$I$164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-0.38965639390719092</c:v>
                      </c:pt>
                      <c:pt idx="1">
                        <c:v>-0.76274588518667197</c:v>
                      </c:pt>
                      <c:pt idx="2">
                        <c:v>-1.7428319010521243</c:v>
                      </c:pt>
                      <c:pt idx="3">
                        <c:v>2.0299999999999998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25-4A13-98D8-CAB9E1153C64}"/>
                  </c:ext>
                </c:extLst>
              </c15:ser>
            </c15:filteredBarSeries>
            <c15:filteredBarSeries>
              <c15:ser>
                <c:idx val="83"/>
                <c:order val="8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change'!$F$165:$I$165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-0.53342816500711232</c:v>
                      </c:pt>
                      <c:pt idx="1">
                        <c:v>-1.0113268608414239</c:v>
                      </c:pt>
                      <c:pt idx="2">
                        <c:v>0.18800065391531798</c:v>
                      </c:pt>
                      <c:pt idx="3">
                        <c:v>0.78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25-4A13-98D8-CAB9E1153C64}"/>
                  </c:ext>
                </c:extLst>
              </c15:ser>
            </c15:filteredBarSeries>
            <c15:filteredBarSeries>
              <c15:ser>
                <c:idx val="84"/>
                <c:order val="8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change'!$F$166:$I$166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-0.64354665713264214</c:v>
                      </c:pt>
                      <c:pt idx="1">
                        <c:v>4.0866366979975477E-2</c:v>
                      </c:pt>
                      <c:pt idx="2">
                        <c:v>-0.66084686301705153</c:v>
                      </c:pt>
                      <c:pt idx="3">
                        <c:v>0.52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25-4A13-98D8-CAB9E1153C64}"/>
                  </c:ext>
                </c:extLst>
              </c15:ser>
            </c15:filteredBarSeries>
            <c15:filteredBarSeries>
              <c15:ser>
                <c:idx val="85"/>
                <c:order val="8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change'!$F$167:$I$167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-0.97157250809643758</c:v>
                      </c:pt>
                      <c:pt idx="1">
                        <c:v>-0.49019607843137253</c:v>
                      </c:pt>
                      <c:pt idx="2">
                        <c:v>-0.79664914586070956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25-4A13-98D8-CAB9E1153C64}"/>
                  </c:ext>
                </c:extLst>
              </c15:ser>
            </c15:filteredBarSeries>
            <c15:filteredBarSeries>
              <c15:ser>
                <c:idx val="86"/>
                <c:order val="8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change'!$F$168:$I$168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-2.3255813953488373</c:v>
                      </c:pt>
                      <c:pt idx="1">
                        <c:v>-2.4220032840722494</c:v>
                      </c:pt>
                      <c:pt idx="2">
                        <c:v>-0.93550790628363278</c:v>
                      </c:pt>
                      <c:pt idx="3">
                        <c:v>0.25</c:v>
                      </c:pt>
                    </c:numCache>
                  </c:numRef>
                </c:val>
              </c15:ser>
            </c15:filteredBarSeries>
            <c15:filteredBarSeries>
              <c15:ser>
                <c:idx val="87"/>
                <c:order val="8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change'!$F$169:$I$169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-0.85565476190476186</c:v>
                      </c:pt>
                      <c:pt idx="1">
                        <c:v>0.79932688262515772</c:v>
                      </c:pt>
                      <c:pt idx="2">
                        <c:v>-2.6073875981948853</c:v>
                      </c:pt>
                      <c:pt idx="3">
                        <c:v>-1.72</c:v>
                      </c:pt>
                    </c:numCache>
                  </c:numRef>
                </c:val>
              </c15:ser>
            </c15:filteredBarSeries>
            <c15:filteredBarSeries>
              <c15:ser>
                <c:idx val="88"/>
                <c:order val="8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change'!$F$170:$I$170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0.41275797373358347</c:v>
                      </c:pt>
                      <c:pt idx="1">
                        <c:v>-0.62604340567612693</c:v>
                      </c:pt>
                      <c:pt idx="2">
                        <c:v>1.2270465076368628</c:v>
                      </c:pt>
                      <c:pt idx="3">
                        <c:v>-0.59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519997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20000544"/>
        <c:crosses val="autoZero"/>
        <c:auto val="1"/>
        <c:lblAlgn val="ctr"/>
        <c:lblOffset val="100"/>
        <c:noMultiLvlLbl val="0"/>
      </c:catAx>
      <c:valAx>
        <c:axId val="-52000054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199972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600</xdr:row>
      <xdr:rowOff>102960</xdr:rowOff>
    </xdr:from>
    <xdr:to>
      <xdr:col>11</xdr:col>
      <xdr:colOff>279360</xdr:colOff>
      <xdr:row>630</xdr:row>
      <xdr:rowOff>102241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180</xdr:row>
      <xdr:rowOff>27711</xdr:rowOff>
    </xdr:from>
    <xdr:to>
      <xdr:col>53</xdr:col>
      <xdr:colOff>335280</xdr:colOff>
      <xdr:row>285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316</xdr:row>
      <xdr:rowOff>0</xdr:rowOff>
    </xdr:from>
    <xdr:to>
      <xdr:col>82</xdr:col>
      <xdr:colOff>0</xdr:colOff>
      <xdr:row>392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635</xdr:row>
      <xdr:rowOff>0</xdr:rowOff>
    </xdr:from>
    <xdr:to>
      <xdr:col>13</xdr:col>
      <xdr:colOff>354240</xdr:colOff>
      <xdr:row>665</xdr:row>
      <xdr:rowOff>53641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415</xdr:row>
      <xdr:rowOff>0</xdr:rowOff>
    </xdr:from>
    <xdr:to>
      <xdr:col>83</xdr:col>
      <xdr:colOff>533400</xdr:colOff>
      <xdr:row>514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63</xdr:row>
      <xdr:rowOff>76321</xdr:rowOff>
    </xdr:from>
    <xdr:to>
      <xdr:col>44</xdr:col>
      <xdr:colOff>533400</xdr:colOff>
      <xdr:row>162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685345</xdr:colOff>
      <xdr:row>2</xdr:row>
      <xdr:rowOff>80863</xdr:rowOff>
    </xdr:from>
    <xdr:to>
      <xdr:col>7</xdr:col>
      <xdr:colOff>954081</xdr:colOff>
      <xdr:row>31</xdr:row>
      <xdr:rowOff>134471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65"/>
  <sheetViews>
    <sheetView topLeftCell="W1" zoomScaleNormal="100" workbookViewId="0">
      <pane ySplit="1" topLeftCell="A244" activePane="bottomLeft" state="frozen"/>
      <selection activeCell="B1" sqref="B1"/>
      <selection pane="bottomLeft" activeCell="Y256" sqref="Y256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L250/G250</f>
        <v>#DIV/0!</v>
      </c>
      <c r="T1" s="3" t="s">
        <v>15</v>
      </c>
      <c r="U1" s="3">
        <f>M250/K250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144" customFormat="1" ht="18">
      <c r="B237" s="145" t="s">
        <v>599</v>
      </c>
      <c r="C237" s="108">
        <v>5</v>
      </c>
      <c r="D237" s="146">
        <v>25250</v>
      </c>
      <c r="E237" s="144">
        <v>25088</v>
      </c>
      <c r="F237" s="144">
        <v>25174</v>
      </c>
      <c r="H237" s="144">
        <v>26680</v>
      </c>
      <c r="I237" s="144">
        <v>28350</v>
      </c>
      <c r="J237" s="144">
        <v>28564</v>
      </c>
      <c r="L237" s="142"/>
      <c r="M237" s="142"/>
      <c r="N237" s="144">
        <v>25339</v>
      </c>
      <c r="O237" s="144">
        <v>28633</v>
      </c>
      <c r="P237" s="144">
        <v>25502</v>
      </c>
      <c r="Q237" s="144">
        <v>28967</v>
      </c>
      <c r="V237" s="144">
        <v>28100</v>
      </c>
      <c r="X237" s="144">
        <v>28100</v>
      </c>
      <c r="Y237" s="144">
        <v>31795</v>
      </c>
      <c r="Z237" s="147"/>
      <c r="AB237" s="146"/>
      <c r="AS237" s="146"/>
      <c r="AW237" s="146"/>
      <c r="BI237" s="207"/>
      <c r="BO237" s="150"/>
      <c r="BP237" s="150"/>
      <c r="BQ237" s="150"/>
      <c r="BR237" s="150"/>
    </row>
    <row r="238" spans="2:70" s="144" customFormat="1" ht="18">
      <c r="B238" s="145" t="s">
        <v>601</v>
      </c>
      <c r="C238" s="108">
        <v>6</v>
      </c>
      <c r="D238" s="146">
        <v>25088</v>
      </c>
      <c r="E238" s="144">
        <v>24998</v>
      </c>
      <c r="F238" s="144">
        <v>25080</v>
      </c>
      <c r="H238" s="144">
        <v>28350</v>
      </c>
      <c r="I238" s="144">
        <v>28393</v>
      </c>
      <c r="J238" s="144">
        <v>28491</v>
      </c>
      <c r="L238" s="142"/>
      <c r="M238" s="142"/>
      <c r="N238" s="144">
        <v>25248</v>
      </c>
      <c r="O238" s="144">
        <v>28677</v>
      </c>
      <c r="P238" s="144">
        <v>25339</v>
      </c>
      <c r="Q238" s="144">
        <v>28633</v>
      </c>
      <c r="V238" s="144">
        <v>28300</v>
      </c>
      <c r="X238" s="144">
        <v>28150</v>
      </c>
      <c r="Y238" s="144">
        <v>31998</v>
      </c>
      <c r="Z238" s="147"/>
      <c r="AB238" s="146"/>
      <c r="AS238" s="146"/>
      <c r="AW238" s="146"/>
      <c r="BI238" s="207"/>
      <c r="BO238" s="150"/>
      <c r="BP238" s="150"/>
      <c r="BQ238" s="150"/>
      <c r="BR238" s="150"/>
    </row>
    <row r="239" spans="2:70" s="202" customFormat="1" ht="18">
      <c r="B239" s="148" t="s">
        <v>603</v>
      </c>
      <c r="C239" s="114">
        <v>7</v>
      </c>
      <c r="D239" s="203">
        <v>25080</v>
      </c>
      <c r="E239" s="202">
        <v>24988</v>
      </c>
      <c r="F239" s="202">
        <v>24989</v>
      </c>
      <c r="H239" s="202">
        <v>28393</v>
      </c>
      <c r="I239" s="202">
        <v>28546</v>
      </c>
      <c r="J239" s="202">
        <v>28491</v>
      </c>
      <c r="L239" s="149"/>
      <c r="M239" s="149"/>
      <c r="N239" s="202">
        <v>25238</v>
      </c>
      <c r="O239" s="202">
        <v>28831</v>
      </c>
      <c r="P239" s="202">
        <v>25331</v>
      </c>
      <c r="Q239" s="202">
        <v>28677</v>
      </c>
      <c r="V239" s="202">
        <v>28000</v>
      </c>
      <c r="X239" s="202">
        <v>27960</v>
      </c>
      <c r="Y239" s="202">
        <v>31399</v>
      </c>
      <c r="Z239" s="204"/>
      <c r="AB239" s="203"/>
      <c r="AS239" s="203"/>
      <c r="AW239" s="203"/>
      <c r="BI239" s="205"/>
      <c r="BO239" s="206"/>
      <c r="BP239" s="206"/>
      <c r="BQ239" s="206"/>
      <c r="BR239" s="206"/>
    </row>
    <row r="240" spans="2:70" s="152" customFormat="1" ht="18">
      <c r="B240" s="153" t="s">
        <v>607</v>
      </c>
      <c r="C240" s="121">
        <v>9</v>
      </c>
      <c r="D240" s="154">
        <v>25019</v>
      </c>
      <c r="E240" s="152">
        <v>24959</v>
      </c>
      <c r="F240" s="152">
        <v>24987</v>
      </c>
      <c r="H240" s="152">
        <v>28546</v>
      </c>
      <c r="I240" s="152">
        <v>28101</v>
      </c>
      <c r="J240" s="152">
        <v>28438</v>
      </c>
      <c r="L240" s="201"/>
      <c r="M240" s="201"/>
      <c r="N240" s="152">
        <v>25208</v>
      </c>
      <c r="O240" s="152">
        <v>28382</v>
      </c>
      <c r="P240" s="152">
        <v>25269</v>
      </c>
      <c r="Q240" s="152">
        <v>28831</v>
      </c>
      <c r="V240" s="152">
        <v>28340</v>
      </c>
      <c r="X240" s="152">
        <v>28230</v>
      </c>
      <c r="Y240" s="152">
        <v>31767</v>
      </c>
      <c r="Z240" s="155"/>
      <c r="AB240" s="154"/>
      <c r="AS240" s="154"/>
      <c r="AW240" s="154"/>
      <c r="BI240" s="178"/>
      <c r="BO240" s="156"/>
      <c r="BP240" s="156"/>
      <c r="BQ240" s="156"/>
      <c r="BR240" s="156"/>
    </row>
    <row r="241" spans="2:70" s="152" customFormat="1" ht="18">
      <c r="B241" s="153" t="s">
        <v>610</v>
      </c>
      <c r="C241" s="121">
        <v>10</v>
      </c>
      <c r="D241" s="154">
        <v>24954</v>
      </c>
      <c r="E241" s="152">
        <v>24806</v>
      </c>
      <c r="F241" s="152">
        <v>24952</v>
      </c>
      <c r="H241" s="152">
        <v>28101</v>
      </c>
      <c r="I241" s="152">
        <v>28390</v>
      </c>
      <c r="J241" s="152">
        <v>28333</v>
      </c>
      <c r="L241" s="201"/>
      <c r="M241" s="201"/>
      <c r="N241" s="152">
        <v>25054</v>
      </c>
      <c r="O241" s="152">
        <v>28674</v>
      </c>
      <c r="P241" s="152">
        <v>25244</v>
      </c>
      <c r="Q241" s="152">
        <v>28382</v>
      </c>
      <c r="V241" s="152">
        <v>28000</v>
      </c>
      <c r="X241" s="152">
        <v>28120</v>
      </c>
      <c r="Y241" s="152">
        <v>31197</v>
      </c>
      <c r="Z241" s="155"/>
      <c r="AB241" s="154"/>
      <c r="AS241" s="154"/>
      <c r="AW241" s="154"/>
      <c r="BI241" s="178"/>
      <c r="BO241" s="156"/>
      <c r="BP241" s="156"/>
      <c r="BQ241" s="156"/>
      <c r="BR241" s="156"/>
    </row>
    <row r="242" spans="2:70" s="152" customFormat="1" ht="18">
      <c r="B242" s="153" t="s">
        <v>611</v>
      </c>
      <c r="C242" s="121">
        <v>11</v>
      </c>
      <c r="D242" s="154">
        <v>25053</v>
      </c>
      <c r="E242" s="152">
        <v>24808</v>
      </c>
      <c r="F242" s="152">
        <v>24968</v>
      </c>
      <c r="H242" s="152">
        <v>28390</v>
      </c>
      <c r="I242" s="152">
        <v>28299</v>
      </c>
      <c r="J242" s="152">
        <v>28325</v>
      </c>
      <c r="L242" s="201"/>
      <c r="M242" s="201"/>
      <c r="N242" s="152">
        <v>25056</v>
      </c>
      <c r="O242" s="152">
        <v>28582</v>
      </c>
      <c r="P242" s="152">
        <v>25303</v>
      </c>
      <c r="Q242" s="152">
        <v>28674</v>
      </c>
      <c r="V242" s="152">
        <v>28100</v>
      </c>
      <c r="X242" s="152">
        <v>27970</v>
      </c>
      <c r="Y242" s="152">
        <v>31197</v>
      </c>
      <c r="Z242" s="155"/>
      <c r="AB242" s="154"/>
      <c r="AS242" s="154"/>
      <c r="AW242" s="154"/>
      <c r="BI242" s="178"/>
      <c r="BO242" s="156"/>
      <c r="BP242" s="156"/>
      <c r="BQ242" s="156"/>
      <c r="BR242" s="156"/>
    </row>
    <row r="243" spans="2:70" s="152" customFormat="1" ht="18">
      <c r="B243" s="153" t="s">
        <v>612</v>
      </c>
      <c r="C243" s="121">
        <v>12</v>
      </c>
      <c r="D243" s="154">
        <v>25033</v>
      </c>
      <c r="E243" s="152">
        <v>24897</v>
      </c>
      <c r="F243" s="152">
        <v>24869</v>
      </c>
      <c r="H243" s="152">
        <v>28299</v>
      </c>
      <c r="I243" s="152">
        <v>28216</v>
      </c>
      <c r="J243" s="152">
        <v>28225</v>
      </c>
      <c r="L243" s="201"/>
      <c r="M243" s="201"/>
      <c r="N243" s="152">
        <v>25145</v>
      </c>
      <c r="O243" s="152">
        <v>28498</v>
      </c>
      <c r="P243" s="152">
        <v>25283</v>
      </c>
      <c r="Q243" s="152">
        <v>28582</v>
      </c>
      <c r="V243" s="152">
        <v>27900</v>
      </c>
      <c r="X243" s="152">
        <v>27790</v>
      </c>
      <c r="Y243" s="152">
        <v>31197</v>
      </c>
      <c r="Z243" s="155"/>
      <c r="AB243" s="154"/>
      <c r="AS243" s="154"/>
      <c r="AW243" s="154"/>
      <c r="BI243" s="178"/>
      <c r="BO243" s="156"/>
      <c r="BP243" s="156"/>
      <c r="BQ243" s="156"/>
      <c r="BR243" s="156"/>
    </row>
    <row r="244" spans="2:70" s="152" customFormat="1" ht="18">
      <c r="B244" s="153" t="s">
        <v>614</v>
      </c>
      <c r="C244" s="121">
        <v>13</v>
      </c>
      <c r="D244" s="154">
        <v>24900</v>
      </c>
      <c r="E244" s="152">
        <v>25058</v>
      </c>
      <c r="F244" s="152">
        <v>24961</v>
      </c>
      <c r="H244" s="152">
        <v>28216</v>
      </c>
      <c r="I244" s="152">
        <v>28460</v>
      </c>
      <c r="J244" s="152">
        <v>28637</v>
      </c>
      <c r="L244" s="201"/>
      <c r="M244" s="201"/>
      <c r="N244" s="152">
        <v>25309</v>
      </c>
      <c r="O244" s="152">
        <v>28745</v>
      </c>
      <c r="P244" s="152">
        <v>25149</v>
      </c>
      <c r="Q244" s="152">
        <v>28498</v>
      </c>
      <c r="V244" s="152">
        <v>27680</v>
      </c>
      <c r="X244" s="152">
        <v>27520</v>
      </c>
      <c r="Y244" s="152">
        <v>31141</v>
      </c>
      <c r="Z244" s="155"/>
      <c r="AB244" s="154"/>
      <c r="AS244" s="154"/>
      <c r="AW244" s="154"/>
      <c r="BI244" s="178"/>
      <c r="BO244" s="156"/>
      <c r="BP244" s="156"/>
      <c r="BQ244" s="156"/>
      <c r="BR244" s="156"/>
    </row>
    <row r="245" spans="2:70" s="152" customFormat="1" ht="18">
      <c r="B245" s="153" t="s">
        <v>616</v>
      </c>
      <c r="C245" s="121">
        <v>14</v>
      </c>
      <c r="D245" s="154">
        <v>25090</v>
      </c>
      <c r="E245" s="152">
        <v>25125</v>
      </c>
      <c r="F245" s="152">
        <v>25079</v>
      </c>
      <c r="H245" s="152">
        <v>28460</v>
      </c>
      <c r="I245" s="152">
        <v>28482</v>
      </c>
      <c r="J245" s="152">
        <v>28573</v>
      </c>
      <c r="L245" s="201"/>
      <c r="M245" s="201"/>
      <c r="N245" s="152">
        <v>25376</v>
      </c>
      <c r="O245" s="152">
        <v>28767</v>
      </c>
      <c r="P245" s="152">
        <v>25341</v>
      </c>
      <c r="Q245" s="152">
        <v>28745</v>
      </c>
      <c r="V245" s="152">
        <v>27530</v>
      </c>
      <c r="X245" s="152">
        <v>27550</v>
      </c>
      <c r="Y245" s="152">
        <v>31141</v>
      </c>
      <c r="Z245" s="155"/>
      <c r="AB245" s="154"/>
      <c r="AS245" s="154"/>
      <c r="AW245" s="154"/>
      <c r="BI245" s="178"/>
      <c r="BO245" s="156"/>
      <c r="BP245" s="156"/>
      <c r="BQ245" s="156"/>
      <c r="BR245" s="156"/>
    </row>
    <row r="246" spans="2:70" s="144" customFormat="1" ht="18">
      <c r="B246" s="145" t="s">
        <v>619</v>
      </c>
      <c r="C246" s="108">
        <v>16</v>
      </c>
      <c r="D246" s="146">
        <v>24987</v>
      </c>
      <c r="E246" s="144">
        <v>24810</v>
      </c>
      <c r="F246" s="144">
        <v>24981</v>
      </c>
      <c r="H246" s="144">
        <v>28482</v>
      </c>
      <c r="I246" s="144">
        <v>28540</v>
      </c>
      <c r="J246" s="144">
        <v>28636</v>
      </c>
      <c r="L246" s="142"/>
      <c r="M246" s="142"/>
      <c r="N246" s="144">
        <v>25058</v>
      </c>
      <c r="O246" s="144">
        <v>28825</v>
      </c>
      <c r="P246" s="144">
        <v>25237</v>
      </c>
      <c r="Q246" s="144">
        <v>28767</v>
      </c>
      <c r="V246" s="144">
        <v>27080</v>
      </c>
      <c r="X246" s="144">
        <v>26880</v>
      </c>
      <c r="Y246" s="144">
        <v>30785</v>
      </c>
      <c r="Z246" s="147"/>
      <c r="AB246" s="146"/>
      <c r="AS246" s="146"/>
      <c r="AW246" s="146"/>
      <c r="BI246" s="207"/>
      <c r="BO246" s="150"/>
      <c r="BP246" s="150"/>
      <c r="BQ246" s="150"/>
      <c r="BR246" s="150"/>
    </row>
    <row r="247" spans="2:70" s="144" customFormat="1" ht="18">
      <c r="B247" s="145" t="s">
        <v>621</v>
      </c>
      <c r="C247" s="108">
        <v>17</v>
      </c>
      <c r="D247" s="146">
        <v>24624</v>
      </c>
      <c r="E247" s="144">
        <v>24286</v>
      </c>
      <c r="F247" s="144">
        <v>24319</v>
      </c>
      <c r="H247" s="144">
        <v>28540</v>
      </c>
      <c r="I247" s="144">
        <v>28064</v>
      </c>
      <c r="J247" s="144">
        <v>28240</v>
      </c>
      <c r="L247" s="142"/>
      <c r="M247" s="142"/>
      <c r="N247" s="144">
        <v>24529</v>
      </c>
      <c r="O247" s="144">
        <v>28344</v>
      </c>
      <c r="P247" s="144">
        <v>24870</v>
      </c>
      <c r="Q247" s="144">
        <v>28825</v>
      </c>
      <c r="V247" s="144">
        <v>26250</v>
      </c>
      <c r="X247" s="144">
        <v>26650</v>
      </c>
      <c r="Y247" s="144">
        <v>29950</v>
      </c>
      <c r="Z247" s="147"/>
      <c r="AB247" s="146"/>
      <c r="AS247" s="146"/>
      <c r="AW247" s="146"/>
      <c r="BI247" s="207"/>
      <c r="BO247" s="150"/>
      <c r="BP247" s="150"/>
      <c r="BQ247" s="150"/>
      <c r="BR247" s="150"/>
    </row>
    <row r="248" spans="2:70" s="144" customFormat="1" ht="18">
      <c r="B248" s="145" t="s">
        <v>623</v>
      </c>
      <c r="C248" s="108">
        <v>18</v>
      </c>
      <c r="D248" s="146">
        <v>24300</v>
      </c>
      <c r="E248" s="144">
        <v>24503</v>
      </c>
      <c r="F248" s="144">
        <v>24406</v>
      </c>
      <c r="H248" s="144">
        <v>28064</v>
      </c>
      <c r="I248" s="144">
        <v>28700</v>
      </c>
      <c r="J248" s="144">
        <v>28395</v>
      </c>
      <c r="L248" s="142"/>
      <c r="M248" s="142"/>
      <c r="N248" s="144">
        <v>24748</v>
      </c>
      <c r="O248" s="144">
        <v>28987</v>
      </c>
      <c r="P248" s="144">
        <v>24543</v>
      </c>
      <c r="Q248" s="144">
        <v>28344</v>
      </c>
      <c r="V248" s="144">
        <v>26980</v>
      </c>
      <c r="X248" s="144">
        <v>26760</v>
      </c>
      <c r="Y248" s="144">
        <v>30729</v>
      </c>
      <c r="Z248" s="147"/>
      <c r="AB248" s="146"/>
      <c r="AS248" s="146"/>
      <c r="AW248" s="146"/>
      <c r="BI248" s="207"/>
      <c r="BO248" s="150"/>
      <c r="BP248" s="150"/>
      <c r="BQ248" s="150"/>
      <c r="BR248" s="150"/>
    </row>
    <row r="249" spans="2:70" s="136" customFormat="1" ht="18">
      <c r="B249" s="131" t="s">
        <v>626</v>
      </c>
      <c r="C249" s="104">
        <v>19</v>
      </c>
      <c r="D249" s="137">
        <v>24357</v>
      </c>
      <c r="E249" s="136">
        <v>24292</v>
      </c>
      <c r="F249" s="136">
        <v>24242</v>
      </c>
      <c r="H249" s="136">
        <v>28700</v>
      </c>
      <c r="I249" s="136">
        <v>28250</v>
      </c>
      <c r="J249" s="136">
        <v>28107</v>
      </c>
      <c r="L249" s="208"/>
      <c r="M249" s="208"/>
      <c r="N249" s="136">
        <v>24535</v>
      </c>
      <c r="O249" s="136">
        <v>28532</v>
      </c>
      <c r="P249" s="136">
        <v>24601</v>
      </c>
      <c r="Q249" s="136">
        <v>28987</v>
      </c>
      <c r="V249" s="136">
        <v>26480</v>
      </c>
      <c r="X249" s="136">
        <v>26250</v>
      </c>
      <c r="Y249" s="136">
        <v>30168</v>
      </c>
      <c r="Z249" s="138"/>
      <c r="AB249" s="137"/>
      <c r="AS249" s="137"/>
      <c r="AW249" s="137"/>
      <c r="BI249" s="177"/>
      <c r="BO249" s="151"/>
      <c r="BP249" s="151"/>
      <c r="BQ249" s="151"/>
      <c r="BR249" s="151"/>
    </row>
    <row r="250" spans="2:70" ht="18">
      <c r="D250" s="26"/>
      <c r="K250">
        <f>SUM(K2:K216)</f>
        <v>210358000</v>
      </c>
      <c r="L250" s="142">
        <f>SUM(L2:L216)</f>
        <v>38488576407409</v>
      </c>
      <c r="M250" s="142">
        <f>SUM(M2:M216)</f>
        <v>6182194847600</v>
      </c>
      <c r="V250" s="144"/>
      <c r="Y250">
        <f>Y249-Y248</f>
        <v>-561</v>
      </c>
      <c r="Z250" s="25"/>
      <c r="AS250" s="26"/>
      <c r="AW250" s="30"/>
    </row>
    <row r="251" spans="2:70" ht="18">
      <c r="D251">
        <f>D243-F242</f>
        <v>65</v>
      </c>
      <c r="N251">
        <f>(38955-36945)/36945</f>
        <v>5.4405196914332113E-2</v>
      </c>
      <c r="V251" s="152"/>
      <c r="Z251" s="25"/>
      <c r="AS251" s="26"/>
      <c r="AW251" s="30"/>
    </row>
    <row r="252" spans="2:70" ht="18">
      <c r="E252">
        <f>D242-F241</f>
        <v>101</v>
      </c>
      <c r="O252">
        <f>P242-N241</f>
        <v>249</v>
      </c>
      <c r="V252" s="152"/>
      <c r="W252" s="152"/>
      <c r="Y252">
        <f>Y241-Y240</f>
        <v>-570</v>
      </c>
      <c r="Z252" s="25"/>
      <c r="AS252" s="26"/>
      <c r="AW252" s="30"/>
    </row>
    <row r="253" spans="2:70" ht="18">
      <c r="D253" s="93"/>
      <c r="N253">
        <f>(2785-2525)/2525</f>
        <v>0.10297029702970296</v>
      </c>
      <c r="P253">
        <f>P230-N229</f>
        <v>24</v>
      </c>
      <c r="V253" s="152"/>
      <c r="W253" s="152"/>
      <c r="Y253">
        <f>Y247-Y246</f>
        <v>-835</v>
      </c>
      <c r="Z253" s="25"/>
      <c r="AW253" s="30"/>
    </row>
    <row r="254" spans="2:70" ht="17.25" customHeight="1">
      <c r="D254" s="93"/>
      <c r="P254" t="s">
        <v>523</v>
      </c>
      <c r="Q254" t="s">
        <v>524</v>
      </c>
      <c r="V254" s="152"/>
      <c r="W254" s="152"/>
      <c r="Z254" s="25"/>
    </row>
    <row r="255" spans="2:70" ht="18">
      <c r="D255" s="93"/>
      <c r="E255">
        <f>(28300-25088)/25088</f>
        <v>0.12802933673469388</v>
      </c>
      <c r="O255" s="126" t="s">
        <v>503</v>
      </c>
      <c r="P255">
        <v>-178</v>
      </c>
      <c r="Q255">
        <v>-180</v>
      </c>
      <c r="V255" s="25"/>
      <c r="W255" s="152"/>
      <c r="X255">
        <f>Y248-Y247</f>
        <v>779</v>
      </c>
      <c r="Y255">
        <f>(2631-2489)/2489</f>
        <v>5.7051024507834475E-2</v>
      </c>
      <c r="Z255" s="25"/>
    </row>
    <row r="256" spans="2:70" ht="18">
      <c r="D256" s="93"/>
      <c r="F256">
        <f>(37881-36136)/37136</f>
        <v>4.6989444205084017E-2</v>
      </c>
      <c r="H256">
        <f>(27376-26532)/26532</f>
        <v>3.1810643750942259E-2</v>
      </c>
      <c r="O256" s="132" t="s">
        <v>505</v>
      </c>
      <c r="P256">
        <v>59</v>
      </c>
      <c r="Q256">
        <v>59</v>
      </c>
      <c r="V256" s="25">
        <v>26850</v>
      </c>
      <c r="W256" s="152">
        <f>(X246-X245)/X245</f>
        <v>-2.4319419237749548E-2</v>
      </c>
    </row>
    <row r="257" spans="4:25" ht="18">
      <c r="D257" s="93"/>
      <c r="N257">
        <f t="shared" ref="N257:N261" si="42">N199-N198</f>
        <v>-15</v>
      </c>
      <c r="O257" s="132" t="s">
        <v>507</v>
      </c>
      <c r="P257">
        <v>-17</v>
      </c>
      <c r="Q257">
        <v>-16</v>
      </c>
      <c r="V257" s="25">
        <v>26820</v>
      </c>
      <c r="W257" s="152"/>
    </row>
    <row r="258" spans="4:25" ht="18">
      <c r="D258" s="107"/>
      <c r="E258">
        <f>(2499-2381)/2381</f>
        <v>4.9559008819823606E-2</v>
      </c>
      <c r="N258">
        <f t="shared" si="42"/>
        <v>-12</v>
      </c>
      <c r="O258" s="132" t="s">
        <v>509</v>
      </c>
      <c r="P258">
        <v>-163</v>
      </c>
      <c r="Q258">
        <v>-165</v>
      </c>
      <c r="V258" s="26">
        <v>26780</v>
      </c>
      <c r="W258" s="144"/>
    </row>
    <row r="259" spans="4:25" ht="18">
      <c r="D259" s="107"/>
      <c r="N259">
        <f t="shared" si="42"/>
        <v>-137</v>
      </c>
      <c r="O259" s="132" t="s">
        <v>511</v>
      </c>
      <c r="P259">
        <v>50</v>
      </c>
      <c r="Q259">
        <v>50</v>
      </c>
      <c r="V259" s="26">
        <v>26760</v>
      </c>
      <c r="W259" s="144"/>
      <c r="X259" s="109"/>
    </row>
    <row r="260" spans="4:25" ht="18">
      <c r="D260" s="113"/>
      <c r="N260">
        <f t="shared" si="42"/>
        <v>-138</v>
      </c>
      <c r="O260" s="145" t="s">
        <v>513</v>
      </c>
      <c r="P260">
        <v>-15</v>
      </c>
      <c r="Q260">
        <v>-15</v>
      </c>
      <c r="W260" s="144">
        <f>(2628-2533)/2533</f>
        <v>3.750493485984998E-2</v>
      </c>
      <c r="X260" s="109"/>
      <c r="Y260">
        <f>(W258-X215)/X215</f>
        <v>-1</v>
      </c>
    </row>
    <row r="261" spans="4:25" ht="18">
      <c r="D261" s="107"/>
      <c r="G261" s="9"/>
      <c r="N261">
        <f t="shared" si="42"/>
        <v>-43</v>
      </c>
      <c r="O261" s="145" t="s">
        <v>515</v>
      </c>
      <c r="P261">
        <v>-12</v>
      </c>
      <c r="Q261">
        <v>-12</v>
      </c>
      <c r="V261">
        <f>V259-X247</f>
        <v>110</v>
      </c>
      <c r="W261">
        <f>(38576-37406)/37406</f>
        <v>3.1278404534031974E-2</v>
      </c>
      <c r="X261" s="109"/>
      <c r="Y261">
        <f>(43725-42669)/42669</f>
        <v>2.4748646558391339E-2</v>
      </c>
    </row>
    <row r="262" spans="4:25" ht="18">
      <c r="D262" s="103"/>
      <c r="G262" s="9"/>
      <c r="N262">
        <f>N250-N203</f>
        <v>-27379</v>
      </c>
      <c r="O262" s="148" t="s">
        <v>517</v>
      </c>
      <c r="P262">
        <v>-136</v>
      </c>
      <c r="Q262">
        <v>-137</v>
      </c>
      <c r="X262" s="109"/>
    </row>
    <row r="263" spans="4:25" ht="18">
      <c r="G263" s="9"/>
      <c r="O263" s="145" t="s">
        <v>519</v>
      </c>
      <c r="P263">
        <v>-137</v>
      </c>
      <c r="Q263">
        <v>-138</v>
      </c>
      <c r="X263" s="109"/>
      <c r="Y263">
        <f>(3365-3279)/3279</f>
        <v>2.6227508386703263E-2</v>
      </c>
    </row>
    <row r="264" spans="4:25" ht="18">
      <c r="G264" s="9"/>
      <c r="O264" s="131" t="s">
        <v>521</v>
      </c>
      <c r="P264">
        <v>-42</v>
      </c>
      <c r="Q264">
        <v>-43</v>
      </c>
      <c r="X264" s="109"/>
    </row>
    <row r="265" spans="4:25" ht="18">
      <c r="G265" s="9"/>
    </row>
  </sheetData>
  <autoFilter ref="A1:BN252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8"/>
  <sheetViews>
    <sheetView topLeftCell="A149" zoomScale="40" zoomScaleNormal="40" workbookViewId="0">
      <selection activeCell="C176" sqref="C176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 s="67" customFormat="1" ht="13.9" customHeight="1">
      <c r="A44" s="67" t="s">
        <v>605</v>
      </c>
      <c r="B44" s="67">
        <v>25255</v>
      </c>
      <c r="C44" s="67">
        <v>28631</v>
      </c>
      <c r="D44" s="101"/>
      <c r="F44" s="101"/>
      <c r="H44" s="67">
        <v>25479</v>
      </c>
      <c r="I44" s="67">
        <v>28888</v>
      </c>
      <c r="J44" s="67">
        <v>28040</v>
      </c>
      <c r="K44" s="67">
        <v>31708</v>
      </c>
    </row>
    <row r="45" spans="1:11" s="67" customFormat="1" ht="13.9" customHeight="1">
      <c r="A45" s="67" t="s">
        <v>618</v>
      </c>
      <c r="B45" s="67">
        <v>24969</v>
      </c>
      <c r="C45" s="67">
        <v>28422</v>
      </c>
      <c r="D45" s="101"/>
      <c r="F45" s="101"/>
      <c r="H45" s="67">
        <v>25191</v>
      </c>
      <c r="I45" s="67">
        <v>28608</v>
      </c>
      <c r="J45" s="67">
        <v>27863</v>
      </c>
      <c r="K45" s="67">
        <v>31273</v>
      </c>
    </row>
    <row r="46" spans="1:11">
      <c r="A46" s="67"/>
      <c r="B46">
        <f>(B2-B8)/B2</f>
        <v>0.15346494762288476</v>
      </c>
      <c r="C46">
        <f>(C2-C8)/C2</f>
        <v>0.1154959674639829</v>
      </c>
      <c r="D46">
        <f>SUM(D2:D39)/38</f>
        <v>37702089.447368421</v>
      </c>
      <c r="I46">
        <f>I43-I42</f>
        <v>-332</v>
      </c>
    </row>
    <row r="47" spans="1:11">
      <c r="H47">
        <f>(H43-H42)/H42</f>
        <v>-1.9771428571428572E-2</v>
      </c>
    </row>
    <row r="48" spans="1:11">
      <c r="A48">
        <f>(B44-B43)</f>
        <v>-250</v>
      </c>
      <c r="C48">
        <f>(C43-C42)/C42</f>
        <v>-1.2137997059527473E-2</v>
      </c>
      <c r="E48">
        <f>(D39-D46)/D46</f>
        <v>0.21324840799221964</v>
      </c>
      <c r="J48">
        <f>(D36-D35)/D35</f>
        <v>-0.50773339408667473</v>
      </c>
    </row>
    <row r="49" spans="2:10">
      <c r="B49">
        <f>(B43-B42)/B42</f>
        <v>-1.4413787773398253E-2</v>
      </c>
      <c r="F49">
        <f>(F36-F35)/F35</f>
        <v>-0.62892307692307692</v>
      </c>
    </row>
    <row r="50" spans="2:10">
      <c r="D50">
        <v>5375132</v>
      </c>
      <c r="E50">
        <f>(E17-D50)/D50</f>
        <v>4.5958809321644006E-2</v>
      </c>
      <c r="G50">
        <f t="shared" ref="G50:G58" si="2">B3-B2</f>
        <v>-554</v>
      </c>
    </row>
    <row r="51" spans="2:10">
      <c r="G51">
        <f t="shared" si="2"/>
        <v>-302</v>
      </c>
    </row>
    <row r="52" spans="2:10">
      <c r="C52">
        <f>(D50-E16)/E16</f>
        <v>0.17110375179746395</v>
      </c>
      <c r="G52">
        <f t="shared" si="2"/>
        <v>-511</v>
      </c>
    </row>
    <row r="53" spans="2:10">
      <c r="G53">
        <f t="shared" si="2"/>
        <v>-362</v>
      </c>
    </row>
    <row r="54" spans="2:10">
      <c r="G54">
        <f t="shared" si="2"/>
        <v>-1699</v>
      </c>
    </row>
    <row r="55" spans="2:10">
      <c r="G55">
        <f t="shared" si="2"/>
        <v>-381</v>
      </c>
    </row>
    <row r="56" spans="2:10">
      <c r="G56">
        <f t="shared" si="2"/>
        <v>1075</v>
      </c>
    </row>
    <row r="57" spans="2:10">
      <c r="F57">
        <f>(F33-F32)/F32</f>
        <v>0.23948268173034043</v>
      </c>
      <c r="G57">
        <f t="shared" si="2"/>
        <v>151</v>
      </c>
      <c r="J57">
        <f>(F34-F35)/F34</f>
        <v>0.13877341459779063</v>
      </c>
    </row>
    <row r="58" spans="2:10">
      <c r="G58">
        <f t="shared" si="2"/>
        <v>1043</v>
      </c>
    </row>
  </sheetData>
  <autoFilter ref="A1:K58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63"/>
  <sheetViews>
    <sheetView tabSelected="1" topLeftCell="A2245" zoomScaleNormal="100" workbookViewId="0">
      <selection activeCell="D2261" sqref="D2261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1:4">
      <c r="A2129" s="213" t="s">
        <v>604</v>
      </c>
      <c r="B2129" s="213"/>
      <c r="C2129" s="213"/>
    </row>
    <row r="2130" spans="1:4">
      <c r="A2130" s="79" t="s">
        <v>247</v>
      </c>
      <c r="B2130" s="79" t="s">
        <v>250</v>
      </c>
      <c r="C2130" s="79" t="s">
        <v>249</v>
      </c>
    </row>
    <row r="2131" spans="1:4">
      <c r="A2131" s="69">
        <v>0.45833333333333298</v>
      </c>
      <c r="B2131" s="79">
        <v>12390000</v>
      </c>
      <c r="C2131" s="79"/>
    </row>
    <row r="2132" spans="1:4">
      <c r="A2132" s="70" t="s">
        <v>251</v>
      </c>
      <c r="B2132" s="79">
        <v>12380000</v>
      </c>
      <c r="C2132" s="79"/>
    </row>
    <row r="2133" spans="1:4">
      <c r="A2133" s="71" t="s">
        <v>252</v>
      </c>
      <c r="B2133" s="79">
        <v>12415000</v>
      </c>
      <c r="C2133" s="79"/>
    </row>
    <row r="2134" spans="1:4">
      <c r="A2134" s="69" t="s">
        <v>253</v>
      </c>
      <c r="B2134" s="212">
        <v>12410000</v>
      </c>
      <c r="C2134" s="79"/>
    </row>
    <row r="2135" spans="1:4">
      <c r="A2135" s="77">
        <v>0.625</v>
      </c>
      <c r="B2135" s="212"/>
      <c r="C2135" s="79"/>
      <c r="D2135">
        <f>B2125-B2131</f>
        <v>190000</v>
      </c>
    </row>
    <row r="2136" spans="1:4">
      <c r="A2136" s="70" t="s">
        <v>254</v>
      </c>
      <c r="B2136" s="212"/>
      <c r="C2136" s="79"/>
    </row>
    <row r="2137" spans="1:4">
      <c r="A2137" s="80">
        <v>0.70833333333333337</v>
      </c>
      <c r="B2137" s="79"/>
      <c r="C2137" s="79"/>
    </row>
    <row r="2141" spans="1:4">
      <c r="A2141" s="213" t="s">
        <v>606</v>
      </c>
      <c r="B2141" s="213"/>
      <c r="C2141" s="213"/>
    </row>
    <row r="2142" spans="1:4">
      <c r="A2142" s="79" t="s">
        <v>247</v>
      </c>
      <c r="B2142" s="79" t="s">
        <v>250</v>
      </c>
      <c r="C2142" s="79" t="s">
        <v>249</v>
      </c>
    </row>
    <row r="2143" spans="1:4">
      <c r="A2143" s="69">
        <v>0.45833333333333298</v>
      </c>
      <c r="B2143" s="79">
        <v>12540000</v>
      </c>
      <c r="C2143" s="79">
        <v>7755</v>
      </c>
      <c r="D2143">
        <v>12540000</v>
      </c>
    </row>
    <row r="2144" spans="1:4">
      <c r="A2144" s="70" t="s">
        <v>251</v>
      </c>
      <c r="B2144" s="79">
        <v>12505000</v>
      </c>
      <c r="C2144" s="79">
        <v>7750</v>
      </c>
      <c r="D2144">
        <v>12545000</v>
      </c>
    </row>
    <row r="2145" spans="1:4">
      <c r="A2145" s="71" t="s">
        <v>252</v>
      </c>
      <c r="B2145" s="79">
        <v>12495000</v>
      </c>
      <c r="C2145" s="79">
        <v>7745</v>
      </c>
      <c r="D2145">
        <v>12550000</v>
      </c>
    </row>
    <row r="2146" spans="1:4">
      <c r="A2146" s="69" t="s">
        <v>253</v>
      </c>
      <c r="B2146" s="212">
        <v>12490000</v>
      </c>
      <c r="C2146" s="79">
        <v>7740</v>
      </c>
      <c r="D2146">
        <v>12540000</v>
      </c>
    </row>
    <row r="2147" spans="1:4">
      <c r="A2147" s="77">
        <v>0.625</v>
      </c>
      <c r="B2147" s="212">
        <v>12500000</v>
      </c>
      <c r="C2147" s="79">
        <v>7730</v>
      </c>
    </row>
    <row r="2148" spans="1:4">
      <c r="A2148" s="70" t="s">
        <v>254</v>
      </c>
      <c r="B2148" s="212">
        <v>12465000</v>
      </c>
      <c r="C2148" s="79">
        <v>7720</v>
      </c>
    </row>
    <row r="2149" spans="1:4">
      <c r="A2149" s="80">
        <v>0.70833333333333337</v>
      </c>
      <c r="B2149" s="79">
        <v>12455000</v>
      </c>
      <c r="C2149" s="79">
        <v>7710</v>
      </c>
      <c r="D2149">
        <f>D2146-B2134</f>
        <v>130000</v>
      </c>
    </row>
    <row r="2152" spans="1:4">
      <c r="D2152">
        <f>B2143-B2134</f>
        <v>130000</v>
      </c>
    </row>
    <row r="2154" spans="1:4">
      <c r="A2154" s="213" t="s">
        <v>608</v>
      </c>
      <c r="B2154" s="213"/>
      <c r="C2154" s="213"/>
    </row>
    <row r="2155" spans="1:4">
      <c r="A2155" s="79" t="s">
        <v>247</v>
      </c>
      <c r="B2155" s="79" t="s">
        <v>250</v>
      </c>
      <c r="C2155" s="79" t="s">
        <v>249</v>
      </c>
    </row>
    <row r="2156" spans="1:4">
      <c r="A2156" s="69">
        <v>0.45833333333333298</v>
      </c>
      <c r="B2156" s="79">
        <v>12370000</v>
      </c>
      <c r="C2156" s="79">
        <v>7630</v>
      </c>
      <c r="D2156">
        <v>12370000</v>
      </c>
    </row>
    <row r="2157" spans="1:4">
      <c r="A2157" s="70" t="s">
        <v>251</v>
      </c>
      <c r="B2157" s="79">
        <v>12380000</v>
      </c>
      <c r="C2157" s="79">
        <v>7650</v>
      </c>
      <c r="D2157">
        <v>12365000</v>
      </c>
    </row>
    <row r="2158" spans="1:4">
      <c r="A2158" s="71" t="s">
        <v>252</v>
      </c>
      <c r="B2158" s="79">
        <v>12395000</v>
      </c>
      <c r="C2158" s="79">
        <v>7660</v>
      </c>
      <c r="D2158">
        <v>12380000</v>
      </c>
    </row>
    <row r="2159" spans="1:4">
      <c r="A2159" s="69" t="s">
        <v>253</v>
      </c>
      <c r="B2159" s="212">
        <v>12400000</v>
      </c>
      <c r="C2159" s="79">
        <v>7670</v>
      </c>
    </row>
    <row r="2160" spans="1:4">
      <c r="A2160" s="77">
        <v>0.625</v>
      </c>
      <c r="B2160" s="212">
        <v>12360000</v>
      </c>
      <c r="C2160" s="79">
        <v>7670</v>
      </c>
    </row>
    <row r="2161" spans="1:4">
      <c r="A2161" s="70" t="s">
        <v>254</v>
      </c>
      <c r="B2161" s="212">
        <v>12355000</v>
      </c>
      <c r="C2161" s="79">
        <v>7670</v>
      </c>
    </row>
    <row r="2162" spans="1:4">
      <c r="A2162" s="80">
        <v>0.70833333333333337</v>
      </c>
      <c r="B2162" s="79">
        <v>12360000</v>
      </c>
      <c r="C2162" s="79">
        <v>7660</v>
      </c>
      <c r="D2162">
        <f>D2156-B2149</f>
        <v>-85000</v>
      </c>
    </row>
    <row r="2167" spans="1:4">
      <c r="A2167" s="213" t="s">
        <v>609</v>
      </c>
      <c r="B2167" s="213"/>
      <c r="C2167" s="213"/>
    </row>
    <row r="2168" spans="1:4">
      <c r="A2168" s="79" t="s">
        <v>247</v>
      </c>
      <c r="B2168" s="79" t="s">
        <v>250</v>
      </c>
      <c r="C2168" s="79" t="s">
        <v>249</v>
      </c>
    </row>
    <row r="2169" spans="1:4">
      <c r="A2169" s="69">
        <v>0.45833333333333298</v>
      </c>
      <c r="B2169" s="79">
        <v>12375000</v>
      </c>
      <c r="C2169" s="79">
        <v>7660</v>
      </c>
    </row>
    <row r="2170" spans="1:4">
      <c r="A2170" s="70" t="s">
        <v>251</v>
      </c>
      <c r="B2170" s="79">
        <v>12360000</v>
      </c>
      <c r="C2170" s="79">
        <v>7640</v>
      </c>
    </row>
    <row r="2171" spans="1:4">
      <c r="A2171" s="71" t="s">
        <v>252</v>
      </c>
      <c r="B2171" s="79">
        <v>12275000</v>
      </c>
      <c r="C2171" s="79">
        <v>7630</v>
      </c>
    </row>
    <row r="2172" spans="1:4">
      <c r="A2172" s="69" t="s">
        <v>253</v>
      </c>
      <c r="B2172" s="212">
        <v>12295000</v>
      </c>
      <c r="C2172" s="79">
        <v>7640</v>
      </c>
    </row>
    <row r="2173" spans="1:4">
      <c r="A2173" s="77">
        <v>0.625</v>
      </c>
      <c r="B2173" s="212">
        <v>12265000</v>
      </c>
      <c r="C2173" s="79">
        <v>7640</v>
      </c>
    </row>
    <row r="2174" spans="1:4">
      <c r="A2174" s="70" t="s">
        <v>254</v>
      </c>
      <c r="B2174" s="212">
        <v>12265000</v>
      </c>
      <c r="C2174" s="79">
        <v>7640</v>
      </c>
    </row>
    <row r="2175" spans="1:4">
      <c r="A2175" s="80">
        <v>0.70833333333333337</v>
      </c>
      <c r="B2175" s="79">
        <v>12235000</v>
      </c>
      <c r="C2175" s="79">
        <v>7630</v>
      </c>
    </row>
    <row r="2177" spans="1:4">
      <c r="D2177">
        <f>B2175-B2162</f>
        <v>-125000</v>
      </c>
    </row>
    <row r="2180" spans="1:4">
      <c r="A2180" s="213" t="s">
        <v>613</v>
      </c>
      <c r="B2180" s="213"/>
      <c r="C2180" s="213"/>
    </row>
    <row r="2181" spans="1:4">
      <c r="A2181" s="79" t="s">
        <v>247</v>
      </c>
      <c r="B2181" s="79" t="s">
        <v>250</v>
      </c>
      <c r="C2181" s="79" t="s">
        <v>249</v>
      </c>
    </row>
    <row r="2182" spans="1:4">
      <c r="A2182" s="69">
        <v>0.45833333333333298</v>
      </c>
      <c r="B2182" s="79">
        <v>12280000</v>
      </c>
      <c r="C2182" s="79">
        <v>7620</v>
      </c>
    </row>
    <row r="2183" spans="1:4">
      <c r="A2183" s="70" t="s">
        <v>251</v>
      </c>
      <c r="B2183" s="79">
        <v>12265000</v>
      </c>
      <c r="C2183" s="79">
        <v>7600</v>
      </c>
    </row>
    <row r="2184" spans="1:4">
      <c r="A2184" s="71" t="s">
        <v>252</v>
      </c>
      <c r="B2184" s="79">
        <v>12245000</v>
      </c>
      <c r="C2184" s="79">
        <v>7570</v>
      </c>
    </row>
    <row r="2185" spans="1:4">
      <c r="A2185" s="69" t="s">
        <v>253</v>
      </c>
      <c r="B2185" s="212">
        <v>12230000</v>
      </c>
      <c r="C2185" s="79">
        <v>7550</v>
      </c>
      <c r="D2185">
        <f>B2182-B2175</f>
        <v>45000</v>
      </c>
    </row>
    <row r="2186" spans="1:4">
      <c r="A2186" s="77">
        <v>0.625</v>
      </c>
      <c r="B2186" s="212">
        <v>12235000</v>
      </c>
      <c r="C2186" s="79">
        <v>7550</v>
      </c>
    </row>
    <row r="2187" spans="1:4">
      <c r="A2187" s="70" t="s">
        <v>254</v>
      </c>
      <c r="B2187" s="212">
        <v>12250000</v>
      </c>
      <c r="C2187" s="79">
        <v>7560</v>
      </c>
    </row>
    <row r="2188" spans="1:4">
      <c r="A2188" s="80">
        <v>0.70833333333333337</v>
      </c>
      <c r="B2188" s="79">
        <v>12240000</v>
      </c>
      <c r="C2188" s="79">
        <v>7560</v>
      </c>
    </row>
    <row r="2193" spans="1:4">
      <c r="A2193" s="213" t="s">
        <v>615</v>
      </c>
      <c r="B2193" s="213"/>
      <c r="C2193" s="213"/>
    </row>
    <row r="2194" spans="1:4">
      <c r="A2194" s="79" t="s">
        <v>247</v>
      </c>
      <c r="B2194" s="79" t="s">
        <v>250</v>
      </c>
      <c r="C2194" s="79" t="s">
        <v>249</v>
      </c>
    </row>
    <row r="2195" spans="1:4">
      <c r="A2195" s="69">
        <v>0.45833333333333298</v>
      </c>
      <c r="B2195">
        <v>12180000</v>
      </c>
      <c r="C2195" s="79">
        <v>7540</v>
      </c>
    </row>
    <row r="2196" spans="1:4">
      <c r="A2196" s="70" t="s">
        <v>251</v>
      </c>
      <c r="B2196">
        <v>12185000</v>
      </c>
      <c r="C2196" s="79">
        <v>7510</v>
      </c>
    </row>
    <row r="2197" spans="1:4">
      <c r="A2197" s="71" t="s">
        <v>252</v>
      </c>
      <c r="B2197">
        <v>12185000</v>
      </c>
      <c r="C2197" s="79">
        <v>7500</v>
      </c>
    </row>
    <row r="2198" spans="1:4">
      <c r="A2198" s="69" t="s">
        <v>253</v>
      </c>
      <c r="B2198">
        <v>12195000</v>
      </c>
      <c r="C2198" s="79">
        <v>7490</v>
      </c>
    </row>
    <row r="2199" spans="1:4">
      <c r="A2199" s="77">
        <v>0.625</v>
      </c>
      <c r="B2199">
        <v>12210000</v>
      </c>
      <c r="C2199" s="79">
        <v>7480</v>
      </c>
    </row>
    <row r="2200" spans="1:4">
      <c r="A2200" s="70" t="s">
        <v>254</v>
      </c>
      <c r="B2200" s="212">
        <v>12200000</v>
      </c>
      <c r="C2200" s="79">
        <v>7470</v>
      </c>
    </row>
    <row r="2201" spans="1:4">
      <c r="A2201" s="80">
        <v>0.70833333333333337</v>
      </c>
      <c r="B2201" s="79">
        <v>12180000</v>
      </c>
      <c r="C2201" s="79">
        <v>7470</v>
      </c>
    </row>
    <row r="2205" spans="1:4">
      <c r="A2205" s="213" t="s">
        <v>617</v>
      </c>
      <c r="B2205" s="213"/>
      <c r="C2205" s="213"/>
    </row>
    <row r="2206" spans="1:4">
      <c r="A2206" s="79" t="s">
        <v>247</v>
      </c>
      <c r="B2206" s="79" t="s">
        <v>250</v>
      </c>
      <c r="C2206" s="79" t="s">
        <v>249</v>
      </c>
    </row>
    <row r="2207" spans="1:4">
      <c r="A2207" s="69">
        <v>0.45833333333333298</v>
      </c>
      <c r="C2207" s="79"/>
      <c r="D2207">
        <v>12250000</v>
      </c>
    </row>
    <row r="2208" spans="1:4">
      <c r="A2208" s="70" t="s">
        <v>251</v>
      </c>
      <c r="C2208" s="79"/>
    </row>
    <row r="2209" spans="1:8">
      <c r="A2209" s="71" t="s">
        <v>252</v>
      </c>
      <c r="C2209" s="79"/>
    </row>
    <row r="2210" spans="1:8">
      <c r="A2210" s="69" t="s">
        <v>253</v>
      </c>
      <c r="C2210" s="79"/>
    </row>
    <row r="2211" spans="1:8">
      <c r="A2211" s="77">
        <v>0.625</v>
      </c>
      <c r="C2211" s="79"/>
    </row>
    <row r="2212" spans="1:8">
      <c r="A2212" s="70" t="s">
        <v>254</v>
      </c>
      <c r="B2212" s="212"/>
      <c r="C2212" s="79"/>
    </row>
    <row r="2213" spans="1:8">
      <c r="A2213" s="80">
        <v>0.70833333333333337</v>
      </c>
      <c r="B2213" s="79"/>
      <c r="C2213" s="79"/>
    </row>
    <row r="2218" spans="1:8">
      <c r="A2218" s="213" t="s">
        <v>620</v>
      </c>
      <c r="B2218" s="213"/>
      <c r="C2218" s="213"/>
    </row>
    <row r="2219" spans="1:8">
      <c r="A2219" s="79" t="s">
        <v>247</v>
      </c>
      <c r="B2219" s="79" t="s">
        <v>250</v>
      </c>
      <c r="C2219" s="79" t="s">
        <v>249</v>
      </c>
    </row>
    <row r="2220" spans="1:8">
      <c r="A2220" s="69">
        <v>0.45833333333333298</v>
      </c>
      <c r="B2220">
        <v>12055000</v>
      </c>
      <c r="C2220" s="79">
        <v>7470</v>
      </c>
    </row>
    <row r="2221" spans="1:8">
      <c r="A2221" s="70" t="s">
        <v>251</v>
      </c>
      <c r="B2221">
        <v>12070000</v>
      </c>
      <c r="C2221" s="79">
        <v>7350</v>
      </c>
    </row>
    <row r="2222" spans="1:8">
      <c r="A2222" s="71" t="s">
        <v>252</v>
      </c>
      <c r="B2222">
        <v>11990000</v>
      </c>
      <c r="C2222" s="79">
        <v>7300</v>
      </c>
      <c r="D2222">
        <f>B2220-D2207</f>
        <v>-195000</v>
      </c>
    </row>
    <row r="2223" spans="1:8">
      <c r="A2223" s="69" t="s">
        <v>253</v>
      </c>
      <c r="B2223">
        <v>11995000</v>
      </c>
      <c r="C2223" s="79">
        <v>7310</v>
      </c>
      <c r="H2223">
        <f>D2207-D2221</f>
        <v>12250000</v>
      </c>
    </row>
    <row r="2224" spans="1:8">
      <c r="A2224" s="77">
        <v>0.625</v>
      </c>
      <c r="B2224">
        <v>11940000</v>
      </c>
      <c r="C2224" s="79">
        <v>7300</v>
      </c>
    </row>
    <row r="2225" spans="1:4">
      <c r="A2225" s="70" t="s">
        <v>254</v>
      </c>
      <c r="B2225" s="212">
        <v>11930000</v>
      </c>
      <c r="C2225" s="79">
        <v>7290</v>
      </c>
    </row>
    <row r="2226" spans="1:4">
      <c r="A2226" s="80">
        <v>0.70833333333333337</v>
      </c>
      <c r="B2226" s="79">
        <v>11885000</v>
      </c>
      <c r="C2226" s="79">
        <v>7280</v>
      </c>
      <c r="D2226">
        <f>(B2226-D2207)/D2207</f>
        <v>-2.9795918367346939E-2</v>
      </c>
    </row>
    <row r="2230" spans="1:4">
      <c r="A2230" s="213" t="s">
        <v>622</v>
      </c>
      <c r="B2230" s="213"/>
      <c r="C2230" s="213"/>
    </row>
    <row r="2231" spans="1:4">
      <c r="A2231" s="79" t="s">
        <v>247</v>
      </c>
      <c r="B2231" s="79" t="s">
        <v>250</v>
      </c>
      <c r="C2231" s="79" t="s">
        <v>249</v>
      </c>
    </row>
    <row r="2232" spans="1:4">
      <c r="A2232" s="69">
        <v>0.45833333333333298</v>
      </c>
      <c r="B2232">
        <v>11865000</v>
      </c>
      <c r="C2232" s="79">
        <v>7140</v>
      </c>
    </row>
    <row r="2233" spans="1:4">
      <c r="A2233" s="70" t="s">
        <v>251</v>
      </c>
      <c r="B2233">
        <v>11870000</v>
      </c>
      <c r="C2233" s="79">
        <v>7180</v>
      </c>
    </row>
    <row r="2234" spans="1:4">
      <c r="A2234" s="71" t="s">
        <v>252</v>
      </c>
      <c r="B2234">
        <v>11940000</v>
      </c>
      <c r="C2234" s="79">
        <v>7250</v>
      </c>
    </row>
    <row r="2235" spans="1:4">
      <c r="A2235" s="69" t="s">
        <v>253</v>
      </c>
      <c r="B2235">
        <v>11945000</v>
      </c>
      <c r="C2235" s="79">
        <v>7260</v>
      </c>
    </row>
    <row r="2236" spans="1:4">
      <c r="A2236" s="77">
        <v>0.625</v>
      </c>
      <c r="B2236">
        <v>11950000</v>
      </c>
      <c r="C2236" s="79">
        <v>7270</v>
      </c>
    </row>
    <row r="2237" spans="1:4">
      <c r="A2237" s="70" t="s">
        <v>254</v>
      </c>
      <c r="B2237" s="212">
        <v>11955000</v>
      </c>
      <c r="C2237" s="79">
        <v>7280</v>
      </c>
    </row>
    <row r="2238" spans="1:4">
      <c r="A2238" s="80">
        <v>0.70833333333333337</v>
      </c>
      <c r="B2238" s="79">
        <v>11980000</v>
      </c>
      <c r="C2238" s="79">
        <v>7290</v>
      </c>
    </row>
    <row r="2243" spans="1:5">
      <c r="A2243" s="213" t="s">
        <v>624</v>
      </c>
      <c r="B2243" s="213"/>
      <c r="C2243" s="213"/>
    </row>
    <row r="2244" spans="1:5">
      <c r="A2244" s="79" t="s">
        <v>247</v>
      </c>
      <c r="B2244" s="79" t="s">
        <v>250</v>
      </c>
      <c r="C2244" s="79" t="s">
        <v>249</v>
      </c>
    </row>
    <row r="2245" spans="1:5">
      <c r="A2245" s="69">
        <v>0.45833333333333298</v>
      </c>
      <c r="B2245">
        <v>11980000</v>
      </c>
      <c r="C2245" s="79">
        <v>7340</v>
      </c>
      <c r="D2245">
        <v>11980000</v>
      </c>
    </row>
    <row r="2246" spans="1:5">
      <c r="A2246" s="70" t="s">
        <v>251</v>
      </c>
      <c r="B2246">
        <v>12010000</v>
      </c>
      <c r="C2246" s="79">
        <v>7310</v>
      </c>
    </row>
    <row r="2247" spans="1:5">
      <c r="A2247" s="71" t="s">
        <v>252</v>
      </c>
      <c r="B2247">
        <v>11960000</v>
      </c>
      <c r="C2247" s="79">
        <v>7280</v>
      </c>
    </row>
    <row r="2248" spans="1:5">
      <c r="A2248" s="69" t="s">
        <v>253</v>
      </c>
      <c r="B2248">
        <v>11935000</v>
      </c>
      <c r="C2248" s="79">
        <v>7270</v>
      </c>
    </row>
    <row r="2249" spans="1:5">
      <c r="A2249" s="77">
        <v>0.625</v>
      </c>
      <c r="B2249">
        <v>11915000</v>
      </c>
      <c r="C2249" s="79">
        <v>7280</v>
      </c>
    </row>
    <row r="2250" spans="1:5">
      <c r="A2250" s="70" t="s">
        <v>254</v>
      </c>
      <c r="B2250" s="212">
        <v>11905000</v>
      </c>
      <c r="C2250" s="79">
        <v>7290</v>
      </c>
    </row>
    <row r="2251" spans="1:5">
      <c r="A2251" s="80">
        <v>0.70833333333333337</v>
      </c>
      <c r="B2251" s="79">
        <v>11905000</v>
      </c>
      <c r="C2251" s="79">
        <v>7280</v>
      </c>
      <c r="D2251">
        <v>11915000</v>
      </c>
      <c r="E2251" t="s">
        <v>625</v>
      </c>
    </row>
    <row r="2255" spans="1:5">
      <c r="A2255" s="213" t="s">
        <v>627</v>
      </c>
      <c r="B2255" s="213"/>
      <c r="C2255" s="213"/>
    </row>
    <row r="2256" spans="1:5">
      <c r="A2256" s="79" t="s">
        <v>247</v>
      </c>
      <c r="B2256" s="79" t="s">
        <v>250</v>
      </c>
      <c r="C2256" s="79" t="s">
        <v>249</v>
      </c>
    </row>
    <row r="2257" spans="1:4">
      <c r="A2257" s="69">
        <v>0.45833333333333298</v>
      </c>
      <c r="B2257">
        <v>11845000</v>
      </c>
      <c r="C2257" s="79">
        <v>7220</v>
      </c>
    </row>
    <row r="2258" spans="1:4">
      <c r="A2258" s="70" t="s">
        <v>251</v>
      </c>
      <c r="B2258">
        <v>11855000</v>
      </c>
      <c r="C2258" s="79">
        <v>7180</v>
      </c>
    </row>
    <row r="2259" spans="1:4">
      <c r="A2259" s="71" t="s">
        <v>252</v>
      </c>
      <c r="B2259">
        <v>11770000</v>
      </c>
      <c r="C2259" s="79">
        <v>7160</v>
      </c>
    </row>
    <row r="2260" spans="1:4">
      <c r="A2260" s="69" t="s">
        <v>253</v>
      </c>
      <c r="B2260">
        <v>11775000</v>
      </c>
      <c r="C2260" s="79">
        <v>7150</v>
      </c>
    </row>
    <row r="2261" spans="1:4">
      <c r="A2261" s="77">
        <v>0.625</v>
      </c>
      <c r="B2261">
        <v>11775000</v>
      </c>
      <c r="C2261" s="79">
        <v>7160</v>
      </c>
      <c r="D2261">
        <f>B2263-B2251</f>
        <v>-125000</v>
      </c>
    </row>
    <row r="2262" spans="1:4">
      <c r="A2262" s="70" t="s">
        <v>254</v>
      </c>
      <c r="B2262">
        <v>11775000</v>
      </c>
      <c r="C2262" s="79">
        <v>7160</v>
      </c>
    </row>
    <row r="2263" spans="1:4">
      <c r="A2263" s="80">
        <v>0.70833333333333337</v>
      </c>
      <c r="B2263" s="79">
        <v>11780000</v>
      </c>
      <c r="C2263" s="79">
        <v>7160</v>
      </c>
    </row>
  </sheetData>
  <mergeCells count="193">
    <mergeCell ref="A2243:C2243"/>
    <mergeCell ref="A2205:C2205"/>
    <mergeCell ref="A2180:C2180"/>
    <mergeCell ref="A2167:C2167"/>
    <mergeCell ref="A2154:C2154"/>
    <mergeCell ref="A2129:C2129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2105:C2105"/>
    <mergeCell ref="A2093:C2093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742:C1742"/>
    <mergeCell ref="A1754:C1754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2255:C2255"/>
    <mergeCell ref="A2230:C2230"/>
    <mergeCell ref="A2218:C2218"/>
    <mergeCell ref="A2193:C2193"/>
    <mergeCell ref="A2141:C2141"/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71"/>
  <sheetViews>
    <sheetView topLeftCell="A10" zoomScale="85" zoomScaleNormal="85" workbookViewId="0">
      <selection activeCell="D175" sqref="D175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71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1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71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ref="G162:G171" si="13">(D162-D161)*100/D161</f>
        <v>1.0847730012053034</v>
      </c>
      <c r="H162">
        <f t="shared" si="12"/>
        <v>2.7943308101143502</v>
      </c>
      <c r="I162">
        <v>1.78</v>
      </c>
    </row>
    <row r="163" spans="2:9">
      <c r="B163">
        <v>14001109</v>
      </c>
      <c r="C163" s="136">
        <v>28230</v>
      </c>
      <c r="D163">
        <v>12455000</v>
      </c>
      <c r="E163">
        <v>1245100</v>
      </c>
      <c r="F163">
        <f t="shared" si="6"/>
        <v>0.28419182948490229</v>
      </c>
      <c r="G163">
        <f t="shared" si="13"/>
        <v>-0.99364069952305245</v>
      </c>
      <c r="H163">
        <f t="shared" si="12"/>
        <v>-2.4598511555033293</v>
      </c>
      <c r="I163">
        <v>2.41</v>
      </c>
    </row>
    <row r="164" spans="2:9">
      <c r="B164">
        <v>14001110</v>
      </c>
      <c r="C164">
        <v>28120</v>
      </c>
      <c r="D164">
        <v>12360000</v>
      </c>
      <c r="E164">
        <v>1223400</v>
      </c>
      <c r="F164">
        <f t="shared" si="6"/>
        <v>-0.38965639390719092</v>
      </c>
      <c r="G164">
        <f t="shared" si="13"/>
        <v>-0.76274588518667197</v>
      </c>
      <c r="H164">
        <f t="shared" si="12"/>
        <v>-1.7428319010521243</v>
      </c>
      <c r="I164">
        <v>2.0299999999999998</v>
      </c>
    </row>
    <row r="165" spans="2:9">
      <c r="B165">
        <v>14001111</v>
      </c>
      <c r="C165">
        <v>27970</v>
      </c>
      <c r="D165">
        <v>12235000</v>
      </c>
      <c r="E165">
        <v>1225700</v>
      </c>
      <c r="F165">
        <f t="shared" si="6"/>
        <v>-0.53342816500711232</v>
      </c>
      <c r="G165">
        <f t="shared" si="13"/>
        <v>-1.0113268608414239</v>
      </c>
      <c r="H165">
        <f t="shared" si="12"/>
        <v>0.18800065391531798</v>
      </c>
      <c r="I165">
        <v>0.78</v>
      </c>
    </row>
    <row r="166" spans="2:9">
      <c r="B166">
        <v>14001112</v>
      </c>
      <c r="C166">
        <v>27790</v>
      </c>
      <c r="D166">
        <v>12240000</v>
      </c>
      <c r="E166">
        <v>1217600</v>
      </c>
      <c r="F166">
        <f t="shared" si="6"/>
        <v>-0.64354665713264214</v>
      </c>
      <c r="G166">
        <f t="shared" si="13"/>
        <v>4.0866366979975477E-2</v>
      </c>
      <c r="H166">
        <f t="shared" si="12"/>
        <v>-0.66084686301705153</v>
      </c>
      <c r="I166">
        <v>0.52</v>
      </c>
    </row>
    <row r="167" spans="2:9">
      <c r="B167">
        <v>14001113</v>
      </c>
      <c r="C167">
        <v>27520</v>
      </c>
      <c r="D167">
        <v>12180000</v>
      </c>
      <c r="E167">
        <v>1207900</v>
      </c>
      <c r="F167">
        <f t="shared" si="6"/>
        <v>-0.97157250809643758</v>
      </c>
      <c r="G167">
        <f t="shared" si="13"/>
        <v>-0.49019607843137253</v>
      </c>
      <c r="H167">
        <f t="shared" si="12"/>
        <v>-0.79664914586070956</v>
      </c>
      <c r="I167">
        <v>0</v>
      </c>
    </row>
    <row r="168" spans="2:9">
      <c r="B168">
        <v>14001116</v>
      </c>
      <c r="C168">
        <v>26880</v>
      </c>
      <c r="D168">
        <v>11885000</v>
      </c>
      <c r="E168">
        <v>1196600</v>
      </c>
      <c r="F168">
        <f t="shared" si="6"/>
        <v>-2.3255813953488373</v>
      </c>
      <c r="G168">
        <f t="shared" si="13"/>
        <v>-2.4220032840722494</v>
      </c>
      <c r="H168">
        <f t="shared" si="12"/>
        <v>-0.93550790628363278</v>
      </c>
      <c r="I168">
        <v>0.25</v>
      </c>
    </row>
    <row r="169" spans="2:9">
      <c r="B169">
        <v>14001117</v>
      </c>
      <c r="C169">
        <v>26650</v>
      </c>
      <c r="D169">
        <v>11980000</v>
      </c>
      <c r="E169">
        <v>1165400</v>
      </c>
      <c r="F169">
        <f t="shared" si="6"/>
        <v>-0.85565476190476186</v>
      </c>
      <c r="G169">
        <f t="shared" si="13"/>
        <v>0.79932688262515772</v>
      </c>
      <c r="H169">
        <f t="shared" si="12"/>
        <v>-2.6073875981948853</v>
      </c>
      <c r="I169">
        <v>-1.72</v>
      </c>
    </row>
    <row r="170" spans="2:9">
      <c r="B170">
        <v>14001118</v>
      </c>
      <c r="C170">
        <v>26760</v>
      </c>
      <c r="D170">
        <v>11905000</v>
      </c>
      <c r="E170">
        <v>1179700</v>
      </c>
      <c r="F170">
        <f t="shared" si="6"/>
        <v>0.41275797373358347</v>
      </c>
      <c r="G170">
        <f t="shared" si="13"/>
        <v>-0.62604340567612693</v>
      </c>
      <c r="H170">
        <f t="shared" si="12"/>
        <v>1.2270465076368628</v>
      </c>
      <c r="I170">
        <v>-0.59</v>
      </c>
    </row>
    <row r="171" spans="2:9">
      <c r="B171">
        <v>14001119</v>
      </c>
      <c r="C171">
        <v>26250</v>
      </c>
      <c r="D171">
        <v>11780000</v>
      </c>
      <c r="E171">
        <v>1162200</v>
      </c>
      <c r="F171">
        <f t="shared" si="6"/>
        <v>-1.905829596412556</v>
      </c>
      <c r="G171">
        <f t="shared" si="13"/>
        <v>-1.0499790004199916</v>
      </c>
      <c r="H171">
        <f t="shared" si="12"/>
        <v>-1.4834279901669916</v>
      </c>
      <c r="I171">
        <v>0.53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2022-02-08T13:39:17Z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