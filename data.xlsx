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set'!$A$1:$BL$187</definedName>
    <definedName name="_xlnm._FilterDatabase" localSheetId="1" hidden="1">weekly!$A$1:$K$47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85" i="1" l="1"/>
  <c r="G183" i="1"/>
  <c r="M178" i="1"/>
  <c r="M179" i="1"/>
  <c r="M180" i="1"/>
  <c r="M181" i="1"/>
  <c r="M182" i="1"/>
  <c r="L178" i="1"/>
  <c r="L179" i="1"/>
  <c r="L180" i="1"/>
  <c r="L181" i="1"/>
  <c r="L182" i="1"/>
  <c r="C1418" i="3" l="1"/>
  <c r="E1417" i="3"/>
  <c r="H114" i="5" l="1"/>
  <c r="G114" i="5"/>
  <c r="F114" i="5"/>
  <c r="W187" i="1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H186" i="1"/>
  <c r="M176" i="1" l="1"/>
  <c r="L176" i="1"/>
  <c r="H109" i="5" l="1"/>
  <c r="G109" i="5"/>
  <c r="F109" i="5"/>
  <c r="M175" i="1" l="1"/>
  <c r="L175" i="1"/>
  <c r="H108" i="5" l="1"/>
  <c r="G108" i="5"/>
  <c r="F108" i="5"/>
  <c r="F4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8" i="1"/>
  <c r="H102" i="5" l="1"/>
  <c r="G102" i="5"/>
  <c r="F102" i="5"/>
  <c r="I187" i="1" l="1"/>
  <c r="H101" i="5" l="1"/>
  <c r="G101" i="5"/>
  <c r="F101" i="5"/>
  <c r="G188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7" i="2"/>
  <c r="G46" i="2"/>
  <c r="G45" i="2"/>
  <c r="G44" i="2"/>
  <c r="G43" i="2"/>
  <c r="G42" i="2"/>
  <c r="G41" i="2"/>
  <c r="G40" i="2"/>
  <c r="G39" i="2"/>
  <c r="D35" i="2"/>
  <c r="C35" i="2"/>
  <c r="B3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9" i="2" s="1"/>
  <c r="G16" i="2"/>
  <c r="E16" i="2"/>
  <c r="C4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201" i="1"/>
  <c r="AW187" i="1"/>
  <c r="AW190" i="1" s="1"/>
  <c r="AU187" i="1"/>
  <c r="T187" i="1"/>
  <c r="BB186" i="1"/>
  <c r="AY185" i="1"/>
  <c r="BJ183" i="1"/>
  <c r="BI183" i="1"/>
  <c r="K183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83" i="1" s="1"/>
  <c r="M183" i="1" l="1"/>
  <c r="U1" i="1" s="1"/>
  <c r="S1" i="1"/>
</calcChain>
</file>

<file path=xl/sharedStrings.xml><?xml version="1.0" encoding="utf-8"?>
<sst xmlns="http://schemas.openxmlformats.org/spreadsheetml/2006/main" count="1587" uniqueCount="479">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</sst>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58391152"/>
        <c:axId val="-458393328"/>
      </c:lineChart>
      <c:catAx>
        <c:axId val="-45839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58393328"/>
        <c:crosses val="autoZero"/>
        <c:auto val="1"/>
        <c:lblAlgn val="ctr"/>
        <c:lblOffset val="100"/>
        <c:noMultiLvlLbl val="0"/>
      </c:catAx>
      <c:valAx>
        <c:axId val="-4583933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583911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weekly!$B$27:$B$34</c15:sqref>
                  </c15:fullRef>
                </c:ext>
              </c:extLst>
              <c:f>weekly!$B$28:$B$34</c:f>
              <c:numCache>
                <c:formatCode>General</c:formatCode>
                <c:ptCount val="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weekly!$H$27:$H$34</c15:sqref>
                  </c15:fullRef>
                </c:ext>
              </c:extLst>
              <c:f>weekly!$H$28:$H$34</c:f>
              <c:numCache>
                <c:formatCode>General</c:formatCode>
                <c:ptCount val="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weekly!$J$27:$J$34</c15:sqref>
                  </c15:fullRef>
                </c:ext>
              </c:extLst>
              <c:f>weekly!$J$28:$J$34</c:f>
              <c:numCache>
                <c:formatCode>General</c:formatCode>
                <c:ptCount val="7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58388976"/>
        <c:axId val="-458392784"/>
      </c:lineChart>
      <c:catAx>
        <c:axId val="-45838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58392784"/>
        <c:crosses val="autoZero"/>
        <c:auto val="1"/>
        <c:lblAlgn val="ctr"/>
        <c:lblOffset val="100"/>
        <c:noMultiLvlLbl val="0"/>
      </c:catAx>
      <c:valAx>
        <c:axId val="-458392784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583889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چهارم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2.6689312186129344E-3"/>
                  <c:y val="-2.84456048433681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weekly!$D$2:$D$34</c:f>
              <c:numCache>
                <c:formatCode>General</c:formatCode>
                <c:ptCount val="33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14187920"/>
        <c:axId val="-314187376"/>
      </c:lineChart>
      <c:catAx>
        <c:axId val="-31418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87376"/>
        <c:crosses val="autoZero"/>
        <c:auto val="1"/>
        <c:lblAlgn val="ctr"/>
        <c:lblOffset val="100"/>
        <c:noMultiLvlLbl val="0"/>
      </c:catAx>
      <c:valAx>
        <c:axId val="-314187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879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14190640"/>
        <c:axId val="-314190096"/>
      </c:lineChart>
      <c:catAx>
        <c:axId val="-31419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90096"/>
        <c:crosses val="autoZero"/>
        <c:auto val="1"/>
        <c:lblAlgn val="ctr"/>
        <c:lblOffset val="100"/>
        <c:noMultiLvlLbl val="0"/>
      </c:catAx>
      <c:valAx>
        <c:axId val="-3141900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9064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چهارم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weekly!$F$2:$F$34</c:f>
              <c:numCache>
                <c:formatCode>General</c:formatCode>
                <c:ptCount val="33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14188464"/>
        <c:axId val="-314186288"/>
      </c:lineChart>
      <c:catAx>
        <c:axId val="-31418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86288"/>
        <c:crosses val="autoZero"/>
        <c:auto val="1"/>
        <c:lblAlgn val="ctr"/>
        <c:lblOffset val="100"/>
        <c:noMultiLvlLbl val="0"/>
      </c:catAx>
      <c:valAx>
        <c:axId val="-3141862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88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weekly!$C$27:$C$34</c15:sqref>
                  </c15:fullRef>
                </c:ext>
              </c:extLst>
              <c:f>weekly!$C$28:$C$34</c:f>
              <c:numCache>
                <c:formatCode>General</c:formatCode>
                <c:ptCount val="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weekly!$K$27:$K$34</c15:sqref>
                  </c15:fullRef>
                </c:ext>
              </c:extLst>
              <c:f>weekly!$K$28:$K$34</c:f>
              <c:numCache>
                <c:formatCode>General</c:formatCode>
                <c:ptCount val="7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weekly!$I$27:$I$34</c15:sqref>
                  </c15:fullRef>
                </c:ext>
              </c:extLst>
              <c:f>weekly!$I$28:$I$34</c:f>
              <c:numCache>
                <c:formatCode>General</c:formatCode>
                <c:ptCount val="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14186832"/>
        <c:axId val="-314191728"/>
      </c:lineChart>
      <c:catAx>
        <c:axId val="-31418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91728"/>
        <c:crosses val="autoZero"/>
        <c:auto val="1"/>
        <c:lblAlgn val="ctr"/>
        <c:lblOffset val="100"/>
        <c:noMultiLvlLbl val="0"/>
      </c:catAx>
      <c:valAx>
        <c:axId val="-31419172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868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314185744"/>
        <c:axId val="-314185200"/>
      </c:barChart>
      <c:catAx>
        <c:axId val="-31418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85200"/>
        <c:crosses val="autoZero"/>
        <c:auto val="1"/>
        <c:lblAlgn val="ctr"/>
        <c:lblOffset val="100"/>
        <c:noMultiLvlLbl val="0"/>
      </c:catAx>
      <c:valAx>
        <c:axId val="-3141852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857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یکشنبه 1400/08/30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32"/>
          <c:order val="3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change'!$F$114:$I$114</c:f>
              <c:numCache>
                <c:formatCode>General</c:formatCode>
                <c:ptCount val="4"/>
                <c:pt idx="0">
                  <c:v>0.39034776437189495</c:v>
                </c:pt>
                <c:pt idx="1">
                  <c:v>0.52356020942408377</c:v>
                </c:pt>
                <c:pt idx="2">
                  <c:v>-0.16202203499675957</c:v>
                </c:pt>
                <c:pt idx="3">
                  <c:v>0.25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314189552"/>
        <c:axId val="-45838843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31418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58388432"/>
        <c:crosses val="autoZero"/>
        <c:auto val="1"/>
        <c:lblAlgn val="ctr"/>
        <c:lblOffset val="100"/>
        <c:noMultiLvlLbl val="0"/>
      </c:catAx>
      <c:valAx>
        <c:axId val="-458388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141895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589</xdr:row>
      <xdr:rowOff>102960</xdr:rowOff>
    </xdr:from>
    <xdr:to>
      <xdr:col>11</xdr:col>
      <xdr:colOff>279360</xdr:colOff>
      <xdr:row>619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169</xdr:row>
      <xdr:rowOff>27711</xdr:rowOff>
    </xdr:from>
    <xdr:to>
      <xdr:col>41</xdr:col>
      <xdr:colOff>533400</xdr:colOff>
      <xdr:row>274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305</xdr:row>
      <xdr:rowOff>0</xdr:rowOff>
    </xdr:from>
    <xdr:to>
      <xdr:col>82</xdr:col>
      <xdr:colOff>0</xdr:colOff>
      <xdr:row>381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624</xdr:row>
      <xdr:rowOff>0</xdr:rowOff>
    </xdr:from>
    <xdr:to>
      <xdr:col>13</xdr:col>
      <xdr:colOff>354240</xdr:colOff>
      <xdr:row>654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404</xdr:row>
      <xdr:rowOff>0</xdr:rowOff>
    </xdr:from>
    <xdr:to>
      <xdr:col>83</xdr:col>
      <xdr:colOff>533400</xdr:colOff>
      <xdr:row>503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52</xdr:row>
      <xdr:rowOff>76321</xdr:rowOff>
    </xdr:from>
    <xdr:to>
      <xdr:col>44</xdr:col>
      <xdr:colOff>533400</xdr:colOff>
      <xdr:row>151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1"/>
  <sheetViews>
    <sheetView tabSelected="1" topLeftCell="F139" zoomScaleNormal="100" workbookViewId="0">
      <selection activeCell="G148" sqref="G14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L183/G183</f>
        <v>4554469.3108656695</v>
      </c>
      <c r="T1" s="3" t="s">
        <v>15</v>
      </c>
      <c r="U1" s="3">
        <f>M183/K183</f>
        <v>44015.626007648651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K183/K62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82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82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13" customFormat="1" ht="21" customHeight="1">
      <c r="A182" s="109"/>
      <c r="B182" s="110" t="s">
        <v>477</v>
      </c>
      <c r="C182" s="111">
        <v>30</v>
      </c>
      <c r="D182" s="112">
        <v>26579</v>
      </c>
      <c r="E182" s="111">
        <v>26600</v>
      </c>
      <c r="F182" s="111">
        <v>26565</v>
      </c>
      <c r="G182" s="111">
        <v>11408500</v>
      </c>
      <c r="H182" s="111">
        <v>30288</v>
      </c>
      <c r="I182" s="111">
        <v>30399</v>
      </c>
      <c r="J182" s="113">
        <v>30341</v>
      </c>
      <c r="K182" s="111">
        <v>908000</v>
      </c>
      <c r="L182" s="93">
        <f t="shared" si="23"/>
        <v>303066802500</v>
      </c>
      <c r="M182" s="93">
        <f t="shared" si="22"/>
        <v>27549628000</v>
      </c>
      <c r="N182" s="113">
        <v>26865</v>
      </c>
      <c r="O182" s="113">
        <v>30703</v>
      </c>
      <c r="P182" s="113">
        <v>26844</v>
      </c>
      <c r="Q182" s="113">
        <v>30591</v>
      </c>
      <c r="R182" s="111"/>
      <c r="S182" s="111"/>
      <c r="T182" s="111"/>
      <c r="U182" s="111"/>
      <c r="V182" s="113">
        <v>28090</v>
      </c>
      <c r="X182" s="113">
        <v>28290</v>
      </c>
      <c r="Y182" s="113">
        <v>31741</v>
      </c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  <c r="AJ182" s="111"/>
      <c r="AK182" s="111"/>
      <c r="AL182" s="111"/>
      <c r="AM182" s="111"/>
      <c r="AN182" s="111"/>
      <c r="AO182" s="111"/>
      <c r="AP182" s="111"/>
      <c r="AQ182" s="111"/>
      <c r="AR182" s="111"/>
      <c r="AS182" s="112"/>
      <c r="AT182" s="112"/>
      <c r="AU182" s="112"/>
      <c r="AV182" s="112"/>
      <c r="AW182" s="112"/>
      <c r="AX182" s="112"/>
      <c r="AY182" s="111"/>
      <c r="AZ182" s="111"/>
      <c r="BA182" s="111"/>
      <c r="BB182" s="111"/>
      <c r="BC182" s="111"/>
      <c r="BE182" s="114"/>
      <c r="BF182" s="114"/>
      <c r="BG182" s="114"/>
      <c r="BH182" s="114"/>
    </row>
    <row r="183" spans="1:62" ht="18">
      <c r="A183" s="7"/>
      <c r="B183" s="8"/>
      <c r="C183" s="8"/>
      <c r="D183" s="26"/>
      <c r="E183" s="8"/>
      <c r="F183" s="8"/>
      <c r="G183" s="8">
        <f>SUM(G2:G182)/181</f>
        <v>6809377.3425414367</v>
      </c>
      <c r="H183" s="8"/>
      <c r="I183" s="8"/>
      <c r="J183" s="8"/>
      <c r="K183" s="8">
        <f>SUM(K2:K126)</f>
        <v>125564600</v>
      </c>
      <c r="L183" s="8">
        <f>SUM(L2:L182)</f>
        <v>31013100132709</v>
      </c>
      <c r="M183" s="9">
        <f>SUM(M2:M182)</f>
        <v>5526804473400</v>
      </c>
      <c r="N183" s="9"/>
      <c r="O183" s="9"/>
      <c r="P183" s="9"/>
      <c r="Q183" s="9"/>
      <c r="R183" s="9"/>
      <c r="S183" s="9"/>
      <c r="T183" s="9"/>
      <c r="U183" s="9"/>
      <c r="V183" s="119">
        <v>28080</v>
      </c>
      <c r="W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Y183" s="9"/>
      <c r="AZ183" s="9"/>
      <c r="BA183" s="9"/>
      <c r="BB183" s="9"/>
      <c r="BC183" s="9"/>
      <c r="BD183" s="9"/>
      <c r="BE183" s="10"/>
      <c r="BF183" s="10"/>
      <c r="BG183" s="10"/>
      <c r="BH183" s="10"/>
      <c r="BI183" t="e">
        <f>#REF!-N183</f>
        <v>#REF!</v>
      </c>
      <c r="BJ183" t="e">
        <f>(Y183-O183)/O183</f>
        <v>#DIV/0!</v>
      </c>
    </row>
    <row r="184" spans="1:62" ht="18">
      <c r="D184" s="26"/>
      <c r="V184" s="135">
        <v>28120</v>
      </c>
      <c r="Z184" s="25"/>
      <c r="AB184" s="25"/>
      <c r="AS184" s="25"/>
      <c r="AW184" s="30"/>
    </row>
    <row r="185" spans="1:62" ht="18">
      <c r="D185" s="26"/>
      <c r="F185">
        <f>(G182-G183)/G183</f>
        <v>0.67541016250129726</v>
      </c>
      <c r="V185" s="135">
        <v>28140</v>
      </c>
      <c r="Z185" s="25"/>
      <c r="AS185" s="26"/>
      <c r="AW185" s="30"/>
      <c r="AY185">
        <f>AY51-AY50</f>
        <v>35000</v>
      </c>
    </row>
    <row r="186" spans="1:62" ht="18">
      <c r="H186">
        <f>(G176-G183)/G183</f>
        <v>0.72509165068766612</v>
      </c>
      <c r="V186" s="134"/>
      <c r="Z186" s="25"/>
      <c r="AS186" s="26">
        <v>10290000</v>
      </c>
      <c r="AW186" s="30"/>
      <c r="BB186">
        <f>AY60-AY59</f>
        <v>70000</v>
      </c>
    </row>
    <row r="187" spans="1:62" ht="18">
      <c r="I187">
        <f>(G166-G183)/G183</f>
        <v>0.53925968157436099</v>
      </c>
      <c r="T187">
        <f>V137-X140</f>
        <v>-620</v>
      </c>
      <c r="V187" s="25"/>
      <c r="W187">
        <f>(V182-X182)/X182</f>
        <v>-7.069635913750442E-3</v>
      </c>
      <c r="Z187" s="25"/>
      <c r="AS187" s="26"/>
      <c r="AU187">
        <f>AS186-AS49</f>
        <v>195000</v>
      </c>
      <c r="AW187" s="30">
        <f>AC52-AY51</f>
        <v>305000</v>
      </c>
    </row>
    <row r="188" spans="1:62" ht="18">
      <c r="D188" s="99">
        <v>9387100</v>
      </c>
      <c r="G188">
        <f>(G165-G183)/G183</f>
        <v>0.64878511429500496</v>
      </c>
      <c r="V188" s="25"/>
      <c r="Z188" s="25"/>
      <c r="AW188" s="30"/>
    </row>
    <row r="189" spans="1:62" ht="17.25" customHeight="1">
      <c r="D189" s="99">
        <v>7622400</v>
      </c>
      <c r="V189" s="25"/>
      <c r="Z189" s="25"/>
    </row>
    <row r="190" spans="1:62" ht="18">
      <c r="D190" s="99">
        <v>9805000</v>
      </c>
      <c r="V190" s="25"/>
      <c r="Z190" s="25"/>
      <c r="AW190">
        <f>AW187/AY51</f>
        <v>2.9539951573849879E-2</v>
      </c>
    </row>
    <row r="191" spans="1:62" ht="18">
      <c r="D191" s="99">
        <v>12098700</v>
      </c>
      <c r="V191" s="25"/>
    </row>
    <row r="192" spans="1:62" ht="18">
      <c r="D192" s="99">
        <v>8231300</v>
      </c>
      <c r="V192" s="25"/>
    </row>
    <row r="193" spans="4:7" ht="18">
      <c r="D193" s="117">
        <v>8525400</v>
      </c>
    </row>
    <row r="194" spans="4:7" ht="18">
      <c r="D194" s="117">
        <v>8525400</v>
      </c>
    </row>
    <row r="195" spans="4:7" ht="18">
      <c r="D195" s="123">
        <v>11227200</v>
      </c>
    </row>
    <row r="196" spans="4:7" ht="18">
      <c r="D196" s="117">
        <v>10481400</v>
      </c>
      <c r="G196" s="9">
        <v>8861800</v>
      </c>
    </row>
    <row r="197" spans="4:7" ht="18">
      <c r="D197" s="111">
        <v>10300800</v>
      </c>
      <c r="G197" s="9">
        <v>8230700</v>
      </c>
    </row>
    <row r="198" spans="4:7" ht="18">
      <c r="D198">
        <f>SUM(D188:D197)/10</f>
        <v>9620470</v>
      </c>
      <c r="G198" s="9">
        <v>8995300</v>
      </c>
    </row>
    <row r="199" spans="4:7" ht="18">
      <c r="G199" s="9">
        <v>10062100</v>
      </c>
    </row>
    <row r="200" spans="4:7" ht="18">
      <c r="G200" s="9">
        <v>8462400</v>
      </c>
    </row>
    <row r="201" spans="4:7">
      <c r="G201">
        <f>SUM(G196:G200)</f>
        <v>44612300</v>
      </c>
    </row>
  </sheetData>
  <autoFilter ref="A1:BL187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topLeftCell="X388" zoomScale="55" zoomScaleNormal="55" workbookViewId="0">
      <selection activeCell="AX400" sqref="AX40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4" si="0">D29/6</f>
        <v>7281166.666666667</v>
      </c>
      <c r="F29" s="73">
        <v>5993000</v>
      </c>
      <c r="G29" s="73">
        <f t="shared" ref="G29:G34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>
      <c r="B35">
        <f>(B2-B8)/B2</f>
        <v>0.15346494762288476</v>
      </c>
      <c r="C35">
        <f>(C2-C8)/C2</f>
        <v>0.1154959674639829</v>
      </c>
      <c r="D35">
        <f>SUM(D2:D16)/15</f>
        <v>29639479.933333334</v>
      </c>
    </row>
    <row r="39" spans="1:11">
      <c r="D39">
        <v>5375132</v>
      </c>
      <c r="E39">
        <f>(E17-D39)/D39</f>
        <v>4.5958809321644006E-2</v>
      </c>
      <c r="G39">
        <f t="shared" ref="G39:G47" si="2">B3-B2</f>
        <v>-554</v>
      </c>
    </row>
    <row r="40" spans="1:11">
      <c r="G40">
        <f t="shared" si="2"/>
        <v>-302</v>
      </c>
    </row>
    <row r="41" spans="1:11">
      <c r="C41">
        <f>(D39-E16)/E16</f>
        <v>0.17110375179746395</v>
      </c>
      <c r="G41">
        <f t="shared" si="2"/>
        <v>-511</v>
      </c>
    </row>
    <row r="42" spans="1:11">
      <c r="G42">
        <f t="shared" si="2"/>
        <v>-362</v>
      </c>
    </row>
    <row r="43" spans="1:11">
      <c r="G43">
        <f t="shared" si="2"/>
        <v>-1699</v>
      </c>
    </row>
    <row r="44" spans="1:11">
      <c r="G44">
        <f t="shared" si="2"/>
        <v>-381</v>
      </c>
    </row>
    <row r="45" spans="1:11">
      <c r="G45">
        <f t="shared" si="2"/>
        <v>1075</v>
      </c>
    </row>
    <row r="46" spans="1:11">
      <c r="F46">
        <f>(F33-F32)/F32</f>
        <v>0.23948268173034043</v>
      </c>
      <c r="G46">
        <f t="shared" si="2"/>
        <v>151</v>
      </c>
    </row>
    <row r="47" spans="1:11">
      <c r="G47">
        <f t="shared" si="2"/>
        <v>1043</v>
      </c>
    </row>
  </sheetData>
  <autoFilter ref="A1:K4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18"/>
  <sheetViews>
    <sheetView topLeftCell="A1393" zoomScale="85" zoomScaleNormal="85" workbookViewId="0">
      <selection activeCell="B1412" sqref="B1412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6" t="s">
        <v>462</v>
      </c>
      <c r="B1318" s="136"/>
      <c r="C1318" s="136"/>
      <c r="D1318" s="13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6" t="s">
        <v>464</v>
      </c>
      <c r="B1330" s="136"/>
      <c r="C1330" s="136"/>
      <c r="D1330" s="136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6" t="s">
        <v>467</v>
      </c>
      <c r="B1343" s="136"/>
      <c r="C1343" s="136"/>
      <c r="D1343" s="136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6" t="s">
        <v>469</v>
      </c>
      <c r="B1355" s="136"/>
      <c r="C1355" s="136"/>
      <c r="D1355" s="136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6" t="s">
        <v>471</v>
      </c>
      <c r="B1368" s="136"/>
      <c r="C1368" s="136"/>
      <c r="D1368" s="136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6" t="s">
        <v>473</v>
      </c>
      <c r="B1380" s="136"/>
      <c r="C1380" s="136"/>
      <c r="D1380" s="136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6" t="s">
        <v>476</v>
      </c>
      <c r="B1392" s="136"/>
      <c r="C1392" s="136"/>
      <c r="D1392" s="136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6" t="s">
        <v>478</v>
      </c>
      <c r="B1404" s="136"/>
      <c r="C1404" s="136"/>
      <c r="D1404" s="136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5">
      <c r="A1409" s="75" t="s">
        <v>253</v>
      </c>
      <c r="B1409" s="85">
        <v>28280</v>
      </c>
      <c r="C1409" s="85">
        <v>7720</v>
      </c>
      <c r="D1409">
        <v>12405000</v>
      </c>
    </row>
    <row r="1410" spans="1:5">
      <c r="A1410" s="83">
        <v>0.625</v>
      </c>
      <c r="B1410" s="85">
        <v>28300</v>
      </c>
      <c r="C1410" s="85">
        <v>7720</v>
      </c>
      <c r="D1410">
        <v>12435000</v>
      </c>
    </row>
    <row r="1411" spans="1:5">
      <c r="A1411" s="76" t="s">
        <v>254</v>
      </c>
      <c r="B1411" s="85">
        <v>28290</v>
      </c>
      <c r="C1411" s="85">
        <v>7720</v>
      </c>
      <c r="D1411">
        <v>12440000</v>
      </c>
    </row>
    <row r="1412" spans="1:5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5" spans="1:5">
      <c r="D1415">
        <v>3.673</v>
      </c>
    </row>
    <row r="1417" spans="1:5">
      <c r="E1417">
        <f>D1415*C1412</f>
        <v>28392.29</v>
      </c>
    </row>
    <row r="1418" spans="1:5">
      <c r="C1418">
        <f>E1417-B1412</f>
        <v>102.29000000000087</v>
      </c>
    </row>
  </sheetData>
  <mergeCells count="125">
    <mergeCell ref="A1392:D1392"/>
    <mergeCell ref="A1380:D1380"/>
    <mergeCell ref="A1355:D1355"/>
    <mergeCell ref="A1318:D1318"/>
    <mergeCell ref="A1294:D1294"/>
    <mergeCell ref="A1234:D1234"/>
    <mergeCell ref="A1209:D1209"/>
    <mergeCell ref="A1197:D1197"/>
    <mergeCell ref="A1173:D1173"/>
    <mergeCell ref="A1368:D1368"/>
    <mergeCell ref="A1343:D1343"/>
    <mergeCell ref="A1330:D1330"/>
    <mergeCell ref="A1306:D1306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025:D1025"/>
    <mergeCell ref="A949:D949"/>
    <mergeCell ref="A974:D974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13:D313"/>
    <mergeCell ref="A357:D357"/>
    <mergeCell ref="A368:D368"/>
    <mergeCell ref="A324:D324"/>
    <mergeCell ref="A335:D335"/>
    <mergeCell ref="A346:D346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379:D379"/>
    <mergeCell ref="A658:D658"/>
    <mergeCell ref="A670:D670"/>
    <mergeCell ref="A681:D681"/>
    <mergeCell ref="A500:D500"/>
    <mergeCell ref="A478:D478"/>
    <mergeCell ref="A489:D489"/>
    <mergeCell ref="A511:D511"/>
    <mergeCell ref="A445:D445"/>
    <mergeCell ref="A456:D456"/>
    <mergeCell ref="A1404:D1404"/>
    <mergeCell ref="A749:D749"/>
    <mergeCell ref="A760:D760"/>
    <mergeCell ref="A772:D772"/>
    <mergeCell ref="A784:D784"/>
    <mergeCell ref="A831:D831"/>
    <mergeCell ref="A390:D390"/>
    <mergeCell ref="A401:D401"/>
    <mergeCell ref="A796:D796"/>
    <mergeCell ref="A738:D738"/>
    <mergeCell ref="A692:D692"/>
    <mergeCell ref="A703:D703"/>
    <mergeCell ref="A715:D715"/>
    <mergeCell ref="A726:D726"/>
    <mergeCell ref="A635:D635"/>
    <mergeCell ref="A647:D647"/>
    <mergeCell ref="A809:D809"/>
    <mergeCell ref="A820:D820"/>
    <mergeCell ref="A842:D842"/>
    <mergeCell ref="A854:D854"/>
    <mergeCell ref="A1000:D1000"/>
    <mergeCell ref="A987:D987"/>
    <mergeCell ref="A1012:D1012"/>
    <mergeCell ref="A1149:D114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F20" sqref="F20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7" t="s">
        <v>373</v>
      </c>
      <c r="B1" s="137"/>
      <c r="C1" s="137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14"/>
  <sheetViews>
    <sheetView zoomScale="85" zoomScaleNormal="85" workbookViewId="0">
      <selection activeCell="E119" sqref="E119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4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4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2021-11-21T13:19:37Z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