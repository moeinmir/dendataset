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set'!$A$1:$BN$250</definedName>
    <definedName name="_xlnm._FilterDatabase" localSheetId="1" hidden="1">weekly!$A$1:$K$58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51" i="1" l="1"/>
  <c r="X250" i="1"/>
  <c r="H169" i="5" l="1"/>
  <c r="G169" i="5"/>
  <c r="F169" i="5"/>
  <c r="V253" i="1" l="1"/>
  <c r="D2226" i="3" l="1"/>
  <c r="D2222" i="3"/>
  <c r="W254" i="1" l="1"/>
  <c r="W251" i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1" i="1" l="1"/>
  <c r="N249" i="1"/>
  <c r="D249" i="1"/>
  <c r="D2177" i="3" l="1"/>
  <c r="H165" i="5" l="1"/>
  <c r="G165" i="5"/>
  <c r="F165" i="5"/>
  <c r="Y253" i="1"/>
  <c r="Y248" i="1"/>
  <c r="O250" i="1"/>
  <c r="E250" i="1"/>
  <c r="Y250" i="1" l="1"/>
  <c r="H164" i="5" l="1"/>
  <c r="G164" i="5"/>
  <c r="F164" i="5"/>
  <c r="W258" i="1"/>
  <c r="W259" i="1"/>
  <c r="D2162" i="3"/>
  <c r="H163" i="5" l="1"/>
  <c r="G163" i="5"/>
  <c r="F163" i="5"/>
  <c r="D2152" i="3"/>
  <c r="D2149" i="3"/>
  <c r="A48" i="2" l="1"/>
  <c r="B46" i="2"/>
  <c r="D2135" i="3"/>
  <c r="H162" i="5" l="1"/>
  <c r="G162" i="5"/>
  <c r="F162" i="5"/>
  <c r="E256" i="1"/>
  <c r="F254" i="1"/>
  <c r="E253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V258" i="1"/>
  <c r="P251" i="1"/>
  <c r="H154" i="5" l="1"/>
  <c r="G154" i="5"/>
  <c r="F154" i="5"/>
  <c r="Y259" i="1"/>
  <c r="Y261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8" i="1" l="1"/>
  <c r="M216" i="1"/>
  <c r="L216" i="1"/>
  <c r="D1850" i="3" l="1"/>
  <c r="M215" i="1"/>
  <c r="L215" i="1"/>
  <c r="Y258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4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5" i="1"/>
  <c r="N256" i="1"/>
  <c r="N257" i="1"/>
  <c r="N258" i="1"/>
  <c r="N259" i="1"/>
  <c r="N260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8" i="1" l="1"/>
  <c r="S1" i="1" s="1"/>
  <c r="M248" i="1"/>
  <c r="U1" i="1" s="1"/>
</calcChain>
</file>

<file path=xl/sharedStrings.xml><?xml version="1.0" encoding="utf-8"?>
<sst xmlns="http://schemas.openxmlformats.org/spreadsheetml/2006/main" count="2220" uniqueCount="623">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</sst>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6381264"/>
        <c:axId val="-186383984"/>
      </c:lineChart>
      <c:catAx>
        <c:axId val="-18638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83984"/>
        <c:crosses val="autoZero"/>
        <c:auto val="1"/>
        <c:lblAlgn val="ctr"/>
        <c:lblOffset val="100"/>
        <c:noMultiLvlLbl val="0"/>
      </c:catAx>
      <c:valAx>
        <c:axId val="-186383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812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6375280"/>
        <c:axId val="-18637310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8637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73104"/>
        <c:crosses val="autoZero"/>
        <c:auto val="1"/>
        <c:lblAlgn val="ctr"/>
        <c:lblOffset val="100"/>
        <c:noMultiLvlLbl val="0"/>
      </c:catAx>
      <c:valAx>
        <c:axId val="-18637310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752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6383440"/>
        <c:axId val="-186376368"/>
      </c:lineChart>
      <c:catAx>
        <c:axId val="-18638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76368"/>
        <c:crosses val="autoZero"/>
        <c:auto val="1"/>
        <c:lblAlgn val="ctr"/>
        <c:lblOffset val="100"/>
        <c:noMultiLvlLbl val="0"/>
      </c:catAx>
      <c:valAx>
        <c:axId val="-1863763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834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6374192"/>
        <c:axId val="-186372560"/>
      </c:lineChart>
      <c:catAx>
        <c:axId val="-18637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72560"/>
        <c:crosses val="autoZero"/>
        <c:auto val="1"/>
        <c:lblAlgn val="ctr"/>
        <c:lblOffset val="100"/>
        <c:noMultiLvlLbl val="0"/>
      </c:catAx>
      <c:valAx>
        <c:axId val="-186372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741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6372016"/>
        <c:axId val="-186393856"/>
      </c:lineChart>
      <c:catAx>
        <c:axId val="-1863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93856"/>
        <c:crosses val="autoZero"/>
        <c:auto val="1"/>
        <c:lblAlgn val="ctr"/>
        <c:lblOffset val="100"/>
        <c:noMultiLvlLbl val="0"/>
      </c:catAx>
      <c:valAx>
        <c:axId val="-186393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720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6388960"/>
        <c:axId val="-18639331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8638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93312"/>
        <c:crosses val="autoZero"/>
        <c:auto val="1"/>
        <c:lblAlgn val="ctr"/>
        <c:lblOffset val="100"/>
        <c:noMultiLvlLbl val="0"/>
      </c:catAx>
      <c:valAx>
        <c:axId val="-18639331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88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86402016"/>
        <c:axId val="-186396032"/>
      </c:barChart>
      <c:catAx>
        <c:axId val="-18640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96032"/>
        <c:crosses val="autoZero"/>
        <c:auto val="1"/>
        <c:lblAlgn val="ctr"/>
        <c:lblOffset val="100"/>
        <c:noMultiLvlLbl val="0"/>
      </c:catAx>
      <c:valAx>
        <c:axId val="-1863960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4020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یکشنبه 17بهمن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7"/>
          <c:order val="8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change'!$F$169:$I$169</c:f>
              <c:numCache>
                <c:formatCode>General</c:formatCode>
                <c:ptCount val="4"/>
                <c:pt idx="0">
                  <c:v>-0.85565476190476186</c:v>
                </c:pt>
                <c:pt idx="1">
                  <c:v>0.79932688262515772</c:v>
                </c:pt>
                <c:pt idx="2">
                  <c:v>-2.6073875981948853</c:v>
                </c:pt>
                <c:pt idx="3">
                  <c:v>-1.72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6395488"/>
        <c:axId val="-18639276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8639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92768"/>
        <c:crosses val="autoZero"/>
        <c:auto val="1"/>
        <c:lblAlgn val="ctr"/>
        <c:lblOffset val="100"/>
        <c:noMultiLvlLbl val="0"/>
      </c:catAx>
      <c:valAx>
        <c:axId val="-1863927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63954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3"/>
  <sheetViews>
    <sheetView tabSelected="1" topLeftCell="Y1" zoomScaleNormal="100" workbookViewId="0">
      <pane ySplit="1" topLeftCell="A242" activePane="bottomLeft" state="frozen"/>
      <selection activeCell="B1" sqref="B1"/>
      <selection pane="bottomLeft" activeCell="AB247" sqref="AB247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L248/G248</f>
        <v>#DIV/0!</v>
      </c>
      <c r="T1" s="3" t="s">
        <v>15</v>
      </c>
      <c r="U1" s="3">
        <f>M248/K248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36" customFormat="1" ht="18">
      <c r="B247" s="131" t="s">
        <v>621</v>
      </c>
      <c r="C247" s="104">
        <v>17</v>
      </c>
      <c r="D247" s="137">
        <v>24624</v>
      </c>
      <c r="E247" s="136">
        <v>24286</v>
      </c>
      <c r="F247" s="136">
        <v>24319</v>
      </c>
      <c r="H247" s="136">
        <v>28540</v>
      </c>
      <c r="I247" s="136">
        <v>28064</v>
      </c>
      <c r="J247" s="136">
        <v>28240</v>
      </c>
      <c r="L247" s="208"/>
      <c r="M247" s="208"/>
      <c r="N247" s="136">
        <v>24529</v>
      </c>
      <c r="O247" s="136">
        <v>28344</v>
      </c>
      <c r="P247" s="136">
        <v>24870</v>
      </c>
      <c r="Q247" s="136">
        <v>28825</v>
      </c>
      <c r="V247" s="136">
        <v>26250</v>
      </c>
      <c r="X247" s="136">
        <v>26650</v>
      </c>
      <c r="Y247" s="136">
        <v>29950</v>
      </c>
      <c r="Z247" s="138"/>
      <c r="AB247" s="137"/>
      <c r="AS247" s="137"/>
      <c r="AW247" s="137"/>
      <c r="BI247" s="177"/>
      <c r="BO247" s="151"/>
      <c r="BP247" s="151"/>
      <c r="BQ247" s="151"/>
      <c r="BR247" s="151"/>
    </row>
    <row r="248" spans="2:70" ht="18">
      <c r="D248" s="26"/>
      <c r="K248">
        <f>SUM(K2:K216)</f>
        <v>210358000</v>
      </c>
      <c r="L248" s="142">
        <f>SUM(L2:L216)</f>
        <v>38488576407409</v>
      </c>
      <c r="M248" s="142">
        <f>SUM(M2:M216)</f>
        <v>6182194847600</v>
      </c>
      <c r="V248" s="144">
        <v>26650</v>
      </c>
      <c r="Y248">
        <f>(38179-36734)/36734</f>
        <v>3.9336854140578213E-2</v>
      </c>
      <c r="Z248" s="25"/>
      <c r="AS248" s="26"/>
      <c r="AW248" s="30"/>
    </row>
    <row r="249" spans="2:70" ht="18">
      <c r="D249">
        <f>D243-F242</f>
        <v>65</v>
      </c>
      <c r="N249">
        <f>(38955-36945)/36945</f>
        <v>5.4405196914332113E-2</v>
      </c>
      <c r="V249" s="152"/>
      <c r="Z249" s="25"/>
      <c r="AS249" s="26"/>
      <c r="AW249" s="30"/>
    </row>
    <row r="250" spans="2:70" ht="18">
      <c r="E250">
        <f>D242-F241</f>
        <v>101</v>
      </c>
      <c r="O250">
        <f>P242-N241</f>
        <v>249</v>
      </c>
      <c r="V250" s="152"/>
      <c r="W250" s="152"/>
      <c r="X250">
        <f>X247-X246</f>
        <v>-230</v>
      </c>
      <c r="Y250">
        <f>Y241-Y240</f>
        <v>-570</v>
      </c>
      <c r="Z250" s="25"/>
      <c r="AS250" s="26"/>
      <c r="AW250" s="30"/>
    </row>
    <row r="251" spans="2:70" ht="18">
      <c r="D251" s="93"/>
      <c r="N251">
        <f>(2785-2525)/2525</f>
        <v>0.10297029702970296</v>
      </c>
      <c r="P251">
        <f>P230-N229</f>
        <v>24</v>
      </c>
      <c r="V251" s="152"/>
      <c r="W251" s="152">
        <f>V246-X245</f>
        <v>-470</v>
      </c>
      <c r="Y251">
        <f>Y247-Y246</f>
        <v>-835</v>
      </c>
      <c r="Z251" s="25"/>
      <c r="AW251" s="30"/>
    </row>
    <row r="252" spans="2:70" ht="17.25" customHeight="1">
      <c r="D252" s="93"/>
      <c r="P252" t="s">
        <v>523</v>
      </c>
      <c r="Q252" t="s">
        <v>524</v>
      </c>
      <c r="W252" s="152"/>
      <c r="Z252" s="25"/>
    </row>
    <row r="253" spans="2:70" ht="18">
      <c r="D253" s="93"/>
      <c r="E253">
        <f>(28300-25088)/25088</f>
        <v>0.12802933673469388</v>
      </c>
      <c r="O253" s="126" t="s">
        <v>503</v>
      </c>
      <c r="P253">
        <v>-178</v>
      </c>
      <c r="Q253">
        <v>-180</v>
      </c>
      <c r="V253" s="25">
        <f>X246-V247</f>
        <v>630</v>
      </c>
      <c r="W253" s="152"/>
      <c r="Y253">
        <f>(2631-2489)/2489</f>
        <v>5.7051024507834475E-2</v>
      </c>
      <c r="Z253" s="25"/>
    </row>
    <row r="254" spans="2:70" ht="18">
      <c r="D254" s="93"/>
      <c r="F254">
        <f>(37881-36136)/37136</f>
        <v>4.6989444205084017E-2</v>
      </c>
      <c r="H254">
        <f>(27376-26532)/26532</f>
        <v>3.1810643750942259E-2</v>
      </c>
      <c r="O254" s="132" t="s">
        <v>505</v>
      </c>
      <c r="P254">
        <v>59</v>
      </c>
      <c r="Q254">
        <v>59</v>
      </c>
      <c r="V254" s="25"/>
      <c r="W254" s="152">
        <f>(X246-X245)/X245</f>
        <v>-2.4319419237749548E-2</v>
      </c>
    </row>
    <row r="255" spans="2:70" ht="18">
      <c r="D255" s="93"/>
      <c r="N255">
        <f t="shared" ref="N255:N259" si="42">N199-N198</f>
        <v>-15</v>
      </c>
      <c r="O255" s="132" t="s">
        <v>507</v>
      </c>
      <c r="P255">
        <v>-17</v>
      </c>
      <c r="Q255">
        <v>-16</v>
      </c>
      <c r="V255" s="25"/>
      <c r="W255" s="152"/>
    </row>
    <row r="256" spans="2:70" ht="18">
      <c r="D256" s="107"/>
      <c r="E256">
        <f>(2499-2381)/2381</f>
        <v>4.9559008819823606E-2</v>
      </c>
      <c r="N256">
        <f t="shared" si="42"/>
        <v>-12</v>
      </c>
      <c r="O256" s="132" t="s">
        <v>509</v>
      </c>
      <c r="P256">
        <v>-163</v>
      </c>
      <c r="Q256">
        <v>-165</v>
      </c>
      <c r="W256" s="144"/>
    </row>
    <row r="257" spans="4:25" ht="18">
      <c r="D257" s="107"/>
      <c r="N257">
        <f t="shared" si="42"/>
        <v>-137</v>
      </c>
      <c r="O257" s="132" t="s">
        <v>511</v>
      </c>
      <c r="P257">
        <v>50</v>
      </c>
      <c r="Q257">
        <v>50</v>
      </c>
      <c r="W257" s="144"/>
      <c r="X257" s="109"/>
    </row>
    <row r="258" spans="4:25" ht="18">
      <c r="D258" s="113"/>
      <c r="N258">
        <f t="shared" si="42"/>
        <v>-138</v>
      </c>
      <c r="O258" s="145" t="s">
        <v>513</v>
      </c>
      <c r="P258">
        <v>-15</v>
      </c>
      <c r="Q258">
        <v>-15</v>
      </c>
      <c r="V258">
        <f>(3376-3251)/3251</f>
        <v>3.8449707782220857E-2</v>
      </c>
      <c r="W258" s="144">
        <f>(2628-2533)/2533</f>
        <v>3.750493485984998E-2</v>
      </c>
      <c r="X258" s="109"/>
      <c r="Y258">
        <f>(W256-X215)/X215</f>
        <v>-1</v>
      </c>
    </row>
    <row r="259" spans="4:25" ht="18">
      <c r="D259" s="107"/>
      <c r="G259" s="9"/>
      <c r="N259">
        <f t="shared" si="42"/>
        <v>-43</v>
      </c>
      <c r="O259" s="145" t="s">
        <v>515</v>
      </c>
      <c r="P259">
        <v>-12</v>
      </c>
      <c r="Q259">
        <v>-12</v>
      </c>
      <c r="W259">
        <f>(38576-37406)/37406</f>
        <v>3.1278404534031974E-2</v>
      </c>
      <c r="X259" s="109"/>
      <c r="Y259">
        <f>(43725-42669)/42669</f>
        <v>2.4748646558391339E-2</v>
      </c>
    </row>
    <row r="260" spans="4:25" ht="18">
      <c r="D260" s="103"/>
      <c r="G260" s="9"/>
      <c r="N260">
        <f>N248-N203</f>
        <v>-27379</v>
      </c>
      <c r="O260" s="148" t="s">
        <v>517</v>
      </c>
      <c r="P260">
        <v>-136</v>
      </c>
      <c r="Q260">
        <v>-137</v>
      </c>
      <c r="X260" s="109"/>
    </row>
    <row r="261" spans="4:25" ht="18">
      <c r="G261" s="9"/>
      <c r="O261" s="145" t="s">
        <v>519</v>
      </c>
      <c r="P261">
        <v>-137</v>
      </c>
      <c r="Q261">
        <v>-138</v>
      </c>
      <c r="X261" s="109"/>
      <c r="Y261">
        <f>(3365-3279)/3279</f>
        <v>2.6227508386703263E-2</v>
      </c>
    </row>
    <row r="262" spans="4:25" ht="18">
      <c r="G262" s="9"/>
      <c r="O262" s="131" t="s">
        <v>521</v>
      </c>
      <c r="P262">
        <v>-42</v>
      </c>
      <c r="Q262">
        <v>-43</v>
      </c>
      <c r="X262" s="109"/>
    </row>
    <row r="263" spans="4:25" ht="18">
      <c r="G263" s="9"/>
    </row>
  </sheetData>
  <autoFilter ref="A1:BN25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"/>
  <sheetViews>
    <sheetView topLeftCell="A149" zoomScale="40" zoomScaleNormal="40" workbookViewId="0">
      <selection activeCell="Q178" sqref="Q17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38"/>
  <sheetViews>
    <sheetView topLeftCell="A2221" zoomScaleNormal="100" workbookViewId="0">
      <selection activeCell="C2240" sqref="C224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</sheetData>
  <mergeCells count="191">
    <mergeCell ref="A2230:C2230"/>
    <mergeCell ref="A2218:C2218"/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9"/>
  <sheetViews>
    <sheetView zoomScale="85" zoomScaleNormal="85" workbookViewId="0">
      <selection activeCell="G170" sqref="G170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9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69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14001116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2022-02-06T13:13:28Z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