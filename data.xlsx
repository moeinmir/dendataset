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den\"/>
    </mc:Choice>
  </mc:AlternateContent>
  <bookViews>
    <workbookView xWindow="0" yWindow="0" windowWidth="10215" windowHeight="7380" tabRatio="500"/>
  </bookViews>
  <sheets>
    <sheet name="data set" sheetId="1" r:id="rId1"/>
    <sheet name="weekly" sheetId="2" r:id="rId2"/>
    <sheet name="tables" sheetId="3" r:id="rId3"/>
    <sheet name="seasonal" sheetId="4" r:id="rId4"/>
    <sheet name="price change" sheetId="5" r:id="rId5"/>
  </sheets>
  <definedNames>
    <definedName name="_xlnm._FilterDatabase" localSheetId="0" hidden="1">'data set'!$BN$1:$BN$213</definedName>
    <definedName name="_xlnm._FilterDatabase" localSheetId="1" hidden="1">weekly!$A$1:$K$50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88" i="3" l="1"/>
  <c r="D1591" i="3"/>
  <c r="B1590" i="3"/>
  <c r="C1588" i="3"/>
  <c r="H126" i="5" l="1"/>
  <c r="G126" i="5"/>
  <c r="F126" i="5"/>
  <c r="BN195" i="1" l="1"/>
  <c r="H125" i="5"/>
  <c r="G125" i="5"/>
  <c r="F125" i="5"/>
  <c r="BN13" i="1" l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2" i="1"/>
  <c r="H124" i="5" l="1"/>
  <c r="G124" i="5"/>
  <c r="F124" i="5"/>
  <c r="BJ61" i="1" l="1"/>
  <c r="H123" i="5" l="1"/>
  <c r="G123" i="5"/>
  <c r="F123" i="5"/>
  <c r="F41" i="2" l="1"/>
  <c r="J40" i="2"/>
  <c r="G36" i="2"/>
  <c r="E36" i="2"/>
  <c r="M190" i="1" l="1"/>
  <c r="H122" i="5" l="1"/>
  <c r="G122" i="5"/>
  <c r="F122" i="5"/>
  <c r="H121" i="5" l="1"/>
  <c r="G121" i="5"/>
  <c r="F121" i="5"/>
  <c r="L190" i="1"/>
  <c r="T200" i="1" l="1"/>
  <c r="M189" i="1" l="1"/>
  <c r="L189" i="1"/>
  <c r="H120" i="5" l="1"/>
  <c r="G120" i="5"/>
  <c r="F120" i="5"/>
  <c r="M188" i="1" l="1"/>
  <c r="L188" i="1"/>
  <c r="H119" i="5" l="1"/>
  <c r="G119" i="5"/>
  <c r="F119" i="5"/>
  <c r="M187" i="1"/>
  <c r="L187" i="1"/>
  <c r="H118" i="5" l="1"/>
  <c r="G118" i="5"/>
  <c r="F118" i="5"/>
  <c r="J49" i="2" l="1"/>
  <c r="G35" i="2"/>
  <c r="E35" i="2"/>
  <c r="M186" i="1" l="1"/>
  <c r="L186" i="1"/>
  <c r="F1450" i="3"/>
  <c r="M185" i="1"/>
  <c r="L185" i="1"/>
  <c r="H117" i="5" l="1"/>
  <c r="G117" i="5"/>
  <c r="F117" i="5"/>
  <c r="M184" i="1" l="1"/>
  <c r="L184" i="1"/>
  <c r="H116" i="5" l="1"/>
  <c r="G116" i="5"/>
  <c r="F116" i="5"/>
  <c r="M183" i="1" l="1"/>
  <c r="L183" i="1"/>
  <c r="H115" i="5" l="1"/>
  <c r="G115" i="5"/>
  <c r="F115" i="5"/>
  <c r="M178" i="1" l="1"/>
  <c r="M179" i="1"/>
  <c r="M180" i="1"/>
  <c r="M181" i="1"/>
  <c r="M182" i="1"/>
  <c r="L178" i="1"/>
  <c r="L179" i="1"/>
  <c r="L180" i="1"/>
  <c r="L181" i="1"/>
  <c r="L182" i="1"/>
  <c r="H114" i="5" l="1"/>
  <c r="G114" i="5"/>
  <c r="F114" i="5"/>
  <c r="H113" i="5" l="1"/>
  <c r="G113" i="5"/>
  <c r="F113" i="5"/>
  <c r="G34" i="2" l="1"/>
  <c r="E34" i="2"/>
  <c r="H112" i="5" l="1"/>
  <c r="G112" i="5"/>
  <c r="F112" i="5"/>
  <c r="H111" i="5" l="1"/>
  <c r="G111" i="5"/>
  <c r="F111" i="5"/>
  <c r="H110" i="5" l="1"/>
  <c r="G110" i="5"/>
  <c r="F110" i="5"/>
  <c r="M177" i="1" l="1"/>
  <c r="L177" i="1"/>
  <c r="M176" i="1" l="1"/>
  <c r="L176" i="1"/>
  <c r="H109" i="5" l="1"/>
  <c r="G109" i="5"/>
  <c r="F109" i="5"/>
  <c r="M175" i="1" l="1"/>
  <c r="L175" i="1"/>
  <c r="H108" i="5" l="1"/>
  <c r="G108" i="5"/>
  <c r="F108" i="5"/>
  <c r="F49" i="2" l="1"/>
  <c r="G33" i="2"/>
  <c r="E33" i="2"/>
  <c r="M174" i="1"/>
  <c r="L174" i="1"/>
  <c r="M171" i="1"/>
  <c r="M172" i="1"/>
  <c r="M173" i="1"/>
  <c r="L171" i="1"/>
  <c r="L172" i="1"/>
  <c r="L173" i="1"/>
  <c r="H107" i="5" l="1"/>
  <c r="G107" i="5"/>
  <c r="F107" i="5"/>
  <c r="H106" i="5" l="1"/>
  <c r="G106" i="5"/>
  <c r="F106" i="5"/>
  <c r="H105" i="5" l="1"/>
  <c r="G105" i="5"/>
  <c r="F105" i="5"/>
  <c r="M170" i="1" l="1"/>
  <c r="L170" i="1"/>
  <c r="H104" i="5"/>
  <c r="G104" i="5"/>
  <c r="F104" i="5"/>
  <c r="M169" i="1" l="1"/>
  <c r="L169" i="1"/>
  <c r="H103" i="5"/>
  <c r="G103" i="5"/>
  <c r="F103" i="5"/>
  <c r="G32" i="2" l="1"/>
  <c r="E32" i="2"/>
  <c r="M166" i="1"/>
  <c r="M163" i="1"/>
  <c r="L163" i="1"/>
  <c r="M164" i="1"/>
  <c r="M165" i="1"/>
  <c r="M167" i="1"/>
  <c r="M168" i="1"/>
  <c r="L164" i="1"/>
  <c r="L165" i="1"/>
  <c r="L166" i="1"/>
  <c r="L167" i="1"/>
  <c r="L168" i="1"/>
  <c r="L162" i="1"/>
  <c r="H102" i="5" l="1"/>
  <c r="G102" i="5"/>
  <c r="F102" i="5"/>
  <c r="H101" i="5" l="1"/>
  <c r="G101" i="5"/>
  <c r="F101" i="5"/>
  <c r="H100" i="5" l="1"/>
  <c r="G100" i="5"/>
  <c r="F100" i="5"/>
  <c r="H99" i="5" l="1"/>
  <c r="G99" i="5"/>
  <c r="F99" i="5"/>
  <c r="H98" i="5" l="1"/>
  <c r="G98" i="5"/>
  <c r="F98" i="5"/>
  <c r="G31" i="2" l="1"/>
  <c r="E31" i="2"/>
  <c r="M162" i="1"/>
  <c r="M161" i="1"/>
  <c r="L161" i="1"/>
  <c r="H97" i="5"/>
  <c r="G97" i="5"/>
  <c r="F97" i="5"/>
  <c r="M160" i="1" l="1"/>
  <c r="L160" i="1"/>
  <c r="H96" i="5"/>
  <c r="G96" i="5"/>
  <c r="F96" i="5"/>
  <c r="M159" i="1" l="1"/>
  <c r="L159" i="1"/>
  <c r="H95" i="5"/>
  <c r="G95" i="5"/>
  <c r="F95" i="5"/>
  <c r="M158" i="1" l="1"/>
  <c r="L158" i="1"/>
  <c r="H94" i="5"/>
  <c r="G94" i="5"/>
  <c r="F94" i="5"/>
  <c r="G30" i="2" l="1"/>
  <c r="E30" i="2"/>
  <c r="M157" i="1" l="1"/>
  <c r="L157" i="1" l="1"/>
  <c r="M156" i="1"/>
  <c r="L156" i="1"/>
  <c r="H93" i="5"/>
  <c r="G93" i="5"/>
  <c r="F93" i="5"/>
  <c r="M155" i="1" l="1"/>
  <c r="L155" i="1"/>
  <c r="H92" i="5" l="1"/>
  <c r="G92" i="5"/>
  <c r="F92" i="5"/>
  <c r="M154" i="1" l="1"/>
  <c r="L154" i="1"/>
  <c r="H91" i="5"/>
  <c r="G91" i="5"/>
  <c r="F91" i="5"/>
  <c r="M153" i="1" l="1"/>
  <c r="L153" i="1"/>
  <c r="H90" i="5" l="1"/>
  <c r="G90" i="5"/>
  <c r="F90" i="5"/>
  <c r="M152" i="1" l="1"/>
  <c r="L152" i="1"/>
  <c r="H89" i="5"/>
  <c r="G89" i="5"/>
  <c r="F89" i="5"/>
  <c r="G29" i="2" l="1"/>
  <c r="E29" i="2"/>
  <c r="M151" i="1"/>
  <c r="L151" i="1"/>
  <c r="M150" i="1"/>
  <c r="L150" i="1"/>
  <c r="H88" i="5" l="1"/>
  <c r="G88" i="5"/>
  <c r="F88" i="5"/>
  <c r="H87" i="5" l="1"/>
  <c r="G87" i="5"/>
  <c r="F87" i="5"/>
  <c r="M149" i="1" l="1"/>
  <c r="L149" i="1"/>
  <c r="H86" i="5" l="1"/>
  <c r="G86" i="5"/>
  <c r="F86" i="5"/>
  <c r="M148" i="1"/>
  <c r="L148" i="1"/>
  <c r="H85" i="5" l="1"/>
  <c r="G85" i="5"/>
  <c r="F85" i="5"/>
  <c r="M147" i="1" l="1"/>
  <c r="L147" i="1"/>
  <c r="H84" i="5" l="1"/>
  <c r="G84" i="5"/>
  <c r="F84" i="5"/>
  <c r="M146" i="1" l="1"/>
  <c r="L146" i="1"/>
  <c r="G28" i="2" l="1"/>
  <c r="E28" i="2"/>
  <c r="M145" i="1" l="1"/>
  <c r="L145" i="1"/>
  <c r="H83" i="5"/>
  <c r="G83" i="5"/>
  <c r="F83" i="5"/>
  <c r="H82" i="5"/>
  <c r="G82" i="5"/>
  <c r="F82" i="5"/>
  <c r="H81" i="5"/>
  <c r="G81" i="5"/>
  <c r="F81" i="5"/>
  <c r="H80" i="5"/>
  <c r="G80" i="5"/>
  <c r="F80" i="5"/>
  <c r="H79" i="5"/>
  <c r="G79" i="5"/>
  <c r="F79" i="5"/>
  <c r="H78" i="5"/>
  <c r="G78" i="5"/>
  <c r="F78" i="5"/>
  <c r="H77" i="5"/>
  <c r="G77" i="5"/>
  <c r="F77" i="5"/>
  <c r="H76" i="5"/>
  <c r="G76" i="5"/>
  <c r="F76" i="5"/>
  <c r="H75" i="5"/>
  <c r="G75" i="5"/>
  <c r="F75" i="5"/>
  <c r="H74" i="5"/>
  <c r="G74" i="5"/>
  <c r="F74" i="5"/>
  <c r="H73" i="5"/>
  <c r="G73" i="5"/>
  <c r="F73" i="5"/>
  <c r="H72" i="5"/>
  <c r="G72" i="5"/>
  <c r="F72" i="5"/>
  <c r="H71" i="5"/>
  <c r="G71" i="5"/>
  <c r="F71" i="5"/>
  <c r="H70" i="5"/>
  <c r="G70" i="5"/>
  <c r="F70" i="5"/>
  <c r="H69" i="5"/>
  <c r="G69" i="5"/>
  <c r="F69" i="5"/>
  <c r="H68" i="5"/>
  <c r="G68" i="5"/>
  <c r="F68" i="5"/>
  <c r="H67" i="5"/>
  <c r="G67" i="5"/>
  <c r="F67" i="5"/>
  <c r="H66" i="5"/>
  <c r="G66" i="5"/>
  <c r="F66" i="5"/>
  <c r="H65" i="5"/>
  <c r="G65" i="5"/>
  <c r="F65" i="5"/>
  <c r="H64" i="5"/>
  <c r="G64" i="5"/>
  <c r="F64" i="5"/>
  <c r="H63" i="5"/>
  <c r="G63" i="5"/>
  <c r="F63" i="5"/>
  <c r="H62" i="5"/>
  <c r="G62" i="5"/>
  <c r="F62" i="5"/>
  <c r="H61" i="5"/>
  <c r="G61" i="5"/>
  <c r="F61" i="5"/>
  <c r="H60" i="5"/>
  <c r="G60" i="5"/>
  <c r="F60" i="5"/>
  <c r="H59" i="5"/>
  <c r="G59" i="5"/>
  <c r="F59" i="5"/>
  <c r="H58" i="5"/>
  <c r="G58" i="5"/>
  <c r="F58" i="5"/>
  <c r="H57" i="5"/>
  <c r="G57" i="5"/>
  <c r="F57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G4" i="5"/>
  <c r="F4" i="5"/>
  <c r="H3" i="5"/>
  <c r="G3" i="5"/>
  <c r="F3" i="5"/>
  <c r="B22" i="4"/>
  <c r="B20" i="4"/>
  <c r="B19" i="4"/>
  <c r="B18" i="4"/>
  <c r="B17" i="4"/>
  <c r="B16" i="4"/>
  <c r="B15" i="4"/>
  <c r="B14" i="4"/>
  <c r="B13" i="4"/>
  <c r="B12" i="4"/>
  <c r="B21" i="4" s="1"/>
  <c r="E10" i="4"/>
  <c r="E9" i="4"/>
  <c r="E8" i="4"/>
  <c r="E7" i="4"/>
  <c r="E6" i="4"/>
  <c r="E5" i="4"/>
  <c r="E4" i="4"/>
  <c r="E3" i="4"/>
  <c r="E852" i="3"/>
  <c r="E805" i="3"/>
  <c r="H801" i="3"/>
  <c r="E573" i="3"/>
  <c r="G375" i="3"/>
  <c r="G190" i="3"/>
  <c r="G182" i="3"/>
  <c r="G179" i="3"/>
  <c r="G154" i="3"/>
  <c r="E121" i="3"/>
  <c r="J51" i="3"/>
  <c r="K51" i="3" s="1"/>
  <c r="G50" i="2"/>
  <c r="G49" i="2"/>
  <c r="G48" i="2"/>
  <c r="G47" i="2"/>
  <c r="G46" i="2"/>
  <c r="G45" i="2"/>
  <c r="G44" i="2"/>
  <c r="G43" i="2"/>
  <c r="G42" i="2"/>
  <c r="D38" i="2"/>
  <c r="C38" i="2"/>
  <c r="B3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E42" i="2" s="1"/>
  <c r="G16" i="2"/>
  <c r="E16" i="2"/>
  <c r="C44" i="2" s="1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BK62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BM81" i="1"/>
  <c r="M81" i="1"/>
  <c r="L81" i="1"/>
  <c r="BM80" i="1"/>
  <c r="M80" i="1"/>
  <c r="L80" i="1"/>
  <c r="BM79" i="1"/>
  <c r="M79" i="1"/>
  <c r="L79" i="1"/>
  <c r="BM78" i="1"/>
  <c r="M78" i="1"/>
  <c r="L78" i="1"/>
  <c r="BM77" i="1"/>
  <c r="M77" i="1"/>
  <c r="L77" i="1"/>
  <c r="BM76" i="1"/>
  <c r="BJ76" i="1"/>
  <c r="M76" i="1"/>
  <c r="L76" i="1"/>
  <c r="BM75" i="1"/>
  <c r="BJ75" i="1"/>
  <c r="M75" i="1"/>
  <c r="L75" i="1"/>
  <c r="BM74" i="1"/>
  <c r="BJ74" i="1"/>
  <c r="M74" i="1"/>
  <c r="L74" i="1"/>
  <c r="BM73" i="1"/>
  <c r="BJ73" i="1"/>
  <c r="M73" i="1"/>
  <c r="L73" i="1"/>
  <c r="BM72" i="1"/>
  <c r="BJ72" i="1"/>
  <c r="M72" i="1"/>
  <c r="L72" i="1"/>
  <c r="BM71" i="1"/>
  <c r="BJ71" i="1"/>
  <c r="M71" i="1"/>
  <c r="L71" i="1"/>
  <c r="BM70" i="1"/>
  <c r="BJ70" i="1"/>
  <c r="M70" i="1"/>
  <c r="L70" i="1"/>
  <c r="BM69" i="1"/>
  <c r="BL69" i="1"/>
  <c r="BJ69" i="1"/>
  <c r="M69" i="1"/>
  <c r="L69" i="1"/>
  <c r="BM68" i="1"/>
  <c r="BL68" i="1"/>
  <c r="BJ68" i="1"/>
  <c r="M68" i="1"/>
  <c r="L68" i="1"/>
  <c r="BM67" i="1"/>
  <c r="BL67" i="1"/>
  <c r="BJ67" i="1"/>
  <c r="M67" i="1"/>
  <c r="L67" i="1"/>
  <c r="BM66" i="1"/>
  <c r="BL66" i="1"/>
  <c r="BJ66" i="1"/>
  <c r="M66" i="1"/>
  <c r="L66" i="1"/>
  <c r="BM65" i="1"/>
  <c r="BL65" i="1"/>
  <c r="BJ65" i="1"/>
  <c r="M65" i="1"/>
  <c r="L65" i="1"/>
  <c r="BM64" i="1"/>
  <c r="BL64" i="1"/>
  <c r="BJ64" i="1"/>
  <c r="M64" i="1"/>
  <c r="L64" i="1"/>
  <c r="BM63" i="1"/>
  <c r="BL63" i="1"/>
  <c r="BJ63" i="1"/>
  <c r="M63" i="1"/>
  <c r="L63" i="1"/>
  <c r="BM62" i="1"/>
  <c r="BL62" i="1"/>
  <c r="BJ62" i="1"/>
  <c r="M62" i="1"/>
  <c r="L62" i="1"/>
  <c r="BM61" i="1"/>
  <c r="BL61" i="1"/>
  <c r="BK61" i="1"/>
  <c r="M61" i="1"/>
  <c r="L61" i="1"/>
  <c r="BM60" i="1"/>
  <c r="BL60" i="1"/>
  <c r="BK60" i="1"/>
  <c r="BJ60" i="1"/>
  <c r="M60" i="1"/>
  <c r="L60" i="1"/>
  <c r="BM59" i="1"/>
  <c r="BL59" i="1"/>
  <c r="BK59" i="1"/>
  <c r="BJ59" i="1"/>
  <c r="M59" i="1"/>
  <c r="L59" i="1"/>
  <c r="BM58" i="1"/>
  <c r="BL58" i="1"/>
  <c r="BK58" i="1"/>
  <c r="BJ58" i="1"/>
  <c r="M58" i="1"/>
  <c r="L58" i="1"/>
  <c r="BM57" i="1"/>
  <c r="BL57" i="1"/>
  <c r="BK57" i="1"/>
  <c r="BJ57" i="1"/>
  <c r="M57" i="1"/>
  <c r="L57" i="1"/>
  <c r="BM56" i="1"/>
  <c r="BL56" i="1"/>
  <c r="BK56" i="1"/>
  <c r="BJ56" i="1"/>
  <c r="M56" i="1"/>
  <c r="L56" i="1"/>
  <c r="BM55" i="1"/>
  <c r="BL55" i="1"/>
  <c r="BK55" i="1"/>
  <c r="BJ55" i="1"/>
  <c r="M55" i="1"/>
  <c r="L55" i="1"/>
  <c r="BM54" i="1"/>
  <c r="BL54" i="1"/>
  <c r="BK54" i="1"/>
  <c r="BJ54" i="1"/>
  <c r="BI54" i="1"/>
  <c r="M54" i="1"/>
  <c r="L54" i="1"/>
  <c r="BM53" i="1"/>
  <c r="BL53" i="1"/>
  <c r="BK53" i="1"/>
  <c r="BJ53" i="1"/>
  <c r="BI53" i="1"/>
  <c r="M53" i="1"/>
  <c r="L53" i="1"/>
  <c r="BM52" i="1"/>
  <c r="BL52" i="1"/>
  <c r="BK52" i="1"/>
  <c r="BJ52" i="1"/>
  <c r="BI52" i="1"/>
  <c r="M52" i="1"/>
  <c r="L52" i="1"/>
  <c r="BM51" i="1"/>
  <c r="BL51" i="1"/>
  <c r="BK51" i="1"/>
  <c r="BJ51" i="1"/>
  <c r="BI51" i="1"/>
  <c r="M51" i="1"/>
  <c r="L51" i="1"/>
  <c r="BM50" i="1"/>
  <c r="BL50" i="1"/>
  <c r="BK50" i="1"/>
  <c r="BJ50" i="1"/>
  <c r="BI50" i="1"/>
  <c r="M50" i="1"/>
  <c r="L50" i="1"/>
  <c r="BM49" i="1"/>
  <c r="BL49" i="1"/>
  <c r="BK49" i="1"/>
  <c r="BJ49" i="1"/>
  <c r="BI49" i="1"/>
  <c r="M49" i="1"/>
  <c r="L49" i="1"/>
  <c r="BM48" i="1"/>
  <c r="BL48" i="1"/>
  <c r="BK48" i="1"/>
  <c r="BJ48" i="1"/>
  <c r="BI48" i="1"/>
  <c r="M48" i="1"/>
  <c r="L48" i="1"/>
  <c r="BM47" i="1"/>
  <c r="BL47" i="1"/>
  <c r="BK47" i="1"/>
  <c r="BJ47" i="1"/>
  <c r="BI47" i="1"/>
  <c r="M47" i="1"/>
  <c r="L47" i="1"/>
  <c r="BM46" i="1"/>
  <c r="BL46" i="1"/>
  <c r="BK46" i="1"/>
  <c r="BJ46" i="1"/>
  <c r="BI46" i="1"/>
  <c r="M46" i="1"/>
  <c r="L46" i="1"/>
  <c r="BM45" i="1"/>
  <c r="BL45" i="1"/>
  <c r="BK45" i="1"/>
  <c r="BJ45" i="1"/>
  <c r="BI45" i="1"/>
  <c r="M45" i="1"/>
  <c r="L45" i="1"/>
  <c r="BM44" i="1"/>
  <c r="BL44" i="1"/>
  <c r="BK44" i="1"/>
  <c r="BJ44" i="1"/>
  <c r="BI44" i="1"/>
  <c r="M44" i="1"/>
  <c r="L44" i="1"/>
  <c r="BM43" i="1"/>
  <c r="BL43" i="1"/>
  <c r="BK43" i="1"/>
  <c r="BJ43" i="1"/>
  <c r="BI43" i="1"/>
  <c r="M43" i="1"/>
  <c r="L43" i="1"/>
  <c r="BM42" i="1"/>
  <c r="BL42" i="1"/>
  <c r="BK42" i="1"/>
  <c r="BJ42" i="1"/>
  <c r="BI42" i="1"/>
  <c r="M42" i="1"/>
  <c r="L42" i="1"/>
  <c r="BM41" i="1"/>
  <c r="BL41" i="1"/>
  <c r="BK41" i="1"/>
  <c r="BJ41" i="1"/>
  <c r="BI41" i="1"/>
  <c r="M41" i="1"/>
  <c r="L41" i="1"/>
  <c r="BM40" i="1"/>
  <c r="BL40" i="1"/>
  <c r="BK40" i="1"/>
  <c r="BJ40" i="1"/>
  <c r="BI40" i="1"/>
  <c r="M40" i="1"/>
  <c r="L40" i="1"/>
  <c r="BM39" i="1"/>
  <c r="BL39" i="1"/>
  <c r="BK39" i="1"/>
  <c r="BJ39" i="1"/>
  <c r="BI39" i="1"/>
  <c r="M39" i="1"/>
  <c r="L39" i="1"/>
  <c r="BM38" i="1"/>
  <c r="BL38" i="1"/>
  <c r="BK38" i="1"/>
  <c r="BJ38" i="1"/>
  <c r="BI38" i="1"/>
  <c r="M38" i="1"/>
  <c r="L38" i="1"/>
  <c r="BM37" i="1"/>
  <c r="BL37" i="1"/>
  <c r="BK37" i="1"/>
  <c r="BJ37" i="1"/>
  <c r="BI37" i="1"/>
  <c r="M37" i="1"/>
  <c r="L37" i="1"/>
  <c r="BM36" i="1"/>
  <c r="BL36" i="1"/>
  <c r="BK36" i="1"/>
  <c r="BJ36" i="1"/>
  <c r="BI36" i="1"/>
  <c r="M36" i="1"/>
  <c r="L36" i="1"/>
  <c r="BM35" i="1"/>
  <c r="BL35" i="1"/>
  <c r="BK35" i="1"/>
  <c r="BJ35" i="1"/>
  <c r="BI35" i="1"/>
  <c r="M35" i="1"/>
  <c r="L35" i="1"/>
  <c r="BM34" i="1"/>
  <c r="BL34" i="1"/>
  <c r="BK34" i="1"/>
  <c r="BJ34" i="1"/>
  <c r="BI34" i="1"/>
  <c r="M34" i="1"/>
  <c r="L34" i="1"/>
  <c r="BM33" i="1"/>
  <c r="BL33" i="1"/>
  <c r="BK33" i="1"/>
  <c r="BJ33" i="1"/>
  <c r="BI33" i="1"/>
  <c r="M33" i="1"/>
  <c r="L33" i="1"/>
  <c r="BM32" i="1"/>
  <c r="BL32" i="1"/>
  <c r="BK32" i="1"/>
  <c r="BJ32" i="1"/>
  <c r="BI32" i="1"/>
  <c r="M32" i="1"/>
  <c r="L32" i="1"/>
  <c r="BM31" i="1"/>
  <c r="BL31" i="1"/>
  <c r="BK31" i="1"/>
  <c r="BJ31" i="1"/>
  <c r="BI31" i="1"/>
  <c r="M31" i="1"/>
  <c r="L31" i="1"/>
  <c r="BM30" i="1"/>
  <c r="BL30" i="1"/>
  <c r="BK30" i="1"/>
  <c r="BJ30" i="1"/>
  <c r="BI30" i="1"/>
  <c r="M30" i="1"/>
  <c r="L30" i="1"/>
  <c r="BM29" i="1"/>
  <c r="BL29" i="1"/>
  <c r="BK29" i="1"/>
  <c r="BJ29" i="1"/>
  <c r="BI29" i="1"/>
  <c r="M29" i="1"/>
  <c r="L29" i="1"/>
  <c r="BM28" i="1"/>
  <c r="BL28" i="1"/>
  <c r="BK28" i="1"/>
  <c r="BJ28" i="1"/>
  <c r="BI28" i="1"/>
  <c r="M28" i="1"/>
  <c r="L28" i="1"/>
  <c r="BM27" i="1"/>
  <c r="BL27" i="1"/>
  <c r="BK27" i="1"/>
  <c r="BJ27" i="1"/>
  <c r="BI27" i="1"/>
  <c r="M27" i="1"/>
  <c r="L27" i="1"/>
  <c r="BM26" i="1"/>
  <c r="BL26" i="1"/>
  <c r="BK26" i="1"/>
  <c r="BJ26" i="1"/>
  <c r="BI26" i="1"/>
  <c r="M26" i="1"/>
  <c r="L26" i="1"/>
  <c r="BM25" i="1"/>
  <c r="BL25" i="1"/>
  <c r="BK25" i="1"/>
  <c r="BJ25" i="1"/>
  <c r="BI25" i="1"/>
  <c r="M25" i="1"/>
  <c r="L25" i="1"/>
  <c r="BM24" i="1"/>
  <c r="BL24" i="1"/>
  <c r="BK24" i="1"/>
  <c r="BJ24" i="1"/>
  <c r="BI24" i="1"/>
  <c r="M24" i="1"/>
  <c r="L24" i="1"/>
  <c r="BM23" i="1"/>
  <c r="BL23" i="1"/>
  <c r="BK23" i="1"/>
  <c r="BJ23" i="1"/>
  <c r="BI23" i="1"/>
  <c r="M23" i="1"/>
  <c r="L23" i="1"/>
  <c r="BM22" i="1"/>
  <c r="BL22" i="1"/>
  <c r="BK22" i="1"/>
  <c r="BJ22" i="1"/>
  <c r="BI22" i="1"/>
  <c r="M22" i="1"/>
  <c r="L22" i="1"/>
  <c r="BM21" i="1"/>
  <c r="BL21" i="1"/>
  <c r="BK21" i="1"/>
  <c r="BJ21" i="1"/>
  <c r="BI21" i="1"/>
  <c r="M21" i="1"/>
  <c r="L21" i="1"/>
  <c r="BM20" i="1"/>
  <c r="BL20" i="1"/>
  <c r="BK20" i="1"/>
  <c r="BJ20" i="1"/>
  <c r="BI20" i="1"/>
  <c r="M20" i="1"/>
  <c r="L20" i="1"/>
  <c r="BM19" i="1"/>
  <c r="BL19" i="1"/>
  <c r="BK19" i="1"/>
  <c r="BJ19" i="1"/>
  <c r="BI19" i="1"/>
  <c r="M19" i="1"/>
  <c r="L19" i="1"/>
  <c r="BM18" i="1"/>
  <c r="BL18" i="1"/>
  <c r="BK18" i="1"/>
  <c r="BJ18" i="1"/>
  <c r="BI18" i="1"/>
  <c r="M18" i="1"/>
  <c r="L18" i="1"/>
  <c r="BM17" i="1"/>
  <c r="BL17" i="1"/>
  <c r="BK17" i="1"/>
  <c r="BJ17" i="1"/>
  <c r="BI17" i="1"/>
  <c r="AN17" i="1"/>
  <c r="M17" i="1"/>
  <c r="L17" i="1"/>
  <c r="BM16" i="1"/>
  <c r="BL16" i="1"/>
  <c r="BK16" i="1"/>
  <c r="BJ16" i="1"/>
  <c r="BI16" i="1"/>
  <c r="AN16" i="1"/>
  <c r="M16" i="1"/>
  <c r="L16" i="1"/>
  <c r="BM15" i="1"/>
  <c r="BL15" i="1"/>
  <c r="BK15" i="1"/>
  <c r="BJ15" i="1"/>
  <c r="BI15" i="1"/>
  <c r="AR15" i="1"/>
  <c r="AQ15" i="1"/>
  <c r="AP15" i="1"/>
  <c r="AO15" i="1"/>
  <c r="AN15" i="1"/>
  <c r="M15" i="1"/>
  <c r="L15" i="1"/>
  <c r="BM14" i="1"/>
  <c r="BL14" i="1"/>
  <c r="BK14" i="1"/>
  <c r="BJ14" i="1"/>
  <c r="BI14" i="1"/>
  <c r="AR14" i="1"/>
  <c r="AQ14" i="1"/>
  <c r="AP14" i="1"/>
  <c r="AO14" i="1"/>
  <c r="AN14" i="1"/>
  <c r="M14" i="1"/>
  <c r="L14" i="1"/>
  <c r="BM13" i="1"/>
  <c r="BL13" i="1"/>
  <c r="BK13" i="1"/>
  <c r="BJ13" i="1"/>
  <c r="BI13" i="1"/>
  <c r="AR13" i="1"/>
  <c r="AQ13" i="1"/>
  <c r="AP13" i="1"/>
  <c r="AO13" i="1"/>
  <c r="AN13" i="1"/>
  <c r="M13" i="1"/>
  <c r="L13" i="1"/>
  <c r="BM12" i="1"/>
  <c r="BL12" i="1"/>
  <c r="BK12" i="1"/>
  <c r="BJ12" i="1"/>
  <c r="BI12" i="1"/>
  <c r="M12" i="1"/>
  <c r="L12" i="1"/>
  <c r="BM11" i="1"/>
  <c r="BL11" i="1"/>
  <c r="BK11" i="1"/>
  <c r="BJ11" i="1"/>
  <c r="BI11" i="1"/>
  <c r="M11" i="1"/>
  <c r="L11" i="1"/>
  <c r="BM10" i="1"/>
  <c r="BL10" i="1"/>
  <c r="BK10" i="1"/>
  <c r="BJ10" i="1"/>
  <c r="BI10" i="1"/>
  <c r="M10" i="1"/>
  <c r="L10" i="1"/>
  <c r="BM9" i="1"/>
  <c r="BL9" i="1"/>
  <c r="BK9" i="1"/>
  <c r="BJ9" i="1"/>
  <c r="BI9" i="1"/>
  <c r="M9" i="1"/>
  <c r="L9" i="1"/>
  <c r="BM8" i="1"/>
  <c r="BL8" i="1"/>
  <c r="BK8" i="1"/>
  <c r="BJ8" i="1"/>
  <c r="BI8" i="1"/>
  <c r="M8" i="1"/>
  <c r="L8" i="1"/>
  <c r="BM7" i="1"/>
  <c r="BL7" i="1"/>
  <c r="BK7" i="1"/>
  <c r="BJ7" i="1"/>
  <c r="BI7" i="1"/>
  <c r="M7" i="1"/>
  <c r="L7" i="1"/>
  <c r="BM6" i="1"/>
  <c r="BL6" i="1"/>
  <c r="BK6" i="1"/>
  <c r="BJ6" i="1"/>
  <c r="BI6" i="1"/>
  <c r="M6" i="1"/>
  <c r="L6" i="1"/>
  <c r="BM5" i="1"/>
  <c r="BL5" i="1"/>
  <c r="BK5" i="1"/>
  <c r="BJ5" i="1"/>
  <c r="BI5" i="1"/>
  <c r="M5" i="1"/>
  <c r="L5" i="1"/>
  <c r="BM4" i="1"/>
  <c r="BL4" i="1"/>
  <c r="BK4" i="1"/>
  <c r="BJ4" i="1"/>
  <c r="BI4" i="1"/>
  <c r="M4" i="1"/>
  <c r="L4" i="1"/>
  <c r="BM3" i="1"/>
  <c r="BL3" i="1"/>
  <c r="BK3" i="1"/>
  <c r="BJ3" i="1"/>
  <c r="BI3" i="1"/>
  <c r="M3" i="1"/>
  <c r="L3" i="1"/>
  <c r="BM2" i="1"/>
  <c r="BL2" i="1"/>
  <c r="BK2" i="1"/>
  <c r="BJ2" i="1"/>
  <c r="BI2" i="1"/>
  <c r="M2" i="1"/>
  <c r="L2" i="1"/>
  <c r="U1" i="1" l="1"/>
  <c r="S1" i="1"/>
</calcChain>
</file>

<file path=xl/sharedStrings.xml><?xml version="1.0" encoding="utf-8"?>
<sst xmlns="http://schemas.openxmlformats.org/spreadsheetml/2006/main" count="1730" uniqueCount="510">
  <si>
    <t>نرخ ابتدای روز دلار  متشکل</t>
  </si>
  <si>
    <t>نرخ انتهای روز دلار متشکل</t>
  </si>
  <si>
    <t>نرخ میانگین روزانه دلار متشکل</t>
  </si>
  <si>
    <t>حجم معاملات دلار متشکل</t>
  </si>
  <si>
    <t>نرخ ابتدای روز یورو متشکل</t>
  </si>
  <si>
    <t>نرخ انتهای روز یورو متشکل</t>
  </si>
  <si>
    <t>نرخ میانگین روزانه یورو متشکل</t>
  </si>
  <si>
    <t>حجم معاملات یورو متشکل</t>
  </si>
  <si>
    <t>ارزش کل معاملات روز دلار متشکل</t>
  </si>
  <si>
    <t>ارزش کل معاملات روز یورو متشکل</t>
  </si>
  <si>
    <t>دلار سنا در انتهای روز</t>
  </si>
  <si>
    <t>یورو سنا در انتهای روز</t>
  </si>
  <si>
    <t>دلار سنا در ابتدای روز</t>
  </si>
  <si>
    <t>یورو سنا در ابتدای روز</t>
  </si>
  <si>
    <t>نرخ میانگین میانگین وزنی دلار متشکل</t>
  </si>
  <si>
    <t>نرخ میانگین وزنی یورو  متشکل</t>
  </si>
  <si>
    <t>دلار بازار آزاد در شروع معاملات</t>
  </si>
  <si>
    <t>یورو بازار آزاد در شروع معاملات</t>
  </si>
  <si>
    <t>دلار بازار آزاد در پایان</t>
  </si>
  <si>
    <t>یورو بازار آزاد در پایان مبادلات</t>
  </si>
  <si>
    <t>دلار هرات ابتدا</t>
  </si>
  <si>
    <t>دلار هرات انتها</t>
  </si>
  <si>
    <t>شروع درهم</t>
  </si>
  <si>
    <t>پایان درهم</t>
  </si>
  <si>
    <t>سکه بیشترین</t>
  </si>
  <si>
    <t>نیم سکه بیشترین</t>
  </si>
  <si>
    <t>ربع سکه بیشترین</t>
  </si>
  <si>
    <t>سکه گرمی بیشترین</t>
  </si>
  <si>
    <t>طلا-18 بیشترین</t>
  </si>
  <si>
    <t>سکه کمترین</t>
  </si>
  <si>
    <t>نیم سکه کمترین</t>
  </si>
  <si>
    <t>ربع سکه کمترین</t>
  </si>
  <si>
    <t>سکه گرمی کمترین</t>
  </si>
  <si>
    <t>طلا-18 کمترین</t>
  </si>
  <si>
    <t>اختلاف سکه</t>
  </si>
  <si>
    <t>اختلاف نیم سکه</t>
  </si>
  <si>
    <t>اختلاف ربع سکه</t>
  </si>
  <si>
    <t>اختلاف گرمی</t>
  </si>
  <si>
    <t>اختلاف 18 عیار</t>
  </si>
  <si>
    <t>سکه ابتدا</t>
  </si>
  <si>
    <t>نیم سکه ابتدا</t>
  </si>
  <si>
    <t>ربع سکه ابتدا</t>
  </si>
  <si>
    <t>سکه گرمی ابتدا</t>
  </si>
  <si>
    <t>طلای 18 عیار ابتدا</t>
  </si>
  <si>
    <t>طلای جهانی ابتدا</t>
  </si>
  <si>
    <t>سکه انتها</t>
  </si>
  <si>
    <t>نیم سکه انتها</t>
  </si>
  <si>
    <t>ربع سکه انتها</t>
  </si>
  <si>
    <t>سکه گرمی انتها</t>
  </si>
  <si>
    <t>طلای 18 عیار انتها</t>
  </si>
  <si>
    <t>طلای جهانی انتها</t>
  </si>
  <si>
    <t>حباب سکه لحظه ای</t>
  </si>
  <si>
    <t>حباب نیم‌سکه  لحظه ای</t>
  </si>
  <si>
    <t>حباب ربع سکه لحظه‌ای</t>
  </si>
  <si>
    <t>جباب سکه گرمی</t>
  </si>
  <si>
    <t>1400/01/07</t>
  </si>
  <si>
    <t>7فروردین 1400</t>
  </si>
  <si>
    <t>1400/01/08</t>
  </si>
  <si>
    <t>8فروردین 1400</t>
  </si>
  <si>
    <t>1400/01/10</t>
  </si>
  <si>
    <t>10فروردین 1400</t>
  </si>
  <si>
    <t>1400/01/11</t>
  </si>
  <si>
    <t>11فروردین 1400</t>
  </si>
  <si>
    <t>1400/01/14</t>
  </si>
  <si>
    <t>14فروردین 1400</t>
  </si>
  <si>
    <t>1400/01/15</t>
  </si>
  <si>
    <t>15فروردین 1400</t>
  </si>
  <si>
    <t>1400/01/16</t>
  </si>
  <si>
    <t>16فروردین 1400</t>
  </si>
  <si>
    <t>1400/01/17</t>
  </si>
  <si>
    <t>17فروردین 1400</t>
  </si>
  <si>
    <t>1400/01/18</t>
  </si>
  <si>
    <t>18فروردین1400</t>
  </si>
  <si>
    <t>1400/01/19</t>
  </si>
  <si>
    <t>19فروردین1400</t>
  </si>
  <si>
    <t>1400/01/21</t>
  </si>
  <si>
    <t>21فروردین1400</t>
  </si>
  <si>
    <t>22فروردین1400</t>
  </si>
  <si>
    <t>23فروردین1400</t>
  </si>
  <si>
    <t>24فروردین1400</t>
  </si>
  <si>
    <t>25فروردین1400</t>
  </si>
  <si>
    <t>26فروردین1400</t>
  </si>
  <si>
    <t>28فروردین1400</t>
  </si>
  <si>
    <t>29فروردین1400</t>
  </si>
  <si>
    <t>30فروردین1400</t>
  </si>
  <si>
    <t>31فروردین1400</t>
  </si>
  <si>
    <t>01اردیبهشت1400</t>
  </si>
  <si>
    <t>02اردیبهشت1400</t>
  </si>
  <si>
    <t>04اردیبهشت1400</t>
  </si>
  <si>
    <t>05اردیبهشت1400</t>
  </si>
  <si>
    <t>06اردیبهشت1400</t>
  </si>
  <si>
    <t>07اردیبهشت1400</t>
  </si>
  <si>
    <t>08اردیبهشت1400</t>
  </si>
  <si>
    <t>09اردیبهشت1400</t>
  </si>
  <si>
    <t>11اردیبهشت1400</t>
  </si>
  <si>
    <t>12اردیبهشت1400</t>
  </si>
  <si>
    <t>13اردیبهشت1400</t>
  </si>
  <si>
    <t>15اردیبهشت 1400</t>
  </si>
  <si>
    <t>16اردیبهشت1400</t>
  </si>
  <si>
    <t>18اردیبهشت1400</t>
  </si>
  <si>
    <t>19اردیبهشت1400</t>
  </si>
  <si>
    <t>20اردیبهشت1400</t>
  </si>
  <si>
    <t>21اردیبهشت1400</t>
  </si>
  <si>
    <t>22اردیبهشت1400</t>
  </si>
  <si>
    <t>25اردیبهشت1400</t>
  </si>
  <si>
    <t>26اردیبهشت1400</t>
  </si>
  <si>
    <t>27اردیبهشت1400</t>
  </si>
  <si>
    <t>28اردیبهشت1400</t>
  </si>
  <si>
    <t>29اردیبهشت1400</t>
  </si>
  <si>
    <t>30اردیبهشت1400</t>
  </si>
  <si>
    <t>01خرداد1400</t>
  </si>
  <si>
    <t>02خرداد1400</t>
  </si>
  <si>
    <t>03خرداد1400</t>
  </si>
  <si>
    <t>04خرداد1400</t>
  </si>
  <si>
    <t>05خرداد1400</t>
  </si>
  <si>
    <t>06خرداد1400</t>
  </si>
  <si>
    <t>08خرداد1400</t>
  </si>
  <si>
    <t>09خرداد1400</t>
  </si>
  <si>
    <t>10خرداد1400</t>
  </si>
  <si>
    <t>11خرداد1400</t>
  </si>
  <si>
    <t>12خرداد1400</t>
  </si>
  <si>
    <t>13خرداد1400</t>
  </si>
  <si>
    <t>17خرداد1400</t>
  </si>
  <si>
    <t>18خرداد1400</t>
  </si>
  <si>
    <t>19خرداد1400</t>
  </si>
  <si>
    <t>20خرداد1400</t>
  </si>
  <si>
    <t>22خرداد1400</t>
  </si>
  <si>
    <t>23خرداد1400</t>
  </si>
  <si>
    <t>24خرداد1400</t>
  </si>
  <si>
    <t>25خرداد1400</t>
  </si>
  <si>
    <t>26خرداد1400</t>
  </si>
  <si>
    <t>27خرداد1400</t>
  </si>
  <si>
    <t>29خرداد1400</t>
  </si>
  <si>
    <t>30خرداد1400</t>
  </si>
  <si>
    <t>31خرداد1400</t>
  </si>
  <si>
    <t>01تیر1400</t>
  </si>
  <si>
    <t>02تیر1400</t>
  </si>
  <si>
    <t>03تیر1400</t>
  </si>
  <si>
    <t>05تیر1400</t>
  </si>
  <si>
    <t>06تیر1400</t>
  </si>
  <si>
    <t>07تیر1400</t>
  </si>
  <si>
    <t>08تیر1400</t>
  </si>
  <si>
    <t>09تیر1400</t>
  </si>
  <si>
    <t>10تیر1400</t>
  </si>
  <si>
    <t>12تیر1400</t>
  </si>
  <si>
    <t>13تیر1400</t>
  </si>
  <si>
    <t>14تیر1400</t>
  </si>
  <si>
    <t>15تیر1400</t>
  </si>
  <si>
    <t>16تیر1400</t>
  </si>
  <si>
    <t>19تیر1400</t>
  </si>
  <si>
    <t>20تیر1400</t>
  </si>
  <si>
    <t>21تیر1400</t>
  </si>
  <si>
    <t>22تیر1400</t>
  </si>
  <si>
    <t>23تیر1400</t>
  </si>
  <si>
    <t>26تیر1400</t>
  </si>
  <si>
    <t>27تیر1400</t>
  </si>
  <si>
    <t>28تیر1400</t>
  </si>
  <si>
    <t>04مرداد1400</t>
  </si>
  <si>
    <t>05مرداد1400</t>
  </si>
  <si>
    <t>06مرداد1401</t>
  </si>
  <si>
    <t>9مرداد1400</t>
  </si>
  <si>
    <t>10مرداد1400</t>
  </si>
  <si>
    <t>11مرداد1400</t>
  </si>
  <si>
    <t>12مرداد1400</t>
  </si>
  <si>
    <t>13مرداد1400</t>
  </si>
  <si>
    <t>16مرداد1400</t>
  </si>
  <si>
    <t>17مرداد1400</t>
  </si>
  <si>
    <t>18مرداد1400</t>
  </si>
  <si>
    <t>19مرداد1400</t>
  </si>
  <si>
    <t>20مرداد1400</t>
  </si>
  <si>
    <t>23مرداد1400</t>
  </si>
  <si>
    <t>24مرداد1400</t>
  </si>
  <si>
    <t>31مرداد1400</t>
  </si>
  <si>
    <t>01شهریور1400</t>
  </si>
  <si>
    <t>02شهریور1400</t>
  </si>
  <si>
    <t>03شهریور1400</t>
  </si>
  <si>
    <t>04شهریور1400</t>
  </si>
  <si>
    <t>06شهریور1400</t>
  </si>
  <si>
    <t>07شهریور1400</t>
  </si>
  <si>
    <t>08شهریور1400</t>
  </si>
  <si>
    <t>09شهریور1400</t>
  </si>
  <si>
    <t>10شهریور1400</t>
  </si>
  <si>
    <t>11شهریور1400</t>
  </si>
  <si>
    <t>13شهریور1400</t>
  </si>
  <si>
    <t>14شهریور1400</t>
  </si>
  <si>
    <t>15شهریور1400</t>
  </si>
  <si>
    <t>16شهریور1400</t>
  </si>
  <si>
    <t>17شهریور1400</t>
  </si>
  <si>
    <t>18شهریور1400</t>
  </si>
  <si>
    <t>20شهریور1400</t>
  </si>
  <si>
    <t>21شهریور1400</t>
  </si>
  <si>
    <t>22شهریور1400</t>
  </si>
  <si>
    <t>23شهریور1400</t>
  </si>
  <si>
    <t>24شهریور1400</t>
  </si>
  <si>
    <t>25شهریور1400</t>
  </si>
  <si>
    <t>27شهریور1400</t>
  </si>
  <si>
    <t>28شهریور1400</t>
  </si>
  <si>
    <t>29شهریور1400</t>
  </si>
  <si>
    <t>30شهریور1400</t>
  </si>
  <si>
    <t>31شهریور1400</t>
  </si>
  <si>
    <t>01مهر1400</t>
  </si>
  <si>
    <t>03مهر1400</t>
  </si>
  <si>
    <t>04مهر1400</t>
  </si>
  <si>
    <t>06مهر1400</t>
  </si>
  <si>
    <t>07مهر1400</t>
  </si>
  <si>
    <t>08مهر1400</t>
  </si>
  <si>
    <t>10مهر1400</t>
  </si>
  <si>
    <t>11مهر1400</t>
  </si>
  <si>
    <t>12مهر1400</t>
  </si>
  <si>
    <t>۱۴مهر۱۴۰۰</t>
  </si>
  <si>
    <t>متوسط وزنی قیمت دلار متشکل</t>
  </si>
  <si>
    <t xml:space="preserve">متوسط وزنی قیمت یورو متشکل </t>
  </si>
  <si>
    <t>حجم مبادلات هفتگی دلار</t>
  </si>
  <si>
    <t>متوسط حجم مبادلات هفتگی دلار</t>
  </si>
  <si>
    <t>حجم مبادلات هفتگی یورو</t>
  </si>
  <si>
    <t>متوسط حجم مبادلات هفتگی یورو</t>
  </si>
  <si>
    <t>متوسط قیمت دلار سنا</t>
  </si>
  <si>
    <t>متوسط قیمت یورو سنا</t>
  </si>
  <si>
    <t>متوسط قیمت دلار آزاد</t>
  </si>
  <si>
    <t>متوسط قیمت یورو آزاد</t>
  </si>
  <si>
    <t>هفته 2 سال</t>
  </si>
  <si>
    <t>هفته 3 سال</t>
  </si>
  <si>
    <t>هفته 4 سال</t>
  </si>
  <si>
    <t>هفته 5 سال</t>
  </si>
  <si>
    <t>هفته 6 سال</t>
  </si>
  <si>
    <t>هفته 7 سال</t>
  </si>
  <si>
    <t>هفته 8 سال</t>
  </si>
  <si>
    <t>هفته 9 سال</t>
  </si>
  <si>
    <t>هفته 10 سال</t>
  </si>
  <si>
    <t>هفته 11 سال</t>
  </si>
  <si>
    <t>هفته 12 سال</t>
  </si>
  <si>
    <t>هفته 13 سال</t>
  </si>
  <si>
    <t>هفته 14 سال</t>
  </si>
  <si>
    <t>هفته 15 سال</t>
  </si>
  <si>
    <t>هفته 16 سال</t>
  </si>
  <si>
    <t>هفته 17 سال</t>
  </si>
  <si>
    <t>هفته 18 سال</t>
  </si>
  <si>
    <t>هفته 19 سال</t>
  </si>
  <si>
    <t>هفته 20 سال</t>
  </si>
  <si>
    <t>هفته 21 سال</t>
  </si>
  <si>
    <t>هفته 22 سال</t>
  </si>
  <si>
    <t>هفته 23 سال</t>
  </si>
  <si>
    <t>هفته 24 سال</t>
  </si>
  <si>
    <t>هفته 25 سال</t>
  </si>
  <si>
    <t>هفته 26 سال</t>
  </si>
  <si>
    <t>هفته 27 سال</t>
  </si>
  <si>
    <t>روند روزانه بهای سکه و ارز (یکشنبه 23 خرداد 1400)</t>
  </si>
  <si>
    <t>ساعت</t>
  </si>
  <si>
    <t>قیمت دلار (تومان)</t>
  </si>
  <si>
    <t>قیمت درهم (تومان)</t>
  </si>
  <si>
    <t>قیمت سکه (تومان)</t>
  </si>
  <si>
    <t xml:space="preserve">  12:00</t>
  </si>
  <si>
    <t xml:space="preserve"> 13:00</t>
  </si>
  <si>
    <t xml:space="preserve"> 14:00</t>
  </si>
  <si>
    <t xml:space="preserve"> 16:00</t>
  </si>
  <si>
    <t xml:space="preserve"> 17:00</t>
  </si>
  <si>
    <t>روند روزانه بهای سکه و ارز (دوشنبه24 خرداد 1400)</t>
  </si>
  <si>
    <t xml:space="preserve"> </t>
  </si>
  <si>
    <t>روند روزانه بهای سکه و ارز (سه‌شنبه 25 خرداد 1400)</t>
  </si>
  <si>
    <t>روند روزانه بهای سکه و ارز ( چهارشنبه 26 خرداد 1400)</t>
  </si>
  <si>
    <t>روند روزانه بهای سکه و ارز ( پنج‌شنبه 27 خرداد 1400)</t>
  </si>
  <si>
    <t>*****</t>
  </si>
  <si>
    <t>روند روزانه بهای سکه و ارز ( شنبه 29 خرداد 1400)</t>
  </si>
  <si>
    <t>روند روزانه بهای سکه و ارز ( یکشنبه 30 خرداد 1400)</t>
  </si>
  <si>
    <t>روند روزانه بهای سکه و ارز ( دوشنبه 31 خرداد 1400)</t>
  </si>
  <si>
    <t>روند روزانه بهای سکه و ارز ( سه‌شنبه 01 تیر 1400)</t>
  </si>
  <si>
    <t>دو روز قبل کاری</t>
  </si>
  <si>
    <t>سکه</t>
  </si>
  <si>
    <t>روز قبل کاری</t>
  </si>
  <si>
    <t>روند روزانه بهای سکه و ارز ( شنبه 05 تیر 1400)</t>
  </si>
  <si>
    <t>روند روزانه بهای سکه و ارز ( یکشنبه 06 تیر 1400)</t>
  </si>
  <si>
    <t>10 55</t>
  </si>
  <si>
    <t>روند روزانه بهای سکه و ارز ( یکشنبه 07 تیر 1400)</t>
  </si>
  <si>
    <t>روند روزانه بهای سکه و ارز ( یکشنبه 08 تیر 1400)</t>
  </si>
  <si>
    <t>روند روزانه بهای سکه و ارز ( یکشنبه 09 تیر 1400)</t>
  </si>
  <si>
    <t>روند روزانه بهای سکه و ارز ( یکشنبه 10 تیر 1400)</t>
  </si>
  <si>
    <t>***</t>
  </si>
  <si>
    <t>روند روزانه بهای سکه و ارز (  شنبه 12 تیر 1400)</t>
  </si>
  <si>
    <t>روند روزانه بهای سکه و ارز (  یکشنبه 13 تیر 1400)</t>
  </si>
  <si>
    <t>روند روزانه بهای سکه و ارز (  دوشنبه 14 تیر 1400)</t>
  </si>
  <si>
    <t>روند روزانه بهای سکه و ارز (  سه‌شنبه 15 تیر 1400)</t>
  </si>
  <si>
    <t>روند روزانه بهای سکه و ارز (  چهارشنبه 16 تیر 1400)</t>
  </si>
  <si>
    <t>روند روزانه بهای سکه و ارز (  پنج‌شنبه 17 تیر 1400)</t>
  </si>
  <si>
    <t>روند روزانه بهای سکه و ارز (  شنبه 19 تیر 1400)</t>
  </si>
  <si>
    <t>روند روزانه بهای سکه و ارز (  یکشنبه 20 تیر 1400)</t>
  </si>
  <si>
    <t>روند روزانه بهای سکه و ارز (  دوشنبه 21 تیر 1400)</t>
  </si>
  <si>
    <t>روند روزانه بهای سکه و ارز (  سه‌شنبه 22 تیر 1400)</t>
  </si>
  <si>
    <t>روند روزانه بهای سکه و ارز (  چهارشنبه 23 تیر 1400)</t>
  </si>
  <si>
    <t>روند روزانه بهای سکه و ارز (  پنجشنبه 24 تیر 1400)</t>
  </si>
  <si>
    <t>روند روزانه بهای سکه و ارز (  شنبه 26 تیر 1400)</t>
  </si>
  <si>
    <t>روند روزانه بهای سکه و ارز (  یکشنبه 27 تیر 1400)</t>
  </si>
  <si>
    <t>روند روزانه بهای سکه و ارز (  یکشنبه 28 تیر 1400)</t>
  </si>
  <si>
    <t>روند روزانه بهای سکه و ارز (  یکشنبه 29 تیر 1400)</t>
  </si>
  <si>
    <t>24500 12 29</t>
  </si>
  <si>
    <t>24490 12 40</t>
  </si>
  <si>
    <t>24520 15 27</t>
  </si>
  <si>
    <t>روند روزانه بهای سکه و ارز (  شنبه 02 مرداد 1400)</t>
  </si>
  <si>
    <t>10 42</t>
  </si>
  <si>
    <t>11 32</t>
  </si>
  <si>
    <t>11 57</t>
  </si>
  <si>
    <t>روند روزانه بهای سکه و ارز ( یکشنبه 03 مرداد 1400)</t>
  </si>
  <si>
    <t>10 38</t>
  </si>
  <si>
    <t>16 38</t>
  </si>
  <si>
    <t>روند روزانه بهای سکه و ارز ( دوشنبه 04 مرداد 1400)</t>
  </si>
  <si>
    <t>روند روزانه بهای سکه و ارز ( سه‌شنبه 05 مرداد 1400)</t>
  </si>
  <si>
    <t>روند روزانه بهای سکه و ارز ( چهارشنبه 06 مرداد 1400)</t>
  </si>
  <si>
    <t>روند روزانه بهای سکه و ارز ( شنبه 09 مرداد 1400)</t>
  </si>
  <si>
    <t>روند روزانه بهای سکه و ارز ( یکشنبه 10 مرداد 1400)</t>
  </si>
  <si>
    <t>روند روزانه بهای سکه و ارز ( دوشنبه 11 مرداد 1400)</t>
  </si>
  <si>
    <t>روند روزانه بهای سکه و ارز ( سه‌شنبه 12 مرداد 1400)</t>
  </si>
  <si>
    <t>روند روزانه بهای سکه و ارز ( چهارشنبه 13 مرداد 1400)</t>
  </si>
  <si>
    <t>روند روزانه بهای سکه و ارز ( پنجشنبه 14 مرداد 1400)</t>
  </si>
  <si>
    <t>10 28</t>
  </si>
  <si>
    <t>12 08</t>
  </si>
  <si>
    <t>12 38</t>
  </si>
  <si>
    <t>روند روزانه بهای سکه و ارز ( شنبه 16 مرداد 1400)</t>
  </si>
  <si>
    <t>روند روزانه بهای سکه و ارز ( یکشنبه 17 مرداد 1400)</t>
  </si>
  <si>
    <t>روند روزانه بهای سکه و ارز ( دوشنبه 18 مرداد 1400)</t>
  </si>
  <si>
    <t>روند روزانه بهای سکه و ارز ( سه‌شنبه 19 مرداد 1400)</t>
  </si>
  <si>
    <t>روند روزانه بهای سکه و ارز ( چهارشنبه 20 مرداد 1400)</t>
  </si>
  <si>
    <t>روند روزانه بهای سکه و ارز ( پنج‌شنبه 21 مرداد 1400)</t>
  </si>
  <si>
    <t>10 49</t>
  </si>
  <si>
    <t>12 34</t>
  </si>
  <si>
    <t>روند روزانه بهای سکه و ارز ( شنبه 23 مرداد 1400)</t>
  </si>
  <si>
    <t>روند روزانه بهای سکه و ارز ( یکشنبه 24 مرداد 1400)</t>
  </si>
  <si>
    <t>روند روزانه بهای سکه و ارز ( یکشنبه 31 مرداد 1400)</t>
  </si>
  <si>
    <t>روند روزانه بهای سکه و ارز ( دوشنبه 01 شهریور 1400)</t>
  </si>
  <si>
    <t>روند روزانه بهای سکه و ارز ( سه‌شنبه 02 شهریور 1400)</t>
  </si>
  <si>
    <t>روند روزانه بهای سکه و ارز ( سه‌شنبه 03 شهریور 1400)</t>
  </si>
  <si>
    <t>16 20</t>
  </si>
  <si>
    <t>16 35</t>
  </si>
  <si>
    <t>11 35</t>
  </si>
  <si>
    <t>12 25</t>
  </si>
  <si>
    <t>روند روزانه بهای سکه و ارز ( سه‌شنبه 06 شهریور 1400)</t>
  </si>
  <si>
    <t>روند روزانه بهای سکه و ارز ( سه‌شنبه 07 شهریور 1400)</t>
  </si>
  <si>
    <t>روند روزانه بهای سکه و ارز ( سه‌شنبه 08 شهریور 1400)</t>
  </si>
  <si>
    <t>روند روزانه بهای سکه و ارز ( سه‌شنبه 09 شهریور 1400)</t>
  </si>
  <si>
    <t>روند روزانه بهای سکه و ارز ( چهارشنبه 10 شهریور 1400)</t>
  </si>
  <si>
    <t>روند روزانه بهای سکه و ارز ( پنجشنبه 11 شهریور 1400)</t>
  </si>
  <si>
    <t>11 01</t>
  </si>
  <si>
    <t>روند روزانه بهای سکه و ارز ( شنبه 13 شهریور 1400)</t>
  </si>
  <si>
    <t>روند روزانه بهای سکه و ارز ( شنبه 14 شهریور 1400)</t>
  </si>
  <si>
    <t>روند روزانه بهای سکه و ارز ( دوشنبه 15 شهریور 1400)</t>
  </si>
  <si>
    <t>روند روزانه بهای سکه و ارز ( ‌سه‌شنبه 16 شهریور 1400)</t>
  </si>
  <si>
    <t>روند روزانه بهای سکه و ارز ( چهارشنبه 17 شهریور 1400)</t>
  </si>
  <si>
    <t>روند روزانه بهای سکه و ارز ( پنجشنبه 18 شهریور 1400)</t>
  </si>
  <si>
    <t>10 46</t>
  </si>
  <si>
    <t>12 06</t>
  </si>
  <si>
    <t>روند روزانه بهای سکه و ارز (شنبه 20 شهریور 1400)</t>
  </si>
  <si>
    <t>روند روزانه بهای سکه و ارز (یکشنبه 21 شهریور 1400)</t>
  </si>
  <si>
    <t>روند روزانه بهای سکه و ارز دوشنبه 22 شهریور 1400)</t>
  </si>
  <si>
    <t>روند روزانه بهای سکه و ارز سه‌شنبه 23 شهریور 1400)</t>
  </si>
  <si>
    <t>روند روزانه بهای سکه و ارز سه‌شنبه 24 شهریور 1400)</t>
  </si>
  <si>
    <t>روند روزانه بهای سکه و ارز سه‌شنبه 25 شهریور 1400)</t>
  </si>
  <si>
    <t>12 52</t>
  </si>
  <si>
    <t>روند روزانه بهای سکه و ارز  شنبه 27 شهریور 1400)</t>
  </si>
  <si>
    <t>روند روزانه بهای سکه و ارز  یکشنبه 28 شهریور 1400)</t>
  </si>
  <si>
    <t>روند روزانه بهای سکه و ارز  یکشنبه 29 شهریور 1400)</t>
  </si>
  <si>
    <t>روند روزانه بهای سکه و ارز  یکشنبه 30 شهریور 1400)</t>
  </si>
  <si>
    <t>روند روزانه بهای سکه و ارز  چهارشنبه 31 شهریور 1400)</t>
  </si>
  <si>
    <t>روند روزانه بهای سکه و ارز  پنجشنبه 01 مهر 1400)</t>
  </si>
  <si>
    <t>روند روزانه بهای سکه و ارز  پنجشنبه 03 مهر 1400)</t>
  </si>
  <si>
    <t>قیمت اتحادیه‌ای سکه (تومان)</t>
  </si>
  <si>
    <t>روند روزانه بهای سکه و ارز  یکشنبه 04 مهر 1400)</t>
  </si>
  <si>
    <t>روند روزانه بهای سکه و ارز  یکشنبه 06 مهر 1400)</t>
  </si>
  <si>
    <t>11 27</t>
  </si>
  <si>
    <t>11 52</t>
  </si>
  <si>
    <t>روند روزانه بهای سکه و ارز  چهارشنبه 07 مهر 1400)</t>
  </si>
  <si>
    <t>روند روزانه بهای سکه و ارز  پنج‌شنبه 08 مهر 1400)</t>
  </si>
  <si>
    <t>روند روزانه بهای سکه و ارز  شنبه 10 مهر 1400)</t>
  </si>
  <si>
    <t>روند روزانه بهای سکه و ارز  شنبه 11 مهر 1400)</t>
  </si>
  <si>
    <t>روند روزانه بهای سکه و ارز  شنبه 12 مهر 1400)</t>
  </si>
  <si>
    <t>روند روزانه بهای سکه و ارز چهارشنبه 1۴ مهر 1400)</t>
  </si>
  <si>
    <t>مقایسه قیمت سکه، طلا و دلار در انتهای بهار و تابستان</t>
  </si>
  <si>
    <t>انتهای بهار</t>
  </si>
  <si>
    <t>انتهای تابستان</t>
  </si>
  <si>
    <t>قیمت سکه امامی (تومان)</t>
  </si>
  <si>
    <t xml:space="preserve">قیمت سکه امامی </t>
  </si>
  <si>
    <t>قیمت طلای 18 عیار (تومان)</t>
  </si>
  <si>
    <t xml:space="preserve">قیمت طلای 18 عیار </t>
  </si>
  <si>
    <t>قیمت دلار آزاد (تومان)</t>
  </si>
  <si>
    <t xml:space="preserve">قیمت دلار آزاد </t>
  </si>
  <si>
    <t>قیمت یورو آزاد (تومان)</t>
  </si>
  <si>
    <t xml:space="preserve">قیمت یورو آزاد </t>
  </si>
  <si>
    <t>قیمت دلار سنا (تومان)</t>
  </si>
  <si>
    <t xml:space="preserve">قیمت دلار سنا </t>
  </si>
  <si>
    <t>قیمت یورو سنا (تومان)</t>
  </si>
  <si>
    <t xml:space="preserve">قیمت یورو سنا </t>
  </si>
  <si>
    <t>قیمت دلار متشکل (تومان)</t>
  </si>
  <si>
    <t xml:space="preserve">قیمت دلار متشکل </t>
  </si>
  <si>
    <t>قیمت یورو متشکل (تومان)</t>
  </si>
  <si>
    <t xml:space="preserve">قیمت یورو متشکل </t>
  </si>
  <si>
    <t>دلار آ</t>
  </si>
  <si>
    <t>سکه ا</t>
  </si>
  <si>
    <t>گرم طلای 18 عیار</t>
  </si>
  <si>
    <t>دلار</t>
  </si>
  <si>
    <t>طلای 18 عیار</t>
  </si>
  <si>
    <t>شاخص کل بورس</t>
  </si>
  <si>
    <t>هفته 28 سال</t>
  </si>
  <si>
    <t>17مهر1400</t>
  </si>
  <si>
    <t>روند روزانه بهای سکه و ارز چهارشنبه 17 مهر 1400)</t>
  </si>
  <si>
    <t>18مهر1400</t>
  </si>
  <si>
    <t>روند روزانه بهای سکه و ارز (چهارشنبه 18 مهر 1400)</t>
  </si>
  <si>
    <t>19مهر1400</t>
  </si>
  <si>
    <t>روند روزانه بهای سکه و ارز (دوشنبه 19 مهر 1400)</t>
  </si>
  <si>
    <t>روند روزانه بهای سکه و ارز (دوشنبه 20 مهر 1400)</t>
  </si>
  <si>
    <t>20مهر1400</t>
  </si>
  <si>
    <t>21مهر1400</t>
  </si>
  <si>
    <t>روند روزانه بهای سکه و ارز (چهارشنبه 21 مهر 1400)</t>
  </si>
  <si>
    <t>22مهر1400</t>
  </si>
  <si>
    <t>روند روزانه بهای سکه و ارز پنجشنبه 22 مهر 1400)</t>
  </si>
  <si>
    <t>هفته 29 سال</t>
  </si>
  <si>
    <t>24مهر1400</t>
  </si>
  <si>
    <t>روند روزانه بهای سکه و ارز  شنبه 24 مهر 1400)</t>
  </si>
  <si>
    <t>25مهر1400</t>
  </si>
  <si>
    <t>روند روزانه بهای سکه و ارز  شنبه 25 مهر 1400)</t>
  </si>
  <si>
    <t>26مهر1400</t>
  </si>
  <si>
    <t>روند روزانه بهای سکه و ارز  (دوشنبه 26 مهر 1400)</t>
  </si>
  <si>
    <t>27مهر1400</t>
  </si>
  <si>
    <t>روند روزانه بهای سکه و ارز  (دوشنبه 27 مهر 1400)</t>
  </si>
  <si>
    <t>28مهر1400</t>
  </si>
  <si>
    <t>روند روزانه بهای سکه و ارز  (چهارشنبه 28 مهر 1400)</t>
  </si>
  <si>
    <t>29مهر1400</t>
  </si>
  <si>
    <t>روند روزانه بهای سکه و ارز  (پنجشنبه 29 مهر 1400)</t>
  </si>
  <si>
    <t>هفته 30 سال</t>
  </si>
  <si>
    <t>01آبان1400</t>
  </si>
  <si>
    <t>روند روزانه بهای سکه و ارز  (شنبه 1 آبان 1400)</t>
  </si>
  <si>
    <t>03آبان1400</t>
  </si>
  <si>
    <t>روند روزانه بهای سکه و ارز  دوشنبه 3 آبان 1400)</t>
  </si>
  <si>
    <t>04آبان1400</t>
  </si>
  <si>
    <t>روند روزانه بهای سکه و ارز  (دوشنبه 4 آبان 1400)</t>
  </si>
  <si>
    <t>05آبان1400</t>
  </si>
  <si>
    <t>روند روزانه بهای سکه و ارز  (دوشنبه 5 آبان 1400)</t>
  </si>
  <si>
    <t>06آبان1400</t>
  </si>
  <si>
    <t>روند روزانه بهای سکه و ارز  (دوشنبه 6 آبان 1400)</t>
  </si>
  <si>
    <t>هفته 31 سال</t>
  </si>
  <si>
    <t>08آبان1400</t>
  </si>
  <si>
    <t>روند روزانه بهای سکه و ارز  (شنبه 08 آبان 1400)</t>
  </si>
  <si>
    <t>09آبان1400</t>
  </si>
  <si>
    <t>روند روزانه بهای سکه و ارز  (یکشنبه 09 آبان 1400)</t>
  </si>
  <si>
    <t>10آبان1400</t>
  </si>
  <si>
    <t>روند روزانه بهای سکه و ارز  (یکشنبه 10 آبان 1400)</t>
  </si>
  <si>
    <t>11آبان1400</t>
  </si>
  <si>
    <t>روند روزانه بهای سکه و ارز  (یکشنبه 12 آبان 1400)</t>
  </si>
  <si>
    <t>12آبان1400</t>
  </si>
  <si>
    <t>روند روزانه بهای سکه و ارز  (چهارشننبه 12 آبان 1400)</t>
  </si>
  <si>
    <t>13آبان1400</t>
  </si>
  <si>
    <t>روند روزانه بهای سکه و ارز  پنج‌شنبه 13 آبان 1400)</t>
  </si>
  <si>
    <t>هفته 32 سال</t>
  </si>
  <si>
    <t>روند روزانه بهای سکه و ارز  (پنج‌شنبه 15 آبان 1400)</t>
  </si>
  <si>
    <t>15آبان1400</t>
  </si>
  <si>
    <t>16آبان1400</t>
  </si>
  <si>
    <t>روند روزانه بهای سکه و ارز  (پنج‌شنبه 16 آبان 1400)</t>
  </si>
  <si>
    <t>17آبان1400</t>
  </si>
  <si>
    <t>روند روزانه بهای سکه و ارز  دوشنبه 17 آبان 1400)</t>
  </si>
  <si>
    <t>18آبان1400</t>
  </si>
  <si>
    <t>روند روزانه بهای سکه و ارز  دوشنبه 18 آبان 1400)</t>
  </si>
  <si>
    <t>19آبان1400</t>
  </si>
  <si>
    <t>روند روزانه بهای سکه و ارز  (چهارشنبه 19 آبان 1400)</t>
  </si>
  <si>
    <t>20آبان1400</t>
  </si>
  <si>
    <t>روند روزانه بهای سکه و ارز  (چهارشنبه 20 آبان 1400)</t>
  </si>
  <si>
    <t>هفته 33 سال</t>
  </si>
  <si>
    <t>روند روزانه بهای سکه و ارز  شنبه 22 آبان 1400)</t>
  </si>
  <si>
    <t>22آبان1400</t>
  </si>
  <si>
    <t>روند روزانه بهای سکه و ارز  یکشنبه 23 آبان 1400)</t>
  </si>
  <si>
    <t>23آبان1400</t>
  </si>
  <si>
    <t>24آبان1400</t>
  </si>
  <si>
    <t>روند روزانه بهای سکه و ارز  یکشنبه 24 آبان 1400)</t>
  </si>
  <si>
    <t>25آبان1400</t>
  </si>
  <si>
    <t>روند روزانه بهای سکه و ارز  سه‌شنبه 25 آبان 1400)</t>
  </si>
  <si>
    <t>26آبان1400</t>
  </si>
  <si>
    <t>روند روزانه بهای سکه و ارز  سه‌شنبه 26 آبان 1400)</t>
  </si>
  <si>
    <t>27آبان1400</t>
  </si>
  <si>
    <t>روند روزانه بهای سکه و ارز  چهارشنبه 27 آبان 1400)</t>
  </si>
  <si>
    <t>هفته 34 سال</t>
  </si>
  <si>
    <t>29آبان1400</t>
  </si>
  <si>
    <t>روند روزانه بهای سکه و ارز  چهارشنبه 29 آبان 1400)</t>
  </si>
  <si>
    <t>30آبان1400</t>
  </si>
  <si>
    <t>روند روزانه بهای سکه و ارز  (شنبه 30 آبان 1400)</t>
  </si>
  <si>
    <t>روند روزانه بهای سکه و ارز  (دوشنبه02 آبان 1400)</t>
  </si>
  <si>
    <t>روند روزانه بهای سکه و ارز  (سه‌شنبه 02 آبان 1400)</t>
  </si>
  <si>
    <t>روند روزانه بهای سکه و ارز  چهارشنبه (03 آذر 1400)</t>
  </si>
  <si>
    <t>روند روزانه بهای سکه و ارز  پنجشنبه 04 آذر 1400)</t>
  </si>
  <si>
    <t>هفته 35 سال</t>
  </si>
  <si>
    <t>01آذر1400</t>
  </si>
  <si>
    <t>02آذر1400</t>
  </si>
  <si>
    <t>03آذر1400</t>
  </si>
  <si>
    <t>04آذر1400</t>
  </si>
  <si>
    <t>6آذر1400</t>
  </si>
  <si>
    <t>روند روزانه بهای سکه و ارز  شنبه 06 آذر 1400)</t>
  </si>
  <si>
    <t>7آذر1400</t>
  </si>
  <si>
    <t>روند روزانه بهای سکه و ارز  شنبه 07 آذر 1400)</t>
  </si>
  <si>
    <t>08آذر1400</t>
  </si>
  <si>
    <t>روند روزانه بهای سکه و ارز ( دوشنبه 08 آذر 1400)</t>
  </si>
  <si>
    <t>09آذر1400</t>
  </si>
  <si>
    <t>روند روزانه بهای سکه و ارز ( دوشنبه 09 آذر 1400)</t>
  </si>
  <si>
    <t>10آذر1400</t>
  </si>
  <si>
    <t>روند روزانه بهای سکه و ارز ( چهارشنبه 10 آذر 1400)</t>
  </si>
  <si>
    <t>11آذر1400</t>
  </si>
  <si>
    <t>روند روزانه بهای سکه و ارز ( پنجشنبه 11 آذر 1400)</t>
  </si>
  <si>
    <t>هفته 36 سال</t>
  </si>
  <si>
    <t>13آذر1400</t>
  </si>
  <si>
    <t>روند روزانه بهای سکه و ارز ( شنبه 13 آذر 1400)</t>
  </si>
  <si>
    <t>14آذر1400</t>
  </si>
  <si>
    <t>روند روزانه بهای سکه و ارز ( یکشنبه 14 آذر 1400)</t>
  </si>
  <si>
    <t>15آذر1400</t>
  </si>
  <si>
    <t>روند روزانه بهای سکه و ارز ( یکشنبه 15 آذر 1400)</t>
  </si>
  <si>
    <t>itji</t>
  </si>
  <si>
    <t>16آذر1400</t>
  </si>
  <si>
    <t>روند روزانه بهای سکه و ارز ( سه‌شنبه 16 آذر 1400)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</si>
</sst>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rgb="FF000000"/>
      <name val="Calibri"/>
      <family val="2"/>
      <charset val="178"/>
    </font>
    <font>
      <sz val="12"/>
      <color rgb="FF000000"/>
      <name val="B Mitra"/>
      <charset val="178"/>
    </font>
    <font>
      <sz val="11"/>
      <color rgb="FF000000"/>
      <name val="B Nazanin"/>
      <charset val="178"/>
    </font>
    <font>
      <sz val="12"/>
      <name val="B Mitra"/>
      <charset val="178"/>
    </font>
    <font>
      <sz val="11"/>
      <name val="Calibri"/>
      <family val="2"/>
      <charset val="178"/>
    </font>
    <font>
      <i/>
      <sz val="11"/>
      <color rgb="FF000000"/>
      <name val="Calibri"/>
      <family val="2"/>
      <charset val="1"/>
    </font>
    <font>
      <sz val="10"/>
      <color rgb="FF333333"/>
      <name val="IranSansBold"/>
      <charset val="1"/>
    </font>
    <font>
      <sz val="11"/>
      <color theme="1"/>
      <name val="Calibri"/>
      <family val="2"/>
      <charset val="178"/>
    </font>
    <font>
      <sz val="12"/>
      <color theme="1"/>
      <name val="B Mitra"/>
      <charset val="178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6F8FC"/>
      </patternFill>
    </fill>
    <fill>
      <patternFill patternType="solid">
        <fgColor rgb="FFA6A6A6"/>
        <bgColor rgb="FFA5A5A5"/>
      </patternFill>
    </fill>
    <fill>
      <patternFill patternType="solid">
        <fgColor rgb="FFD0CECE"/>
        <bgColor rgb="FFD9D9D9"/>
      </patternFill>
    </fill>
    <fill>
      <patternFill patternType="solid">
        <fgColor rgb="FFF2F2F2"/>
        <bgColor rgb="FFF6F8FC"/>
      </patternFill>
    </fill>
    <fill>
      <patternFill patternType="solid">
        <fgColor rgb="FFBFBFBF"/>
        <bgColor rgb="FFD0CECE"/>
      </patternFill>
    </fill>
    <fill>
      <patternFill patternType="solid">
        <fgColor rgb="FF8497B0"/>
        <bgColor rgb="FFA5A5A5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 tint="-0.249977111117893"/>
        <bgColor rgb="FFFFFF00"/>
      </patternFill>
    </fill>
    <fill>
      <patternFill patternType="solid">
        <fgColor rgb="FFFFFF00"/>
        <bgColor rgb="FFA5A5A5"/>
      </patternFill>
    </fill>
    <fill>
      <patternFill patternType="solid">
        <fgColor theme="0" tint="-0.249977111117893"/>
        <bgColor rgb="FFA5A5A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2" borderId="2" xfId="0" applyFont="1" applyFill="1" applyBorder="1"/>
    <xf numFmtId="0" fontId="0" fillId="0" borderId="2" xfId="0" applyBorder="1"/>
    <xf numFmtId="0" fontId="1" fillId="3" borderId="0" xfId="0" applyFont="1" applyFill="1"/>
    <xf numFmtId="0" fontId="1" fillId="3" borderId="2" xfId="0" applyFont="1" applyFill="1" applyBorder="1"/>
    <xf numFmtId="0" fontId="0" fillId="3" borderId="2" xfId="0" applyFill="1" applyBorder="1"/>
    <xf numFmtId="0" fontId="0" fillId="3" borderId="0" xfId="0" applyFill="1"/>
    <xf numFmtId="0" fontId="1" fillId="3" borderId="3" xfId="0" applyFont="1" applyFill="1" applyBorder="1"/>
    <xf numFmtId="0" fontId="1" fillId="4" borderId="0" xfId="0" applyFont="1" applyFill="1"/>
    <xf numFmtId="0" fontId="1" fillId="4" borderId="2" xfId="0" applyFont="1" applyFill="1" applyBorder="1"/>
    <xf numFmtId="0" fontId="0" fillId="4" borderId="2" xfId="0" applyFill="1" applyBorder="1"/>
    <xf numFmtId="0" fontId="0" fillId="4" borderId="0" xfId="0" applyFill="1"/>
    <xf numFmtId="0" fontId="1" fillId="5" borderId="0" xfId="0" applyFont="1" applyFill="1"/>
    <xf numFmtId="0" fontId="1" fillId="5" borderId="2" xfId="0" applyFont="1" applyFill="1" applyBorder="1"/>
    <xf numFmtId="0" fontId="0" fillId="5" borderId="2" xfId="0" applyFill="1" applyBorder="1"/>
    <xf numFmtId="0" fontId="0" fillId="5" borderId="0" xfId="0" applyFill="1"/>
    <xf numFmtId="0" fontId="1" fillId="0" borderId="0" xfId="0" applyFont="1" applyBorder="1"/>
    <xf numFmtId="0" fontId="1" fillId="2" borderId="3" xfId="0" applyFont="1" applyFill="1" applyBorder="1"/>
    <xf numFmtId="0" fontId="1" fillId="2" borderId="0" xfId="0" applyFont="1" applyFill="1" applyBorder="1"/>
    <xf numFmtId="0" fontId="1" fillId="2" borderId="0" xfId="0" applyFont="1" applyFill="1"/>
    <xf numFmtId="0" fontId="0" fillId="2" borderId="0" xfId="0" applyFill="1"/>
    <xf numFmtId="0" fontId="0" fillId="2" borderId="2" xfId="0" applyFill="1" applyBorder="1"/>
    <xf numFmtId="0" fontId="1" fillId="5" borderId="0" xfId="0" applyFont="1" applyFill="1" applyBorder="1"/>
    <xf numFmtId="0" fontId="1" fillId="6" borderId="0" xfId="0" applyFont="1" applyFill="1"/>
    <xf numFmtId="0" fontId="1" fillId="6" borderId="2" xfId="0" applyFont="1" applyFill="1" applyBorder="1"/>
    <xf numFmtId="0" fontId="1" fillId="6" borderId="0" xfId="0" applyFont="1" applyFill="1" applyBorder="1"/>
    <xf numFmtId="0" fontId="0" fillId="6" borderId="0" xfId="0" applyFill="1"/>
    <xf numFmtId="0" fontId="0" fillId="6" borderId="2" xfId="0" applyFill="1" applyBorder="1"/>
    <xf numFmtId="0" fontId="1" fillId="7" borderId="0" xfId="0" applyFont="1" applyFill="1"/>
    <xf numFmtId="0" fontId="1" fillId="7" borderId="2" xfId="0" applyFont="1" applyFill="1" applyBorder="1"/>
    <xf numFmtId="0" fontId="1" fillId="7" borderId="0" xfId="0" applyFont="1" applyFill="1" applyBorder="1"/>
    <xf numFmtId="0" fontId="0" fillId="7" borderId="0" xfId="0" applyFill="1"/>
    <xf numFmtId="0" fontId="0" fillId="7" borderId="2" xfId="0" applyFill="1" applyBorder="1"/>
    <xf numFmtId="0" fontId="1" fillId="3" borderId="0" xfId="0" applyFont="1" applyFill="1" applyBorder="1"/>
    <xf numFmtId="0" fontId="1" fillId="8" borderId="0" xfId="0" applyFont="1" applyFill="1"/>
    <xf numFmtId="0" fontId="1" fillId="8" borderId="2" xfId="0" applyFont="1" applyFill="1" applyBorder="1"/>
    <xf numFmtId="0" fontId="1" fillId="8" borderId="0" xfId="0" applyFont="1" applyFill="1" applyBorder="1"/>
    <xf numFmtId="0" fontId="0" fillId="8" borderId="0" xfId="0" applyFill="1"/>
    <xf numFmtId="0" fontId="0" fillId="8" borderId="2" xfId="0" applyFill="1" applyBorder="1"/>
    <xf numFmtId="0" fontId="0" fillId="3" borderId="0" xfId="0" applyFill="1" applyBorder="1"/>
    <xf numFmtId="0" fontId="0" fillId="8" borderId="0" xfId="0" applyFill="1" applyBorder="1"/>
    <xf numFmtId="0" fontId="0" fillId="2" borderId="0" xfId="0" applyFill="1" applyBorder="1"/>
    <xf numFmtId="0" fontId="3" fillId="5" borderId="0" xfId="0" applyFont="1" applyFill="1"/>
    <xf numFmtId="0" fontId="3" fillId="5" borderId="2" xfId="0" applyFont="1" applyFill="1" applyBorder="1"/>
    <xf numFmtId="0" fontId="3" fillId="5" borderId="0" xfId="0" applyFont="1" applyFill="1" applyBorder="1"/>
    <xf numFmtId="0" fontId="4" fillId="5" borderId="0" xfId="0" applyFont="1" applyFill="1"/>
    <xf numFmtId="0" fontId="4" fillId="5" borderId="0" xfId="0" applyFont="1" applyFill="1" applyBorder="1"/>
    <xf numFmtId="0" fontId="4" fillId="5" borderId="2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2" borderId="0" xfId="0" applyFont="1" applyFill="1" applyBorder="1"/>
    <xf numFmtId="0" fontId="4" fillId="2" borderId="0" xfId="0" applyFont="1" applyFill="1"/>
    <xf numFmtId="0" fontId="4" fillId="2" borderId="0" xfId="0" applyFont="1" applyFill="1" applyBorder="1"/>
    <xf numFmtId="0" fontId="4" fillId="2" borderId="2" xfId="0" applyFont="1" applyFill="1" applyBorder="1"/>
    <xf numFmtId="0" fontId="0" fillId="3" borderId="0" xfId="0" applyFont="1" applyFill="1"/>
    <xf numFmtId="0" fontId="0" fillId="3" borderId="2" xfId="0" applyFont="1" applyFill="1" applyBorder="1"/>
    <xf numFmtId="0" fontId="0" fillId="2" borderId="0" xfId="0" applyFont="1" applyFill="1"/>
    <xf numFmtId="0" fontId="0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0" fillId="5" borderId="0" xfId="0" applyFont="1" applyFill="1"/>
    <xf numFmtId="0" fontId="0" fillId="5" borderId="2" xfId="0" applyFont="1" applyFill="1" applyBorder="1"/>
    <xf numFmtId="0" fontId="1" fillId="6" borderId="2" xfId="0" applyFont="1" applyFill="1" applyBorder="1" applyAlignment="1">
      <alignment horizontal="right"/>
    </xf>
    <xf numFmtId="0" fontId="0" fillId="6" borderId="0" xfId="0" applyFont="1" applyFill="1"/>
    <xf numFmtId="0" fontId="0" fillId="6" borderId="2" xfId="0" applyFont="1" applyFill="1" applyBorder="1"/>
    <xf numFmtId="0" fontId="0" fillId="9" borderId="0" xfId="0" applyFont="1" applyFill="1"/>
    <xf numFmtId="0" fontId="5" fillId="0" borderId="0" xfId="0" applyFont="1"/>
    <xf numFmtId="20" fontId="0" fillId="0" borderId="2" xfId="0" applyNumberFormat="1" applyBorder="1" applyAlignment="1">
      <alignment horizontal="center" vertical="center"/>
    </xf>
    <xf numFmtId="22" fontId="0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2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20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/>
    <xf numFmtId="0" fontId="1" fillId="10" borderId="0" xfId="0" applyFont="1" applyFill="1"/>
    <xf numFmtId="0" fontId="1" fillId="10" borderId="2" xfId="0" applyFont="1" applyFill="1" applyBorder="1" applyAlignment="1">
      <alignment horizontal="right"/>
    </xf>
    <xf numFmtId="0" fontId="1" fillId="10" borderId="2" xfId="0" applyFont="1" applyFill="1" applyBorder="1"/>
    <xf numFmtId="0" fontId="1" fillId="10" borderId="0" xfId="0" applyFont="1" applyFill="1" applyBorder="1"/>
    <xf numFmtId="0" fontId="0" fillId="10" borderId="0" xfId="0" applyFont="1" applyFill="1"/>
    <xf numFmtId="0" fontId="0" fillId="10" borderId="2" xfId="0" applyFont="1" applyFill="1" applyBorder="1"/>
    <xf numFmtId="0" fontId="1" fillId="11" borderId="0" xfId="0" applyFont="1" applyFill="1"/>
    <xf numFmtId="0" fontId="1" fillId="11" borderId="2" xfId="0" applyFont="1" applyFill="1" applyBorder="1" applyAlignment="1">
      <alignment horizontal="right"/>
    </xf>
    <xf numFmtId="0" fontId="1" fillId="11" borderId="2" xfId="0" applyFont="1" applyFill="1" applyBorder="1"/>
    <xf numFmtId="0" fontId="1" fillId="11" borderId="0" xfId="0" applyFont="1" applyFill="1" applyBorder="1"/>
    <xf numFmtId="0" fontId="0" fillId="11" borderId="0" xfId="0" applyFont="1" applyFill="1"/>
    <xf numFmtId="0" fontId="0" fillId="11" borderId="2" xfId="0" applyFont="1" applyFill="1" applyBorder="1"/>
    <xf numFmtId="0" fontId="1" fillId="12" borderId="0" xfId="0" applyFont="1" applyFill="1"/>
    <xf numFmtId="0" fontId="1" fillId="12" borderId="2" xfId="0" applyFont="1" applyFill="1" applyBorder="1" applyAlignment="1">
      <alignment horizontal="right"/>
    </xf>
    <xf numFmtId="0" fontId="1" fillId="12" borderId="2" xfId="0" applyFont="1" applyFill="1" applyBorder="1"/>
    <xf numFmtId="0" fontId="1" fillId="12" borderId="0" xfId="0" applyFont="1" applyFill="1" applyBorder="1"/>
    <xf numFmtId="0" fontId="0" fillId="12" borderId="0" xfId="0" applyFont="1" applyFill="1"/>
    <xf numFmtId="0" fontId="0" fillId="12" borderId="2" xfId="0" applyFont="1" applyFill="1" applyBorder="1"/>
    <xf numFmtId="0" fontId="8" fillId="9" borderId="0" xfId="0" applyFont="1" applyFill="1"/>
    <xf numFmtId="0" fontId="8" fillId="9" borderId="2" xfId="0" applyFont="1" applyFill="1" applyBorder="1"/>
    <xf numFmtId="0" fontId="8" fillId="9" borderId="0" xfId="0" applyFont="1" applyFill="1" applyBorder="1"/>
    <xf numFmtId="0" fontId="7" fillId="9" borderId="0" xfId="0" applyFont="1" applyFill="1"/>
    <xf numFmtId="0" fontId="8" fillId="10" borderId="0" xfId="0" applyFont="1" applyFill="1"/>
    <xf numFmtId="0" fontId="8" fillId="10" borderId="2" xfId="0" applyFont="1" applyFill="1" applyBorder="1" applyAlignment="1">
      <alignment horizontal="right"/>
    </xf>
    <xf numFmtId="0" fontId="8" fillId="10" borderId="2" xfId="0" applyFont="1" applyFill="1" applyBorder="1"/>
    <xf numFmtId="0" fontId="8" fillId="10" borderId="0" xfId="0" applyFont="1" applyFill="1" applyBorder="1"/>
    <xf numFmtId="0" fontId="7" fillId="10" borderId="0" xfId="0" applyFont="1" applyFill="1"/>
    <xf numFmtId="0" fontId="7" fillId="10" borderId="2" xfId="0" applyFont="1" applyFill="1" applyBorder="1"/>
    <xf numFmtId="0" fontId="8" fillId="13" borderId="0" xfId="0" applyFont="1" applyFill="1"/>
    <xf numFmtId="0" fontId="8" fillId="13" borderId="2" xfId="0" applyFont="1" applyFill="1" applyBorder="1" applyAlignment="1">
      <alignment horizontal="right"/>
    </xf>
    <xf numFmtId="0" fontId="8" fillId="13" borderId="2" xfId="0" applyFont="1" applyFill="1" applyBorder="1"/>
    <xf numFmtId="0" fontId="8" fillId="13" borderId="0" xfId="0" applyFont="1" applyFill="1" applyBorder="1"/>
    <xf numFmtId="0" fontId="7" fillId="13" borderId="0" xfId="0" applyFont="1" applyFill="1"/>
    <xf numFmtId="0" fontId="7" fillId="13" borderId="2" xfId="0" applyFont="1" applyFill="1" applyBorder="1"/>
    <xf numFmtId="0" fontId="1" fillId="13" borderId="2" xfId="0" applyFont="1" applyFill="1" applyBorder="1"/>
    <xf numFmtId="0" fontId="8" fillId="11" borderId="0" xfId="0" applyFont="1" applyFill="1"/>
    <xf numFmtId="0" fontId="8" fillId="11" borderId="2" xfId="0" applyFont="1" applyFill="1" applyBorder="1" applyAlignment="1">
      <alignment horizontal="right"/>
    </xf>
    <xf numFmtId="0" fontId="8" fillId="11" borderId="2" xfId="0" applyFont="1" applyFill="1" applyBorder="1"/>
    <xf numFmtId="0" fontId="8" fillId="11" borderId="0" xfId="0" applyFont="1" applyFill="1" applyBorder="1"/>
    <xf numFmtId="0" fontId="7" fillId="11" borderId="0" xfId="0" applyFont="1" applyFill="1"/>
    <xf numFmtId="0" fontId="7" fillId="11" borderId="2" xfId="0" applyFont="1" applyFill="1" applyBorder="1"/>
    <xf numFmtId="0" fontId="7" fillId="11" borderId="0" xfId="0" applyFont="1" applyFill="1" applyBorder="1"/>
    <xf numFmtId="0" fontId="7" fillId="10" borderId="0" xfId="0" applyFont="1" applyFill="1" applyBorder="1"/>
    <xf numFmtId="0" fontId="0" fillId="0" borderId="4" xfId="0" applyFill="1" applyBorder="1"/>
    <xf numFmtId="0" fontId="8" fillId="14" borderId="0" xfId="0" applyFont="1" applyFill="1"/>
    <xf numFmtId="0" fontId="8" fillId="14" borderId="2" xfId="0" applyFont="1" applyFill="1" applyBorder="1" applyAlignment="1">
      <alignment horizontal="right"/>
    </xf>
    <xf numFmtId="0" fontId="8" fillId="14" borderId="2" xfId="0" applyFont="1" applyFill="1" applyBorder="1"/>
    <xf numFmtId="0" fontId="8" fillId="14" borderId="0" xfId="0" applyFont="1" applyFill="1" applyBorder="1"/>
    <xf numFmtId="0" fontId="7" fillId="14" borderId="0" xfId="0" applyFont="1" applyFill="1"/>
    <xf numFmtId="0" fontId="1" fillId="14" borderId="2" xfId="0" applyFont="1" applyFill="1" applyBorder="1"/>
    <xf numFmtId="0" fontId="7" fillId="14" borderId="2" xfId="0" applyFont="1" applyFill="1" applyBorder="1"/>
    <xf numFmtId="0" fontId="8" fillId="9" borderId="0" xfId="0" applyFont="1" applyFill="1" applyBorder="1" applyAlignment="1">
      <alignment horizontal="right"/>
    </xf>
    <xf numFmtId="0" fontId="1" fillId="9" borderId="0" xfId="0" applyFont="1" applyFill="1" applyBorder="1"/>
    <xf numFmtId="0" fontId="8" fillId="9" borderId="3" xfId="0" applyFont="1" applyFill="1" applyBorder="1"/>
    <xf numFmtId="0" fontId="7" fillId="9" borderId="0" xfId="0" applyFont="1" applyFill="1" applyBorder="1"/>
    <xf numFmtId="0" fontId="0" fillId="15" borderId="0" xfId="0" applyFill="1"/>
    <xf numFmtId="0" fontId="8" fillId="14" borderId="0" xfId="0" applyFont="1" applyFill="1" applyBorder="1" applyAlignment="1">
      <alignment horizontal="right"/>
    </xf>
    <xf numFmtId="0" fontId="1" fillId="14" borderId="0" xfId="0" applyFont="1" applyFill="1" applyBorder="1"/>
    <xf numFmtId="0" fontId="8" fillId="14" borderId="3" xfId="0" applyFont="1" applyFill="1" applyBorder="1"/>
    <xf numFmtId="0" fontId="7" fillId="14" borderId="0" xfId="0" applyFont="1" applyFill="1" applyBorder="1"/>
    <xf numFmtId="0" fontId="0" fillId="16" borderId="0" xfId="0" applyFill="1"/>
    <xf numFmtId="0" fontId="0" fillId="6" borderId="0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A5A5A5"/>
      <rgbColor rgb="FFA7B4DB"/>
      <rgbColor rgb="FF993366"/>
      <rgbColor rgb="FFF6F8FC"/>
      <rgbColor rgb="FFF2F2F2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BC0E4"/>
      <rgbColor rgb="FFFF99CC"/>
      <rgbColor rgb="FFA6A6A6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8497B0"/>
      <rgbColor rgb="FF003366"/>
      <rgbColor rgb="FF339966"/>
      <rgbColor rgb="FF003300"/>
      <rgbColor rgb="FF40404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1400" b="0" strike="noStrike" spc="-1">
                <a:solidFill>
                  <a:srgbClr val="595959"/>
                </a:solidFill>
                <a:latin typeface="Calibri"/>
              </a:rPr>
              <a:t>متوسط وزنی قیمت یورو متشکل در هفته دوم تا بیستم و چهارم سال (تومان)1400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5370049900031898E-2"/>
          <c:y val="1.7386922010835301E-2"/>
          <c:w val="0.96113845998756697"/>
          <c:h val="0.78234849439334797"/>
        </c:manualLayout>
      </c:layout>
      <c:lineChart>
        <c:grouping val="standard"/>
        <c:varyColors val="0"/>
        <c:ser>
          <c:idx val="0"/>
          <c:order val="0"/>
          <c:tx>
            <c:strRef>
              <c:f>weekly!$C$1</c:f>
              <c:strCache>
                <c:ptCount val="1"/>
                <c:pt idx="0">
                  <c:v>متوسط وزنی قیمت یورو متشکل </c:v>
                </c:pt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weekly!$A$2:$A$25</c:f>
              <c:strCache>
                <c:ptCount val="24"/>
                <c:pt idx="0">
                  <c:v>هفته 2 سال</c:v>
                </c:pt>
                <c:pt idx="1">
                  <c:v>هفته 3 سال</c:v>
                </c:pt>
                <c:pt idx="2">
                  <c:v>هفته 4 سال</c:v>
                </c:pt>
                <c:pt idx="3">
                  <c:v>هفته 5 سال</c:v>
                </c:pt>
                <c:pt idx="4">
                  <c:v>هفته 6 سال</c:v>
                </c:pt>
                <c:pt idx="5">
                  <c:v>هفته 7 سال</c:v>
                </c:pt>
                <c:pt idx="6">
                  <c:v>هفته 8 سال</c:v>
                </c:pt>
                <c:pt idx="7">
                  <c:v>هفته 9 سال</c:v>
                </c:pt>
                <c:pt idx="8">
                  <c:v>هفته 10 سال</c:v>
                </c:pt>
                <c:pt idx="9">
                  <c:v>هفته 11 سال</c:v>
                </c:pt>
                <c:pt idx="10">
                  <c:v>هفته 12 سال</c:v>
                </c:pt>
                <c:pt idx="11">
                  <c:v>هفته 13 سال</c:v>
                </c:pt>
                <c:pt idx="12">
                  <c:v>هفته 14 سال</c:v>
                </c:pt>
                <c:pt idx="13">
                  <c:v>هفته 15 سال</c:v>
                </c:pt>
                <c:pt idx="14">
                  <c:v>هفته 16 سال</c:v>
                </c:pt>
                <c:pt idx="15">
                  <c:v>هفته 17 سال</c:v>
                </c:pt>
                <c:pt idx="16">
                  <c:v>هفته 18 سال</c:v>
                </c:pt>
                <c:pt idx="17">
                  <c:v>هفته 19 سال</c:v>
                </c:pt>
                <c:pt idx="18">
                  <c:v>هفته 20 سال</c:v>
                </c:pt>
                <c:pt idx="19">
                  <c:v>هفته 21 سال</c:v>
                </c:pt>
                <c:pt idx="20">
                  <c:v>هفته 22 سال</c:v>
                </c:pt>
                <c:pt idx="21">
                  <c:v>هفته 23 سال</c:v>
                </c:pt>
                <c:pt idx="22">
                  <c:v>هفته 24 سال</c:v>
                </c:pt>
                <c:pt idx="23">
                  <c:v>هفته 25 سال</c:v>
                </c:pt>
              </c:strCache>
            </c:strRef>
          </c:cat>
          <c:val>
            <c:numRef>
              <c:f>weekly!$C$2:$C$25</c:f>
              <c:numCache>
                <c:formatCode>General</c:formatCode>
                <c:ptCount val="24"/>
                <c:pt idx="0">
                  <c:v>29014</c:v>
                </c:pt>
                <c:pt idx="1">
                  <c:v>28346</c:v>
                </c:pt>
                <c:pt idx="2">
                  <c:v>28178</c:v>
                </c:pt>
                <c:pt idx="3">
                  <c:v>27947</c:v>
                </c:pt>
                <c:pt idx="4">
                  <c:v>27709</c:v>
                </c:pt>
                <c:pt idx="5">
                  <c:v>26056</c:v>
                </c:pt>
                <c:pt idx="6">
                  <c:v>25663</c:v>
                </c:pt>
                <c:pt idx="7">
                  <c:v>26443</c:v>
                </c:pt>
                <c:pt idx="8">
                  <c:v>27160</c:v>
                </c:pt>
                <c:pt idx="9">
                  <c:v>28146</c:v>
                </c:pt>
                <c:pt idx="10">
                  <c:v>28503</c:v>
                </c:pt>
                <c:pt idx="11">
                  <c:v>28179</c:v>
                </c:pt>
                <c:pt idx="12">
                  <c:v>28643</c:v>
                </c:pt>
                <c:pt idx="13">
                  <c:v>29419</c:v>
                </c:pt>
                <c:pt idx="14">
                  <c:v>29064</c:v>
                </c:pt>
                <c:pt idx="15">
                  <c:v>28534</c:v>
                </c:pt>
                <c:pt idx="16">
                  <c:v>28463</c:v>
                </c:pt>
                <c:pt idx="17">
                  <c:v>29286</c:v>
                </c:pt>
                <c:pt idx="18">
                  <c:v>29542</c:v>
                </c:pt>
                <c:pt idx="19">
                  <c:v>30113</c:v>
                </c:pt>
                <c:pt idx="20">
                  <c:v>31498</c:v>
                </c:pt>
                <c:pt idx="21">
                  <c:v>31196</c:v>
                </c:pt>
                <c:pt idx="22">
                  <c:v>31125</c:v>
                </c:pt>
                <c:pt idx="23">
                  <c:v>31241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015-4D72-A326-E98899379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952362800"/>
        <c:axId val="-952364976"/>
      </c:lineChart>
      <c:catAx>
        <c:axId val="-95236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4976"/>
        <c:crosses val="autoZero"/>
        <c:auto val="1"/>
        <c:lblAlgn val="ctr"/>
        <c:lblOffset val="100"/>
        <c:noMultiLvlLbl val="0"/>
      </c:catAx>
      <c:valAx>
        <c:axId val="-95236497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280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50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5000" b="0" strike="noStrike" spc="-1">
                <a:solidFill>
                  <a:srgbClr val="595959"/>
                </a:solidFill>
                <a:latin typeface="Calibri"/>
              </a:rPr>
              <a:t>متوسط قیمت دلار متشکل، سنا و آزاد در 9 هفته گذشته (تومان)</a:t>
            </a:r>
          </a:p>
        </c:rich>
      </c:tx>
      <c:layout>
        <c:manualLayout>
          <c:xMode val="edge"/>
          <c:yMode val="edge"/>
          <c:x val="0.42385379432266701"/>
          <c:y val="5.6663734330327703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822369649432381E-2"/>
          <c:y val="0.10574911295525191"/>
          <c:w val="0.95017763035056768"/>
          <c:h val="0.74038926764899904"/>
        </c:manualLayout>
      </c:layout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متوسط وزنی قیمت دلار متشکل</c:v>
                </c:pt>
              </c:strCache>
            </c:strRef>
          </c:tx>
          <c:spPr>
            <a:ln w="127000">
              <a:solidFill>
                <a:srgbClr val="4472C4"/>
              </a:solidFill>
              <a:round/>
            </a:ln>
          </c:spPr>
          <c:marker>
            <c:symbol val="none"/>
          </c:marker>
          <c:dPt>
            <c:idx val="21"/>
            <c:bubble3D val="0"/>
          </c:dPt>
          <c:dPt>
            <c:idx val="22"/>
            <c:bubble3D val="0"/>
          </c:dPt>
          <c:dLbls>
            <c:dLbl>
              <c:idx val="0"/>
              <c:layout>
                <c:manualLayout>
                  <c:x val="-3.3137666477997475E-3"/>
                  <c:y val="3.4176825152349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30EF-427D-B6C0-B97D14DC0F20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3.6819629419997191E-3"/>
                  <c:y val="3.6075537660813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30EF-427D-B6C0-B97D14DC0F20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5773740593999115E-3"/>
                  <c:y val="2.6581975118493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0EF-427D-B6C0-B97D14DC0F20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4841865619002355E-3"/>
                  <c:y val="2.87796945737126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73C8-4D95-8D62-1DAE030BE593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8552332023754033E-3"/>
                  <c:y val="3.01182850190016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8E8F-4957-9790-643BBD24E235}"/>
                </c:ex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-2.4567152178410951E-2"/>
                  <c:y val="1.4353385920669365E-2"/>
                </c:manualLayout>
              </c:layout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4A6B-4C9B-BEA2-8EBE6A749D67}"/>
                </c:ext>
                <c:ext xmlns:c15="http://schemas.microsoft.com/office/drawing/2012/chart" uri="{CE6537A1-D6FC-4f65-9D91-7224C49458BB}"/>
              </c:extLst>
            </c:dLbl>
            <c:dLbl>
              <c:idx val="22"/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A6B-4C9B-BEA2-8EBE6A749D67}"/>
                </c:ext>
                <c:ext xmlns:c15="http://schemas.microsoft.com/office/drawing/2012/chart" uri="{CE6537A1-D6FC-4f65-9D91-7224C49458BB}"/>
              </c:extLst>
            </c:dLbl>
            <c:dLbl>
              <c:idx val="24"/>
              <c:layout>
                <c:manualLayout>
                  <c:x val="-4.3459479262702061E-4"/>
                  <c:y val="1.11377129977987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4E4-4CDE-AC2B-CE4146ADFDB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5000" b="0" strike="noStrike" spc="-1" baseline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weekly!$A$27:$A$36</c15:sqref>
                  </c15:fullRef>
                </c:ext>
              </c:extLst>
              <c:f>weekly!$A$28:$A$36</c:f>
              <c:strCache>
                <c:ptCount val="9"/>
                <c:pt idx="0">
                  <c:v>هفته 28 سال</c:v>
                </c:pt>
                <c:pt idx="1">
                  <c:v>هفته 29 سال</c:v>
                </c:pt>
                <c:pt idx="2">
                  <c:v>هفته 30 سال</c:v>
                </c:pt>
                <c:pt idx="3">
                  <c:v>هفته 31 سال</c:v>
                </c:pt>
                <c:pt idx="4">
                  <c:v>هفته 32 سال</c:v>
                </c:pt>
                <c:pt idx="5">
                  <c:v>هفته 33 سال</c:v>
                </c:pt>
                <c:pt idx="6">
                  <c:v>هفته 34 سال</c:v>
                </c:pt>
                <c:pt idx="7">
                  <c:v>هفته 35 سال</c:v>
                </c:pt>
                <c:pt idx="8">
                  <c:v>هفته 36 سال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weekly!$B$27:$B$36</c15:sqref>
                  </c15:fullRef>
                </c:ext>
              </c:extLst>
              <c:f>weekly!$B$28:$B$36</c:f>
              <c:numCache>
                <c:formatCode>General</c:formatCode>
                <c:ptCount val="9"/>
                <c:pt idx="0">
                  <c:v>27336</c:v>
                </c:pt>
                <c:pt idx="1">
                  <c:v>26563</c:v>
                </c:pt>
                <c:pt idx="2">
                  <c:v>26392</c:v>
                </c:pt>
                <c:pt idx="3">
                  <c:v>26686</c:v>
                </c:pt>
                <c:pt idx="4">
                  <c:v>26573</c:v>
                </c:pt>
                <c:pt idx="5">
                  <c:v>27171</c:v>
                </c:pt>
                <c:pt idx="6">
                  <c:v>27009</c:v>
                </c:pt>
                <c:pt idx="7">
                  <c:v>26845</c:v>
                </c:pt>
                <c:pt idx="8">
                  <c:v>26479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6B-4C9B-BEA2-8EBE6A749D67}"/>
            </c:ext>
          </c:extLst>
        </c:ser>
        <c:ser>
          <c:idx val="1"/>
          <c:order val="1"/>
          <c:tx>
            <c:strRef>
              <c:f>weekly!$H$1</c:f>
              <c:strCache>
                <c:ptCount val="1"/>
                <c:pt idx="0">
                  <c:v>متوسط قیمت دلار سنا</c:v>
                </c:pt>
              </c:strCache>
            </c:strRef>
          </c:tx>
          <c:spPr>
            <a:ln w="127000">
              <a:solidFill>
                <a:srgbClr val="ED7D31"/>
              </a:solidFill>
              <a:prstDash val="lgDash"/>
              <a:round/>
            </a:ln>
          </c:spPr>
          <c:marker>
            <c:symbol val="none"/>
          </c:marker>
          <c:dPt>
            <c:idx val="21"/>
            <c:bubble3D val="0"/>
          </c:dPt>
          <c:dPt>
            <c:idx val="22"/>
            <c:bubble3D val="0"/>
          </c:dPt>
          <c:dLbls>
            <c:dLbl>
              <c:idx val="6"/>
              <c:layout>
                <c:manualLayout>
                  <c:x val="1.4841865619002355E-3"/>
                  <c:y val="-3.2795465909579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8AC6-4497-A05B-7364FF717CF0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1.0818224399481898E-16"/>
                  <c:y val="-2.736124351157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2DB4-412B-8EE7-530C5D3015CC}"/>
                </c:ex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-3.5248522690763492E-2"/>
                  <c:y val="-2.2887831603229554E-2"/>
                </c:manualLayout>
              </c:layout>
              <c:spPr>
                <a:ln w="127000">
                  <a:solidFill>
                    <a:srgbClr val="ED7D31"/>
                  </a:solidFill>
                </a:ln>
              </c:spPr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A6B-4C9B-BEA2-8EBE6A749D67}"/>
                </c:ex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-3.8096888160724172E-2"/>
                  <c:y val="1.6680962015913046E-2"/>
                </c:manualLayout>
              </c:layout>
              <c:spPr>
                <a:ln w="127000">
                  <a:solidFill>
                    <a:srgbClr val="ED7D31"/>
                  </a:solidFill>
                </a:ln>
              </c:spPr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4A6B-4C9B-BEA2-8EBE6A749D67}"/>
                </c:ext>
                <c:ext xmlns:c15="http://schemas.microsoft.com/office/drawing/2012/chart" uri="{CE6537A1-D6FC-4f65-9D91-7224C49458BB}"/>
              </c:extLst>
            </c:dLbl>
            <c:dLbl>
              <c:idx val="23"/>
              <c:layout>
                <c:manualLayout>
                  <c:x val="-2.2639396378788877E-3"/>
                  <c:y val="-4.0293346987807391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8335-4297-AE12-FD7A52582D1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 w="127000">
                <a:solidFill>
                  <a:srgbClr val="ED7D31"/>
                </a:solidFill>
              </a:ln>
              <a:effectLst/>
            </c:spPr>
            <c:txPr>
              <a:bodyPr/>
              <a:lstStyle/>
              <a:p>
                <a:pPr>
                  <a:defRPr sz="5000" b="0" strike="noStrike" spc="-1" baseline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weekly!$A$27:$A$36</c15:sqref>
                  </c15:fullRef>
                </c:ext>
              </c:extLst>
              <c:f>weekly!$A$28:$A$36</c:f>
              <c:strCache>
                <c:ptCount val="9"/>
                <c:pt idx="0">
                  <c:v>هفته 28 سال</c:v>
                </c:pt>
                <c:pt idx="1">
                  <c:v>هفته 29 سال</c:v>
                </c:pt>
                <c:pt idx="2">
                  <c:v>هفته 30 سال</c:v>
                </c:pt>
                <c:pt idx="3">
                  <c:v>هفته 31 سال</c:v>
                </c:pt>
                <c:pt idx="4">
                  <c:v>هفته 32 سال</c:v>
                </c:pt>
                <c:pt idx="5">
                  <c:v>هفته 33 سال</c:v>
                </c:pt>
                <c:pt idx="6">
                  <c:v>هفته 34 سال</c:v>
                </c:pt>
                <c:pt idx="7">
                  <c:v>هفته 35 سال</c:v>
                </c:pt>
                <c:pt idx="8">
                  <c:v>هفته 36 سال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weekly!$H$27:$H$36</c15:sqref>
                  </c15:fullRef>
                </c:ext>
              </c:extLst>
              <c:f>weekly!$H$28:$H$36</c:f>
              <c:numCache>
                <c:formatCode>General</c:formatCode>
                <c:ptCount val="9"/>
                <c:pt idx="0">
                  <c:v>27595</c:v>
                </c:pt>
                <c:pt idx="1">
                  <c:v>26765</c:v>
                </c:pt>
                <c:pt idx="2">
                  <c:v>26689</c:v>
                </c:pt>
                <c:pt idx="3">
                  <c:v>27035</c:v>
                </c:pt>
                <c:pt idx="4">
                  <c:v>26870</c:v>
                </c:pt>
                <c:pt idx="5">
                  <c:v>27506</c:v>
                </c:pt>
                <c:pt idx="6">
                  <c:v>27142</c:v>
                </c:pt>
                <c:pt idx="7">
                  <c:v>27243</c:v>
                </c:pt>
                <c:pt idx="8">
                  <c:v>26660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A6B-4C9B-BEA2-8EBE6A749D67}"/>
            </c:ext>
          </c:extLst>
        </c:ser>
        <c:ser>
          <c:idx val="2"/>
          <c:order val="2"/>
          <c:tx>
            <c:strRef>
              <c:f>weekly!$J$1</c:f>
              <c:strCache>
                <c:ptCount val="1"/>
                <c:pt idx="0">
                  <c:v>متوسط قیمت دلار آزاد</c:v>
                </c:pt>
              </c:strCache>
            </c:strRef>
          </c:tx>
          <c:spPr>
            <a:ln w="127000">
              <a:solidFill>
                <a:srgbClr val="4472C4"/>
              </a:solidFill>
              <a:prstDash val="dash"/>
              <a:round/>
            </a:ln>
          </c:spPr>
          <c:marker>
            <c:symbol val="none"/>
          </c:marker>
          <c:dPt>
            <c:idx val="21"/>
            <c:bubble3D val="0"/>
          </c:dPt>
          <c:dPt>
            <c:idx val="22"/>
            <c:bubble3D val="0"/>
          </c:dPt>
          <c:dLbls>
            <c:dLbl>
              <c:idx val="21"/>
              <c:layout>
                <c:manualLayout>
                  <c:x val="-3.7028751109488812E-2"/>
                  <c:y val="-2.0172326158778568E-2"/>
                </c:manualLayout>
              </c:layout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4A6B-4C9B-BEA2-8EBE6A749D67}"/>
                </c:ex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-2.3855060810920783E-2"/>
                  <c:y val="1.0862021777803843E-2"/>
                </c:manualLayout>
              </c:layout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A6B-4C9B-BEA2-8EBE6A749D67}"/>
                </c:ext>
                <c:ext xmlns:c15="http://schemas.microsoft.com/office/drawing/2012/chart" uri="{CE6537A1-D6FC-4f65-9D91-7224C49458BB}"/>
              </c:extLst>
            </c:dLbl>
            <c:dLbl>
              <c:idx val="23"/>
              <c:layout>
                <c:manualLayout>
                  <c:x val="0"/>
                  <c:y val="-9.310304380974708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8335-4297-AE12-FD7A52582D17}"/>
                </c:ext>
                <c:ext xmlns:c15="http://schemas.microsoft.com/office/drawing/2012/chart" uri="{CE6537A1-D6FC-4f65-9D91-7224C49458BB}"/>
              </c:extLst>
            </c:dLbl>
            <c:dLbl>
              <c:idx val="24"/>
              <c:layout>
                <c:manualLayout>
                  <c:x val="0"/>
                  <c:y val="1.63087940324910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4E4-4CDE-AC2B-CE4146ADFDB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5000" b="0" strike="noStrike" spc="-1" baseline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weekly!$A$27:$A$36</c15:sqref>
                  </c15:fullRef>
                </c:ext>
              </c:extLst>
              <c:f>weekly!$A$28:$A$36</c:f>
              <c:strCache>
                <c:ptCount val="9"/>
                <c:pt idx="0">
                  <c:v>هفته 28 سال</c:v>
                </c:pt>
                <c:pt idx="1">
                  <c:v>هفته 29 سال</c:v>
                </c:pt>
                <c:pt idx="2">
                  <c:v>هفته 30 سال</c:v>
                </c:pt>
                <c:pt idx="3">
                  <c:v>هفته 31 سال</c:v>
                </c:pt>
                <c:pt idx="4">
                  <c:v>هفته 32 سال</c:v>
                </c:pt>
                <c:pt idx="5">
                  <c:v>هفته 33 سال</c:v>
                </c:pt>
                <c:pt idx="6">
                  <c:v>هفته 34 سال</c:v>
                </c:pt>
                <c:pt idx="7">
                  <c:v>هفته 35 سال</c:v>
                </c:pt>
                <c:pt idx="8">
                  <c:v>هفته 36 سال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weekly!$J$27:$J$36</c15:sqref>
                  </c15:fullRef>
                </c:ext>
              </c:extLst>
              <c:f>weekly!$J$28:$J$36</c:f>
              <c:numCache>
                <c:formatCode>General</c:formatCode>
                <c:ptCount val="9"/>
                <c:pt idx="0">
                  <c:v>28052</c:v>
                </c:pt>
                <c:pt idx="1">
                  <c:v>27350</c:v>
                </c:pt>
                <c:pt idx="2">
                  <c:v>27260</c:v>
                </c:pt>
                <c:pt idx="3">
                  <c:v>27590</c:v>
                </c:pt>
                <c:pt idx="4">
                  <c:v>27615</c:v>
                </c:pt>
                <c:pt idx="5">
                  <c:v>28105</c:v>
                </c:pt>
                <c:pt idx="6">
                  <c:v>28335</c:v>
                </c:pt>
                <c:pt idx="7">
                  <c:v>28590</c:v>
                </c:pt>
                <c:pt idx="8">
                  <c:v>29273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A6B-4C9B-BEA2-8EBE6A749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952362256"/>
        <c:axId val="-952366608"/>
      </c:lineChart>
      <c:catAx>
        <c:axId val="-95236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5400000"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6608"/>
        <c:crosses val="autoZero"/>
        <c:auto val="1"/>
        <c:lblAlgn val="ctr"/>
        <c:lblOffset val="100"/>
        <c:noMultiLvlLbl val="0"/>
      </c:catAx>
      <c:valAx>
        <c:axId val="-952366608"/>
        <c:scaling>
          <c:orientation val="minMax"/>
          <c:min val="20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2256"/>
        <c:crosses val="autoZero"/>
        <c:crossBetween val="between"/>
      </c:valAx>
      <c:spPr>
        <a:gradFill>
          <a:gsLst>
            <a:gs pos="0">
              <a:srgbClr val="F6F8FC"/>
            </a:gs>
            <a:gs pos="100000">
              <a:srgbClr val="ABC0E4"/>
            </a:gs>
          </a:gsLst>
          <a:lin ang="5400000"/>
        </a:gradFill>
        <a:ln>
          <a:solidFill>
            <a:srgbClr val="4472C4"/>
          </a:solidFill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40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50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5000" b="0" strike="noStrike" spc="-1">
                <a:solidFill>
                  <a:srgbClr val="595959"/>
                </a:solidFill>
                <a:latin typeface="Calibri"/>
              </a:rPr>
              <a:t>حجم مبادلات هفتگی دلار متشکل در هفته دوم تا سی و ششم سال 1400</a:t>
            </a:r>
          </a:p>
        </c:rich>
      </c:tx>
      <c:layout>
        <c:manualLayout>
          <c:xMode val="edge"/>
          <c:yMode val="edge"/>
          <c:x val="0.39373499958619501"/>
          <c:y val="3.0920166462274599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2042263234847899E-2"/>
          <c:y val="9.2479041434631398E-2"/>
          <c:w val="0.94858478854589101"/>
          <c:h val="0.77033031101103699"/>
        </c:manualLayout>
      </c:layout>
      <c:lineChart>
        <c:grouping val="standard"/>
        <c:varyColors val="0"/>
        <c:ser>
          <c:idx val="0"/>
          <c:order val="0"/>
          <c:tx>
            <c:strRef>
              <c:f>weekly!$D$1</c:f>
              <c:strCache>
                <c:ptCount val="1"/>
                <c:pt idx="0">
                  <c:v>حجم مبادلات هفتگی دلار</c:v>
                </c:pt>
              </c:strCache>
            </c:strRef>
          </c:tx>
          <c:spPr>
            <a:ln w="127000">
              <a:solidFill>
                <a:srgbClr val="4472C4"/>
              </a:solidFill>
              <a:round/>
            </a:ln>
          </c:spPr>
          <c:marker>
            <c:symbol val="none"/>
          </c:marker>
          <c:dPt>
            <c:idx val="2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CBE8-4145-A60B-43B500812B91}"/>
              </c:ext>
            </c:extLst>
          </c:dPt>
          <c:dPt>
            <c:idx val="2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CBE8-4145-A60B-43B500812B91}"/>
              </c:ext>
            </c:extLst>
          </c:dPt>
          <c:dLbls>
            <c:dLbl>
              <c:idx val="24"/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BE8-4145-A60B-43B500812B91}"/>
                </c:ext>
                <c:ext xmlns:c15="http://schemas.microsoft.com/office/drawing/2012/chart" uri="{CE6537A1-D6FC-4f65-9D91-7224C49458BB}"/>
              </c:extLst>
            </c:dLbl>
            <c:dLbl>
              <c:idx val="25"/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BE8-4145-A60B-43B500812B91}"/>
                </c:ext>
                <c:ext xmlns:c15="http://schemas.microsoft.com/office/drawing/2012/chart" uri="{CE6537A1-D6FC-4f65-9D91-7224C49458BB}"/>
              </c:extLst>
            </c:dLbl>
            <c:dLbl>
              <c:idx val="26"/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26E-436C-A9BB-3DBAF1E006DD}"/>
                </c:ext>
                <c:ext xmlns:c15="http://schemas.microsoft.com/office/drawing/2012/chart" uri="{CE6537A1-D6FC-4f65-9D91-7224C49458BB}"/>
              </c:extLst>
            </c:dLbl>
            <c:dLbl>
              <c:idx val="27"/>
              <c:layout>
                <c:manualLayout>
                  <c:x val="-9.9009900990100295E-3"/>
                  <c:y val="-3.6364231340322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896A-4CAF-B6B8-3F5B614E8FAC}"/>
                </c:ext>
                <c:ext xmlns:c15="http://schemas.microsoft.com/office/drawing/2012/chart" uri="{CE6537A1-D6FC-4f65-9D91-7224C49458BB}"/>
              </c:extLst>
            </c:dLbl>
            <c:dLbl>
              <c:idx val="28"/>
              <c:layout>
                <c:manualLayout>
                  <c:x val="-1.75537392540712E-2"/>
                  <c:y val="-3.30935771597021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896A-4CAF-B6B8-3F5B614E8FAC}"/>
                </c:ext>
                <c:ext xmlns:c15="http://schemas.microsoft.com/office/drawing/2012/chart" uri="{CE6537A1-D6FC-4f65-9D91-7224C49458BB}"/>
              </c:extLst>
            </c:dLbl>
            <c:dLbl>
              <c:idx val="29"/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10D-4F3F-8ED3-49534A251376}"/>
                </c:ext>
                <c:ext xmlns:c15="http://schemas.microsoft.com/office/drawing/2012/chart" uri="{CE6537A1-D6FC-4f65-9D91-7224C49458BB}"/>
              </c:extLst>
            </c:dLbl>
            <c:dLbl>
              <c:idx val="30"/>
              <c:layout>
                <c:manualLayout>
                  <c:x val="-3.2924996780733191E-2"/>
                  <c:y val="-8.25457264756565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33-41E4-ADAB-F82EAC128BB7}"/>
                </c:ext>
                <c:ext xmlns:c15="http://schemas.microsoft.com/office/drawing/2012/chart" uri="{CE6537A1-D6FC-4f65-9D91-7224C49458BB}"/>
              </c:extLst>
            </c:dLbl>
            <c:dLbl>
              <c:idx val="31"/>
              <c:layout>
                <c:manualLayout>
                  <c:x val="-4.6706296325725377E-3"/>
                  <c:y val="-3.94568095690530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BB-439D-B934-B060558C4AEB}"/>
                </c:ext>
                <c:ext xmlns:c15="http://schemas.microsoft.com/office/drawing/2012/chart" uri="{CE6537A1-D6FC-4f65-9D91-7224C49458BB}"/>
              </c:extLst>
            </c:dLbl>
            <c:dLbl>
              <c:idx val="32"/>
              <c:layout>
                <c:manualLayout>
                  <c:x val="-4.3254076950576523E-2"/>
                  <c:y val="-2.6637885878910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569-403C-A24E-64B031F8FFED}"/>
                </c:ext>
                <c:ext xmlns:c15="http://schemas.microsoft.com/office/drawing/2012/chart" uri="{CE6537A1-D6FC-4f65-9D91-7224C49458BB}"/>
              </c:extLst>
            </c:dLbl>
            <c:dLbl>
              <c:idx val="33"/>
              <c:layout>
                <c:manualLayout>
                  <c:x val="-4.236910177504237E-3"/>
                  <c:y val="-5.7846251950033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C54-4089-9301-DA37CBEF2C51}"/>
                </c:ext>
                <c:ext xmlns:c15="http://schemas.microsoft.com/office/drawing/2012/chart" uri="{CE6537A1-D6FC-4f65-9D91-7224C49458BB}"/>
              </c:extLst>
            </c:dLbl>
            <c:dLbl>
              <c:idx val="34"/>
              <c:layout>
                <c:manualLayout>
                  <c:x val="-1.2136687562793588E-2"/>
                  <c:y val="-8.9332798649575994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2CDC-4E3A-ABC2-D3DCFE8BB54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5000" b="0" strike="noStrike" spc="-1" baseline="0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weekly!$A$2:$A$36</c:f>
              <c:strCache>
                <c:ptCount val="35"/>
                <c:pt idx="0">
                  <c:v>هفته 2 سال</c:v>
                </c:pt>
                <c:pt idx="1">
                  <c:v>هفته 3 سال</c:v>
                </c:pt>
                <c:pt idx="2">
                  <c:v>هفته 4 سال</c:v>
                </c:pt>
                <c:pt idx="3">
                  <c:v>هفته 5 سال</c:v>
                </c:pt>
                <c:pt idx="4">
                  <c:v>هفته 6 سال</c:v>
                </c:pt>
                <c:pt idx="5">
                  <c:v>هفته 7 سال</c:v>
                </c:pt>
                <c:pt idx="6">
                  <c:v>هفته 8 سال</c:v>
                </c:pt>
                <c:pt idx="7">
                  <c:v>هفته 9 سال</c:v>
                </c:pt>
                <c:pt idx="8">
                  <c:v>هفته 10 سال</c:v>
                </c:pt>
                <c:pt idx="9">
                  <c:v>هفته 11 سال</c:v>
                </c:pt>
                <c:pt idx="10">
                  <c:v>هفته 12 سال</c:v>
                </c:pt>
                <c:pt idx="11">
                  <c:v>هفته 13 سال</c:v>
                </c:pt>
                <c:pt idx="12">
                  <c:v>هفته 14 سال</c:v>
                </c:pt>
                <c:pt idx="13">
                  <c:v>هفته 15 سال</c:v>
                </c:pt>
                <c:pt idx="14">
                  <c:v>هفته 16 سال</c:v>
                </c:pt>
                <c:pt idx="15">
                  <c:v>هفته 17 سال</c:v>
                </c:pt>
                <c:pt idx="16">
                  <c:v>هفته 18 سال</c:v>
                </c:pt>
                <c:pt idx="17">
                  <c:v>هفته 19 سال</c:v>
                </c:pt>
                <c:pt idx="18">
                  <c:v>هفته 20 سال</c:v>
                </c:pt>
                <c:pt idx="19">
                  <c:v>هفته 21 سال</c:v>
                </c:pt>
                <c:pt idx="20">
                  <c:v>هفته 22 سال</c:v>
                </c:pt>
                <c:pt idx="21">
                  <c:v>هفته 23 سال</c:v>
                </c:pt>
                <c:pt idx="22">
                  <c:v>هفته 24 سال</c:v>
                </c:pt>
                <c:pt idx="23">
                  <c:v>هفته 25 سال</c:v>
                </c:pt>
                <c:pt idx="24">
                  <c:v>هفته 26 سال</c:v>
                </c:pt>
                <c:pt idx="25">
                  <c:v>هفته 27 سال</c:v>
                </c:pt>
                <c:pt idx="26">
                  <c:v>هفته 28 سال</c:v>
                </c:pt>
                <c:pt idx="27">
                  <c:v>هفته 29 سال</c:v>
                </c:pt>
                <c:pt idx="28">
                  <c:v>هفته 30 سال</c:v>
                </c:pt>
                <c:pt idx="29">
                  <c:v>هفته 31 سال</c:v>
                </c:pt>
                <c:pt idx="30">
                  <c:v>هفته 32 سال</c:v>
                </c:pt>
                <c:pt idx="31">
                  <c:v>هفته 33 سال</c:v>
                </c:pt>
                <c:pt idx="32">
                  <c:v>هفته 34 سال</c:v>
                </c:pt>
                <c:pt idx="33">
                  <c:v>هفته 35 سال</c:v>
                </c:pt>
                <c:pt idx="34">
                  <c:v>هفته 36 سال</c:v>
                </c:pt>
              </c:strCache>
            </c:strRef>
          </c:cat>
          <c:val>
            <c:numRef>
              <c:f>weekly!$D$2:$D$36</c:f>
              <c:numCache>
                <c:formatCode>General</c:formatCode>
                <c:ptCount val="35"/>
                <c:pt idx="0">
                  <c:v>10563600</c:v>
                </c:pt>
                <c:pt idx="1">
                  <c:v>20358899</c:v>
                </c:pt>
                <c:pt idx="2">
                  <c:v>26677400</c:v>
                </c:pt>
                <c:pt idx="3">
                  <c:v>33479500</c:v>
                </c:pt>
                <c:pt idx="4">
                  <c:v>31500800</c:v>
                </c:pt>
                <c:pt idx="5">
                  <c:v>15687400</c:v>
                </c:pt>
                <c:pt idx="6">
                  <c:v>37562900</c:v>
                </c:pt>
                <c:pt idx="7">
                  <c:v>31011200</c:v>
                </c:pt>
                <c:pt idx="8">
                  <c:v>46531100</c:v>
                </c:pt>
                <c:pt idx="9">
                  <c:v>43533600</c:v>
                </c:pt>
                <c:pt idx="10">
                  <c:v>26223300</c:v>
                </c:pt>
                <c:pt idx="11">
                  <c:v>42730100</c:v>
                </c:pt>
                <c:pt idx="12">
                  <c:v>33698100</c:v>
                </c:pt>
                <c:pt idx="13">
                  <c:v>22085300</c:v>
                </c:pt>
                <c:pt idx="14">
                  <c:v>22949000</c:v>
                </c:pt>
                <c:pt idx="15">
                  <c:v>16866500</c:v>
                </c:pt>
                <c:pt idx="16">
                  <c:v>24768800</c:v>
                </c:pt>
                <c:pt idx="17">
                  <c:v>27648300</c:v>
                </c:pt>
                <c:pt idx="18">
                  <c:v>39723600</c:v>
                </c:pt>
                <c:pt idx="19">
                  <c:v>15624000</c:v>
                </c:pt>
                <c:pt idx="20">
                  <c:v>41397200</c:v>
                </c:pt>
                <c:pt idx="21">
                  <c:v>36636700</c:v>
                </c:pt>
                <c:pt idx="22">
                  <c:v>42978800</c:v>
                </c:pt>
                <c:pt idx="23">
                  <c:v>49009800</c:v>
                </c:pt>
                <c:pt idx="24">
                  <c:v>51940000</c:v>
                </c:pt>
                <c:pt idx="25">
                  <c:v>41694500</c:v>
                </c:pt>
                <c:pt idx="26">
                  <c:v>25220200</c:v>
                </c:pt>
                <c:pt idx="27">
                  <c:v>43687000</c:v>
                </c:pt>
                <c:pt idx="28">
                  <c:v>52641100</c:v>
                </c:pt>
                <c:pt idx="29">
                  <c:v>47144500</c:v>
                </c:pt>
                <c:pt idx="30">
                  <c:v>55803500</c:v>
                </c:pt>
                <c:pt idx="31">
                  <c:v>56667200</c:v>
                </c:pt>
                <c:pt idx="32">
                  <c:v>67639600</c:v>
                </c:pt>
                <c:pt idx="33">
                  <c:v>71107200</c:v>
                </c:pt>
                <c:pt idx="34">
                  <c:v>35003700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BE8-4145-A60B-43B500812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952354096"/>
        <c:axId val="-952363888"/>
      </c:lineChart>
      <c:catAx>
        <c:axId val="-95235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5400000"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3888"/>
        <c:crosses val="autoZero"/>
        <c:auto val="1"/>
        <c:lblAlgn val="ctr"/>
        <c:lblOffset val="100"/>
        <c:noMultiLvlLbl val="0"/>
      </c:catAx>
      <c:valAx>
        <c:axId val="-95236388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54096"/>
        <c:crosses val="autoZero"/>
        <c:crossBetween val="between"/>
      </c:valAx>
      <c:spPr>
        <a:gradFill>
          <a:gsLst>
            <a:gs pos="0">
              <a:srgbClr val="F6F8FC"/>
            </a:gs>
            <a:gs pos="100000">
              <a:srgbClr val="ABC0E4"/>
            </a:gs>
          </a:gsLst>
          <a:lin ang="5400000"/>
        </a:gradFill>
        <a:ln>
          <a:noFill/>
        </a:ln>
      </c:spPr>
    </c:plotArea>
    <c:legend>
      <c:legendPos val="b"/>
      <c:layout>
        <c:manualLayout>
          <c:xMode val="edge"/>
          <c:yMode val="edge"/>
          <c:x val="0.17448297040147001"/>
          <c:y val="0.90101395754413705"/>
          <c:w val="8.05697709558163E-2"/>
          <c:h val="3.4937853645224497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sz="1400" b="0" strike="noStrike" spc="-1">
                <a:solidFill>
                  <a:srgbClr val="595959"/>
                </a:solidFill>
                <a:latin typeface="Calibri"/>
              </a:rPr>
              <a:t>متوسط وزنی قیمت دلار متشکل در هفته دوم تا بیستم و چهارم سال (تومان)1400</a:t>
            </a:r>
          </a:p>
        </c:rich>
      </c:tx>
      <c:layout>
        <c:manualLayout>
          <c:xMode val="edge"/>
          <c:yMode val="edge"/>
          <c:x val="0.35937002356837999"/>
          <c:y val="1.6599063962558499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86801707115103E-2"/>
          <c:y val="0.16561622464898601"/>
          <c:w val="0.96165360851009596"/>
          <c:h val="0.78115444617784702"/>
        </c:manualLayout>
      </c:layout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متوسط وزنی قیمت دلار متشکل</c:v>
                </c:pt>
              </c:strCache>
            </c:strRef>
          </c:tx>
          <c:spPr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weekly!$A$2:$A$25</c:f>
              <c:strCache>
                <c:ptCount val="24"/>
                <c:pt idx="0">
                  <c:v>هفته 2 سال</c:v>
                </c:pt>
                <c:pt idx="1">
                  <c:v>هفته 3 سال</c:v>
                </c:pt>
                <c:pt idx="2">
                  <c:v>هفته 4 سال</c:v>
                </c:pt>
                <c:pt idx="3">
                  <c:v>هفته 5 سال</c:v>
                </c:pt>
                <c:pt idx="4">
                  <c:v>هفته 6 سال</c:v>
                </c:pt>
                <c:pt idx="5">
                  <c:v>هفته 7 سال</c:v>
                </c:pt>
                <c:pt idx="6">
                  <c:v>هفته 8 سال</c:v>
                </c:pt>
                <c:pt idx="7">
                  <c:v>هفته 9 سال</c:v>
                </c:pt>
                <c:pt idx="8">
                  <c:v>هفته 10 سال</c:v>
                </c:pt>
                <c:pt idx="9">
                  <c:v>هفته 11 سال</c:v>
                </c:pt>
                <c:pt idx="10">
                  <c:v>هفته 12 سال</c:v>
                </c:pt>
                <c:pt idx="11">
                  <c:v>هفته 13 سال</c:v>
                </c:pt>
                <c:pt idx="12">
                  <c:v>هفته 14 سال</c:v>
                </c:pt>
                <c:pt idx="13">
                  <c:v>هفته 15 سال</c:v>
                </c:pt>
                <c:pt idx="14">
                  <c:v>هفته 16 سال</c:v>
                </c:pt>
                <c:pt idx="15">
                  <c:v>هفته 17 سال</c:v>
                </c:pt>
                <c:pt idx="16">
                  <c:v>هفته 18 سال</c:v>
                </c:pt>
                <c:pt idx="17">
                  <c:v>هفته 19 سال</c:v>
                </c:pt>
                <c:pt idx="18">
                  <c:v>هفته 20 سال</c:v>
                </c:pt>
                <c:pt idx="19">
                  <c:v>هفته 21 سال</c:v>
                </c:pt>
                <c:pt idx="20">
                  <c:v>هفته 22 سال</c:v>
                </c:pt>
                <c:pt idx="21">
                  <c:v>هفته 23 سال</c:v>
                </c:pt>
                <c:pt idx="22">
                  <c:v>هفته 24 سال</c:v>
                </c:pt>
                <c:pt idx="23">
                  <c:v>هفته 25 سال</c:v>
                </c:pt>
              </c:strCache>
            </c:strRef>
          </c:cat>
          <c:val>
            <c:numRef>
              <c:f>weekly!$B$2:$B$25</c:f>
              <c:numCache>
                <c:formatCode>General</c:formatCode>
                <c:ptCount val="24"/>
                <c:pt idx="0">
                  <c:v>24820</c:v>
                </c:pt>
                <c:pt idx="1">
                  <c:v>24266</c:v>
                </c:pt>
                <c:pt idx="2">
                  <c:v>23964</c:v>
                </c:pt>
                <c:pt idx="3">
                  <c:v>23453</c:v>
                </c:pt>
                <c:pt idx="4">
                  <c:v>23091</c:v>
                </c:pt>
                <c:pt idx="5">
                  <c:v>21392</c:v>
                </c:pt>
                <c:pt idx="6">
                  <c:v>21011</c:v>
                </c:pt>
                <c:pt idx="7">
                  <c:v>22086</c:v>
                </c:pt>
                <c:pt idx="8">
                  <c:v>22237</c:v>
                </c:pt>
                <c:pt idx="9">
                  <c:v>23280</c:v>
                </c:pt>
                <c:pt idx="10">
                  <c:v>23346</c:v>
                </c:pt>
                <c:pt idx="11">
                  <c:v>23325</c:v>
                </c:pt>
                <c:pt idx="12">
                  <c:v>24201</c:v>
                </c:pt>
                <c:pt idx="13">
                  <c:v>24530</c:v>
                </c:pt>
                <c:pt idx="14">
                  <c:v>24274</c:v>
                </c:pt>
                <c:pt idx="15">
                  <c:v>23991</c:v>
                </c:pt>
                <c:pt idx="16">
                  <c:v>24264</c:v>
                </c:pt>
                <c:pt idx="17">
                  <c:v>25025</c:v>
                </c:pt>
                <c:pt idx="18">
                  <c:v>25211</c:v>
                </c:pt>
                <c:pt idx="19">
                  <c:v>25698</c:v>
                </c:pt>
                <c:pt idx="20">
                  <c:v>26705</c:v>
                </c:pt>
                <c:pt idx="21">
                  <c:v>26615</c:v>
                </c:pt>
                <c:pt idx="22">
                  <c:v>26459</c:v>
                </c:pt>
                <c:pt idx="23">
                  <c:v>26454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37C-4312-A5DC-7BE1DB2D0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952355728"/>
        <c:axId val="-952357904"/>
      </c:lineChart>
      <c:catAx>
        <c:axId val="-95235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57904"/>
        <c:crosses val="autoZero"/>
        <c:auto val="1"/>
        <c:lblAlgn val="ctr"/>
        <c:lblOffset val="100"/>
        <c:noMultiLvlLbl val="0"/>
      </c:catAx>
      <c:valAx>
        <c:axId val="-9523579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55728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50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5000" b="0" strike="noStrike" spc="-1">
                <a:solidFill>
                  <a:srgbClr val="595959"/>
                </a:solidFill>
                <a:latin typeface="Calibri"/>
              </a:rPr>
              <a:t>حجم مبادلات هفتگی یورو متشکل در هفته دوم تا سی و ششم سال 1400</a:t>
            </a:r>
          </a:p>
        </c:rich>
      </c:tx>
      <c:layout>
        <c:manualLayout>
          <c:xMode val="edge"/>
          <c:yMode val="edge"/>
          <c:x val="0.40464610331879503"/>
          <c:y val="2.3224229254379999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6366897821289201E-2"/>
          <c:y val="0.112085524145826"/>
          <c:w val="0.94628531383685299"/>
          <c:h val="0.59193651655963198"/>
        </c:manualLayout>
      </c:layout>
      <c:lineChart>
        <c:grouping val="standard"/>
        <c:varyColors val="0"/>
        <c:ser>
          <c:idx val="0"/>
          <c:order val="0"/>
          <c:tx>
            <c:strRef>
              <c:f>weekly!$F$1</c:f>
              <c:strCache>
                <c:ptCount val="1"/>
                <c:pt idx="0">
                  <c:v>حجم مبادلات هفتگی یورو</c:v>
                </c:pt>
              </c:strCache>
            </c:strRef>
          </c:tx>
          <c:spPr>
            <a:ln w="127000">
              <a:solidFill>
                <a:srgbClr val="4472C4"/>
              </a:solidFill>
              <a:round/>
            </a:ln>
          </c:spPr>
          <c:marker>
            <c:symbol val="none"/>
          </c:marker>
          <c:dPt>
            <c:idx val="2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5A1D-49A9-907B-2363034A6B1C}"/>
              </c:ext>
            </c:extLst>
          </c:dPt>
          <c:dPt>
            <c:idx val="2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A1D-49A9-907B-2363034A6B1C}"/>
              </c:ext>
            </c:extLst>
          </c:dPt>
          <c:dLbls>
            <c:dLbl>
              <c:idx val="24"/>
              <c:layout>
                <c:manualLayout>
                  <c:x val="-2.3195228118458613E-2"/>
                  <c:y val="-7.8833876059987741E-3"/>
                </c:manualLayout>
              </c:layout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5A1D-49A9-907B-2363034A6B1C}"/>
                </c:ext>
                <c:ext xmlns:c15="http://schemas.microsoft.com/office/drawing/2012/chart" uri="{CE6537A1-D6FC-4f65-9D91-7224C49458BB}"/>
              </c:extLst>
            </c:dLbl>
            <c:dLbl>
              <c:idx val="25"/>
              <c:spPr/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A1D-49A9-907B-2363034A6B1C}"/>
                </c:ext>
                <c:ext xmlns:c15="http://schemas.microsoft.com/office/drawing/2012/chart" uri="{CE6537A1-D6FC-4f65-9D91-7224C49458BB}"/>
              </c:extLst>
            </c:dLbl>
            <c:dLbl>
              <c:idx val="26"/>
              <c:layout>
                <c:manualLayout>
                  <c:x val="-2.5306913532205735E-2"/>
                  <c:y val="-6.844715502365394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5000" b="0" strike="noStrike" spc="-1" baseline="0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EDF-4AE7-8684-64A5EFB11BE8}"/>
                </c:ext>
                <c:ext xmlns:c15="http://schemas.microsoft.com/office/drawing/2012/chart" uri="{CE6537A1-D6FC-4f65-9D91-7224C49458BB}"/>
              </c:extLst>
            </c:dLbl>
            <c:dLbl>
              <c:idx val="27"/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D23-4439-85DA-77C50BC6EA06}"/>
                </c:ext>
                <c:ext xmlns:c15="http://schemas.microsoft.com/office/drawing/2012/chart" uri="{CE6537A1-D6FC-4f65-9D91-7224C49458BB}"/>
              </c:extLst>
            </c:dLbl>
            <c:dLbl>
              <c:idx val="28"/>
              <c:layout>
                <c:manualLayout>
                  <c:x val="-2.1589760549928446E-2"/>
                  <c:y val="-6.6801106962721462E-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8D5F-4DB6-BE2A-EB20F30F38AC}"/>
                </c:ext>
                <c:ext xmlns:c15="http://schemas.microsoft.com/office/drawing/2012/chart" uri="{CE6537A1-D6FC-4f65-9D91-7224C49458BB}"/>
              </c:extLst>
            </c:dLbl>
            <c:dLbl>
              <c:idx val="29"/>
              <c:layout>
                <c:manualLayout>
                  <c:x val="-1.0220361454751765E-2"/>
                  <c:y val="-1.0000156826606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CE2-45E5-A56E-69967DD97804}"/>
                </c:ext>
                <c:ext xmlns:c15="http://schemas.microsoft.com/office/drawing/2012/chart" uri="{CE6537A1-D6FC-4f65-9D91-7224C49458BB}"/>
              </c:extLst>
            </c:dLbl>
            <c:dLbl>
              <c:idx val="30"/>
              <c:layout>
                <c:manualLayout>
                  <c:x val="-1.3705573507060398E-2"/>
                  <c:y val="-1.80859361306832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8CB-4754-9070-67B60D0F9840}"/>
                </c:ext>
                <c:ext xmlns:c15="http://schemas.microsoft.com/office/drawing/2012/chart" uri="{CE6537A1-D6FC-4f65-9D91-7224C49458BB}"/>
              </c:extLst>
            </c:dLbl>
            <c:dLbl>
              <c:idx val="31"/>
              <c:layout>
                <c:manualLayout>
                  <c:x val="-7.4953537659431194E-3"/>
                  <c:y val="-1.0593361715757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0520-4DE0-8CD1-B1344CAF7FDA}"/>
                </c:ext>
                <c:ext xmlns:c15="http://schemas.microsoft.com/office/drawing/2012/chart" uri="{CE6537A1-D6FC-4f65-9D91-7224C49458BB}"/>
              </c:extLst>
            </c:dLbl>
            <c:dLbl>
              <c:idx val="32"/>
              <c:layout>
                <c:manualLayout>
                  <c:x val="-1.0140772742158468E-2"/>
                  <c:y val="-5.649792915070711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8DC-43E0-8BFF-7E5B90A42E4B}"/>
                </c:ext>
                <c:ext xmlns:c15="http://schemas.microsoft.com/office/drawing/2012/chart" uri="{CE6537A1-D6FC-4f65-9D91-7224C49458BB}"/>
              </c:extLst>
            </c:dLbl>
            <c:dLbl>
              <c:idx val="33"/>
              <c:layout>
                <c:manualLayout>
                  <c:x val="-7.6407853812885543E-3"/>
                  <c:y val="9.600601479302577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C7D-4537-93FF-04AD6F6C6719}"/>
                </c:ext>
                <c:ext xmlns:c15="http://schemas.microsoft.com/office/drawing/2012/chart" uri="{CE6537A1-D6FC-4f65-9D91-7224C49458BB}"/>
              </c:extLst>
            </c:dLbl>
            <c:dLbl>
              <c:idx val="34"/>
              <c:layout>
                <c:manualLayout>
                  <c:x val="-1.093765389149853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232-420B-B084-020FB4273E20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4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weekly!$A$2:$A$36</c:f>
              <c:strCache>
                <c:ptCount val="35"/>
                <c:pt idx="0">
                  <c:v>هفته 2 سال</c:v>
                </c:pt>
                <c:pt idx="1">
                  <c:v>هفته 3 سال</c:v>
                </c:pt>
                <c:pt idx="2">
                  <c:v>هفته 4 سال</c:v>
                </c:pt>
                <c:pt idx="3">
                  <c:v>هفته 5 سال</c:v>
                </c:pt>
                <c:pt idx="4">
                  <c:v>هفته 6 سال</c:v>
                </c:pt>
                <c:pt idx="5">
                  <c:v>هفته 7 سال</c:v>
                </c:pt>
                <c:pt idx="6">
                  <c:v>هفته 8 سال</c:v>
                </c:pt>
                <c:pt idx="7">
                  <c:v>هفته 9 سال</c:v>
                </c:pt>
                <c:pt idx="8">
                  <c:v>هفته 10 سال</c:v>
                </c:pt>
                <c:pt idx="9">
                  <c:v>هفته 11 سال</c:v>
                </c:pt>
                <c:pt idx="10">
                  <c:v>هفته 12 سال</c:v>
                </c:pt>
                <c:pt idx="11">
                  <c:v>هفته 13 سال</c:v>
                </c:pt>
                <c:pt idx="12">
                  <c:v>هفته 14 سال</c:v>
                </c:pt>
                <c:pt idx="13">
                  <c:v>هفته 15 سال</c:v>
                </c:pt>
                <c:pt idx="14">
                  <c:v>هفته 16 سال</c:v>
                </c:pt>
                <c:pt idx="15">
                  <c:v>هفته 17 سال</c:v>
                </c:pt>
                <c:pt idx="16">
                  <c:v>هفته 18 سال</c:v>
                </c:pt>
                <c:pt idx="17">
                  <c:v>هفته 19 سال</c:v>
                </c:pt>
                <c:pt idx="18">
                  <c:v>هفته 20 سال</c:v>
                </c:pt>
                <c:pt idx="19">
                  <c:v>هفته 21 سال</c:v>
                </c:pt>
                <c:pt idx="20">
                  <c:v>هفته 22 سال</c:v>
                </c:pt>
                <c:pt idx="21">
                  <c:v>هفته 23 سال</c:v>
                </c:pt>
                <c:pt idx="22">
                  <c:v>هفته 24 سال</c:v>
                </c:pt>
                <c:pt idx="23">
                  <c:v>هفته 25 سال</c:v>
                </c:pt>
                <c:pt idx="24">
                  <c:v>هفته 26 سال</c:v>
                </c:pt>
                <c:pt idx="25">
                  <c:v>هفته 27 سال</c:v>
                </c:pt>
                <c:pt idx="26">
                  <c:v>هفته 28 سال</c:v>
                </c:pt>
                <c:pt idx="27">
                  <c:v>هفته 29 سال</c:v>
                </c:pt>
                <c:pt idx="28">
                  <c:v>هفته 30 سال</c:v>
                </c:pt>
                <c:pt idx="29">
                  <c:v>هفته 31 سال</c:v>
                </c:pt>
                <c:pt idx="30">
                  <c:v>هفته 32 سال</c:v>
                </c:pt>
                <c:pt idx="31">
                  <c:v>هفته 33 سال</c:v>
                </c:pt>
                <c:pt idx="32">
                  <c:v>هفته 34 سال</c:v>
                </c:pt>
                <c:pt idx="33">
                  <c:v>هفته 35 سال</c:v>
                </c:pt>
                <c:pt idx="34">
                  <c:v>هفته 36 سال</c:v>
                </c:pt>
              </c:strCache>
            </c:strRef>
          </c:cat>
          <c:val>
            <c:numRef>
              <c:f>weekly!$F$2:$F$36</c:f>
              <c:numCache>
                <c:formatCode>General</c:formatCode>
                <c:ptCount val="35"/>
                <c:pt idx="0">
                  <c:v>4632500</c:v>
                </c:pt>
                <c:pt idx="1">
                  <c:v>7030000</c:v>
                </c:pt>
                <c:pt idx="2">
                  <c:v>13503000</c:v>
                </c:pt>
                <c:pt idx="3">
                  <c:v>8999000</c:v>
                </c:pt>
                <c:pt idx="4">
                  <c:v>9953300</c:v>
                </c:pt>
                <c:pt idx="5">
                  <c:v>822400</c:v>
                </c:pt>
                <c:pt idx="6">
                  <c:v>9766800</c:v>
                </c:pt>
                <c:pt idx="7">
                  <c:v>13603300</c:v>
                </c:pt>
                <c:pt idx="8">
                  <c:v>3571900</c:v>
                </c:pt>
                <c:pt idx="9">
                  <c:v>4288200</c:v>
                </c:pt>
                <c:pt idx="10">
                  <c:v>803200</c:v>
                </c:pt>
                <c:pt idx="11">
                  <c:v>4671100</c:v>
                </c:pt>
                <c:pt idx="12">
                  <c:v>4949100</c:v>
                </c:pt>
                <c:pt idx="13">
                  <c:v>741100</c:v>
                </c:pt>
                <c:pt idx="14">
                  <c:v>679700</c:v>
                </c:pt>
                <c:pt idx="15">
                  <c:v>657900</c:v>
                </c:pt>
                <c:pt idx="16">
                  <c:v>2277300</c:v>
                </c:pt>
                <c:pt idx="17">
                  <c:v>6383800</c:v>
                </c:pt>
                <c:pt idx="18">
                  <c:v>3044600</c:v>
                </c:pt>
                <c:pt idx="19">
                  <c:v>2122700</c:v>
                </c:pt>
                <c:pt idx="20">
                  <c:v>4399000</c:v>
                </c:pt>
                <c:pt idx="21">
                  <c:v>7144800</c:v>
                </c:pt>
                <c:pt idx="22">
                  <c:v>6551900</c:v>
                </c:pt>
                <c:pt idx="23">
                  <c:v>5396200</c:v>
                </c:pt>
                <c:pt idx="24">
                  <c:v>3588200</c:v>
                </c:pt>
                <c:pt idx="25">
                  <c:v>4104400</c:v>
                </c:pt>
                <c:pt idx="26">
                  <c:v>2603900</c:v>
                </c:pt>
                <c:pt idx="27">
                  <c:v>5993000</c:v>
                </c:pt>
                <c:pt idx="28">
                  <c:v>10549600</c:v>
                </c:pt>
                <c:pt idx="29">
                  <c:v>4771400</c:v>
                </c:pt>
                <c:pt idx="30">
                  <c:v>9417800</c:v>
                </c:pt>
                <c:pt idx="31">
                  <c:v>11673200</c:v>
                </c:pt>
                <c:pt idx="32">
                  <c:v>6037900</c:v>
                </c:pt>
                <c:pt idx="33">
                  <c:v>5200000</c:v>
                </c:pt>
                <c:pt idx="34">
                  <c:v>1929600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1D-49A9-907B-2363034A6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952358992"/>
        <c:axId val="-952360080"/>
      </c:lineChart>
      <c:catAx>
        <c:axId val="-95235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5400000"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0080"/>
        <c:crosses val="autoZero"/>
        <c:auto val="1"/>
        <c:lblAlgn val="ctr"/>
        <c:lblOffset val="100"/>
        <c:noMultiLvlLbl val="0"/>
      </c:catAx>
      <c:valAx>
        <c:axId val="-9523600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58992"/>
        <c:crosses val="autoZero"/>
        <c:crossBetween val="between"/>
      </c:valAx>
      <c:spPr>
        <a:gradFill>
          <a:gsLst>
            <a:gs pos="0">
              <a:srgbClr val="F6F8FC"/>
            </a:gs>
            <a:gs pos="100000">
              <a:srgbClr val="ABC0E4"/>
            </a:gs>
          </a:gsLst>
          <a:lin ang="5400000"/>
        </a:gradFill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50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5000" b="0" strike="noStrike" spc="-1">
                <a:solidFill>
                  <a:srgbClr val="595959"/>
                </a:solidFill>
                <a:latin typeface="Calibri"/>
              </a:rPr>
              <a:t>متوسط قیمت یورو متشکل، سنا و آزاد در 9 هفته گذشته (تومان)</a:t>
            </a:r>
          </a:p>
        </c:rich>
      </c:tx>
      <c:layout>
        <c:manualLayout>
          <c:xMode val="edge"/>
          <c:yMode val="edge"/>
          <c:x val="0.42385070799115998"/>
          <c:y val="5.6659275518958802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0635148540477055E-2"/>
          <c:y val="9.9532289179640188E-2"/>
          <c:w val="0.95936485417291895"/>
          <c:h val="0.74039243651598396"/>
        </c:manualLayout>
      </c:layout>
      <c:lineChart>
        <c:grouping val="standard"/>
        <c:varyColors val="0"/>
        <c:ser>
          <c:idx val="0"/>
          <c:order val="0"/>
          <c:tx>
            <c:strRef>
              <c:f>weekly!$C$1</c:f>
              <c:strCache>
                <c:ptCount val="1"/>
                <c:pt idx="0">
                  <c:v>متوسط وزنی قیمت یورو متشکل </c:v>
                </c:pt>
              </c:strCache>
            </c:strRef>
          </c:tx>
          <c:spPr>
            <a:ln w="127080">
              <a:solidFill>
                <a:srgbClr val="4472C4"/>
              </a:solidFill>
              <a:round/>
            </a:ln>
          </c:spPr>
          <c:marker>
            <c:symbol val="none"/>
          </c:marker>
          <c:dPt>
            <c:idx val="21"/>
            <c:bubble3D val="0"/>
          </c:dPt>
          <c:dPt>
            <c:idx val="2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0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weekly!$A$27:$A$36</c15:sqref>
                  </c15:fullRef>
                </c:ext>
              </c:extLst>
              <c:f>weekly!$A$28:$A$36</c:f>
              <c:strCache>
                <c:ptCount val="9"/>
                <c:pt idx="0">
                  <c:v>هفته 28 سال</c:v>
                </c:pt>
                <c:pt idx="1">
                  <c:v>هفته 29 سال</c:v>
                </c:pt>
                <c:pt idx="2">
                  <c:v>هفته 30 سال</c:v>
                </c:pt>
                <c:pt idx="3">
                  <c:v>هفته 31 سال</c:v>
                </c:pt>
                <c:pt idx="4">
                  <c:v>هفته 32 سال</c:v>
                </c:pt>
                <c:pt idx="5">
                  <c:v>هفته 33 سال</c:v>
                </c:pt>
                <c:pt idx="6">
                  <c:v>هفته 34 سال</c:v>
                </c:pt>
                <c:pt idx="7">
                  <c:v>هفته 35 سال</c:v>
                </c:pt>
                <c:pt idx="8">
                  <c:v>هفته 36 سال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weekly!$C$27:$C$36</c15:sqref>
                  </c15:fullRef>
                </c:ext>
              </c:extLst>
              <c:f>weekly!$C$28:$C$36</c:f>
              <c:numCache>
                <c:formatCode>General</c:formatCode>
                <c:ptCount val="9"/>
                <c:pt idx="0">
                  <c:v>31709</c:v>
                </c:pt>
                <c:pt idx="1">
                  <c:v>30553</c:v>
                </c:pt>
                <c:pt idx="2">
                  <c:v>30372</c:v>
                </c:pt>
                <c:pt idx="3">
                  <c:v>31031</c:v>
                </c:pt>
                <c:pt idx="4">
                  <c:v>30631</c:v>
                </c:pt>
                <c:pt idx="5">
                  <c:v>31038</c:v>
                </c:pt>
                <c:pt idx="6">
                  <c:v>31087</c:v>
                </c:pt>
                <c:pt idx="7">
                  <c:v>30672</c:v>
                </c:pt>
                <c:pt idx="8">
                  <c:v>30542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BBE-4E44-BDAC-CC9F5E863344}"/>
            </c:ext>
          </c:extLst>
        </c:ser>
        <c:ser>
          <c:idx val="1"/>
          <c:order val="1"/>
          <c:tx>
            <c:strRef>
              <c:f>weekly!$K$1</c:f>
              <c:strCache>
                <c:ptCount val="1"/>
                <c:pt idx="0">
                  <c:v>متوسط قیمت یورو آزاد</c:v>
                </c:pt>
              </c:strCache>
            </c:strRef>
          </c:tx>
          <c:spPr>
            <a:ln w="127080">
              <a:solidFill>
                <a:srgbClr val="A5A5A5"/>
              </a:solidFill>
              <a:prstDash val="sysDot"/>
              <a:round/>
            </a:ln>
          </c:spPr>
          <c:marker>
            <c:symbol val="none"/>
          </c:marker>
          <c:dPt>
            <c:idx val="21"/>
            <c:bubble3D val="0"/>
          </c:dPt>
          <c:dPt>
            <c:idx val="2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0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weekly!$A$27:$A$36</c15:sqref>
                  </c15:fullRef>
                </c:ext>
              </c:extLst>
              <c:f>weekly!$A$28:$A$36</c:f>
              <c:strCache>
                <c:ptCount val="9"/>
                <c:pt idx="0">
                  <c:v>هفته 28 سال</c:v>
                </c:pt>
                <c:pt idx="1">
                  <c:v>هفته 29 سال</c:v>
                </c:pt>
                <c:pt idx="2">
                  <c:v>هفته 30 سال</c:v>
                </c:pt>
                <c:pt idx="3">
                  <c:v>هفته 31 سال</c:v>
                </c:pt>
                <c:pt idx="4">
                  <c:v>هفته 32 سال</c:v>
                </c:pt>
                <c:pt idx="5">
                  <c:v>هفته 33 سال</c:v>
                </c:pt>
                <c:pt idx="6">
                  <c:v>هفته 34 سال</c:v>
                </c:pt>
                <c:pt idx="7">
                  <c:v>هفته 35 سال</c:v>
                </c:pt>
                <c:pt idx="8">
                  <c:v>هفته 36 سال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weekly!$K$27:$K$36</c15:sqref>
                  </c15:fullRef>
                </c:ext>
              </c:extLst>
              <c:f>weekly!$K$28:$K$36</c:f>
              <c:numCache>
                <c:formatCode>General</c:formatCode>
                <c:ptCount val="9"/>
                <c:pt idx="0">
                  <c:v>32567</c:v>
                </c:pt>
                <c:pt idx="1">
                  <c:v>31679</c:v>
                </c:pt>
                <c:pt idx="2">
                  <c:v>31685</c:v>
                </c:pt>
                <c:pt idx="3">
                  <c:v>32043</c:v>
                </c:pt>
                <c:pt idx="4">
                  <c:v>31884</c:v>
                </c:pt>
                <c:pt idx="5">
                  <c:v>32398</c:v>
                </c:pt>
                <c:pt idx="6">
                  <c:v>32289</c:v>
                </c:pt>
                <c:pt idx="7">
                  <c:v>32092</c:v>
                </c:pt>
                <c:pt idx="8">
                  <c:v>33079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BBE-4E44-BDAC-CC9F5E863344}"/>
            </c:ext>
          </c:extLst>
        </c:ser>
        <c:ser>
          <c:idx val="2"/>
          <c:order val="2"/>
          <c:tx>
            <c:strRef>
              <c:f>weekly!$I$1</c:f>
              <c:strCache>
                <c:ptCount val="1"/>
                <c:pt idx="0">
                  <c:v>متوسط قیمت یورو سنا</c:v>
                </c:pt>
              </c:strCache>
            </c:strRef>
          </c:tx>
          <c:spPr>
            <a:ln w="127080">
              <a:solidFill>
                <a:srgbClr val="ED7D31"/>
              </a:solidFill>
              <a:prstDash val="lgDash"/>
              <a:round/>
            </a:ln>
          </c:spPr>
          <c:marker>
            <c:symbol val="none"/>
          </c:marker>
          <c:dPt>
            <c:idx val="21"/>
            <c:bubble3D val="0"/>
          </c:dPt>
          <c:dPt>
            <c:idx val="22"/>
            <c:bubble3D val="0"/>
          </c:dPt>
          <c:dLbls>
            <c:dLbl>
              <c:idx val="0"/>
              <c:layout>
                <c:manualLayout>
                  <c:x val="1.0504201680672268E-3"/>
                  <c:y val="-1.6161719853023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FFC6-4A54-9D76-EFE6ED99BCB5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40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weekly!$A$27:$A$36</c15:sqref>
                  </c15:fullRef>
                </c:ext>
              </c:extLst>
              <c:f>weekly!$A$28:$A$36</c:f>
              <c:strCache>
                <c:ptCount val="9"/>
                <c:pt idx="0">
                  <c:v>هفته 28 سال</c:v>
                </c:pt>
                <c:pt idx="1">
                  <c:v>هفته 29 سال</c:v>
                </c:pt>
                <c:pt idx="2">
                  <c:v>هفته 30 سال</c:v>
                </c:pt>
                <c:pt idx="3">
                  <c:v>هفته 31 سال</c:v>
                </c:pt>
                <c:pt idx="4">
                  <c:v>هفته 32 سال</c:v>
                </c:pt>
                <c:pt idx="5">
                  <c:v>هفته 33 سال</c:v>
                </c:pt>
                <c:pt idx="6">
                  <c:v>هفته 34 سال</c:v>
                </c:pt>
                <c:pt idx="7">
                  <c:v>هفته 35 سال</c:v>
                </c:pt>
                <c:pt idx="8">
                  <c:v>هفته 36 سال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weekly!$I$27:$I$36</c15:sqref>
                  </c15:fullRef>
                </c:ext>
              </c:extLst>
              <c:f>weekly!$I$28:$I$36</c:f>
              <c:numCache>
                <c:formatCode>General</c:formatCode>
                <c:ptCount val="9"/>
                <c:pt idx="0">
                  <c:v>31880</c:v>
                </c:pt>
                <c:pt idx="1">
                  <c:v>30811</c:v>
                </c:pt>
                <c:pt idx="2">
                  <c:v>30754</c:v>
                </c:pt>
                <c:pt idx="3">
                  <c:v>31317</c:v>
                </c:pt>
                <c:pt idx="4">
                  <c:v>30980</c:v>
                </c:pt>
                <c:pt idx="5">
                  <c:v>31501</c:v>
                </c:pt>
                <c:pt idx="6">
                  <c:v>31335</c:v>
                </c:pt>
                <c:pt idx="7">
                  <c:v>31109</c:v>
                </c:pt>
                <c:pt idx="8">
                  <c:v>30926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0BBE-4E44-BDAC-CC9F5E863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-952364432"/>
        <c:axId val="-952361712"/>
      </c:lineChart>
      <c:catAx>
        <c:axId val="-95236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5400000"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1712"/>
        <c:crosses val="autoZero"/>
        <c:auto val="1"/>
        <c:lblAlgn val="ctr"/>
        <c:lblOffset val="100"/>
        <c:noMultiLvlLbl val="0"/>
      </c:catAx>
      <c:valAx>
        <c:axId val="-952361712"/>
        <c:scaling>
          <c:orientation val="minMax"/>
          <c:min val="25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40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4432"/>
        <c:crosses val="autoZero"/>
        <c:crossBetween val="between"/>
      </c:valAx>
      <c:spPr>
        <a:gradFill>
          <a:gsLst>
            <a:gs pos="0">
              <a:srgbClr val="F6F8FC"/>
            </a:gs>
            <a:gs pos="100000">
              <a:srgbClr val="ABC0E4"/>
            </a:gs>
          </a:gsLst>
          <a:lin ang="5400000"/>
        </a:gradFill>
        <a:ln w="63500">
          <a:solidFill>
            <a:srgbClr val="4472C4"/>
          </a:solidFill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40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1400" b="0" strike="noStrike" spc="-1">
                <a:solidFill>
                  <a:srgbClr val="595959"/>
                </a:solidFill>
                <a:latin typeface="Calibri"/>
              </a:rPr>
              <a:t>بازدهی بازارها (پایان تابستان نسبت به پایان بهار)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seasonal!$E$1:$E$2</c:f>
              <c:strCache>
                <c:ptCount val="2"/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seasonal!$D$3:$D$10</c:f>
              <c:strCache>
                <c:ptCount val="8"/>
                <c:pt idx="0">
                  <c:v>قیمت سکه امامی </c:v>
                </c:pt>
                <c:pt idx="1">
                  <c:v>قیمت طلای 18 عیار </c:v>
                </c:pt>
                <c:pt idx="2">
                  <c:v>قیمت دلار آزاد </c:v>
                </c:pt>
                <c:pt idx="3">
                  <c:v>قیمت یورو آزاد </c:v>
                </c:pt>
                <c:pt idx="4">
                  <c:v>قیمت دلار سنا </c:v>
                </c:pt>
                <c:pt idx="5">
                  <c:v>قیمت یورو سنا </c:v>
                </c:pt>
                <c:pt idx="6">
                  <c:v>قیمت دلار متشکل </c:v>
                </c:pt>
                <c:pt idx="7">
                  <c:v>قیمت یورو متشکل </c:v>
                </c:pt>
              </c:strCache>
            </c:strRef>
          </c:cat>
          <c:val>
            <c:numRef>
              <c:f>seasonal!$E$3:$E$10</c:f>
              <c:numCache>
                <c:formatCode>General</c:formatCode>
                <c:ptCount val="8"/>
                <c:pt idx="0">
                  <c:v>16.292682926829269</c:v>
                </c:pt>
                <c:pt idx="1">
                  <c:v>11.984282907662083</c:v>
                </c:pt>
                <c:pt idx="2">
                  <c:v>15.002089427496866</c:v>
                </c:pt>
                <c:pt idx="3">
                  <c:v>14.203502330179353</c:v>
                </c:pt>
                <c:pt idx="4">
                  <c:v>11.539593759199294</c:v>
                </c:pt>
                <c:pt idx="5">
                  <c:v>11.7980128912788</c:v>
                </c:pt>
                <c:pt idx="6">
                  <c:v>12.395137818866633</c:v>
                </c:pt>
                <c:pt idx="7">
                  <c:v>12.472465966128624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C42-4D93-A674-596885EA4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952361168"/>
        <c:axId val="-952355184"/>
      </c:barChart>
      <c:catAx>
        <c:axId val="-95236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55184"/>
        <c:crosses val="autoZero"/>
        <c:auto val="1"/>
        <c:lblAlgn val="ctr"/>
        <c:lblOffset val="100"/>
        <c:noMultiLvlLbl val="0"/>
      </c:catAx>
      <c:valAx>
        <c:axId val="-95235518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a-IR" sz="1000" b="0" strike="noStrike" spc="-1">
                    <a:solidFill>
                      <a:srgbClr val="595959"/>
                    </a:solidFill>
                    <a:latin typeface="Calibri"/>
                  </a:rPr>
                  <a:t>درصد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116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a-IR" sz="1400" b="0" strike="noStrike" spc="-1">
                <a:solidFill>
                  <a:srgbClr val="595959"/>
                </a:solidFill>
                <a:latin typeface="Calibri"/>
              </a:rPr>
              <a:t>بازدهی بازارها (سه‌شنبه </a:t>
            </a:r>
            <a:r>
              <a:rPr lang="fa-IR" sz="1400" b="0" strike="noStrike" spc="-1" baseline="0">
                <a:solidFill>
                  <a:srgbClr val="595959"/>
                </a:solidFill>
                <a:latin typeface="Calibri"/>
              </a:rPr>
              <a:t>16 آذر سال 1400</a:t>
            </a:r>
            <a:r>
              <a:rPr lang="fa-IR" sz="1400" b="1" strike="noStrike" spc="-1">
                <a:solidFill>
                  <a:srgbClr val="595959"/>
                </a:solidFill>
                <a:latin typeface="Calibri"/>
              </a:rPr>
              <a:t>)</a:t>
            </a:r>
            <a:endParaRPr lang="fa-IR" sz="1400" b="0" strike="noStrike" spc="-1">
              <a:solidFill>
                <a:srgbClr val="595959"/>
              </a:solidFill>
              <a:latin typeface="Calibri"/>
            </a:endParaRPr>
          </a:p>
        </c:rich>
      </c:tx>
      <c:layout>
        <c:manualLayout>
          <c:xMode val="edge"/>
          <c:yMode val="edge"/>
          <c:x val="0.31578382088531531"/>
          <c:y val="2.2314736492145056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606444691746613E-2"/>
          <c:y val="8.3689940433215801E-2"/>
          <c:w val="0.92055640483045009"/>
          <c:h val="0.88440480368315355"/>
        </c:manualLayout>
      </c:layout>
      <c:barChart>
        <c:barDir val="col"/>
        <c:grouping val="clustered"/>
        <c:varyColors val="0"/>
        <c:ser>
          <c:idx val="44"/>
          <c:order val="44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'price change'!$F$1:$I$1</c:f>
              <c:strCache>
                <c:ptCount val="4"/>
                <c:pt idx="0">
                  <c:v>دلار</c:v>
                </c:pt>
                <c:pt idx="1">
                  <c:v>سکه</c:v>
                </c:pt>
                <c:pt idx="2">
                  <c:v>طلای 18 عیار</c:v>
                </c:pt>
                <c:pt idx="3">
                  <c:v>شاخص کل بورس</c:v>
                </c:pt>
              </c:strCache>
            </c:strRef>
          </c:cat>
          <c:val>
            <c:numRef>
              <c:f>'price change'!$F$126:$I$126</c:f>
              <c:numCache>
                <c:formatCode>General</c:formatCode>
                <c:ptCount val="4"/>
                <c:pt idx="0">
                  <c:v>1.2111292962356792</c:v>
                </c:pt>
                <c:pt idx="1">
                  <c:v>0.26455026455026454</c:v>
                </c:pt>
                <c:pt idx="2">
                  <c:v>1.1024345429490123</c:v>
                </c:pt>
                <c:pt idx="3">
                  <c:v>-0.32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952353552"/>
        <c:axId val="-95236062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rgbClr val="A7B4DB"/>
                  </a:solidFill>
                  <a:ln>
                    <a:noFill/>
                  </a:ln>
                </c:spPr>
                <c:invertIfNegative val="0"/>
                <c:dPt>
                  <c:idx val="0"/>
                  <c:invertIfNegative val="0"/>
                  <c:bubble3D val="0"/>
                  <c:extLst xmlns:c16r2="http://schemas.microsoft.com/office/drawing/2015/06/chart">
                    <c:ext xmlns:c16="http://schemas.microsoft.com/office/drawing/2014/chart" uri="{C3380CC4-5D6E-409C-BE32-E72D297353CC}">
                      <c16:uniqueId val="{00000001-0C0C-43E0-98C4-61DA3E6E6D70}"/>
                    </c:ext>
                  </c:extLst>
                </c:dPt>
                <c:dLbls>
                  <c:dLbl>
                    <c:idx val="0"/>
                    <c:spPr/>
                    <c:txPr>
                      <a:bodyPr/>
                      <a:lstStyle/>
                      <a:p>
                        <a:pPr>
                          <a:defRPr sz="1000" b="0" strike="noStrike" spc="-1">
                            <a:solidFill>
                              <a:srgbClr val="000000"/>
                            </a:solidFill>
                            <a:latin typeface="Calibri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1"/>
                    <c:extLst xmlns:c16r2="http://schemas.microsoft.com/office/drawing/2015/06/chart">
                      <c:ext xmlns:c16="http://schemas.microsoft.com/office/drawing/2014/chart" uri="{C3380CC4-5D6E-409C-BE32-E72D297353CC}">
                        <c16:uniqueId val="{00000001-0C0C-43E0-98C4-61DA3E6E6D70}"/>
                      </c:ext>
                      <c:ext uri="{CE6537A1-D6FC-4f65-9D91-7224C49458BB}"/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/>
                    <a:lstStyle/>
                    <a:p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Calibri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1"/>
                  <c:separator>; </c:separator>
                  <c:showLeaderLines val="0"/>
                  <c:extLst xmlns:c16r2="http://schemas.microsoft.com/office/drawing/2015/06/chart"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'price change'!$F$82:$I$82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0.32119914346895073</c:v>
                      </c:pt>
                      <c:pt idx="1">
                        <c:v>8.3368070029178828E-2</c:v>
                      </c:pt>
                      <c:pt idx="2">
                        <c:v>0.5602965261615378</c:v>
                      </c:pt>
                      <c:pt idx="3">
                        <c:v>0.54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0C0C-43E0-98C4-61DA3E6E6D70}"/>
                  </c:ext>
                </c:extLst>
              </c15:ser>
            </c15:filteredBarSeries>
            <c15:filteredBarSeries>
              <c15:ser>
                <c:idx val="1"/>
                <c:order val="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change'!$F$83:$I$83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-0.46246887228744221</c:v>
                      </c:pt>
                      <c:pt idx="1">
                        <c:v>-0.70803831736776346</c:v>
                      </c:pt>
                      <c:pt idx="2">
                        <c:v>-0.49717126692953884</c:v>
                      </c:pt>
                      <c:pt idx="3">
                        <c:v>0.25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0C0C-43E0-98C4-61DA3E6E6D70}"/>
                  </c:ext>
                </c:extLst>
              </c15:ser>
            </c15:filteredBarSeries>
            <c15:filteredBarSeries>
              <c15:ser>
                <c:idx val="2"/>
                <c:order val="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change'!$F$84:$I$84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-0.82201572551822732</c:v>
                      </c:pt>
                      <c:pt idx="1">
                        <c:v>-1.0906040268456376</c:v>
                      </c:pt>
                      <c:pt idx="2">
                        <c:v>-0.65472088215024127</c:v>
                      </c:pt>
                      <c:pt idx="3">
                        <c:v>-1.49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216D-4EBE-BDA5-06439D664624}"/>
                  </c:ext>
                </c:extLst>
              </c15:ser>
            </c15:filteredBarSeries>
            <c15:filteredBarSeries>
              <c15:ser>
                <c:idx val="3"/>
                <c:order val="3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change'!$F$85:$I$85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-0.72072072072072069</c:v>
                      </c:pt>
                      <c:pt idx="1">
                        <c:v>0</c:v>
                      </c:pt>
                      <c:pt idx="2">
                        <c:v>-0.97988206729101635</c:v>
                      </c:pt>
                      <c:pt idx="3">
                        <c:v>-0.71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216D-4EBE-BDA5-06439D664624}"/>
                  </c:ext>
                </c:extLst>
              </c15:ser>
            </c15:filteredBarSeries>
            <c15:filteredBarSeries>
              <c15:ser>
                <c:idx val="4"/>
                <c:order val="4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change'!$F$86:$I$86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-0.29038112522686027</c:v>
                      </c:pt>
                      <c:pt idx="1">
                        <c:v>-0.59372349448685324</c:v>
                      </c:pt>
                      <c:pt idx="2">
                        <c:v>-2.6272002802346966E-2</c:v>
                      </c:pt>
                      <c:pt idx="3">
                        <c:v>0.13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216D-4EBE-BDA5-06439D664624}"/>
                  </c:ext>
                </c:extLst>
              </c15:ser>
            </c15:filteredBarSeries>
            <c15:filteredBarSeries>
              <c15:ser>
                <c:idx val="5"/>
                <c:order val="5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change'!$F$87:$I$87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-1.6381507098653076</c:v>
                      </c:pt>
                      <c:pt idx="1">
                        <c:v>-0.34129692832764508</c:v>
                      </c:pt>
                      <c:pt idx="2">
                        <c:v>-2.5148913805185704</c:v>
                      </c:pt>
                      <c:pt idx="3">
                        <c:v>-2.66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216D-4EBE-BDA5-06439D664624}"/>
                  </c:ext>
                </c:extLst>
              </c15:ser>
            </c15:filteredBarSeries>
            <c15:filteredBarSeries>
              <c15:ser>
                <c:idx val="6"/>
                <c:order val="6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change'!$F$88:$I$88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0.70318282753515915</c:v>
                      </c:pt>
                      <c:pt idx="1">
                        <c:v>0.4708904109589041</c:v>
                      </c:pt>
                      <c:pt idx="2">
                        <c:v>1.3127982100656848</c:v>
                      </c:pt>
                      <c:pt idx="3">
                        <c:v>-1.5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216D-4EBE-BDA5-06439D664624}"/>
                  </c:ext>
                </c:extLst>
              </c15:ser>
            </c15:filteredBarSeries>
            <c15:filteredBarSeries>
              <c15:ser>
                <c:idx val="7"/>
                <c:order val="7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change'!$F$89:$I$89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0.14700477765527378</c:v>
                      </c:pt>
                      <c:pt idx="1">
                        <c:v>0.59650617809970174</c:v>
                      </c:pt>
                      <c:pt idx="2">
                        <c:v>0.98447893569844791</c:v>
                      </c:pt>
                      <c:pt idx="3">
                        <c:v>2.87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EEF0-496E-B0DB-3498822713EA}"/>
                  </c:ext>
                </c:extLst>
              </c15:ser>
            </c15:filteredBarSeries>
            <c15:filteredBarSeries>
              <c15:ser>
                <c:idx val="8"/>
                <c:order val="8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change'!$F$90:$I$90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-0.3669724770642202</c:v>
                      </c:pt>
                      <c:pt idx="1">
                        <c:v>-0.55061414654807284</c:v>
                      </c:pt>
                      <c:pt idx="2">
                        <c:v>0.46548392763042334</c:v>
                      </c:pt>
                      <c:pt idx="3">
                        <c:v>-0.1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EEF0-496E-B0DB-3498822713EA}"/>
                  </c:ext>
                </c:extLst>
              </c15:ser>
            </c15:filteredBarSeries>
            <c15:filteredBarSeries>
              <c15:ser>
                <c:idx val="9"/>
                <c:order val="9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change'!$F$91:$I$91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-0.25782688766114181</c:v>
                      </c:pt>
                      <c:pt idx="1">
                        <c:v>-0.72402044293015333</c:v>
                      </c:pt>
                      <c:pt idx="2">
                        <c:v>-0.68187778651980069</c:v>
                      </c:pt>
                      <c:pt idx="3">
                        <c:v>0.06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EEF0-496E-B0DB-3498822713EA}"/>
                  </c:ext>
                </c:extLst>
              </c15:ser>
            </c15:filteredBarSeries>
            <c15:filteredBarSeries>
              <c15:ser>
                <c:idx val="10"/>
                <c:order val="10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change'!$F$92:$I$92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1.1078286558345642</c:v>
                      </c:pt>
                      <c:pt idx="1">
                        <c:v>0.81510081510081511</c:v>
                      </c:pt>
                      <c:pt idx="2">
                        <c:v>0.88900624944987239</c:v>
                      </c:pt>
                      <c:pt idx="3">
                        <c:v>0.87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EEF0-496E-B0DB-3498822713EA}"/>
                  </c:ext>
                </c:extLst>
              </c15:ser>
            </c15:filteredBarSeries>
            <c15:filteredBarSeries>
              <c15:ser>
                <c:idx val="11"/>
                <c:order val="1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change'!$F$93:$I$93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-0.21913805697589481</c:v>
                      </c:pt>
                      <c:pt idx="1">
                        <c:v>-0.21276595744680851</c:v>
                      </c:pt>
                      <c:pt idx="2">
                        <c:v>-0.4013261210957948</c:v>
                      </c:pt>
                      <c:pt idx="3">
                        <c:v>-0.91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EEF0-496E-B0DB-3498822713EA}"/>
                  </c:ext>
                </c:extLst>
              </c15:ser>
            </c15:filteredBarSeries>
            <c15:filteredBarSeries>
              <c15:ser>
                <c:idx val="12"/>
                <c:order val="1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change'!$F$94:$I$94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0.76866764275256227</c:v>
                      </c:pt>
                      <c:pt idx="1">
                        <c:v>1.6631130063965884</c:v>
                      </c:pt>
                      <c:pt idx="2">
                        <c:v>1.8220042046250875</c:v>
                      </c:pt>
                      <c:pt idx="3">
                        <c:v>-1.99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14C5-4D16-91C5-8B2777F1B3B1}"/>
                  </c:ext>
                </c:extLst>
              </c15:ser>
            </c15:filteredBarSeries>
            <c15:filteredBarSeries>
              <c15:ser>
                <c:idx val="13"/>
                <c:order val="13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change'!$F$95:$I$95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0.32691609153650564</c:v>
                      </c:pt>
                      <c:pt idx="1">
                        <c:v>-0.25167785234899331</c:v>
                      </c:pt>
                      <c:pt idx="2">
                        <c:v>0.27529249827942187</c:v>
                      </c:pt>
                      <c:pt idx="3">
                        <c:v>-1.68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14C5-4D16-91C5-8B2777F1B3B1}"/>
                  </c:ext>
                </c:extLst>
              </c15:ser>
            </c15:filteredBarSeries>
            <c15:filteredBarSeries>
              <c15:ser>
                <c:idx val="14"/>
                <c:order val="14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change'!$F$96:$I$96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-0.65170166545981179</c:v>
                      </c:pt>
                      <c:pt idx="1">
                        <c:v>-0.16820857863751051</c:v>
                      </c:pt>
                      <c:pt idx="2">
                        <c:v>-0.21448181194234728</c:v>
                      </c:pt>
                      <c:pt idx="3">
                        <c:v>0.02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14C5-4D16-91C5-8B2777F1B3B1}"/>
                  </c:ext>
                </c:extLst>
              </c15:ser>
            </c15:filteredBarSeries>
            <c15:filteredBarSeries>
              <c15:ser>
                <c:idx val="15"/>
                <c:order val="15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change'!$F$97:$I$97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0.87463556851311952</c:v>
                      </c:pt>
                      <c:pt idx="1">
                        <c:v>0.54759898904802018</c:v>
                      </c:pt>
                      <c:pt idx="2">
                        <c:v>0</c:v>
                      </c:pt>
                      <c:pt idx="3">
                        <c:v>0.68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14C5-4D16-91C5-8B2777F1B3B1}"/>
                  </c:ext>
                </c:extLst>
              </c15:ser>
            </c15:filteredBarSeries>
            <c15:filteredBarSeries>
              <c15:ser>
                <c:idx val="16"/>
                <c:order val="16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change'!$F$98:$I$98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-0.7225433526011561</c:v>
                      </c:pt>
                      <c:pt idx="1">
                        <c:v>-0.54461667364893174</c:v>
                      </c:pt>
                      <c:pt idx="2">
                        <c:v>0.13756340813343651</c:v>
                      </c:pt>
                      <c:pt idx="3">
                        <c:v>-1.31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D373-4B07-B73D-D2CE0FF343F7}"/>
                  </c:ext>
                </c:extLst>
              </c15:ser>
            </c15:filteredBarSeries>
            <c15:filteredBarSeries>
              <c15:ser>
                <c:idx val="17"/>
                <c:order val="17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change'!$F$99:$I$99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0.2183406113537118</c:v>
                      </c:pt>
                      <c:pt idx="1">
                        <c:v>-0.46335299073294017</c:v>
                      </c:pt>
                      <c:pt idx="2">
                        <c:v>4.2929509744998713E-2</c:v>
                      </c:pt>
                      <c:pt idx="3">
                        <c:v>-2.57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D373-4B07-B73D-D2CE0FF343F7}"/>
                  </c:ext>
                </c:extLst>
              </c15:ser>
            </c15:filteredBarSeries>
            <c15:filteredBarSeries>
              <c15:ser>
                <c:idx val="18"/>
                <c:order val="18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change'!$F$100:$I$100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0.14524328249818447</c:v>
                      </c:pt>
                      <c:pt idx="1">
                        <c:v>0.21159542953872196</c:v>
                      </c:pt>
                      <c:pt idx="2">
                        <c:v>0.86680398214898735</c:v>
                      </c:pt>
                      <c:pt idx="3">
                        <c:v>1.58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D373-4B07-B73D-D2CE0FF343F7}"/>
                  </c:ext>
                </c:extLst>
              </c15:ser>
            </c15:filteredBarSeries>
            <c15:filteredBarSeries>
              <c15:ser>
                <c:idx val="19"/>
                <c:order val="19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change'!$F$101:$I$101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-0.14503263234227701</c:v>
                      </c:pt>
                      <c:pt idx="1">
                        <c:v>-0.29560810810810811</c:v>
                      </c:pt>
                      <c:pt idx="2">
                        <c:v>-0.60410108057517231</c:v>
                      </c:pt>
                      <c:pt idx="3">
                        <c:v>1.08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D373-4B07-B73D-D2CE0FF343F7}"/>
                  </c:ext>
                </c:extLst>
              </c15:ser>
            </c15:filteredBarSeries>
            <c15:filteredBarSeries>
              <c15:ser>
                <c:idx val="20"/>
                <c:order val="20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change'!$F$102:$I$102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0.94408133623819901</c:v>
                      </c:pt>
                      <c:pt idx="1">
                        <c:v>0.50825921219822112</c:v>
                      </c:pt>
                      <c:pt idx="2">
                        <c:v>0.15408320493066255</c:v>
                      </c:pt>
                      <c:pt idx="3">
                        <c:v>1.62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8E84-40F6-9B40-4CA8A04591C4}"/>
                  </c:ext>
                </c:extLst>
              </c15:ser>
            </c15:filteredBarSeries>
            <c15:filteredBarSeries>
              <c15:ser>
                <c:idx val="21"/>
                <c:order val="2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change'!$F$103:$I$103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0.25179856115107913</c:v>
                      </c:pt>
                      <c:pt idx="1">
                        <c:v>0.96923725242309311</c:v>
                      </c:pt>
                      <c:pt idx="2">
                        <c:v>1.3675213675213675</c:v>
                      </c:pt>
                      <c:pt idx="3">
                        <c:v>3.02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F4FA-4534-8918-426E116C1569}"/>
                  </c:ext>
                </c:extLst>
              </c15:ser>
            </c15:filteredBarSeries>
            <c15:filteredBarSeries>
              <c15:ser>
                <c:idx val="22"/>
                <c:order val="2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change'!$F$104:$I$104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0.10764262648008611</c:v>
                      </c:pt>
                      <c:pt idx="1">
                        <c:v>1.4190317195325544</c:v>
                      </c:pt>
                      <c:pt idx="2">
                        <c:v>0.98650927487352447</c:v>
                      </c:pt>
                      <c:pt idx="3">
                        <c:v>-0.67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F4FA-4534-8918-426E116C1569}"/>
                  </c:ext>
                </c:extLst>
              </c15:ser>
            </c15:filteredBarSeries>
            <c15:filteredBarSeries>
              <c15:ser>
                <c:idx val="23"/>
                <c:order val="23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change'!$F$105:$I$105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0.71684587813620071</c:v>
                      </c:pt>
                      <c:pt idx="1">
                        <c:v>0.32921810699588477</c:v>
                      </c:pt>
                      <c:pt idx="2">
                        <c:v>0.67629623444936127</c:v>
                      </c:pt>
                      <c:pt idx="3">
                        <c:v>0.24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F4FA-4534-8918-426E116C1569}"/>
                  </c:ext>
                </c:extLst>
              </c15:ser>
            </c15:filteredBarSeries>
            <c15:filteredBarSeries>
              <c15:ser>
                <c:idx val="24"/>
                <c:order val="24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change'!$F$106:$I$106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0.14234875444839859</c:v>
                      </c:pt>
                      <c:pt idx="1">
                        <c:v>0.24610336341263331</c:v>
                      </c:pt>
                      <c:pt idx="2">
                        <c:v>7.4639243655664295E-2</c:v>
                      </c:pt>
                      <c:pt idx="3">
                        <c:v>0.93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F4FA-4534-8918-426E116C1569}"/>
                  </c:ext>
                </c:extLst>
              </c15:ser>
            </c15:filteredBarSeries>
            <c15:filteredBarSeries>
              <c15:ser>
                <c:idx val="25"/>
                <c:order val="25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change'!$F$107:$I$107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0.39090262970859985</c:v>
                      </c:pt>
                      <c:pt idx="1">
                        <c:v>0.45008183306055649</c:v>
                      </c:pt>
                      <c:pt idx="2">
                        <c:v>1.3425043507085439</c:v>
                      </c:pt>
                      <c:pt idx="3">
                        <c:v>0.61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F4FA-4534-8918-426E116C1569}"/>
                  </c:ext>
                </c:extLst>
              </c15:ser>
            </c15:filteredBarSeries>
            <c15:filteredBarSeries>
              <c15:ser>
                <c:idx val="26"/>
                <c:order val="26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change'!$F$108:$I$108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1.663716814159292</c:v>
                      </c:pt>
                      <c:pt idx="1">
                        <c:v>3.4623217922606924</c:v>
                      </c:pt>
                      <c:pt idx="2">
                        <c:v>4.1704145882737755</c:v>
                      </c:pt>
                      <c:pt idx="3">
                        <c:v>-1.19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F74A-4AFC-9FEF-3E77ADFA4F09}"/>
                  </c:ext>
                </c:extLst>
              </c15:ser>
            </c15:filteredBarSeries>
            <c15:filteredBarSeries>
              <c15:ser>
                <c:idx val="27"/>
                <c:order val="27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change'!$F$109:$I$109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-0.48746518105849584</c:v>
                      </c:pt>
                      <c:pt idx="1">
                        <c:v>-1.1023622047244095</c:v>
                      </c:pt>
                      <c:pt idx="2">
                        <c:v>0.29044665986341156</c:v>
                      </c:pt>
                      <c:pt idx="3">
                        <c:v>0.23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F74A-4AFC-9FEF-3E77ADFA4F09}"/>
                  </c:ext>
                </c:extLst>
              </c15:ser>
            </c15:filteredBarSeries>
            <c15:filteredBarSeries>
              <c15:ser>
                <c:idx val="28"/>
                <c:order val="28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change'!$F$110:$I$110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-1.3645906228131561</c:v>
                      </c:pt>
                      <c:pt idx="1">
                        <c:v>-0.51751592356687903</c:v>
                      </c:pt>
                      <c:pt idx="2">
                        <c:v>-1.3697557921102066</c:v>
                      </c:pt>
                      <c:pt idx="3">
                        <c:v>-1.82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BF93-4FAA-9433-B63F6DF575B6}"/>
                  </c:ext>
                </c:extLst>
              </c15:ser>
            </c15:filteredBarSeries>
            <c15:filteredBarSeries>
              <c15:ser>
                <c:idx val="29"/>
                <c:order val="29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change'!$F$111:$I$111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-3.5473572188719403E-2</c:v>
                      </c:pt>
                      <c:pt idx="1">
                        <c:v>0.60024009603841533</c:v>
                      </c:pt>
                      <c:pt idx="2">
                        <c:v>-0.65867788270772165</c:v>
                      </c:pt>
                      <c:pt idx="3">
                        <c:v>-0.54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74AB-4ABE-97BD-EE83514FEAE4}"/>
                  </c:ext>
                </c:extLst>
              </c15:ser>
            </c15:filteredBarSeries>
            <c15:filteredBarSeries>
              <c15:ser>
                <c:idx val="30"/>
                <c:order val="30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change'!$F$112:$I$112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3.5486160397444996E-2</c:v>
                      </c:pt>
                      <c:pt idx="1">
                        <c:v>-0.11933174224343675</c:v>
                      </c:pt>
                      <c:pt idx="2">
                        <c:v>-0.11183895190925068</c:v>
                      </c:pt>
                      <c:pt idx="3">
                        <c:v>0.15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74AB-4ABE-97BD-EE83514FEAE4}"/>
                  </c:ext>
                </c:extLst>
              </c15:ser>
            </c15:filteredBarSeries>
            <c15:filteredBarSeries>
              <c15:ser>
                <c:idx val="31"/>
                <c:order val="3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change'!$F$113:$I$113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-3.5473572188719403E-2</c:v>
                      </c:pt>
                      <c:pt idx="1">
                        <c:v>-1.1150935882118678</c:v>
                      </c:pt>
                      <c:pt idx="2">
                        <c:v>-1.2795905310300704</c:v>
                      </c:pt>
                      <c:pt idx="3">
                        <c:v>-1.93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3B77-4B4E-AADA-4EF6AA3F130D}"/>
                  </c:ext>
                </c:extLst>
              </c15:ser>
            </c15:filteredBarSeries>
            <c15:filteredBarSeries>
              <c15:ser>
                <c:idx val="32"/>
                <c:order val="3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change'!$F$114:$I$114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0.39034776437189495</c:v>
                      </c:pt>
                      <c:pt idx="1">
                        <c:v>0.52356020942408377</c:v>
                      </c:pt>
                      <c:pt idx="2">
                        <c:v>-0.16202203499675957</c:v>
                      </c:pt>
                      <c:pt idx="3">
                        <c:v>0.25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3B77-4B4E-AADA-4EF6AA3F130D}"/>
                  </c:ext>
                </c:extLst>
              </c15:ser>
            </c15:filteredBarSeries>
            <c15:filteredBarSeries>
              <c15:ser>
                <c:idx val="33"/>
                <c:order val="33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change'!$F$115:$I$115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0.38882997525627433</c:v>
                      </c:pt>
                      <c:pt idx="1">
                        <c:v>0.5608974358974359</c:v>
                      </c:pt>
                      <c:pt idx="2">
                        <c:v>0.78708211619604029</c:v>
                      </c:pt>
                      <c:pt idx="3">
                        <c:v>1.46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3B77-4B4E-AADA-4EF6AA3F130D}"/>
                  </c:ext>
                </c:extLst>
              </c15:ser>
            </c15:filteredBarSeries>
            <c15:filteredBarSeries>
              <c15:ser>
                <c:idx val="34"/>
                <c:order val="34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change'!$F$116:$I$116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0.59859154929577463</c:v>
                      </c:pt>
                      <c:pt idx="1">
                        <c:v>-0.51792828685258963</c:v>
                      </c:pt>
                      <c:pt idx="2">
                        <c:v>8.8559697286852909E-2</c:v>
                      </c:pt>
                      <c:pt idx="3">
                        <c:v>-0.18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3B77-4B4E-AADA-4EF6AA3F130D}"/>
                  </c:ext>
                </c:extLst>
              </c15:ser>
            </c15:filteredBarSeries>
            <c15:filteredBarSeries>
              <c15:ser>
                <c:idx val="35"/>
                <c:order val="35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change'!$F$117:$I$117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1.6800840042002101</c:v>
                      </c:pt>
                      <c:pt idx="1">
                        <c:v>1.5618742490989188</c:v>
                      </c:pt>
                      <c:pt idx="2">
                        <c:v>0.3539253539253539</c:v>
                      </c:pt>
                      <c:pt idx="3">
                        <c:v>-0.74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3B77-4B4E-AADA-4EF6AA3F130D}"/>
                  </c:ext>
                </c:extLst>
              </c15:ser>
            </c15:filteredBarSeries>
            <c15:filteredBarSeries>
              <c15:ser>
                <c:idx val="36"/>
                <c:order val="36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change'!$F$118:$I$118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0.34423407917383819</c:v>
                      </c:pt>
                      <c:pt idx="1">
                        <c:v>-0.74921135646687698</c:v>
                      </c:pt>
                      <c:pt idx="2">
                        <c:v>0.92176979801218339</c:v>
                      </c:pt>
                      <c:pt idx="3">
                        <c:v>-1.97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2-6828-42DC-885D-54468EA096A9}"/>
                  </c:ext>
                </c:extLst>
              </c15:ser>
            </c15:filteredBarSeries>
            <c15:filteredBarSeries>
              <c15:ser>
                <c:idx val="37"/>
                <c:order val="37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change'!$F$119:$I$119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0.34305317324185247</c:v>
                      </c:pt>
                      <c:pt idx="1">
                        <c:v>7.9459674215335716E-2</c:v>
                      </c:pt>
                      <c:pt idx="2">
                        <c:v>-0.19855452307203558</c:v>
                      </c:pt>
                      <c:pt idx="3">
                        <c:v>0.1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3-6828-42DC-885D-54468EA096A9}"/>
                  </c:ext>
                </c:extLst>
              </c15:ser>
            </c15:filteredBarSeries>
            <c15:filteredBarSeries>
              <c15:ser>
                <c:idx val="38"/>
                <c:order val="38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change'!$F$120:$I$120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0.85470085470085466</c:v>
                      </c:pt>
                      <c:pt idx="1">
                        <c:v>0.71456927352123856</c:v>
                      </c:pt>
                      <c:pt idx="2">
                        <c:v>1.0504536049657807</c:v>
                      </c:pt>
                      <c:pt idx="3">
                        <c:v>-0.31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4-6828-42DC-885D-54468EA096A9}"/>
                  </c:ext>
                </c:extLst>
              </c15:ser>
            </c15:filteredBarSeries>
            <c15:filteredBarSeries>
              <c15:ser>
                <c:idx val="39"/>
                <c:order val="39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change'!$F$121:$I$121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-1.3220338983050848</c:v>
                      </c:pt>
                      <c:pt idx="1">
                        <c:v>-1.0248324793062673</c:v>
                      </c:pt>
                      <c:pt idx="2">
                        <c:v>-1.0237832729563712</c:v>
                      </c:pt>
                      <c:pt idx="3">
                        <c:v>-0.5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5-6828-42DC-885D-54468EA096A9}"/>
                  </c:ext>
                </c:extLst>
              </c15:ser>
            </c15:filteredBarSeries>
            <c15:filteredBarSeries>
              <c15:ser>
                <c:idx val="40"/>
                <c:order val="40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change'!$F$122:$I$122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0.54963929920989352</c:v>
                      </c:pt>
                      <c:pt idx="1">
                        <c:v>0.59737156511350065</c:v>
                      </c:pt>
                      <c:pt idx="2">
                        <c:v>0.38987905792488858</c:v>
                      </c:pt>
                      <c:pt idx="3">
                        <c:v>-1.25</c:v>
                      </c:pt>
                    </c:numCache>
                  </c:numRef>
                </c:val>
                <c:extLst xmlns:c16r2="http://schemas.microsoft.com/office/drawing/2015/06/chart" xmlns:c15="http://schemas.microsoft.com/office/drawing/2012/chart">
                  <c:ext xmlns:c16="http://schemas.microsoft.com/office/drawing/2014/chart" uri="{C3380CC4-5D6E-409C-BE32-E72D297353CC}">
                    <c16:uniqueId val="{00000000-6828-42DC-885D-54468EA096A9}"/>
                  </c:ext>
                </c:extLst>
              </c15:ser>
            </c15:filteredBarSeries>
            <c15:filteredBarSeries>
              <c15:ser>
                <c:idx val="41"/>
                <c:order val="4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 xmlns:c16r2="http://schemas.microsoft.com/office/drawing/2015/06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change'!$F$123:$I$123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3.108985309190297</c:v>
                      </c:pt>
                      <c:pt idx="1">
                        <c:v>3.0482977038796517</c:v>
                      </c:pt>
                      <c:pt idx="2">
                        <c:v>2.6868510739478482</c:v>
                      </c:pt>
                      <c:pt idx="3">
                        <c:v>-0.4</c:v>
                      </c:pt>
                    </c:numCache>
                  </c:numRef>
                </c:val>
              </c15:ser>
            </c15:filteredBarSeries>
            <c15:filteredBarSeries>
              <c15:ser>
                <c:idx val="42"/>
                <c:order val="4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change'!$F$124:$I$124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0.46388336646785949</c:v>
                      </c:pt>
                      <c:pt idx="1">
                        <c:v>0.19208605455243949</c:v>
                      </c:pt>
                      <c:pt idx="2">
                        <c:v>0.37820314912009878</c:v>
                      </c:pt>
                      <c:pt idx="3">
                        <c:v>0.64</c:v>
                      </c:pt>
                    </c:numCache>
                  </c:numRef>
                </c:val>
              </c15:ser>
            </c15:filteredBarSeries>
            <c15:filteredBarSeries>
              <c15:ser>
                <c:idx val="43"/>
                <c:order val="43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6r2="http://schemas.microsoft.com/office/drawing/2015/06/chart"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change'!$F$1:$I$1</c15:sqref>
                        </c15:formulaRef>
                      </c:ext>
                    </c:extLst>
                    <c:strCache>
                      <c:ptCount val="4"/>
                      <c:pt idx="0">
                        <c:v>دلار</c:v>
                      </c:pt>
                      <c:pt idx="1">
                        <c:v>سکه</c:v>
                      </c:pt>
                      <c:pt idx="2">
                        <c:v>طلای 18 عیار</c:v>
                      </c:pt>
                      <c:pt idx="3">
                        <c:v>شاخص کل بورس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'price change'!$F$125:$I$125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0.75857519788918204</c:v>
                      </c:pt>
                      <c:pt idx="1">
                        <c:v>1.4570552147239264</c:v>
                      </c:pt>
                      <c:pt idx="2">
                        <c:v>0.43829296424452135</c:v>
                      </c:pt>
                      <c:pt idx="3">
                        <c:v>-0.06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-9523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60624"/>
        <c:crosses val="autoZero"/>
        <c:auto val="1"/>
        <c:lblAlgn val="ctr"/>
        <c:lblOffset val="100"/>
        <c:noMultiLvlLbl val="0"/>
      </c:catAx>
      <c:valAx>
        <c:axId val="-9523606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-9523535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800280</xdr:colOff>
      <xdr:row>592</xdr:row>
      <xdr:rowOff>102960</xdr:rowOff>
    </xdr:from>
    <xdr:to>
      <xdr:col>11</xdr:col>
      <xdr:colOff>279360</xdr:colOff>
      <xdr:row>622</xdr:row>
      <xdr:rowOff>102241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692879</xdr:colOff>
      <xdr:row>172</xdr:row>
      <xdr:rowOff>27711</xdr:rowOff>
    </xdr:from>
    <xdr:to>
      <xdr:col>41</xdr:col>
      <xdr:colOff>533400</xdr:colOff>
      <xdr:row>277</xdr:row>
      <xdr:rowOff>91439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1143000</xdr:colOff>
      <xdr:row>308</xdr:row>
      <xdr:rowOff>0</xdr:rowOff>
    </xdr:from>
    <xdr:to>
      <xdr:col>82</xdr:col>
      <xdr:colOff>0</xdr:colOff>
      <xdr:row>384</xdr:row>
      <xdr:rowOff>152160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1219320</xdr:colOff>
      <xdr:row>627</xdr:row>
      <xdr:rowOff>0</xdr:rowOff>
    </xdr:from>
    <xdr:to>
      <xdr:col>13</xdr:col>
      <xdr:colOff>354240</xdr:colOff>
      <xdr:row>657</xdr:row>
      <xdr:rowOff>53642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323760</xdr:colOff>
      <xdr:row>407</xdr:row>
      <xdr:rowOff>0</xdr:rowOff>
    </xdr:from>
    <xdr:to>
      <xdr:col>83</xdr:col>
      <xdr:colOff>533400</xdr:colOff>
      <xdr:row>506</xdr:row>
      <xdr:rowOff>152160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685800</xdr:colOff>
      <xdr:row>55</xdr:row>
      <xdr:rowOff>76321</xdr:rowOff>
    </xdr:from>
    <xdr:to>
      <xdr:col>44</xdr:col>
      <xdr:colOff>533400</xdr:colOff>
      <xdr:row>154</xdr:row>
      <xdr:rowOff>76201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94110</xdr:colOff>
      <xdr:row>4</xdr:row>
      <xdr:rowOff>183600</xdr:rowOff>
    </xdr:from>
    <xdr:to>
      <xdr:col>17</xdr:col>
      <xdr:colOff>401910</xdr:colOff>
      <xdr:row>17</xdr:row>
      <xdr:rowOff>34920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181080</xdr:colOff>
      <xdr:row>0</xdr:row>
      <xdr:rowOff>114480</xdr:rowOff>
    </xdr:from>
    <xdr:to>
      <xdr:col>7</xdr:col>
      <xdr:colOff>449816</xdr:colOff>
      <xdr:row>27</xdr:row>
      <xdr:rowOff>145676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13"/>
  <sheetViews>
    <sheetView tabSelected="1" topLeftCell="M1" zoomScaleNormal="100" workbookViewId="0">
      <selection activeCell="M193" sqref="M193"/>
    </sheetView>
  </sheetViews>
  <sheetFormatPr defaultColWidth="8.5703125" defaultRowHeight="15"/>
  <cols>
    <col min="1" max="1" width="14.7109375" hidden="1" customWidth="1"/>
    <col min="2" max="2" width="12.140625" customWidth="1"/>
    <col min="3" max="3" width="9.140625" customWidth="1"/>
    <col min="4" max="4" width="18.7109375" customWidth="1"/>
    <col min="5" max="5" width="17.85546875" customWidth="1"/>
    <col min="6" max="6" width="28" customWidth="1"/>
    <col min="7" max="8" width="19.28515625" customWidth="1"/>
    <col min="9" max="10" width="17.7109375" customWidth="1"/>
    <col min="11" max="11" width="22.7109375" customWidth="1"/>
    <col min="12" max="12" width="24.42578125" customWidth="1"/>
    <col min="13" max="13" width="29.7109375" customWidth="1"/>
    <col min="14" max="17" width="26.5703125" customWidth="1"/>
    <col min="18" max="19" width="22.5703125" customWidth="1"/>
    <col min="20" max="20" width="24.7109375" customWidth="1"/>
    <col min="21" max="21" width="14.7109375" customWidth="1"/>
    <col min="22" max="22" width="25.42578125" customWidth="1"/>
    <col min="23" max="23" width="26.42578125" customWidth="1"/>
    <col min="24" max="24" width="15.85546875" customWidth="1"/>
    <col min="25" max="27" width="23" customWidth="1"/>
    <col min="28" max="28" width="20" customWidth="1"/>
    <col min="29" max="44" width="9.140625" customWidth="1"/>
    <col min="45" max="45" width="12.7109375" customWidth="1"/>
    <col min="46" max="56" width="9.140625" customWidth="1"/>
    <col min="57" max="57" width="13.42578125" customWidth="1"/>
    <col min="58" max="58" width="14.7109375" customWidth="1"/>
    <col min="59" max="59" width="17.85546875" customWidth="1"/>
    <col min="60" max="60" width="18.28515625" customWidth="1"/>
    <col min="61" max="61" width="9.140625" customWidth="1"/>
    <col min="62" max="63" width="8.85546875" customWidth="1"/>
    <col min="64" max="64" width="9.140625" customWidth="1"/>
    <col min="65" max="65" width="8.5703125" customWidth="1"/>
  </cols>
  <sheetData>
    <row r="1" spans="1:66" s="6" customFormat="1" ht="30" customHeight="1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e">
        <f>#REF!/#REF!</f>
        <v>#REF!</v>
      </c>
      <c r="T1" s="3" t="s">
        <v>15</v>
      </c>
      <c r="U1" s="3" t="e">
        <f>#REF!/#REF!</f>
        <v>#REF!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5" t="s">
        <v>43</v>
      </c>
      <c r="AX1" s="5" t="s">
        <v>44</v>
      </c>
      <c r="AY1" s="5" t="s">
        <v>45</v>
      </c>
      <c r="AZ1" s="5" t="s">
        <v>46</v>
      </c>
      <c r="BA1" s="5" t="s">
        <v>47</v>
      </c>
      <c r="BB1" s="5" t="s">
        <v>48</v>
      </c>
      <c r="BC1" s="5" t="s">
        <v>49</v>
      </c>
      <c r="BD1" s="5" t="s">
        <v>50</v>
      </c>
      <c r="BE1" s="6" t="s">
        <v>51</v>
      </c>
      <c r="BF1" s="6" t="s">
        <v>52</v>
      </c>
      <c r="BG1" s="6" t="s">
        <v>53</v>
      </c>
      <c r="BH1" s="6" t="s">
        <v>54</v>
      </c>
    </row>
    <row r="2" spans="1:66" ht="21.6" hidden="1" customHeight="1">
      <c r="A2" s="7" t="s">
        <v>55</v>
      </c>
      <c r="B2" s="8" t="s">
        <v>56</v>
      </c>
      <c r="C2" s="8">
        <v>7</v>
      </c>
      <c r="D2" s="8">
        <v>24399</v>
      </c>
      <c r="E2" s="8">
        <v>24535</v>
      </c>
      <c r="F2" s="8">
        <v>24453</v>
      </c>
      <c r="G2" s="8">
        <v>2234900</v>
      </c>
      <c r="H2" s="8">
        <v>28380</v>
      </c>
      <c r="I2" s="8">
        <v>28650</v>
      </c>
      <c r="J2" s="8">
        <v>28650</v>
      </c>
      <c r="K2" s="8">
        <v>1036800</v>
      </c>
      <c r="L2" s="8">
        <f t="shared" ref="L2:L33" si="0">F2*G2</f>
        <v>54650009700</v>
      </c>
      <c r="M2" s="9">
        <f t="shared" ref="M2:M33" si="1">J2*K2</f>
        <v>29704320000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10"/>
      <c r="BF2" s="10"/>
      <c r="BG2" s="10"/>
      <c r="BH2" s="10"/>
      <c r="BI2">
        <f t="shared" ref="BI2:BI33" si="2">X2-N2</f>
        <v>0</v>
      </c>
      <c r="BJ2" t="e">
        <f t="shared" ref="BJ2:BJ33" si="3">(Y2-O2)/O2</f>
        <v>#DIV/0!</v>
      </c>
      <c r="BK2">
        <f t="shared" ref="BK2:BK33" si="4">K3/K2</f>
        <v>1.0912422839506173</v>
      </c>
      <c r="BL2" t="e">
        <f t="shared" ref="BL2:BL33" si="5">(Y2-O2)/O2</f>
        <v>#DIV/0!</v>
      </c>
      <c r="BM2">
        <f t="shared" ref="BM2:BM33" si="6">(X2-D2)/D2</f>
        <v>-1</v>
      </c>
    </row>
    <row r="3" spans="1:66" ht="18" hidden="1">
      <c r="A3" s="7" t="s">
        <v>57</v>
      </c>
      <c r="B3" s="8" t="s">
        <v>58</v>
      </c>
      <c r="C3" s="8">
        <v>8</v>
      </c>
      <c r="D3" s="8">
        <v>24604</v>
      </c>
      <c r="E3" s="8">
        <v>24980</v>
      </c>
      <c r="F3" s="8">
        <v>24657</v>
      </c>
      <c r="G3" s="8">
        <v>3742800</v>
      </c>
      <c r="H3" s="8">
        <v>28800</v>
      </c>
      <c r="I3" s="8">
        <v>29000</v>
      </c>
      <c r="J3" s="8">
        <v>28952</v>
      </c>
      <c r="K3" s="8">
        <v>1131400</v>
      </c>
      <c r="L3" s="8">
        <f t="shared" si="0"/>
        <v>92286219600</v>
      </c>
      <c r="M3" s="9">
        <f t="shared" si="1"/>
        <v>32756292800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10"/>
      <c r="BF3" s="10"/>
      <c r="BG3" s="10"/>
      <c r="BH3" s="10"/>
      <c r="BI3">
        <f t="shared" si="2"/>
        <v>0</v>
      </c>
      <c r="BJ3" t="e">
        <f t="shared" si="3"/>
        <v>#DIV/0!</v>
      </c>
      <c r="BK3">
        <f t="shared" si="4"/>
        <v>1.0882976842849568</v>
      </c>
      <c r="BL3" t="e">
        <f t="shared" si="5"/>
        <v>#DIV/0!</v>
      </c>
      <c r="BM3">
        <f t="shared" si="6"/>
        <v>-1</v>
      </c>
    </row>
    <row r="4" spans="1:66" ht="18" hidden="1">
      <c r="A4" s="7" t="s">
        <v>59</v>
      </c>
      <c r="B4" s="8" t="s">
        <v>60</v>
      </c>
      <c r="C4" s="8">
        <v>10</v>
      </c>
      <c r="D4" s="8">
        <v>25452</v>
      </c>
      <c r="E4" s="8">
        <v>25037</v>
      </c>
      <c r="F4" s="8">
        <v>25256</v>
      </c>
      <c r="G4" s="8">
        <v>2279400</v>
      </c>
      <c r="H4" s="8">
        <v>29295</v>
      </c>
      <c r="I4" s="8">
        <v>29200</v>
      </c>
      <c r="J4" s="8">
        <v>29256</v>
      </c>
      <c r="K4" s="8">
        <v>1231300</v>
      </c>
      <c r="L4" s="8">
        <f t="shared" si="0"/>
        <v>57568526400</v>
      </c>
      <c r="M4" s="9">
        <f t="shared" si="1"/>
        <v>36022912800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10"/>
      <c r="BF4" s="10"/>
      <c r="BG4" s="10"/>
      <c r="BH4" s="10"/>
      <c r="BI4">
        <f t="shared" si="2"/>
        <v>0</v>
      </c>
      <c r="BJ4" t="e">
        <f t="shared" si="3"/>
        <v>#DIV/0!</v>
      </c>
      <c r="BK4">
        <f t="shared" si="4"/>
        <v>1.0013806545927069</v>
      </c>
      <c r="BL4" t="e">
        <f t="shared" si="5"/>
        <v>#DIV/0!</v>
      </c>
      <c r="BM4">
        <f t="shared" si="6"/>
        <v>-1</v>
      </c>
    </row>
    <row r="5" spans="1:66" ht="18" hidden="1">
      <c r="A5" s="7" t="s">
        <v>61</v>
      </c>
      <c r="B5" s="8" t="s">
        <v>62</v>
      </c>
      <c r="C5" s="8">
        <v>11</v>
      </c>
      <c r="D5" s="8">
        <v>24956</v>
      </c>
      <c r="E5" s="8">
        <v>25043</v>
      </c>
      <c r="F5" s="8">
        <v>25011</v>
      </c>
      <c r="G5" s="8">
        <v>2306500</v>
      </c>
      <c r="H5" s="8">
        <v>29200</v>
      </c>
      <c r="I5" s="8">
        <v>29097</v>
      </c>
      <c r="J5" s="8">
        <v>29135</v>
      </c>
      <c r="K5" s="8">
        <v>1233000</v>
      </c>
      <c r="L5" s="8">
        <f t="shared" si="0"/>
        <v>57687871500</v>
      </c>
      <c r="M5" s="9">
        <f t="shared" si="1"/>
        <v>35923455000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10"/>
      <c r="BF5" s="10"/>
      <c r="BG5" s="10"/>
      <c r="BH5" s="10"/>
      <c r="BI5">
        <f t="shared" si="2"/>
        <v>0</v>
      </c>
      <c r="BJ5" t="e">
        <f t="shared" si="3"/>
        <v>#DIV/0!</v>
      </c>
      <c r="BK5">
        <f t="shared" si="4"/>
        <v>0.25304136253041365</v>
      </c>
      <c r="BL5" t="e">
        <f t="shared" si="5"/>
        <v>#DIV/0!</v>
      </c>
      <c r="BM5">
        <f t="shared" si="6"/>
        <v>-1</v>
      </c>
    </row>
    <row r="6" spans="1:66" ht="18.75" hidden="1" customHeight="1">
      <c r="A6" s="7" t="s">
        <v>63</v>
      </c>
      <c r="B6" s="8" t="s">
        <v>64</v>
      </c>
      <c r="C6" s="8">
        <v>14</v>
      </c>
      <c r="D6" s="8">
        <v>24922</v>
      </c>
      <c r="E6" s="8">
        <v>24200</v>
      </c>
      <c r="F6" s="8">
        <v>24358</v>
      </c>
      <c r="G6" s="8">
        <v>1497000</v>
      </c>
      <c r="H6" s="8">
        <v>29098</v>
      </c>
      <c r="I6" s="8">
        <v>28300</v>
      </c>
      <c r="J6" s="8">
        <v>28511</v>
      </c>
      <c r="K6" s="8">
        <v>312000</v>
      </c>
      <c r="L6" s="8">
        <f t="shared" si="0"/>
        <v>36463926000</v>
      </c>
      <c r="M6" s="9">
        <f t="shared" si="1"/>
        <v>8895432000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10"/>
      <c r="BF6" s="10"/>
      <c r="BG6" s="10"/>
      <c r="BH6" s="10"/>
      <c r="BI6">
        <f t="shared" si="2"/>
        <v>0</v>
      </c>
      <c r="BJ6" t="e">
        <f t="shared" si="3"/>
        <v>#DIV/0!</v>
      </c>
      <c r="BK6">
        <f t="shared" si="4"/>
        <v>5.3717948717948714</v>
      </c>
      <c r="BL6" t="e">
        <f t="shared" si="5"/>
        <v>#DIV/0!</v>
      </c>
      <c r="BM6">
        <f t="shared" si="6"/>
        <v>-1</v>
      </c>
    </row>
    <row r="7" spans="1:66" ht="18" hidden="1">
      <c r="A7" s="7" t="s">
        <v>65</v>
      </c>
      <c r="B7" s="8" t="s">
        <v>66</v>
      </c>
      <c r="C7" s="8">
        <v>15</v>
      </c>
      <c r="D7" s="8">
        <v>24200</v>
      </c>
      <c r="E7" s="8">
        <v>24015</v>
      </c>
      <c r="F7" s="8">
        <v>24071</v>
      </c>
      <c r="G7" s="8">
        <v>3240200</v>
      </c>
      <c r="H7" s="8">
        <v>28200</v>
      </c>
      <c r="I7" s="8">
        <v>28380</v>
      </c>
      <c r="J7" s="8">
        <v>28056</v>
      </c>
      <c r="K7" s="8">
        <v>1676000</v>
      </c>
      <c r="L7" s="8">
        <f t="shared" si="0"/>
        <v>77994854200</v>
      </c>
      <c r="M7" s="9">
        <f t="shared" si="1"/>
        <v>47021856000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10"/>
      <c r="BF7" s="10"/>
      <c r="BG7" s="10"/>
      <c r="BH7" s="10"/>
      <c r="BI7">
        <f t="shared" si="2"/>
        <v>0</v>
      </c>
      <c r="BJ7" t="e">
        <f t="shared" si="3"/>
        <v>#DIV/0!</v>
      </c>
      <c r="BK7">
        <f t="shared" si="4"/>
        <v>0.59886634844868736</v>
      </c>
      <c r="BL7" t="e">
        <f t="shared" si="5"/>
        <v>#DIV/0!</v>
      </c>
      <c r="BM7">
        <f t="shared" si="6"/>
        <v>-1</v>
      </c>
    </row>
    <row r="8" spans="1:66" ht="18" hidden="1">
      <c r="A8" s="7" t="s">
        <v>67</v>
      </c>
      <c r="B8" s="8" t="s">
        <v>68</v>
      </c>
      <c r="C8" s="8">
        <v>16</v>
      </c>
      <c r="D8" s="8">
        <v>24283</v>
      </c>
      <c r="E8" s="8">
        <v>24221</v>
      </c>
      <c r="F8" s="8">
        <v>24191</v>
      </c>
      <c r="G8" s="8">
        <v>4557799</v>
      </c>
      <c r="H8" s="8">
        <v>28201</v>
      </c>
      <c r="I8" s="8">
        <v>28207</v>
      </c>
      <c r="J8" s="8">
        <v>28236</v>
      </c>
      <c r="K8" s="8">
        <v>1003700</v>
      </c>
      <c r="L8" s="8">
        <f t="shared" si="0"/>
        <v>110257715609</v>
      </c>
      <c r="M8" s="9">
        <f t="shared" si="1"/>
        <v>28340473200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10"/>
      <c r="BF8" s="10"/>
      <c r="BG8" s="10"/>
      <c r="BH8" s="10"/>
      <c r="BI8">
        <f t="shared" si="2"/>
        <v>0</v>
      </c>
      <c r="BJ8" t="e">
        <f t="shared" si="3"/>
        <v>#DIV/0!</v>
      </c>
      <c r="BK8">
        <f t="shared" si="4"/>
        <v>1.5694928763574774</v>
      </c>
      <c r="BL8" t="e">
        <f t="shared" si="5"/>
        <v>#DIV/0!</v>
      </c>
      <c r="BM8">
        <f t="shared" si="6"/>
        <v>-1</v>
      </c>
    </row>
    <row r="9" spans="1:66" ht="18" hidden="1">
      <c r="A9" s="7" t="s">
        <v>69</v>
      </c>
      <c r="B9" s="8" t="s">
        <v>70</v>
      </c>
      <c r="C9" s="8">
        <v>17</v>
      </c>
      <c r="D9" s="8">
        <v>24223</v>
      </c>
      <c r="E9" s="8">
        <v>24225</v>
      </c>
      <c r="F9" s="8">
        <v>24354</v>
      </c>
      <c r="G9" s="8">
        <v>4121500</v>
      </c>
      <c r="H9" s="8">
        <v>28270</v>
      </c>
      <c r="I9" s="8">
        <v>28500</v>
      </c>
      <c r="J9" s="8">
        <v>28508</v>
      </c>
      <c r="K9" s="8">
        <v>1575300</v>
      </c>
      <c r="L9" s="8">
        <f t="shared" si="0"/>
        <v>100375011000</v>
      </c>
      <c r="M9" s="9">
        <f t="shared" si="1"/>
        <v>44908652400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>
        <f t="shared" si="2"/>
        <v>0</v>
      </c>
      <c r="BJ9" t="e">
        <f t="shared" si="3"/>
        <v>#DIV/0!</v>
      </c>
      <c r="BK9">
        <f t="shared" si="4"/>
        <v>0.77667745826191836</v>
      </c>
      <c r="BL9" t="e">
        <f t="shared" si="5"/>
        <v>#DIV/0!</v>
      </c>
      <c r="BM9">
        <f t="shared" si="6"/>
        <v>-1</v>
      </c>
    </row>
    <row r="10" spans="1:66" ht="18" hidden="1">
      <c r="A10" s="7" t="s">
        <v>71</v>
      </c>
      <c r="B10" s="8" t="s">
        <v>72</v>
      </c>
      <c r="C10" s="8">
        <v>18</v>
      </c>
      <c r="D10" s="8">
        <v>24526</v>
      </c>
      <c r="E10" s="8">
        <v>24313</v>
      </c>
      <c r="F10" s="8">
        <v>24418</v>
      </c>
      <c r="G10" s="8">
        <v>4772200</v>
      </c>
      <c r="H10" s="8">
        <v>28503</v>
      </c>
      <c r="I10" s="8">
        <v>28600</v>
      </c>
      <c r="J10" s="8">
        <v>28612</v>
      </c>
      <c r="K10" s="8">
        <v>1223500</v>
      </c>
      <c r="L10" s="8">
        <f t="shared" si="0"/>
        <v>116527579600</v>
      </c>
      <c r="M10" s="9">
        <f t="shared" si="1"/>
        <v>35006782000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10"/>
      <c r="BF10" s="10"/>
      <c r="BG10" s="10"/>
      <c r="BH10" s="10"/>
      <c r="BI10">
        <f t="shared" si="2"/>
        <v>0</v>
      </c>
      <c r="BJ10" t="e">
        <f t="shared" si="3"/>
        <v>#DIV/0!</v>
      </c>
      <c r="BK10">
        <f t="shared" si="4"/>
        <v>1.0130772374335921</v>
      </c>
      <c r="BL10" t="e">
        <f t="shared" si="5"/>
        <v>#DIV/0!</v>
      </c>
      <c r="BM10">
        <f t="shared" si="6"/>
        <v>-1</v>
      </c>
    </row>
    <row r="11" spans="1:66" ht="18" hidden="1">
      <c r="A11" s="7" t="s">
        <v>73</v>
      </c>
      <c r="B11" s="8" t="s">
        <v>74</v>
      </c>
      <c r="C11" s="8">
        <v>19</v>
      </c>
      <c r="D11" s="8">
        <v>24225</v>
      </c>
      <c r="E11" s="8">
        <v>24048</v>
      </c>
      <c r="F11" s="8">
        <v>24149</v>
      </c>
      <c r="G11" s="8">
        <v>2170200</v>
      </c>
      <c r="H11" s="8">
        <v>28300</v>
      </c>
      <c r="I11" s="8">
        <v>28267</v>
      </c>
      <c r="J11" s="8">
        <v>28316</v>
      </c>
      <c r="K11" s="8">
        <v>1239500</v>
      </c>
      <c r="L11" s="8">
        <f t="shared" si="0"/>
        <v>52408159800</v>
      </c>
      <c r="M11" s="9">
        <f t="shared" si="1"/>
        <v>35097682000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10"/>
      <c r="BF11" s="10"/>
      <c r="BG11" s="10"/>
      <c r="BH11" s="10"/>
      <c r="BI11">
        <f t="shared" si="2"/>
        <v>0</v>
      </c>
      <c r="BJ11" t="e">
        <f t="shared" si="3"/>
        <v>#DIV/0!</v>
      </c>
      <c r="BK11">
        <f t="shared" si="4"/>
        <v>1.4194433239209359</v>
      </c>
      <c r="BL11" t="e">
        <f t="shared" si="5"/>
        <v>#DIV/0!</v>
      </c>
      <c r="BM11">
        <f t="shared" si="6"/>
        <v>-1</v>
      </c>
    </row>
    <row r="12" spans="1:66" s="14" customFormat="1" ht="18" hidden="1">
      <c r="A12" s="11" t="s">
        <v>75</v>
      </c>
      <c r="B12" s="12" t="s">
        <v>76</v>
      </c>
      <c r="C12" s="12">
        <v>21</v>
      </c>
      <c r="D12" s="12">
        <v>24146</v>
      </c>
      <c r="E12" s="12">
        <v>24021</v>
      </c>
      <c r="F12" s="12">
        <v>24080</v>
      </c>
      <c r="G12" s="12">
        <v>4418700</v>
      </c>
      <c r="H12" s="12">
        <v>28476</v>
      </c>
      <c r="I12" s="12">
        <v>28100</v>
      </c>
      <c r="J12" s="12">
        <v>28242</v>
      </c>
      <c r="K12" s="12">
        <v>1759400</v>
      </c>
      <c r="L12" s="12">
        <f t="shared" si="0"/>
        <v>106402296000</v>
      </c>
      <c r="M12" s="12">
        <f t="shared" si="1"/>
        <v>49688974800</v>
      </c>
      <c r="N12" s="12">
        <v>24262</v>
      </c>
      <c r="O12" s="12">
        <v>28381</v>
      </c>
      <c r="P12" s="12"/>
      <c r="Q12" s="12"/>
      <c r="R12" s="12"/>
      <c r="S12" s="12"/>
      <c r="T12" s="12"/>
      <c r="U12" s="12"/>
      <c r="V12" s="12"/>
      <c r="W12" s="12"/>
      <c r="X12" s="12">
        <v>24780</v>
      </c>
      <c r="Y12" s="12">
        <v>29607</v>
      </c>
      <c r="Z12" s="12"/>
      <c r="AA12" s="12"/>
      <c r="AB12" s="12"/>
      <c r="AC12" s="12">
        <v>6890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>
        <v>10410000</v>
      </c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3"/>
      <c r="BF12" s="13"/>
      <c r="BG12" s="13"/>
      <c r="BH12" s="13"/>
      <c r="BI12" s="14">
        <f t="shared" si="2"/>
        <v>518</v>
      </c>
      <c r="BJ12" s="14">
        <f t="shared" si="3"/>
        <v>4.3197914097459565E-2</v>
      </c>
      <c r="BK12" s="14">
        <f t="shared" si="4"/>
        <v>1.2921450494486757</v>
      </c>
      <c r="BL12" s="14">
        <f t="shared" si="5"/>
        <v>4.3197914097459565E-2</v>
      </c>
      <c r="BM12" s="14">
        <f t="shared" si="6"/>
        <v>2.6256936966785389E-2</v>
      </c>
      <c r="BN12" s="14">
        <f>100*(X12-F12)/F12</f>
        <v>2.9069767441860463</v>
      </c>
    </row>
    <row r="13" spans="1:66" s="14" customFormat="1" ht="18" hidden="1">
      <c r="A13" s="11"/>
      <c r="B13" s="12" t="s">
        <v>77</v>
      </c>
      <c r="C13" s="12">
        <v>22</v>
      </c>
      <c r="D13" s="12">
        <v>24028</v>
      </c>
      <c r="E13" s="12">
        <v>23996</v>
      </c>
      <c r="F13" s="12">
        <v>24033</v>
      </c>
      <c r="G13" s="12">
        <v>3850400</v>
      </c>
      <c r="H13" s="12">
        <v>28127</v>
      </c>
      <c r="I13" s="12">
        <v>28250</v>
      </c>
      <c r="J13" s="12">
        <v>28171</v>
      </c>
      <c r="K13" s="12">
        <v>2273400</v>
      </c>
      <c r="L13" s="12">
        <f t="shared" si="0"/>
        <v>92536663200</v>
      </c>
      <c r="M13" s="12">
        <f t="shared" si="1"/>
        <v>64043951400</v>
      </c>
      <c r="N13" s="12">
        <v>24235</v>
      </c>
      <c r="O13" s="12">
        <v>28532</v>
      </c>
      <c r="P13" s="12">
        <v>24341</v>
      </c>
      <c r="Q13" s="12">
        <v>28381</v>
      </c>
      <c r="R13" s="12"/>
      <c r="S13" s="12"/>
      <c r="T13" s="12"/>
      <c r="U13" s="12"/>
      <c r="V13" s="12">
        <v>24820</v>
      </c>
      <c r="W13" s="12">
        <v>29654</v>
      </c>
      <c r="X13" s="12">
        <v>24950</v>
      </c>
      <c r="Y13" s="15">
        <v>29600</v>
      </c>
      <c r="Z13" s="15"/>
      <c r="AA13" s="15"/>
      <c r="AB13" s="12"/>
      <c r="AC13" s="12"/>
      <c r="AD13" s="12">
        <v>10477000</v>
      </c>
      <c r="AE13" s="12">
        <v>6250000</v>
      </c>
      <c r="AF13" s="12">
        <v>4050000</v>
      </c>
      <c r="AG13" s="12">
        <v>2290000</v>
      </c>
      <c r="AH13" s="12">
        <v>1032200</v>
      </c>
      <c r="AI13" s="12">
        <v>10449000</v>
      </c>
      <c r="AJ13" s="12">
        <v>6200000</v>
      </c>
      <c r="AK13" s="12">
        <v>3900000</v>
      </c>
      <c r="AL13" s="12">
        <v>2250000</v>
      </c>
      <c r="AM13" s="12">
        <v>1032200</v>
      </c>
      <c r="AN13" s="12">
        <f t="shared" ref="AN13:AR15" si="7">(AD13-AI13)/AI13</f>
        <v>2.6796822662455738E-3</v>
      </c>
      <c r="AO13" s="12">
        <f t="shared" si="7"/>
        <v>8.0645161290322578E-3</v>
      </c>
      <c r="AP13" s="12">
        <f t="shared" si="7"/>
        <v>3.8461538461538464E-2</v>
      </c>
      <c r="AQ13" s="12">
        <f t="shared" si="7"/>
        <v>1.7777777777777778E-2</v>
      </c>
      <c r="AR13" s="12">
        <f t="shared" si="7"/>
        <v>0</v>
      </c>
      <c r="AS13" s="12">
        <v>10410000</v>
      </c>
      <c r="AT13" s="12">
        <v>6200000</v>
      </c>
      <c r="AU13" s="12">
        <v>3950000</v>
      </c>
      <c r="AV13" s="12">
        <v>2200000</v>
      </c>
      <c r="AW13" s="12">
        <v>1033600</v>
      </c>
      <c r="AX13" s="12"/>
      <c r="AY13" s="12"/>
      <c r="AZ13" s="12"/>
      <c r="BA13" s="12"/>
      <c r="BB13" s="12"/>
      <c r="BC13" s="12"/>
      <c r="BD13" s="12"/>
      <c r="BE13" s="13">
        <v>2.2999999999999998</v>
      </c>
      <c r="BF13" s="13">
        <v>22</v>
      </c>
      <c r="BG13" s="13">
        <v>55</v>
      </c>
      <c r="BH13" s="13">
        <v>75</v>
      </c>
      <c r="BI13" s="14">
        <f t="shared" si="2"/>
        <v>715</v>
      </c>
      <c r="BJ13" s="14">
        <f t="shared" si="3"/>
        <v>3.7431655684845085E-2</v>
      </c>
      <c r="BK13" s="14">
        <f t="shared" si="4"/>
        <v>1.4648104161168294</v>
      </c>
      <c r="BL13" s="14">
        <f t="shared" si="5"/>
        <v>3.7431655684845085E-2</v>
      </c>
      <c r="BM13" s="14">
        <f t="shared" si="6"/>
        <v>3.8371899450640921E-2</v>
      </c>
      <c r="BN13" s="14">
        <f t="shared" ref="BN13:BN76" si="8">100*(X13-F13)/F13</f>
        <v>3.8155869013439854</v>
      </c>
    </row>
    <row r="14" spans="1:66" s="14" customFormat="1" ht="18" hidden="1">
      <c r="A14" s="11"/>
      <c r="B14" s="12" t="s">
        <v>78</v>
      </c>
      <c r="C14" s="12">
        <v>23</v>
      </c>
      <c r="D14" s="12">
        <v>24127</v>
      </c>
      <c r="E14" s="12">
        <v>24060</v>
      </c>
      <c r="F14" s="12">
        <v>24076</v>
      </c>
      <c r="G14" s="12">
        <v>4181400</v>
      </c>
      <c r="H14" s="12">
        <v>28300</v>
      </c>
      <c r="I14" s="12">
        <v>28000</v>
      </c>
      <c r="J14" s="12">
        <v>28110</v>
      </c>
      <c r="K14" s="12">
        <v>3330100</v>
      </c>
      <c r="L14" s="12">
        <f t="shared" si="0"/>
        <v>100671386400</v>
      </c>
      <c r="M14" s="12">
        <f t="shared" si="1"/>
        <v>93609111000</v>
      </c>
      <c r="N14" s="12">
        <v>24301</v>
      </c>
      <c r="O14" s="12">
        <v>28280</v>
      </c>
      <c r="P14" s="12">
        <v>24369</v>
      </c>
      <c r="Q14" s="12">
        <v>28583</v>
      </c>
      <c r="R14" s="12"/>
      <c r="S14" s="12"/>
      <c r="T14" s="12"/>
      <c r="U14" s="12"/>
      <c r="V14" s="12"/>
      <c r="W14" s="12"/>
      <c r="X14" s="12">
        <v>25010</v>
      </c>
      <c r="Y14" s="12">
        <v>29881</v>
      </c>
      <c r="Z14" s="12"/>
      <c r="AA14" s="12"/>
      <c r="AB14" s="12"/>
      <c r="AC14" s="12">
        <v>6880</v>
      </c>
      <c r="AD14" s="12">
        <v>10557000</v>
      </c>
      <c r="AE14" s="12">
        <v>6280000</v>
      </c>
      <c r="AF14" s="12">
        <v>3935000</v>
      </c>
      <c r="AG14" s="12">
        <v>2265000</v>
      </c>
      <c r="AH14" s="12">
        <v>1042800</v>
      </c>
      <c r="AI14" s="12">
        <v>10468000</v>
      </c>
      <c r="AJ14" s="12">
        <v>6280000</v>
      </c>
      <c r="AK14" s="12">
        <v>3935000</v>
      </c>
      <c r="AL14" s="12">
        <v>2265000</v>
      </c>
      <c r="AM14" s="12">
        <v>1029900</v>
      </c>
      <c r="AN14" s="12">
        <f t="shared" si="7"/>
        <v>8.5021016431027895E-3</v>
      </c>
      <c r="AO14" s="12">
        <f t="shared" si="7"/>
        <v>0</v>
      </c>
      <c r="AP14" s="12">
        <f t="shared" si="7"/>
        <v>0</v>
      </c>
      <c r="AQ14" s="12">
        <f t="shared" si="7"/>
        <v>0</v>
      </c>
      <c r="AR14" s="12">
        <f t="shared" si="7"/>
        <v>1.2525487911447713E-2</v>
      </c>
      <c r="AS14" s="12">
        <v>10490000</v>
      </c>
      <c r="AT14" s="12">
        <v>6150000</v>
      </c>
      <c r="AU14" s="12">
        <v>3850000</v>
      </c>
      <c r="AV14" s="12">
        <v>2200000</v>
      </c>
      <c r="AW14" s="12">
        <v>1031899</v>
      </c>
      <c r="AX14" s="12"/>
      <c r="AY14" s="12"/>
      <c r="AZ14" s="12"/>
      <c r="BA14" s="12"/>
      <c r="BB14" s="12"/>
      <c r="BC14" s="12"/>
      <c r="BD14" s="12"/>
      <c r="BE14" s="13">
        <v>2.48</v>
      </c>
      <c r="BF14" s="13">
        <v>20.23</v>
      </c>
      <c r="BG14" s="13">
        <v>50.38</v>
      </c>
      <c r="BH14" s="13">
        <v>74.349999999999994</v>
      </c>
      <c r="BI14" s="14">
        <f t="shared" si="2"/>
        <v>709</v>
      </c>
      <c r="BJ14" s="14">
        <f t="shared" si="3"/>
        <v>5.6612446958981613E-2</v>
      </c>
      <c r="BK14" s="14">
        <f t="shared" si="4"/>
        <v>0.71544398066124137</v>
      </c>
      <c r="BL14" s="14">
        <f t="shared" si="5"/>
        <v>5.6612446958981613E-2</v>
      </c>
      <c r="BM14" s="14">
        <f t="shared" si="6"/>
        <v>3.6598002238156423E-2</v>
      </c>
      <c r="BN14" s="14">
        <f t="shared" si="8"/>
        <v>3.8793819571357369</v>
      </c>
    </row>
    <row r="15" spans="1:66" s="14" customFormat="1" ht="18" hidden="1">
      <c r="A15" s="11"/>
      <c r="B15" s="12" t="s">
        <v>79</v>
      </c>
      <c r="C15" s="12">
        <v>24</v>
      </c>
      <c r="D15" s="12">
        <v>24052</v>
      </c>
      <c r="E15" s="12">
        <v>23850</v>
      </c>
      <c r="F15" s="12">
        <v>23948</v>
      </c>
      <c r="G15" s="12">
        <v>4131200</v>
      </c>
      <c r="H15" s="12">
        <v>28085</v>
      </c>
      <c r="I15" s="12">
        <v>28110</v>
      </c>
      <c r="J15" s="12">
        <v>28200</v>
      </c>
      <c r="K15" s="12">
        <v>2382500</v>
      </c>
      <c r="L15" s="12">
        <f t="shared" si="0"/>
        <v>98933977600</v>
      </c>
      <c r="M15" s="12">
        <f t="shared" si="1"/>
        <v>67186500000</v>
      </c>
      <c r="N15" s="12">
        <v>24089</v>
      </c>
      <c r="O15" s="12">
        <v>28391</v>
      </c>
      <c r="P15" s="12">
        <v>24292</v>
      </c>
      <c r="Q15" s="12">
        <v>28366</v>
      </c>
      <c r="R15" s="12"/>
      <c r="S15" s="12"/>
      <c r="T15" s="12"/>
      <c r="U15" s="12"/>
      <c r="V15" s="12">
        <v>24900</v>
      </c>
      <c r="W15" s="12"/>
      <c r="X15" s="12">
        <v>24920</v>
      </c>
      <c r="Y15" s="12">
        <v>29774</v>
      </c>
      <c r="Z15" s="12"/>
      <c r="AA15" s="12"/>
      <c r="AB15" s="12"/>
      <c r="AC15" s="12"/>
      <c r="AD15" s="12">
        <v>10452000</v>
      </c>
      <c r="AE15" s="12">
        <v>6230000</v>
      </c>
      <c r="AF15" s="12">
        <v>3915000</v>
      </c>
      <c r="AG15" s="12">
        <v>2260000</v>
      </c>
      <c r="AH15" s="12">
        <v>1044400</v>
      </c>
      <c r="AI15" s="12">
        <v>10383000</v>
      </c>
      <c r="AJ15" s="12">
        <v>6200000</v>
      </c>
      <c r="AK15" s="12">
        <v>3900000</v>
      </c>
      <c r="AL15" s="12">
        <v>2250000</v>
      </c>
      <c r="AM15" s="12">
        <v>1025700</v>
      </c>
      <c r="AN15" s="12">
        <f t="shared" si="7"/>
        <v>6.6454781854955215E-3</v>
      </c>
      <c r="AO15" s="12">
        <f t="shared" si="7"/>
        <v>4.8387096774193551E-3</v>
      </c>
      <c r="AP15" s="12">
        <f t="shared" si="7"/>
        <v>3.8461538461538464E-3</v>
      </c>
      <c r="AQ15" s="12">
        <f t="shared" si="7"/>
        <v>4.4444444444444444E-3</v>
      </c>
      <c r="AR15" s="12">
        <f t="shared" si="7"/>
        <v>1.8231451691527737E-2</v>
      </c>
      <c r="AS15" s="12">
        <v>10440000</v>
      </c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3">
        <v>2.12</v>
      </c>
      <c r="BF15" s="13">
        <v>21.31</v>
      </c>
      <c r="BG15" s="13">
        <v>52.47</v>
      </c>
      <c r="BH15" s="13">
        <v>74.5</v>
      </c>
      <c r="BI15" s="14">
        <f t="shared" si="2"/>
        <v>831</v>
      </c>
      <c r="BJ15" s="14">
        <f t="shared" si="3"/>
        <v>4.8712620196541156E-2</v>
      </c>
      <c r="BK15" s="14">
        <f t="shared" si="4"/>
        <v>1.0511227701993704</v>
      </c>
      <c r="BL15" s="14">
        <f t="shared" si="5"/>
        <v>4.8712620196541156E-2</v>
      </c>
      <c r="BM15" s="14">
        <f t="shared" si="6"/>
        <v>3.6088474970896393E-2</v>
      </c>
      <c r="BN15" s="14">
        <f t="shared" si="8"/>
        <v>4.0587940537831972</v>
      </c>
    </row>
    <row r="16" spans="1:66" s="14" customFormat="1" ht="18" hidden="1">
      <c r="A16" s="11"/>
      <c r="B16" s="12" t="s">
        <v>80</v>
      </c>
      <c r="C16" s="12">
        <v>25</v>
      </c>
      <c r="D16" s="12">
        <v>23929</v>
      </c>
      <c r="E16" s="12">
        <v>23994</v>
      </c>
      <c r="F16" s="12">
        <v>23893</v>
      </c>
      <c r="G16" s="12">
        <v>5173000</v>
      </c>
      <c r="H16" s="12">
        <v>28156</v>
      </c>
      <c r="I16" s="12">
        <v>28100</v>
      </c>
      <c r="J16" s="12">
        <v>28170</v>
      </c>
      <c r="K16" s="12">
        <v>2504300</v>
      </c>
      <c r="L16" s="12">
        <f t="shared" si="0"/>
        <v>123598489000</v>
      </c>
      <c r="M16" s="12">
        <f t="shared" si="1"/>
        <v>70546131000</v>
      </c>
      <c r="N16" s="12">
        <v>24234</v>
      </c>
      <c r="O16" s="12">
        <v>28381</v>
      </c>
      <c r="P16" s="12">
        <v>24168</v>
      </c>
      <c r="Q16" s="12">
        <v>28437</v>
      </c>
      <c r="R16" s="12"/>
      <c r="S16" s="12"/>
      <c r="T16" s="12"/>
      <c r="U16" s="12"/>
      <c r="V16" s="12"/>
      <c r="W16" s="12"/>
      <c r="X16" s="12">
        <v>24870</v>
      </c>
      <c r="Y16" s="12">
        <v>29787</v>
      </c>
      <c r="Z16" s="12"/>
      <c r="AA16" s="12"/>
      <c r="AB16" s="12"/>
      <c r="AC16" s="12"/>
      <c r="AD16" s="12">
        <v>10600000</v>
      </c>
      <c r="AE16" s="12">
        <v>6200000</v>
      </c>
      <c r="AF16" s="12">
        <v>3900000</v>
      </c>
      <c r="AG16" s="12">
        <v>2200000</v>
      </c>
      <c r="AH16" s="12"/>
      <c r="AI16" s="12">
        <v>10560000</v>
      </c>
      <c r="AJ16" s="12"/>
      <c r="AK16" s="12"/>
      <c r="AL16" s="12"/>
      <c r="AM16" s="12"/>
      <c r="AN16" s="12">
        <f>(AD16-AI16)/AI16</f>
        <v>3.787878787878788E-3</v>
      </c>
      <c r="AO16" s="12"/>
      <c r="AP16" s="12"/>
      <c r="AQ16" s="12"/>
      <c r="AR16" s="12"/>
      <c r="AS16" s="12">
        <v>10530000</v>
      </c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3"/>
      <c r="BF16" s="13"/>
      <c r="BG16" s="13"/>
      <c r="BH16" s="13"/>
      <c r="BI16" s="14">
        <f t="shared" si="2"/>
        <v>636</v>
      </c>
      <c r="BJ16" s="14">
        <f t="shared" si="3"/>
        <v>4.9540185335259501E-2</v>
      </c>
      <c r="BK16" s="14">
        <f t="shared" si="4"/>
        <v>0.50045921015852735</v>
      </c>
      <c r="BL16" s="14">
        <f t="shared" si="5"/>
        <v>4.9540185335259501E-2</v>
      </c>
      <c r="BM16" s="14">
        <f t="shared" si="6"/>
        <v>3.9324668811901879E-2</v>
      </c>
      <c r="BN16" s="14">
        <f t="shared" si="8"/>
        <v>4.0890637425187295</v>
      </c>
    </row>
    <row r="17" spans="1:66" s="14" customFormat="1" ht="18" hidden="1">
      <c r="A17" s="11"/>
      <c r="B17" s="12" t="s">
        <v>81</v>
      </c>
      <c r="C17" s="12">
        <v>26</v>
      </c>
      <c r="D17" s="12">
        <v>23857</v>
      </c>
      <c r="E17" s="12">
        <v>23754</v>
      </c>
      <c r="F17" s="12">
        <v>23801</v>
      </c>
      <c r="G17" s="12">
        <v>4922700</v>
      </c>
      <c r="H17" s="12">
        <v>28342</v>
      </c>
      <c r="I17" s="12">
        <v>28300</v>
      </c>
      <c r="J17" s="12">
        <v>28259</v>
      </c>
      <c r="K17" s="12">
        <v>1253300</v>
      </c>
      <c r="L17" s="12">
        <f t="shared" si="0"/>
        <v>117165182700</v>
      </c>
      <c r="M17" s="12">
        <f t="shared" si="1"/>
        <v>35417004700</v>
      </c>
      <c r="N17" s="12">
        <v>23992</v>
      </c>
      <c r="O17" s="12">
        <v>28583</v>
      </c>
      <c r="P17" s="12">
        <v>24096</v>
      </c>
      <c r="Q17" s="12">
        <v>28626</v>
      </c>
      <c r="R17" s="12"/>
      <c r="S17" s="12"/>
      <c r="T17" s="12"/>
      <c r="U17" s="12"/>
      <c r="V17" s="12"/>
      <c r="W17" s="12"/>
      <c r="X17" s="12">
        <v>24930</v>
      </c>
      <c r="Y17" s="12">
        <v>29723</v>
      </c>
      <c r="Z17" s="12"/>
      <c r="AA17" s="12"/>
      <c r="AB17" s="12"/>
      <c r="AC17" s="12"/>
      <c r="AD17" s="12">
        <v>10562000</v>
      </c>
      <c r="AE17" s="12"/>
      <c r="AF17" s="12"/>
      <c r="AG17" s="12"/>
      <c r="AH17" s="12"/>
      <c r="AI17" s="12">
        <v>10518000</v>
      </c>
      <c r="AJ17" s="12"/>
      <c r="AK17" s="12"/>
      <c r="AL17" s="12"/>
      <c r="AM17" s="12"/>
      <c r="AN17" s="12">
        <f>(AD17-AI17)/AI17</f>
        <v>4.1833048108005323E-3</v>
      </c>
      <c r="AO17" s="12"/>
      <c r="AP17" s="12"/>
      <c r="AQ17" s="12"/>
      <c r="AR17" s="12"/>
      <c r="AS17" s="12">
        <v>10590000</v>
      </c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3"/>
      <c r="BF17" s="13"/>
      <c r="BG17" s="13"/>
      <c r="BH17" s="13"/>
      <c r="BI17" s="14">
        <f t="shared" si="2"/>
        <v>938</v>
      </c>
      <c r="BJ17" s="14">
        <f t="shared" si="3"/>
        <v>3.9883847041948008E-2</v>
      </c>
      <c r="BK17" s="14">
        <f t="shared" si="4"/>
        <v>1.0603207532115215</v>
      </c>
      <c r="BL17" s="14">
        <f t="shared" si="5"/>
        <v>3.9883847041948008E-2</v>
      </c>
      <c r="BM17" s="14">
        <f t="shared" si="6"/>
        <v>4.4976317223456429E-2</v>
      </c>
      <c r="BN17" s="14">
        <f t="shared" si="8"/>
        <v>4.7434981723457001</v>
      </c>
    </row>
    <row r="18" spans="1:66" s="19" customFormat="1" ht="18" hidden="1">
      <c r="A18" s="16"/>
      <c r="B18" s="17" t="s">
        <v>82</v>
      </c>
      <c r="C18" s="17">
        <v>28</v>
      </c>
      <c r="D18" s="17">
        <v>23757</v>
      </c>
      <c r="E18" s="17">
        <v>23759</v>
      </c>
      <c r="F18" s="17">
        <v>23756</v>
      </c>
      <c r="G18" s="17">
        <v>7112100</v>
      </c>
      <c r="H18" s="17">
        <v>28343</v>
      </c>
      <c r="I18" s="17">
        <v>28300</v>
      </c>
      <c r="J18" s="17">
        <v>28314</v>
      </c>
      <c r="K18" s="17">
        <v>1328900</v>
      </c>
      <c r="L18" s="17">
        <f t="shared" si="0"/>
        <v>168955047600</v>
      </c>
      <c r="M18" s="17">
        <f t="shared" si="1"/>
        <v>37626474600</v>
      </c>
      <c r="N18" s="17">
        <v>23997</v>
      </c>
      <c r="O18" s="17">
        <v>28583</v>
      </c>
      <c r="P18" s="17">
        <v>23995</v>
      </c>
      <c r="Q18" s="17">
        <v>28626</v>
      </c>
      <c r="R18" s="17"/>
      <c r="S18" s="17"/>
      <c r="T18" s="17"/>
      <c r="U18" s="17"/>
      <c r="V18" s="17">
        <v>24920</v>
      </c>
      <c r="W18" s="17">
        <v>29829</v>
      </c>
      <c r="X18" s="17">
        <v>24770</v>
      </c>
      <c r="Y18" s="17">
        <v>29701</v>
      </c>
      <c r="Z18" s="17"/>
      <c r="AA18" s="17"/>
      <c r="AB18" s="17">
        <v>6860</v>
      </c>
      <c r="AC18" s="17">
        <v>6830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>
        <v>10680000</v>
      </c>
      <c r="AT18" s="17">
        <v>6300000</v>
      </c>
      <c r="AU18" s="17">
        <v>3950000</v>
      </c>
      <c r="AV18" s="17">
        <v>2200000</v>
      </c>
      <c r="AW18" s="17">
        <v>1051521</v>
      </c>
      <c r="AX18" s="17">
        <v>1776.5</v>
      </c>
      <c r="AY18" s="17">
        <v>10600000</v>
      </c>
      <c r="AZ18" s="17">
        <v>6300000</v>
      </c>
      <c r="BA18" s="17">
        <v>3950000</v>
      </c>
      <c r="BB18" s="17">
        <v>2200000</v>
      </c>
      <c r="BC18" s="17">
        <v>1040600</v>
      </c>
      <c r="BD18" s="17">
        <v>1776.5</v>
      </c>
      <c r="BE18" s="18"/>
      <c r="BF18" s="18"/>
      <c r="BG18" s="18"/>
      <c r="BH18" s="18"/>
      <c r="BI18" s="19">
        <f t="shared" si="2"/>
        <v>773</v>
      </c>
      <c r="BJ18" s="19">
        <f t="shared" si="3"/>
        <v>3.9114158765699888E-2</v>
      </c>
      <c r="BK18" s="19">
        <f t="shared" si="4"/>
        <v>1.2391451576491834</v>
      </c>
      <c r="BL18" s="19">
        <f t="shared" si="5"/>
        <v>3.9114158765699888E-2</v>
      </c>
      <c r="BM18" s="19">
        <f t="shared" si="6"/>
        <v>4.2640063981142402E-2</v>
      </c>
      <c r="BN18" s="14">
        <f t="shared" si="8"/>
        <v>4.2683953527529885</v>
      </c>
    </row>
    <row r="19" spans="1:66" s="19" customFormat="1" ht="18" hidden="1">
      <c r="A19" s="16"/>
      <c r="B19" s="17" t="s">
        <v>83</v>
      </c>
      <c r="C19" s="17">
        <v>29</v>
      </c>
      <c r="D19" s="17">
        <v>23645</v>
      </c>
      <c r="E19" s="17">
        <v>23653</v>
      </c>
      <c r="F19" s="17">
        <v>23648</v>
      </c>
      <c r="G19" s="17">
        <v>5862200</v>
      </c>
      <c r="H19" s="17">
        <v>28119</v>
      </c>
      <c r="I19" s="17">
        <v>28000</v>
      </c>
      <c r="J19" s="17">
        <v>28093</v>
      </c>
      <c r="K19" s="17">
        <v>1646700</v>
      </c>
      <c r="L19" s="17">
        <f t="shared" si="0"/>
        <v>138629305600</v>
      </c>
      <c r="M19" s="17">
        <f t="shared" si="1"/>
        <v>46260743100</v>
      </c>
      <c r="N19" s="17">
        <v>23889</v>
      </c>
      <c r="O19" s="17">
        <v>28280</v>
      </c>
      <c r="P19" s="17">
        <v>23881</v>
      </c>
      <c r="Q19" s="17">
        <v>28400</v>
      </c>
      <c r="R19" s="17"/>
      <c r="S19" s="17"/>
      <c r="T19" s="17"/>
      <c r="U19" s="17"/>
      <c r="V19" s="17">
        <v>24630</v>
      </c>
      <c r="W19" s="17">
        <v>29485</v>
      </c>
      <c r="X19" s="17">
        <v>24470</v>
      </c>
      <c r="Y19" s="17">
        <v>29485</v>
      </c>
      <c r="Z19" s="17"/>
      <c r="AA19" s="17"/>
      <c r="AB19" s="17">
        <v>6800</v>
      </c>
      <c r="AC19" s="17">
        <v>6755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>
        <v>10450000</v>
      </c>
      <c r="AT19" s="17">
        <v>6200000</v>
      </c>
      <c r="AU19" s="17">
        <v>3900000</v>
      </c>
      <c r="AV19" s="17">
        <v>2200000</v>
      </c>
      <c r="AW19" s="17">
        <v>1036516</v>
      </c>
      <c r="AX19" s="17">
        <v>1776.5</v>
      </c>
      <c r="AY19" s="17">
        <v>10420000</v>
      </c>
      <c r="AZ19" s="17">
        <v>6150000</v>
      </c>
      <c r="BA19" s="17">
        <v>3850000</v>
      </c>
      <c r="BB19" s="17">
        <v>2150000</v>
      </c>
      <c r="BC19" s="17">
        <v>1035000</v>
      </c>
      <c r="BD19" s="17">
        <v>1776.5</v>
      </c>
      <c r="BE19" s="18"/>
      <c r="BF19" s="18"/>
      <c r="BG19" s="18"/>
      <c r="BH19" s="18"/>
      <c r="BI19" s="19">
        <f t="shared" si="2"/>
        <v>581</v>
      </c>
      <c r="BJ19" s="19">
        <f t="shared" si="3"/>
        <v>4.260961810466761E-2</v>
      </c>
      <c r="BK19" s="19">
        <f t="shared" si="4"/>
        <v>1.0425092609461346</v>
      </c>
      <c r="BL19" s="19">
        <f t="shared" si="5"/>
        <v>4.260961810466761E-2</v>
      </c>
      <c r="BM19" s="19">
        <f t="shared" si="6"/>
        <v>3.4891097483611758E-2</v>
      </c>
      <c r="BN19" s="14">
        <f t="shared" si="8"/>
        <v>3.4759810554803789</v>
      </c>
    </row>
    <row r="20" spans="1:66" s="19" customFormat="1" ht="18" hidden="1">
      <c r="A20" s="16"/>
      <c r="B20" s="17" t="s">
        <v>84</v>
      </c>
      <c r="C20" s="17">
        <v>30</v>
      </c>
      <c r="D20" s="17">
        <v>23671</v>
      </c>
      <c r="E20" s="17">
        <v>23300</v>
      </c>
      <c r="F20" s="17">
        <v>23630</v>
      </c>
      <c r="G20" s="17">
        <v>5934400</v>
      </c>
      <c r="H20" s="17">
        <v>28000</v>
      </c>
      <c r="I20" s="17">
        <v>28000</v>
      </c>
      <c r="J20" s="17">
        <v>28050</v>
      </c>
      <c r="K20" s="17">
        <v>1716700</v>
      </c>
      <c r="L20" s="17">
        <f t="shared" si="0"/>
        <v>140229872000</v>
      </c>
      <c r="M20" s="17">
        <f t="shared" si="1"/>
        <v>48153435000</v>
      </c>
      <c r="N20" s="17">
        <v>23533</v>
      </c>
      <c r="O20" s="17">
        <v>28280</v>
      </c>
      <c r="P20" s="17">
        <v>23908</v>
      </c>
      <c r="Q20" s="17">
        <v>28280</v>
      </c>
      <c r="R20" s="17"/>
      <c r="S20" s="17"/>
      <c r="T20" s="17"/>
      <c r="U20" s="17"/>
      <c r="V20" s="17">
        <v>24670</v>
      </c>
      <c r="W20" s="17"/>
      <c r="X20" s="17">
        <v>24180</v>
      </c>
      <c r="Y20" s="17">
        <v>29576</v>
      </c>
      <c r="Z20" s="17"/>
      <c r="AA20" s="17"/>
      <c r="AB20" s="17">
        <v>6760</v>
      </c>
      <c r="AC20" s="17">
        <v>6655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>
        <v>10500000</v>
      </c>
      <c r="AT20" s="17">
        <v>6150000</v>
      </c>
      <c r="AU20" s="17">
        <v>3850000</v>
      </c>
      <c r="AV20" s="17">
        <v>2150000</v>
      </c>
      <c r="AW20" s="17">
        <v>1041133</v>
      </c>
      <c r="AX20" s="17">
        <v>1779</v>
      </c>
      <c r="AY20" s="17">
        <v>10230000</v>
      </c>
      <c r="AZ20" s="17">
        <v>6000000</v>
      </c>
      <c r="BA20" s="17">
        <v>3800000</v>
      </c>
      <c r="BB20" s="17">
        <v>2150000</v>
      </c>
      <c r="BC20" s="17">
        <v>1020356</v>
      </c>
      <c r="BD20" s="17">
        <v>1782</v>
      </c>
      <c r="BE20" s="18"/>
      <c r="BF20" s="18"/>
      <c r="BG20" s="18"/>
      <c r="BH20" s="18"/>
      <c r="BI20" s="19">
        <f t="shared" si="2"/>
        <v>647</v>
      </c>
      <c r="BJ20" s="19">
        <f t="shared" si="3"/>
        <v>4.582743988684583E-2</v>
      </c>
      <c r="BK20" s="19">
        <f t="shared" si="4"/>
        <v>1.0452612570629696</v>
      </c>
      <c r="BL20" s="19">
        <f t="shared" si="5"/>
        <v>4.582743988684583E-2</v>
      </c>
      <c r="BM20" s="19">
        <f t="shared" si="6"/>
        <v>2.1503105065269739E-2</v>
      </c>
      <c r="BN20" s="14">
        <f t="shared" si="8"/>
        <v>2.3275497249259418</v>
      </c>
    </row>
    <row r="21" spans="1:66" s="19" customFormat="1" ht="18" hidden="1">
      <c r="A21" s="16"/>
      <c r="B21" s="17" t="s">
        <v>85</v>
      </c>
      <c r="C21" s="17">
        <v>31</v>
      </c>
      <c r="D21" s="17">
        <v>23298</v>
      </c>
      <c r="E21" s="17">
        <v>23136</v>
      </c>
      <c r="F21" s="17">
        <v>23179</v>
      </c>
      <c r="G21" s="17">
        <v>2536300</v>
      </c>
      <c r="H21" s="17">
        <v>28000</v>
      </c>
      <c r="I21" s="17">
        <v>27700</v>
      </c>
      <c r="J21" s="17">
        <v>27743</v>
      </c>
      <c r="K21" s="17">
        <v>1794400</v>
      </c>
      <c r="L21" s="17">
        <f t="shared" si="0"/>
        <v>58788897700</v>
      </c>
      <c r="M21" s="17">
        <f t="shared" si="1"/>
        <v>49782039200</v>
      </c>
      <c r="N21" s="17">
        <v>23368</v>
      </c>
      <c r="O21" s="17">
        <v>27977</v>
      </c>
      <c r="P21" s="17">
        <v>23531</v>
      </c>
      <c r="Q21" s="17">
        <v>28280</v>
      </c>
      <c r="R21" s="17"/>
      <c r="S21" s="17"/>
      <c r="T21" s="17"/>
      <c r="U21" s="17"/>
      <c r="V21" s="17">
        <v>23820</v>
      </c>
      <c r="W21" s="17"/>
      <c r="X21" s="17">
        <v>23750</v>
      </c>
      <c r="Y21" s="17">
        <v>28673</v>
      </c>
      <c r="Z21" s="17"/>
      <c r="AA21" s="17"/>
      <c r="AB21" s="17">
        <v>6590</v>
      </c>
      <c r="AC21" s="17">
        <v>6620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>
        <v>10100000</v>
      </c>
      <c r="AT21" s="17">
        <v>5590000</v>
      </c>
      <c r="AU21" s="17">
        <v>3800000</v>
      </c>
      <c r="AV21" s="17">
        <v>2150000</v>
      </c>
      <c r="AW21" s="17">
        <v>1006505</v>
      </c>
      <c r="AX21" s="17">
        <v>1769</v>
      </c>
      <c r="AY21" s="17">
        <v>10060000</v>
      </c>
      <c r="AZ21" s="17">
        <v>5900000</v>
      </c>
      <c r="BA21" s="17">
        <v>3750000</v>
      </c>
      <c r="BB21" s="17">
        <v>2100000</v>
      </c>
      <c r="BC21" s="17">
        <v>1006044</v>
      </c>
      <c r="BD21" s="17">
        <v>1774.5</v>
      </c>
      <c r="BE21" s="18"/>
      <c r="BF21" s="18"/>
      <c r="BG21" s="18"/>
      <c r="BH21" s="18"/>
      <c r="BI21" s="19">
        <f t="shared" si="2"/>
        <v>382</v>
      </c>
      <c r="BJ21" s="19">
        <f t="shared" si="3"/>
        <v>2.4877578010508633E-2</v>
      </c>
      <c r="BK21" s="19">
        <f t="shared" si="4"/>
        <v>0.79341283994650025</v>
      </c>
      <c r="BL21" s="19">
        <f t="shared" si="5"/>
        <v>2.4877578010508633E-2</v>
      </c>
      <c r="BM21" s="19">
        <f t="shared" si="6"/>
        <v>1.94008069362177E-2</v>
      </c>
      <c r="BN21" s="14">
        <f t="shared" si="8"/>
        <v>2.4634367315242245</v>
      </c>
    </row>
    <row r="22" spans="1:66" s="19" customFormat="1" ht="18" hidden="1">
      <c r="A22" s="16"/>
      <c r="B22" s="17" t="s">
        <v>86</v>
      </c>
      <c r="C22" s="17">
        <v>1</v>
      </c>
      <c r="D22" s="17">
        <v>23158</v>
      </c>
      <c r="E22" s="17">
        <v>23156</v>
      </c>
      <c r="F22" s="17">
        <v>23158</v>
      </c>
      <c r="G22" s="17">
        <v>7488900</v>
      </c>
      <c r="H22" s="17">
        <v>27850</v>
      </c>
      <c r="I22" s="17">
        <v>27705</v>
      </c>
      <c r="J22" s="17">
        <v>27764</v>
      </c>
      <c r="K22" s="17">
        <v>1423700</v>
      </c>
      <c r="L22" s="17">
        <f t="shared" si="0"/>
        <v>173427946200</v>
      </c>
      <c r="M22" s="17">
        <f t="shared" si="1"/>
        <v>39527606800</v>
      </c>
      <c r="N22" s="17">
        <v>23387</v>
      </c>
      <c r="O22" s="17">
        <v>27982</v>
      </c>
      <c r="P22" s="17">
        <v>23390</v>
      </c>
      <c r="Q22" s="17">
        <v>28128</v>
      </c>
      <c r="R22" s="17"/>
      <c r="S22" s="17"/>
      <c r="T22" s="17"/>
      <c r="U22" s="17"/>
      <c r="V22" s="17">
        <v>24150</v>
      </c>
      <c r="W22" s="17"/>
      <c r="X22" s="17">
        <v>24040</v>
      </c>
      <c r="Y22" s="17">
        <v>28989</v>
      </c>
      <c r="Z22" s="17"/>
      <c r="AA22" s="17"/>
      <c r="AB22" s="17">
        <v>6680</v>
      </c>
      <c r="AC22" s="17">
        <v>6635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>
        <v>10250000</v>
      </c>
      <c r="AT22" s="17">
        <v>5900000</v>
      </c>
      <c r="AU22" s="17">
        <v>3750000</v>
      </c>
      <c r="AV22" s="17">
        <v>2100000</v>
      </c>
      <c r="AW22" s="17">
        <v>1023819</v>
      </c>
      <c r="AX22" s="17">
        <v>1781.7</v>
      </c>
      <c r="AY22" s="17">
        <v>10210000</v>
      </c>
      <c r="AZ22" s="17">
        <v>5900000</v>
      </c>
      <c r="BA22" s="17">
        <v>3800000</v>
      </c>
      <c r="BB22" s="17">
        <v>2100000</v>
      </c>
      <c r="BC22" s="17">
        <v>1785.9</v>
      </c>
      <c r="BD22" s="17"/>
      <c r="BE22" s="18"/>
      <c r="BF22" s="18"/>
      <c r="BG22" s="18"/>
      <c r="BH22" s="18"/>
      <c r="BI22" s="19">
        <f t="shared" si="2"/>
        <v>653</v>
      </c>
      <c r="BJ22" s="19">
        <f t="shared" si="3"/>
        <v>3.5987420484597243E-2</v>
      </c>
      <c r="BK22" s="19">
        <f t="shared" si="4"/>
        <v>0.76462737936363001</v>
      </c>
      <c r="BL22" s="19">
        <f t="shared" si="5"/>
        <v>3.5987420484597243E-2</v>
      </c>
      <c r="BM22" s="19">
        <f t="shared" si="6"/>
        <v>3.8086190517315828E-2</v>
      </c>
      <c r="BN22" s="14">
        <f t="shared" si="8"/>
        <v>3.8086190517315832</v>
      </c>
    </row>
    <row r="23" spans="1:66" s="19" customFormat="1" ht="21" hidden="1" customHeight="1">
      <c r="A23" s="16"/>
      <c r="B23" s="17" t="s">
        <v>87</v>
      </c>
      <c r="C23" s="17">
        <v>2</v>
      </c>
      <c r="D23" s="17">
        <v>23157</v>
      </c>
      <c r="E23" s="17">
        <v>23129</v>
      </c>
      <c r="F23" s="17">
        <v>23133</v>
      </c>
      <c r="G23" s="17">
        <v>4545600</v>
      </c>
      <c r="H23" s="17">
        <v>27840</v>
      </c>
      <c r="I23" s="17">
        <v>27659</v>
      </c>
      <c r="J23" s="17">
        <v>27691</v>
      </c>
      <c r="K23" s="17">
        <v>1088600</v>
      </c>
      <c r="L23" s="17">
        <f t="shared" si="0"/>
        <v>105153364800</v>
      </c>
      <c r="M23" s="17">
        <f t="shared" si="1"/>
        <v>30144422600</v>
      </c>
      <c r="N23" s="17">
        <v>23360</v>
      </c>
      <c r="O23" s="17">
        <v>27935</v>
      </c>
      <c r="P23" s="17">
        <v>23389</v>
      </c>
      <c r="Q23" s="17">
        <v>28119</v>
      </c>
      <c r="R23" s="17"/>
      <c r="S23" s="17"/>
      <c r="T23" s="17"/>
      <c r="U23" s="17"/>
      <c r="V23" s="17">
        <v>23830</v>
      </c>
      <c r="W23" s="17"/>
      <c r="X23" s="17">
        <v>23840</v>
      </c>
      <c r="Y23" s="17">
        <v>28684</v>
      </c>
      <c r="Z23" s="17"/>
      <c r="AA23" s="17"/>
      <c r="AB23" s="17">
        <v>6600</v>
      </c>
      <c r="AC23" s="17">
        <v>6560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>
        <v>10200000</v>
      </c>
      <c r="AT23" s="17">
        <v>5900000</v>
      </c>
      <c r="AU23" s="17">
        <v>3800000</v>
      </c>
      <c r="AV23" s="17">
        <v>2100000</v>
      </c>
      <c r="AW23" s="17">
        <v>1015739</v>
      </c>
      <c r="AX23" s="17">
        <v>1794</v>
      </c>
      <c r="AY23" s="17">
        <v>10080000</v>
      </c>
      <c r="AZ23" s="17">
        <v>5600000</v>
      </c>
      <c r="BA23" s="17">
        <v>3600000</v>
      </c>
      <c r="BB23" s="17">
        <v>2000000</v>
      </c>
      <c r="BC23" s="17">
        <v>1009968</v>
      </c>
      <c r="BD23" s="17">
        <v>1787</v>
      </c>
      <c r="BE23" s="18"/>
      <c r="BF23" s="18"/>
      <c r="BG23" s="18"/>
      <c r="BH23" s="18"/>
      <c r="BI23" s="19">
        <f t="shared" si="2"/>
        <v>480</v>
      </c>
      <c r="BJ23" s="19">
        <f t="shared" si="3"/>
        <v>2.6812242706282442E-2</v>
      </c>
      <c r="BK23" s="19">
        <f t="shared" si="4"/>
        <v>2.1670034907220281</v>
      </c>
      <c r="BL23" s="19">
        <f t="shared" si="5"/>
        <v>2.6812242706282442E-2</v>
      </c>
      <c r="BM23" s="19">
        <f t="shared" si="6"/>
        <v>2.9494321371507537E-2</v>
      </c>
      <c r="BN23" s="14">
        <f t="shared" si="8"/>
        <v>3.0562400034582633</v>
      </c>
    </row>
    <row r="24" spans="1:66" s="23" customFormat="1" ht="21" hidden="1" customHeight="1">
      <c r="A24" s="20"/>
      <c r="B24" s="21" t="s">
        <v>88</v>
      </c>
      <c r="C24" s="21">
        <v>4</v>
      </c>
      <c r="D24" s="21">
        <v>23129</v>
      </c>
      <c r="E24" s="21">
        <v>23140</v>
      </c>
      <c r="F24" s="21">
        <v>23129</v>
      </c>
      <c r="G24" s="21">
        <v>5642400</v>
      </c>
      <c r="H24" s="21">
        <v>27899</v>
      </c>
      <c r="I24" s="21">
        <v>27697</v>
      </c>
      <c r="J24" s="21">
        <v>27681</v>
      </c>
      <c r="K24" s="21">
        <v>2359000</v>
      </c>
      <c r="L24" s="17">
        <f t="shared" si="0"/>
        <v>130503069600</v>
      </c>
      <c r="M24" s="17">
        <f t="shared" si="1"/>
        <v>65299479000</v>
      </c>
      <c r="N24" s="21">
        <v>23371</v>
      </c>
      <c r="O24" s="21">
        <v>27974</v>
      </c>
      <c r="P24" s="21">
        <v>23360</v>
      </c>
      <c r="Q24" s="21">
        <v>28178</v>
      </c>
      <c r="R24" s="21"/>
      <c r="S24" s="21"/>
      <c r="T24" s="21"/>
      <c r="U24" s="21"/>
      <c r="V24" s="21">
        <v>23840</v>
      </c>
      <c r="W24" s="21"/>
      <c r="X24" s="21">
        <v>23820</v>
      </c>
      <c r="Y24" s="21">
        <v>28783</v>
      </c>
      <c r="Z24" s="21"/>
      <c r="AA24" s="21"/>
      <c r="AB24" s="21">
        <v>6540</v>
      </c>
      <c r="AC24" s="21">
        <v>6560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>
        <v>10080000</v>
      </c>
      <c r="AT24" s="21">
        <v>5600000</v>
      </c>
      <c r="AU24" s="21">
        <v>3600000</v>
      </c>
      <c r="AV24" s="21">
        <v>2000000</v>
      </c>
      <c r="AW24" s="21">
        <v>1005351</v>
      </c>
      <c r="AX24" s="21">
        <v>1777</v>
      </c>
      <c r="AY24" s="21">
        <v>10000000</v>
      </c>
      <c r="AZ24" s="21">
        <v>5600000</v>
      </c>
      <c r="BA24" s="21">
        <v>3600000</v>
      </c>
      <c r="BB24" s="21">
        <v>2000000</v>
      </c>
      <c r="BC24" s="21">
        <v>1003966</v>
      </c>
      <c r="BD24" s="21">
        <v>1777</v>
      </c>
      <c r="BE24" s="22"/>
      <c r="BF24" s="22"/>
      <c r="BG24" s="22"/>
      <c r="BH24" s="22"/>
      <c r="BI24" s="23">
        <f t="shared" si="2"/>
        <v>449</v>
      </c>
      <c r="BJ24" s="23">
        <f t="shared" si="3"/>
        <v>2.8919711160363196E-2</v>
      </c>
      <c r="BK24" s="23">
        <f t="shared" si="4"/>
        <v>1.0690970750317932</v>
      </c>
      <c r="BL24" s="23">
        <f t="shared" si="5"/>
        <v>2.8919711160363196E-2</v>
      </c>
      <c r="BM24" s="23">
        <f t="shared" si="6"/>
        <v>2.9875913355527691E-2</v>
      </c>
      <c r="BN24" s="14">
        <f t="shared" si="8"/>
        <v>2.9875913355527692</v>
      </c>
    </row>
    <row r="25" spans="1:66" s="23" customFormat="1" ht="21" hidden="1" customHeight="1">
      <c r="A25" s="20"/>
      <c r="B25" s="21" t="s">
        <v>89</v>
      </c>
      <c r="C25" s="21">
        <v>5</v>
      </c>
      <c r="D25" s="21">
        <v>23129</v>
      </c>
      <c r="E25" s="21">
        <v>23141</v>
      </c>
      <c r="F25" s="21">
        <v>23135</v>
      </c>
      <c r="G25" s="21">
        <v>6126600</v>
      </c>
      <c r="H25" s="21">
        <v>27727</v>
      </c>
      <c r="I25" s="21">
        <v>27700</v>
      </c>
      <c r="J25" s="21">
        <v>27719</v>
      </c>
      <c r="K25" s="21">
        <v>2522000</v>
      </c>
      <c r="L25" s="17">
        <f t="shared" si="0"/>
        <v>141738891000</v>
      </c>
      <c r="M25" s="17">
        <f t="shared" si="1"/>
        <v>69907318000</v>
      </c>
      <c r="N25" s="21">
        <v>23373</v>
      </c>
      <c r="O25" s="21">
        <v>27977</v>
      </c>
      <c r="P25" s="21">
        <v>23361</v>
      </c>
      <c r="Q25" s="21">
        <v>28004</v>
      </c>
      <c r="R25" s="21"/>
      <c r="S25" s="21"/>
      <c r="T25" s="21"/>
      <c r="U25" s="21"/>
      <c r="V25" s="21">
        <v>23830</v>
      </c>
      <c r="W25" s="21"/>
      <c r="X25" s="21">
        <v>23870</v>
      </c>
      <c r="Y25" s="21">
        <v>28831</v>
      </c>
      <c r="Z25" s="21"/>
      <c r="AA25" s="21"/>
      <c r="AB25" s="21">
        <v>6600</v>
      </c>
      <c r="AC25" s="21">
        <v>6575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>
        <v>10100000</v>
      </c>
      <c r="AT25" s="21">
        <v>5600000</v>
      </c>
      <c r="AU25" s="21">
        <v>3600000</v>
      </c>
      <c r="AV25" s="21">
        <v>2000000</v>
      </c>
      <c r="AW25" s="21">
        <v>1008814</v>
      </c>
      <c r="AX25" s="21">
        <v>1777</v>
      </c>
      <c r="AY25" s="21">
        <v>10180000</v>
      </c>
      <c r="AZ25" s="21">
        <v>5650000</v>
      </c>
      <c r="BA25" s="21">
        <v>3600000</v>
      </c>
      <c r="BB25" s="21">
        <v>2000000</v>
      </c>
      <c r="BC25" s="21">
        <v>1009506</v>
      </c>
      <c r="BD25" s="21">
        <v>1777</v>
      </c>
      <c r="BE25" s="22"/>
      <c r="BF25" s="22"/>
      <c r="BG25" s="22"/>
      <c r="BH25" s="22"/>
      <c r="BI25" s="23">
        <f t="shared" si="2"/>
        <v>497</v>
      </c>
      <c r="BJ25" s="23">
        <f t="shared" si="3"/>
        <v>3.0525074168066626E-2</v>
      </c>
      <c r="BK25" s="23">
        <f t="shared" si="4"/>
        <v>0.76098334655035682</v>
      </c>
      <c r="BL25" s="23">
        <f t="shared" si="5"/>
        <v>3.0525074168066626E-2</v>
      </c>
      <c r="BM25" s="23">
        <f t="shared" si="6"/>
        <v>3.2037701586752565E-2</v>
      </c>
      <c r="BN25" s="14">
        <f t="shared" si="8"/>
        <v>3.1770045385779122</v>
      </c>
    </row>
    <row r="26" spans="1:66" s="23" customFormat="1" ht="21" hidden="1" customHeight="1">
      <c r="A26" s="20"/>
      <c r="B26" s="21" t="s">
        <v>90</v>
      </c>
      <c r="C26" s="21">
        <v>6</v>
      </c>
      <c r="D26" s="21">
        <v>23123</v>
      </c>
      <c r="E26" s="21">
        <v>23050</v>
      </c>
      <c r="F26" s="21">
        <v>23127</v>
      </c>
      <c r="G26" s="21">
        <v>3602500</v>
      </c>
      <c r="H26" s="21">
        <v>27789</v>
      </c>
      <c r="I26" s="21">
        <v>27600</v>
      </c>
      <c r="J26" s="21">
        <v>27697</v>
      </c>
      <c r="K26" s="21">
        <v>1919200</v>
      </c>
      <c r="L26" s="17">
        <f t="shared" si="0"/>
        <v>83315017500</v>
      </c>
      <c r="M26" s="17">
        <f t="shared" si="1"/>
        <v>53156082400</v>
      </c>
      <c r="N26" s="21">
        <v>23280</v>
      </c>
      <c r="O26" s="21">
        <v>27876</v>
      </c>
      <c r="P26" s="21">
        <v>23364</v>
      </c>
      <c r="Q26" s="21">
        <v>28067</v>
      </c>
      <c r="R26" s="21"/>
      <c r="S26" s="21"/>
      <c r="T26" s="21"/>
      <c r="U26" s="21"/>
      <c r="V26" s="21">
        <v>23720</v>
      </c>
      <c r="W26" s="21"/>
      <c r="X26" s="21">
        <v>23620</v>
      </c>
      <c r="Y26" s="21">
        <v>28682</v>
      </c>
      <c r="Z26" s="21"/>
      <c r="AA26" s="21"/>
      <c r="AB26" s="21">
        <v>6540</v>
      </c>
      <c r="AC26" s="21">
        <v>6500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>
        <v>10200000</v>
      </c>
      <c r="AT26" s="21">
        <v>5650000</v>
      </c>
      <c r="AU26" s="21">
        <v>3600000</v>
      </c>
      <c r="AV26" s="21">
        <v>2000000</v>
      </c>
      <c r="AW26" s="21">
        <v>1011815</v>
      </c>
      <c r="AX26" s="21">
        <v>1778</v>
      </c>
      <c r="AY26" s="21">
        <v>9980000</v>
      </c>
      <c r="AZ26" s="21">
        <v>5500000</v>
      </c>
      <c r="BA26" s="21">
        <v>3600000</v>
      </c>
      <c r="BB26" s="21">
        <v>2050000</v>
      </c>
      <c r="BC26" s="21">
        <v>993347</v>
      </c>
      <c r="BD26" s="21">
        <v>1777</v>
      </c>
      <c r="BE26" s="22"/>
      <c r="BF26" s="22"/>
      <c r="BG26" s="22"/>
      <c r="BH26" s="22"/>
      <c r="BI26" s="23">
        <f t="shared" si="2"/>
        <v>340</v>
      </c>
      <c r="BJ26" s="23">
        <f t="shared" si="3"/>
        <v>2.8913760941311522E-2</v>
      </c>
      <c r="BK26" s="23">
        <f t="shared" si="4"/>
        <v>0.77454147561483955</v>
      </c>
      <c r="BL26" s="23">
        <f t="shared" si="5"/>
        <v>2.8913760941311522E-2</v>
      </c>
      <c r="BM26" s="23">
        <f t="shared" si="6"/>
        <v>2.1493750810880941E-2</v>
      </c>
      <c r="BN26" s="14">
        <f t="shared" si="8"/>
        <v>2.1317075279975786</v>
      </c>
    </row>
    <row r="27" spans="1:66" s="23" customFormat="1" ht="21" hidden="1" customHeight="1">
      <c r="A27" s="20"/>
      <c r="B27" s="21" t="s">
        <v>91</v>
      </c>
      <c r="C27" s="21">
        <v>7</v>
      </c>
      <c r="D27" s="8">
        <v>23172</v>
      </c>
      <c r="E27" s="21">
        <v>23030</v>
      </c>
      <c r="F27" s="21">
        <v>23108</v>
      </c>
      <c r="G27" s="21">
        <v>5365800</v>
      </c>
      <c r="H27" s="21">
        <v>27700</v>
      </c>
      <c r="I27" s="21">
        <v>27700</v>
      </c>
      <c r="J27" s="21">
        <v>27763</v>
      </c>
      <c r="K27" s="21">
        <v>1486500</v>
      </c>
      <c r="L27" s="17">
        <f t="shared" si="0"/>
        <v>123992906400</v>
      </c>
      <c r="M27" s="17">
        <f t="shared" si="1"/>
        <v>41269699500</v>
      </c>
      <c r="N27" s="21">
        <v>23260</v>
      </c>
      <c r="O27" s="21">
        <v>27977</v>
      </c>
      <c r="P27" s="21">
        <v>23404</v>
      </c>
      <c r="Q27" s="21">
        <v>27977</v>
      </c>
      <c r="R27" s="21"/>
      <c r="S27" s="21"/>
      <c r="T27" s="21"/>
      <c r="U27" s="21"/>
      <c r="V27" s="21">
        <v>23850</v>
      </c>
      <c r="W27" s="21"/>
      <c r="X27" s="21">
        <v>23650</v>
      </c>
      <c r="Y27" s="21">
        <v>28724</v>
      </c>
      <c r="Z27" s="21"/>
      <c r="AA27" s="21">
        <v>23720</v>
      </c>
      <c r="AB27" s="21">
        <v>6540</v>
      </c>
      <c r="AC27" s="21">
        <v>6530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9">
        <v>10000000</v>
      </c>
      <c r="AT27" s="9">
        <v>5500000</v>
      </c>
      <c r="AU27" s="9">
        <v>3600000</v>
      </c>
      <c r="AV27" s="9">
        <v>2050000</v>
      </c>
      <c r="AW27" s="9">
        <v>997271</v>
      </c>
      <c r="AX27" s="9">
        <v>1777</v>
      </c>
      <c r="AY27" s="21">
        <v>10020000</v>
      </c>
      <c r="AZ27" s="21">
        <v>5500000</v>
      </c>
      <c r="BA27" s="21">
        <v>3600000</v>
      </c>
      <c r="BB27" s="21">
        <v>2000000</v>
      </c>
      <c r="BC27" s="21">
        <v>996810</v>
      </c>
      <c r="BD27" s="21">
        <v>1779</v>
      </c>
      <c r="BE27" s="22"/>
      <c r="BF27" s="22"/>
      <c r="BG27" s="22"/>
      <c r="BH27" s="22"/>
      <c r="BI27" s="23">
        <f t="shared" si="2"/>
        <v>390</v>
      </c>
      <c r="BJ27" s="23">
        <f t="shared" si="3"/>
        <v>2.6700503985416593E-2</v>
      </c>
      <c r="BK27" s="23">
        <f t="shared" si="4"/>
        <v>0.60228725193407329</v>
      </c>
      <c r="BL27" s="23">
        <f t="shared" si="5"/>
        <v>2.6700503985416593E-2</v>
      </c>
      <c r="BM27" s="23">
        <f t="shared" si="6"/>
        <v>2.0628344553771792E-2</v>
      </c>
      <c r="BN27" s="14">
        <f t="shared" si="8"/>
        <v>2.3455080491604638</v>
      </c>
    </row>
    <row r="28" spans="1:66" s="23" customFormat="1" ht="21" hidden="1" customHeight="1">
      <c r="A28" s="20"/>
      <c r="B28" s="21" t="s">
        <v>92</v>
      </c>
      <c r="C28" s="21">
        <v>8</v>
      </c>
      <c r="D28" s="24">
        <v>23072</v>
      </c>
      <c r="E28" s="21">
        <v>23031</v>
      </c>
      <c r="F28" s="21">
        <v>23022</v>
      </c>
      <c r="G28" s="21">
        <v>6405700</v>
      </c>
      <c r="H28" s="21">
        <v>27850</v>
      </c>
      <c r="I28" s="21">
        <v>27650</v>
      </c>
      <c r="J28" s="21">
        <v>27709</v>
      </c>
      <c r="K28" s="21">
        <v>895300</v>
      </c>
      <c r="L28" s="17">
        <f t="shared" si="0"/>
        <v>147472025400</v>
      </c>
      <c r="M28" s="17">
        <f t="shared" si="1"/>
        <v>24807867700</v>
      </c>
      <c r="N28" s="21">
        <v>23261</v>
      </c>
      <c r="O28" s="21">
        <v>27926</v>
      </c>
      <c r="P28" s="21">
        <v>23237</v>
      </c>
      <c r="Q28" s="21">
        <v>28128</v>
      </c>
      <c r="R28" s="21"/>
      <c r="S28" s="21"/>
      <c r="T28" s="21"/>
      <c r="U28" s="21"/>
      <c r="V28" s="21">
        <v>23650</v>
      </c>
      <c r="W28" s="21"/>
      <c r="X28" s="21">
        <v>23650</v>
      </c>
      <c r="Y28" s="21">
        <v>28552</v>
      </c>
      <c r="Z28" s="21"/>
      <c r="AA28" s="21"/>
      <c r="AB28" s="21">
        <v>6520</v>
      </c>
      <c r="AC28" s="21">
        <v>6525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5">
        <v>10035000</v>
      </c>
      <c r="AT28" s="26">
        <v>5500000</v>
      </c>
      <c r="AU28" s="26">
        <v>3600000</v>
      </c>
      <c r="AV28" s="26">
        <v>2000000</v>
      </c>
      <c r="AW28" s="26">
        <v>996117</v>
      </c>
      <c r="AX28" s="26">
        <v>1769</v>
      </c>
      <c r="AY28" s="21">
        <v>10020000</v>
      </c>
      <c r="AZ28" s="21">
        <v>5500000</v>
      </c>
      <c r="BA28" s="21">
        <v>3600000</v>
      </c>
      <c r="BB28" s="21">
        <v>2000000</v>
      </c>
      <c r="BC28" s="21">
        <v>995655</v>
      </c>
      <c r="BD28" s="21">
        <v>1775</v>
      </c>
      <c r="BE28" s="22"/>
      <c r="BF28" s="22"/>
      <c r="BG28" s="22"/>
      <c r="BH28" s="22"/>
      <c r="BI28" s="23">
        <f t="shared" si="2"/>
        <v>389</v>
      </c>
      <c r="BJ28" s="23">
        <f t="shared" si="3"/>
        <v>2.2416386163431928E-2</v>
      </c>
      <c r="BK28" s="23">
        <f t="shared" si="4"/>
        <v>0.86149893890316098</v>
      </c>
      <c r="BL28" s="23">
        <f t="shared" si="5"/>
        <v>2.2416386163431928E-2</v>
      </c>
      <c r="BM28" s="23">
        <f t="shared" si="6"/>
        <v>2.5052011095700415E-2</v>
      </c>
      <c r="BN28" s="14">
        <f t="shared" si="8"/>
        <v>2.7278255581617583</v>
      </c>
    </row>
    <row r="29" spans="1:66" s="23" customFormat="1" ht="21" hidden="1" customHeight="1">
      <c r="A29" s="20"/>
      <c r="B29" s="21" t="s">
        <v>93</v>
      </c>
      <c r="C29" s="21">
        <v>9</v>
      </c>
      <c r="D29" s="24">
        <v>23030</v>
      </c>
      <c r="E29" s="21">
        <v>23030</v>
      </c>
      <c r="F29" s="21">
        <v>23030</v>
      </c>
      <c r="G29" s="21">
        <v>4357800</v>
      </c>
      <c r="H29" s="21">
        <v>27700</v>
      </c>
      <c r="I29" s="21">
        <v>27644</v>
      </c>
      <c r="J29" s="21">
        <v>27688</v>
      </c>
      <c r="K29" s="21">
        <v>771300</v>
      </c>
      <c r="L29" s="17">
        <f t="shared" si="0"/>
        <v>100360134000</v>
      </c>
      <c r="M29" s="17">
        <f t="shared" si="1"/>
        <v>21355754400</v>
      </c>
      <c r="N29" s="21">
        <v>23260</v>
      </c>
      <c r="O29" s="21">
        <v>27920</v>
      </c>
      <c r="P29" s="21">
        <v>23260</v>
      </c>
      <c r="Q29" s="21">
        <v>27977</v>
      </c>
      <c r="R29" s="21"/>
      <c r="S29" s="21"/>
      <c r="T29" s="21"/>
      <c r="U29" s="21"/>
      <c r="V29" s="21">
        <v>23630</v>
      </c>
      <c r="W29" s="21"/>
      <c r="X29" s="21">
        <v>23500</v>
      </c>
      <c r="Y29" s="21">
        <v>28639</v>
      </c>
      <c r="Z29" s="21"/>
      <c r="AA29" s="21"/>
      <c r="AB29" s="21">
        <v>6510</v>
      </c>
      <c r="AC29" s="21">
        <v>6485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5">
        <v>10020000</v>
      </c>
      <c r="AT29" s="26">
        <v>5500000</v>
      </c>
      <c r="AU29" s="26">
        <v>3600000</v>
      </c>
      <c r="AV29" s="26">
        <v>2000000</v>
      </c>
      <c r="AW29" s="26">
        <v>996117</v>
      </c>
      <c r="AX29" s="26">
        <v>1789</v>
      </c>
      <c r="AY29" s="21">
        <v>9940000</v>
      </c>
      <c r="AZ29" s="21">
        <v>5450000</v>
      </c>
      <c r="BA29" s="21">
        <v>3500000</v>
      </c>
      <c r="BB29" s="21">
        <v>1950000</v>
      </c>
      <c r="BC29" s="21">
        <v>987345</v>
      </c>
      <c r="BD29" s="21">
        <v>1780</v>
      </c>
      <c r="BE29" s="22"/>
      <c r="BF29" s="22"/>
      <c r="BG29" s="22"/>
      <c r="BH29" s="22"/>
      <c r="BI29" s="23">
        <f t="shared" si="2"/>
        <v>240</v>
      </c>
      <c r="BJ29" s="23">
        <f t="shared" si="3"/>
        <v>2.5752148997134669E-2</v>
      </c>
      <c r="BK29" s="23">
        <f t="shared" si="4"/>
        <v>0.25463503176455338</v>
      </c>
      <c r="BL29" s="23">
        <f t="shared" si="5"/>
        <v>2.5752148997134669E-2</v>
      </c>
      <c r="BM29" s="23">
        <f t="shared" si="6"/>
        <v>2.0408163265306121E-2</v>
      </c>
      <c r="BN29" s="14">
        <f t="shared" si="8"/>
        <v>2.0408163265306123</v>
      </c>
    </row>
    <row r="30" spans="1:66" s="28" customFormat="1" ht="21" hidden="1" customHeight="1">
      <c r="A30" s="27"/>
      <c r="B30" s="9" t="s">
        <v>94</v>
      </c>
      <c r="C30" s="9">
        <v>11</v>
      </c>
      <c r="D30" s="26">
        <v>22843</v>
      </c>
      <c r="E30" s="9">
        <v>22680</v>
      </c>
      <c r="F30" s="9">
        <v>22793</v>
      </c>
      <c r="G30" s="9">
        <v>2957300</v>
      </c>
      <c r="H30" s="9">
        <v>27644</v>
      </c>
      <c r="I30" s="9">
        <v>27395</v>
      </c>
      <c r="J30" s="9">
        <v>27524</v>
      </c>
      <c r="K30" s="9">
        <v>196400</v>
      </c>
      <c r="L30" s="17">
        <f t="shared" si="0"/>
        <v>67405738900</v>
      </c>
      <c r="M30" s="17">
        <f t="shared" si="1"/>
        <v>5405713600</v>
      </c>
      <c r="N30" s="9">
        <v>22907</v>
      </c>
      <c r="O30" s="9">
        <v>27669</v>
      </c>
      <c r="P30" s="28">
        <v>23068</v>
      </c>
      <c r="Q30" s="28">
        <v>27926</v>
      </c>
      <c r="R30" s="9"/>
      <c r="S30" s="9"/>
      <c r="T30" s="9"/>
      <c r="U30" s="9"/>
      <c r="V30" s="9">
        <v>23380</v>
      </c>
      <c r="W30" s="9"/>
      <c r="X30" s="9">
        <v>22980</v>
      </c>
      <c r="Y30" s="9">
        <v>28116</v>
      </c>
      <c r="Z30" s="9">
        <v>23550</v>
      </c>
      <c r="AA30" s="9">
        <v>23120</v>
      </c>
      <c r="AB30" s="9">
        <v>6450</v>
      </c>
      <c r="AC30" s="9">
        <v>6345</v>
      </c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25">
        <v>9850000</v>
      </c>
      <c r="AT30" s="26">
        <v>5400000</v>
      </c>
      <c r="AU30" s="26">
        <v>3500000</v>
      </c>
      <c r="AV30" s="26">
        <v>1950000</v>
      </c>
      <c r="AW30" s="26">
        <v>975341</v>
      </c>
      <c r="AX30" s="26">
        <v>1769</v>
      </c>
      <c r="AY30" s="9">
        <v>9800000</v>
      </c>
      <c r="AZ30" s="9">
        <v>5300000</v>
      </c>
      <c r="BA30" s="9">
        <v>3400000</v>
      </c>
      <c r="BB30" s="9">
        <v>1900000</v>
      </c>
      <c r="BC30" s="9">
        <v>971878</v>
      </c>
      <c r="BD30" s="9">
        <v>1769</v>
      </c>
      <c r="BE30" s="29"/>
      <c r="BF30" s="29"/>
      <c r="BG30" s="29"/>
      <c r="BH30" s="29"/>
      <c r="BI30" s="28">
        <f t="shared" si="2"/>
        <v>73</v>
      </c>
      <c r="BJ30" s="28">
        <f t="shared" si="3"/>
        <v>1.6155264013878349E-2</v>
      </c>
      <c r="BK30" s="28">
        <f t="shared" si="4"/>
        <v>0.55651731160896134</v>
      </c>
      <c r="BL30" s="28">
        <f t="shared" si="5"/>
        <v>1.6155264013878349E-2</v>
      </c>
      <c r="BM30" s="28">
        <f t="shared" si="6"/>
        <v>5.9974609289497873E-3</v>
      </c>
      <c r="BN30" s="14">
        <f t="shared" si="8"/>
        <v>0.82042732417847586</v>
      </c>
    </row>
    <row r="31" spans="1:66" s="28" customFormat="1" ht="21" hidden="1" customHeight="1">
      <c r="A31" s="27"/>
      <c r="B31" s="9" t="s">
        <v>95</v>
      </c>
      <c r="C31" s="9">
        <v>12</v>
      </c>
      <c r="D31" s="26">
        <v>22298</v>
      </c>
      <c r="E31" s="9">
        <v>21627</v>
      </c>
      <c r="F31" s="9">
        <v>21999</v>
      </c>
      <c r="G31" s="9">
        <v>1770900</v>
      </c>
      <c r="H31" s="9">
        <v>27395</v>
      </c>
      <c r="I31" s="9">
        <v>26350</v>
      </c>
      <c r="J31" s="9">
        <v>26506</v>
      </c>
      <c r="K31" s="9">
        <v>109300</v>
      </c>
      <c r="L31" s="17">
        <f t="shared" si="0"/>
        <v>38958029100</v>
      </c>
      <c r="M31" s="17">
        <f t="shared" si="1"/>
        <v>2897105800</v>
      </c>
      <c r="N31" s="9">
        <v>21843</v>
      </c>
      <c r="O31" s="9">
        <v>26613</v>
      </c>
      <c r="P31" s="28">
        <v>22521</v>
      </c>
      <c r="Q31" s="28">
        <v>27669</v>
      </c>
      <c r="R31" s="9"/>
      <c r="S31" s="9"/>
      <c r="T31" s="9"/>
      <c r="U31" s="9"/>
      <c r="V31" s="9">
        <v>22750</v>
      </c>
      <c r="W31" s="9"/>
      <c r="X31" s="9">
        <v>21970</v>
      </c>
      <c r="Y31" s="9">
        <v>26421</v>
      </c>
      <c r="Z31" s="9"/>
      <c r="AA31" s="9"/>
      <c r="AB31" s="9">
        <v>6250</v>
      </c>
      <c r="AC31" s="9">
        <v>6095</v>
      </c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25">
        <v>9735000</v>
      </c>
      <c r="AT31" s="26">
        <v>5300000</v>
      </c>
      <c r="AU31" s="26">
        <v>3400000</v>
      </c>
      <c r="AV31" s="26">
        <v>1900000</v>
      </c>
      <c r="AW31" s="26">
        <v>966107</v>
      </c>
      <c r="AX31" s="26">
        <v>1769</v>
      </c>
      <c r="AY31" s="25">
        <v>9600000</v>
      </c>
      <c r="AZ31" s="28">
        <v>5200000</v>
      </c>
      <c r="BA31" s="28">
        <v>3300000</v>
      </c>
      <c r="BB31" s="26">
        <v>1850000</v>
      </c>
      <c r="BC31" s="30">
        <v>948793</v>
      </c>
      <c r="BD31" s="9">
        <v>1769</v>
      </c>
      <c r="BE31" s="29"/>
      <c r="BF31" s="29"/>
      <c r="BG31" s="29"/>
      <c r="BH31" s="29"/>
      <c r="BI31" s="28">
        <f t="shared" si="2"/>
        <v>127</v>
      </c>
      <c r="BJ31" s="28">
        <f t="shared" si="3"/>
        <v>-7.2145192199301097E-3</v>
      </c>
      <c r="BK31" s="28">
        <f t="shared" si="4"/>
        <v>2.4858188472095151</v>
      </c>
      <c r="BL31" s="28">
        <f t="shared" si="5"/>
        <v>-7.2145192199301097E-3</v>
      </c>
      <c r="BM31" s="28">
        <f t="shared" si="6"/>
        <v>-1.470983944748408E-2</v>
      </c>
      <c r="BN31" s="14">
        <f t="shared" si="8"/>
        <v>-0.131824173826083</v>
      </c>
    </row>
    <row r="32" spans="1:66" s="28" customFormat="1" ht="21" hidden="1" customHeight="1">
      <c r="A32" s="27"/>
      <c r="B32" s="9" t="s">
        <v>96</v>
      </c>
      <c r="C32" s="9">
        <v>13</v>
      </c>
      <c r="D32" s="26">
        <v>21586</v>
      </c>
      <c r="E32" s="9">
        <v>21510</v>
      </c>
      <c r="F32" s="9">
        <v>21569</v>
      </c>
      <c r="G32" s="9">
        <v>3748300</v>
      </c>
      <c r="H32" s="9">
        <v>26350</v>
      </c>
      <c r="I32" s="9">
        <v>25700</v>
      </c>
      <c r="J32" s="9">
        <v>25726</v>
      </c>
      <c r="K32" s="9">
        <v>271700</v>
      </c>
      <c r="L32" s="17">
        <f t="shared" si="0"/>
        <v>80847082700</v>
      </c>
      <c r="M32" s="17">
        <f t="shared" si="1"/>
        <v>6989754200</v>
      </c>
      <c r="N32" s="9">
        <v>21725</v>
      </c>
      <c r="O32" s="9">
        <v>25957</v>
      </c>
      <c r="P32" s="28">
        <v>21802</v>
      </c>
      <c r="Q32" s="28">
        <v>26613</v>
      </c>
      <c r="R32" s="9"/>
      <c r="S32" s="9"/>
      <c r="T32" s="9"/>
      <c r="U32" s="9"/>
      <c r="V32" s="9">
        <v>22240</v>
      </c>
      <c r="W32" s="9"/>
      <c r="X32" s="9">
        <v>21800</v>
      </c>
      <c r="Y32" s="9">
        <v>26748</v>
      </c>
      <c r="Z32" s="9">
        <v>22370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25"/>
      <c r="AT32" s="26"/>
      <c r="AU32" s="26"/>
      <c r="AV32" s="26"/>
      <c r="AW32" s="26"/>
      <c r="AX32" s="26"/>
      <c r="AY32" s="9"/>
      <c r="AZ32" s="9"/>
      <c r="BA32" s="9"/>
      <c r="BB32" s="9"/>
      <c r="BC32" s="9"/>
      <c r="BD32" s="9"/>
      <c r="BE32" s="29"/>
      <c r="BF32" s="29"/>
      <c r="BG32" s="29"/>
      <c r="BH32" s="29"/>
      <c r="BI32" s="28">
        <f t="shared" si="2"/>
        <v>75</v>
      </c>
      <c r="BJ32" s="28">
        <f t="shared" si="3"/>
        <v>3.0473475363100511E-2</v>
      </c>
      <c r="BK32" s="28">
        <f t="shared" si="4"/>
        <v>0.61464850938535154</v>
      </c>
      <c r="BL32" s="28">
        <f t="shared" si="5"/>
        <v>3.0473475363100511E-2</v>
      </c>
      <c r="BM32" s="28">
        <f t="shared" si="6"/>
        <v>9.9138330399332897E-3</v>
      </c>
      <c r="BN32" s="14">
        <f t="shared" si="8"/>
        <v>1.0709815012286152</v>
      </c>
    </row>
    <row r="33" spans="1:66" s="28" customFormat="1" ht="21" hidden="1" customHeight="1">
      <c r="A33" s="27"/>
      <c r="B33" s="9" t="s">
        <v>97</v>
      </c>
      <c r="C33" s="9">
        <v>15</v>
      </c>
      <c r="D33" s="26">
        <v>21196</v>
      </c>
      <c r="E33" s="9">
        <v>20640</v>
      </c>
      <c r="F33" s="9">
        <v>20871</v>
      </c>
      <c r="G33" s="9">
        <v>2320200</v>
      </c>
      <c r="H33" s="9">
        <v>25599</v>
      </c>
      <c r="I33" s="9">
        <v>24999</v>
      </c>
      <c r="J33" s="9">
        <v>25141</v>
      </c>
      <c r="K33" s="9">
        <v>167000</v>
      </c>
      <c r="L33" s="17">
        <f t="shared" si="0"/>
        <v>48424894200</v>
      </c>
      <c r="M33" s="17">
        <f t="shared" si="1"/>
        <v>4198547000</v>
      </c>
      <c r="N33" s="9">
        <v>20846</v>
      </c>
      <c r="O33" s="9">
        <v>25249</v>
      </c>
      <c r="P33" s="28">
        <v>21408</v>
      </c>
      <c r="Q33" s="28">
        <v>25855</v>
      </c>
      <c r="R33" s="9"/>
      <c r="S33" s="9"/>
      <c r="T33" s="9"/>
      <c r="U33" s="9"/>
      <c r="V33" s="9">
        <v>21600</v>
      </c>
      <c r="W33" s="9"/>
      <c r="X33" s="9">
        <v>20800</v>
      </c>
      <c r="Y33" s="9">
        <v>25886</v>
      </c>
      <c r="Z33" s="9">
        <v>21630</v>
      </c>
      <c r="AA33" s="9">
        <v>21220</v>
      </c>
      <c r="AB33" s="9">
        <v>6000</v>
      </c>
      <c r="AC33" s="9">
        <v>5690</v>
      </c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26"/>
      <c r="AT33" s="26"/>
      <c r="AU33" s="26"/>
      <c r="AV33" s="26"/>
      <c r="AW33" s="26"/>
      <c r="AX33" s="26"/>
      <c r="AY33" s="9">
        <v>9290000</v>
      </c>
      <c r="AZ33" s="9">
        <v>5100000</v>
      </c>
      <c r="BA33" s="9">
        <v>3225000</v>
      </c>
      <c r="BB33" s="9">
        <v>1862000</v>
      </c>
      <c r="BC33" s="9"/>
      <c r="BD33" s="9"/>
      <c r="BE33" s="29"/>
      <c r="BF33" s="29"/>
      <c r="BG33" s="29"/>
      <c r="BH33" s="29"/>
      <c r="BI33" s="28">
        <f t="shared" si="2"/>
        <v>-46</v>
      </c>
      <c r="BJ33" s="28">
        <f t="shared" si="3"/>
        <v>2.5228721929581369E-2</v>
      </c>
      <c r="BK33" s="28">
        <f t="shared" si="4"/>
        <v>0.46706586826347307</v>
      </c>
      <c r="BL33" s="28">
        <f t="shared" si="5"/>
        <v>2.5228721929581369E-2</v>
      </c>
      <c r="BM33" s="28">
        <f t="shared" si="6"/>
        <v>-1.8682770334025288E-2</v>
      </c>
      <c r="BN33" s="14">
        <f t="shared" si="8"/>
        <v>-0.34018494561832208</v>
      </c>
    </row>
    <row r="34" spans="1:66" s="28" customFormat="1" ht="21" hidden="1" customHeight="1">
      <c r="A34" s="27"/>
      <c r="B34" s="9" t="s">
        <v>98</v>
      </c>
      <c r="C34" s="9">
        <v>16</v>
      </c>
      <c r="D34" s="26">
        <v>20439</v>
      </c>
      <c r="E34" s="9">
        <v>20462</v>
      </c>
      <c r="F34" s="9">
        <v>20434</v>
      </c>
      <c r="G34" s="9">
        <v>4890700</v>
      </c>
      <c r="H34" s="9">
        <v>24999</v>
      </c>
      <c r="I34" s="9">
        <v>25461</v>
      </c>
      <c r="J34" s="9">
        <v>24837</v>
      </c>
      <c r="K34" s="9">
        <v>78000</v>
      </c>
      <c r="L34" s="17">
        <f t="shared" ref="L34:L65" si="9">F34*G34</f>
        <v>99936563800</v>
      </c>
      <c r="M34" s="17">
        <f t="shared" ref="M34:M65" si="10">J34*K34</f>
        <v>1937286000</v>
      </c>
      <c r="N34" s="9">
        <v>20666</v>
      </c>
      <c r="O34" s="9">
        <v>25716</v>
      </c>
      <c r="P34" s="28">
        <v>20643</v>
      </c>
      <c r="Q34" s="28">
        <v>25249</v>
      </c>
      <c r="R34" s="9"/>
      <c r="S34" s="9"/>
      <c r="T34" s="9"/>
      <c r="U34" s="9"/>
      <c r="V34" s="9">
        <v>21050</v>
      </c>
      <c r="W34" s="9"/>
      <c r="X34" s="9">
        <v>21080</v>
      </c>
      <c r="Y34" s="9">
        <v>25571</v>
      </c>
      <c r="Z34" s="9">
        <v>21200</v>
      </c>
      <c r="AA34" s="9"/>
      <c r="AB34" s="9">
        <v>5850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26"/>
      <c r="AT34" s="26">
        <v>9340000</v>
      </c>
      <c r="AU34" s="26"/>
      <c r="AV34" s="26"/>
      <c r="AW34" s="26"/>
      <c r="AX34" s="26"/>
      <c r="AY34" s="9"/>
      <c r="AZ34" s="9"/>
      <c r="BA34" s="9"/>
      <c r="BB34" s="9"/>
      <c r="BC34" s="9"/>
      <c r="BD34" s="9"/>
      <c r="BE34" s="29"/>
      <c r="BF34" s="29"/>
      <c r="BG34" s="29"/>
      <c r="BH34" s="29"/>
      <c r="BI34" s="28">
        <f t="shared" ref="BI34:BI54" si="11">X34-N34</f>
        <v>414</v>
      </c>
      <c r="BJ34" s="28">
        <f t="shared" ref="BJ34:BJ65" si="12">(Y34-O34)/O34</f>
        <v>-5.6385129880230211E-3</v>
      </c>
      <c r="BK34" s="28">
        <f t="shared" ref="BK34:BK61" si="13">K35/K34</f>
        <v>7.9474358974358976</v>
      </c>
      <c r="BL34" s="28">
        <f t="shared" ref="BL34:BL69" si="14">(Y34-O34)/O34</f>
        <v>-5.6385129880230211E-3</v>
      </c>
      <c r="BM34" s="28">
        <f t="shared" ref="BM34:BM65" si="15">(X34-D34)/D34</f>
        <v>3.1361612603356327E-2</v>
      </c>
      <c r="BN34" s="14">
        <f t="shared" si="8"/>
        <v>3.1613976705490847</v>
      </c>
    </row>
    <row r="35" spans="1:66" s="34" customFormat="1" ht="21" hidden="1" customHeight="1">
      <c r="A35" s="31"/>
      <c r="B35" s="32" t="s">
        <v>99</v>
      </c>
      <c r="C35" s="32">
        <v>18</v>
      </c>
      <c r="D35" s="33">
        <v>20439</v>
      </c>
      <c r="E35" s="32">
        <v>20523</v>
      </c>
      <c r="F35" s="32">
        <v>20458</v>
      </c>
      <c r="G35" s="32">
        <v>11158300</v>
      </c>
      <c r="H35" s="32">
        <v>25495</v>
      </c>
      <c r="I35" s="32">
        <v>24800</v>
      </c>
      <c r="J35" s="32">
        <v>24823</v>
      </c>
      <c r="K35" s="32">
        <v>619900</v>
      </c>
      <c r="L35" s="17">
        <f t="shared" si="9"/>
        <v>228276501400</v>
      </c>
      <c r="M35" s="17">
        <f t="shared" si="10"/>
        <v>15387777700</v>
      </c>
      <c r="N35" s="32">
        <v>20728</v>
      </c>
      <c r="O35" s="32">
        <v>25048</v>
      </c>
      <c r="P35" s="34">
        <v>20643</v>
      </c>
      <c r="Q35" s="34">
        <v>25750</v>
      </c>
      <c r="R35" s="32"/>
      <c r="S35" s="32"/>
      <c r="T35" s="32"/>
      <c r="U35" s="32"/>
      <c r="V35" s="32">
        <v>21680</v>
      </c>
      <c r="X35" s="32">
        <v>21480</v>
      </c>
      <c r="Y35" s="32">
        <v>26382</v>
      </c>
      <c r="Z35" s="32">
        <v>21840</v>
      </c>
      <c r="AA35" s="32">
        <v>21620</v>
      </c>
      <c r="AB35" s="32">
        <v>6020</v>
      </c>
      <c r="AC35" s="32">
        <v>5920</v>
      </c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3"/>
      <c r="AT35" s="33"/>
      <c r="AU35" s="33"/>
      <c r="AV35" s="33"/>
      <c r="AW35" s="33"/>
      <c r="AX35" s="33"/>
      <c r="AY35" s="32">
        <v>9545000</v>
      </c>
      <c r="AZ35" s="32">
        <v>5100000</v>
      </c>
      <c r="BA35" s="32">
        <v>3225000</v>
      </c>
      <c r="BB35" s="32">
        <v>1862000</v>
      </c>
      <c r="BC35" s="32">
        <v>935900</v>
      </c>
      <c r="BD35" s="32">
        <v>1831</v>
      </c>
      <c r="BE35" s="35"/>
      <c r="BF35" s="35"/>
      <c r="BG35" s="35"/>
      <c r="BH35" s="35"/>
      <c r="BI35" s="34">
        <f t="shared" si="11"/>
        <v>752</v>
      </c>
      <c r="BJ35" s="34">
        <f t="shared" si="12"/>
        <v>5.3257745129351643E-2</v>
      </c>
      <c r="BK35" s="34">
        <f t="shared" si="13"/>
        <v>1.6778512663332796</v>
      </c>
      <c r="BL35" s="34">
        <f t="shared" si="14"/>
        <v>5.3257745129351643E-2</v>
      </c>
      <c r="BM35" s="34">
        <f t="shared" si="15"/>
        <v>5.0932041685013946E-2</v>
      </c>
      <c r="BN35" s="14">
        <f t="shared" si="8"/>
        <v>4.9956007429856291</v>
      </c>
    </row>
    <row r="36" spans="1:66" s="34" customFormat="1" ht="21" hidden="1" customHeight="1">
      <c r="A36" s="31"/>
      <c r="B36" s="32" t="s">
        <v>100</v>
      </c>
      <c r="C36" s="32">
        <v>19</v>
      </c>
      <c r="D36" s="33">
        <v>20671</v>
      </c>
      <c r="E36" s="32">
        <v>20798</v>
      </c>
      <c r="F36" s="32">
        <v>20718</v>
      </c>
      <c r="G36" s="32">
        <v>9075500</v>
      </c>
      <c r="H36" s="32">
        <v>24800</v>
      </c>
      <c r="I36" s="32">
        <v>25000</v>
      </c>
      <c r="J36" s="32">
        <v>25013</v>
      </c>
      <c r="K36" s="32">
        <v>1040100</v>
      </c>
      <c r="L36" s="17">
        <f t="shared" si="9"/>
        <v>188026209000</v>
      </c>
      <c r="M36" s="17">
        <f t="shared" si="10"/>
        <v>26016021300</v>
      </c>
      <c r="N36" s="32">
        <v>21006</v>
      </c>
      <c r="O36" s="32">
        <v>25250</v>
      </c>
      <c r="P36" s="34">
        <v>20878</v>
      </c>
      <c r="Q36" s="34">
        <v>25048</v>
      </c>
      <c r="R36" s="32"/>
      <c r="S36" s="32"/>
      <c r="T36" s="32"/>
      <c r="U36" s="32"/>
      <c r="V36" s="32">
        <v>21430</v>
      </c>
      <c r="X36" s="32">
        <v>21440</v>
      </c>
      <c r="Y36" s="34">
        <v>26078</v>
      </c>
      <c r="Z36" s="32">
        <v>21450</v>
      </c>
      <c r="AA36" s="32">
        <v>21500</v>
      </c>
      <c r="AB36" s="32">
        <v>5920</v>
      </c>
      <c r="AC36" s="32">
        <v>5960</v>
      </c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3"/>
      <c r="AT36" s="33"/>
      <c r="AU36" s="33"/>
      <c r="AV36" s="33"/>
      <c r="AW36" s="33"/>
      <c r="AX36" s="33"/>
      <c r="AY36" s="32">
        <v>9550000</v>
      </c>
      <c r="AZ36" s="32"/>
      <c r="BA36" s="32"/>
      <c r="BB36" s="32"/>
      <c r="BC36" s="32">
        <v>932700</v>
      </c>
      <c r="BD36" s="34">
        <v>1837</v>
      </c>
      <c r="BE36" s="35"/>
      <c r="BF36" s="35"/>
      <c r="BG36" s="35"/>
      <c r="BH36" s="35"/>
      <c r="BI36" s="34">
        <f t="shared" si="11"/>
        <v>434</v>
      </c>
      <c r="BJ36" s="34">
        <f t="shared" si="12"/>
        <v>3.2792079207920793E-2</v>
      </c>
      <c r="BK36" s="34">
        <f t="shared" si="13"/>
        <v>1.9736563791943083</v>
      </c>
      <c r="BL36" s="34">
        <f t="shared" si="14"/>
        <v>3.2792079207920793E-2</v>
      </c>
      <c r="BM36" s="34">
        <f t="shared" si="15"/>
        <v>3.7201877025784917E-2</v>
      </c>
      <c r="BN36" s="14">
        <f t="shared" si="8"/>
        <v>3.4848923641278118</v>
      </c>
    </row>
    <row r="37" spans="1:66" s="34" customFormat="1" ht="21" hidden="1" customHeight="1">
      <c r="A37" s="31"/>
      <c r="B37" s="32" t="s">
        <v>101</v>
      </c>
      <c r="C37" s="32">
        <v>20</v>
      </c>
      <c r="D37" s="33">
        <v>20944</v>
      </c>
      <c r="E37" s="32">
        <v>21497</v>
      </c>
      <c r="F37" s="32">
        <v>21133</v>
      </c>
      <c r="G37" s="32">
        <v>8722500</v>
      </c>
      <c r="H37" s="32">
        <v>25268</v>
      </c>
      <c r="I37" s="32">
        <v>25198</v>
      </c>
      <c r="J37" s="32">
        <v>25327</v>
      </c>
      <c r="K37" s="32">
        <v>2052800</v>
      </c>
      <c r="L37" s="17">
        <f t="shared" si="9"/>
        <v>184332592500</v>
      </c>
      <c r="M37" s="17">
        <f t="shared" si="10"/>
        <v>51991265600</v>
      </c>
      <c r="N37" s="32">
        <v>21712</v>
      </c>
      <c r="O37" s="32">
        <v>25449</v>
      </c>
      <c r="P37" s="34">
        <v>21153</v>
      </c>
      <c r="Q37" s="34">
        <v>25520</v>
      </c>
      <c r="R37" s="32"/>
      <c r="S37" s="32"/>
      <c r="T37" s="32"/>
      <c r="U37" s="32"/>
      <c r="V37" s="32">
        <v>21950</v>
      </c>
      <c r="X37" s="34">
        <v>21920</v>
      </c>
      <c r="Y37" s="34">
        <v>26796</v>
      </c>
      <c r="Z37" s="32"/>
      <c r="AA37" s="32">
        <v>22200</v>
      </c>
      <c r="AB37" s="32">
        <v>6110</v>
      </c>
      <c r="AC37" s="32">
        <v>6110</v>
      </c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3">
        <v>6090</v>
      </c>
      <c r="AT37" s="33"/>
      <c r="AU37" s="33"/>
      <c r="AV37" s="33"/>
      <c r="AW37" s="33"/>
      <c r="AX37" s="33"/>
      <c r="AY37" s="32">
        <v>9805000</v>
      </c>
      <c r="AZ37" s="32"/>
      <c r="BA37" s="32"/>
      <c r="BB37" s="32"/>
      <c r="BC37" s="32"/>
      <c r="BE37" s="35"/>
      <c r="BF37" s="35"/>
      <c r="BG37" s="35"/>
      <c r="BH37" s="35"/>
      <c r="BI37" s="34">
        <f t="shared" si="11"/>
        <v>208</v>
      </c>
      <c r="BJ37" s="34">
        <f t="shared" si="12"/>
        <v>5.292938818814099E-2</v>
      </c>
      <c r="BK37" s="34">
        <f t="shared" si="13"/>
        <v>1.6885717069368666</v>
      </c>
      <c r="BL37" s="34">
        <f t="shared" si="14"/>
        <v>5.292938818814099E-2</v>
      </c>
      <c r="BM37" s="34">
        <f t="shared" si="15"/>
        <v>4.660045836516425E-2</v>
      </c>
      <c r="BN37" s="14">
        <f t="shared" si="8"/>
        <v>3.7240335021057116</v>
      </c>
    </row>
    <row r="38" spans="1:66" s="34" customFormat="1" ht="21" hidden="1" customHeight="1">
      <c r="A38" s="31"/>
      <c r="B38" s="32" t="s">
        <v>102</v>
      </c>
      <c r="C38" s="32">
        <v>21</v>
      </c>
      <c r="D38" s="33">
        <v>21816</v>
      </c>
      <c r="E38" s="32">
        <v>21912</v>
      </c>
      <c r="F38" s="32">
        <v>21989</v>
      </c>
      <c r="G38" s="32">
        <v>4093700</v>
      </c>
      <c r="H38" s="32">
        <v>25699</v>
      </c>
      <c r="I38" s="32">
        <v>25996</v>
      </c>
      <c r="J38" s="32">
        <v>25839</v>
      </c>
      <c r="K38" s="32">
        <v>3466300</v>
      </c>
      <c r="L38" s="17">
        <f t="shared" si="9"/>
        <v>90016369300</v>
      </c>
      <c r="M38" s="17">
        <f t="shared" si="10"/>
        <v>89565725700</v>
      </c>
      <c r="N38" s="32">
        <v>22132</v>
      </c>
      <c r="O38" s="32">
        <v>26256</v>
      </c>
      <c r="P38" s="34">
        <v>22034</v>
      </c>
      <c r="Q38" s="34">
        <v>25956</v>
      </c>
      <c r="R38" s="32"/>
      <c r="S38" s="32"/>
      <c r="T38" s="32"/>
      <c r="U38" s="32"/>
      <c r="V38" s="32">
        <v>22500</v>
      </c>
      <c r="X38" s="34">
        <v>22520</v>
      </c>
      <c r="Y38" s="34">
        <v>27339</v>
      </c>
      <c r="Z38" s="32">
        <v>22550</v>
      </c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3"/>
      <c r="AT38" s="33"/>
      <c r="AU38" s="33"/>
      <c r="AV38" s="33"/>
      <c r="AW38" s="33"/>
      <c r="AX38" s="33"/>
      <c r="AY38" s="32"/>
      <c r="AZ38" s="32"/>
      <c r="BA38" s="32"/>
      <c r="BB38" s="32"/>
      <c r="BC38" s="32"/>
      <c r="BE38" s="35"/>
      <c r="BF38" s="35"/>
      <c r="BG38" s="35"/>
      <c r="BH38" s="35"/>
      <c r="BI38" s="34">
        <f t="shared" si="11"/>
        <v>388</v>
      </c>
      <c r="BJ38" s="34">
        <f t="shared" si="12"/>
        <v>4.1247714808043873E-2</v>
      </c>
      <c r="BK38" s="34">
        <f t="shared" si="13"/>
        <v>0.74653088307417126</v>
      </c>
      <c r="BL38" s="34">
        <f t="shared" si="14"/>
        <v>4.1247714808043873E-2</v>
      </c>
      <c r="BM38" s="34">
        <f t="shared" si="15"/>
        <v>3.2269893656032271E-2</v>
      </c>
      <c r="BN38" s="14">
        <f t="shared" si="8"/>
        <v>2.4148437855291283</v>
      </c>
    </row>
    <row r="39" spans="1:66" s="34" customFormat="1" ht="21" hidden="1" customHeight="1">
      <c r="A39" s="31"/>
      <c r="B39" s="32" t="s">
        <v>103</v>
      </c>
      <c r="C39" s="32">
        <v>22</v>
      </c>
      <c r="D39" s="33">
        <v>21821</v>
      </c>
      <c r="E39" s="32">
        <v>22075</v>
      </c>
      <c r="F39" s="32">
        <v>21842</v>
      </c>
      <c r="G39" s="32">
        <v>4512900</v>
      </c>
      <c r="H39" s="32">
        <v>26273</v>
      </c>
      <c r="I39" s="32">
        <v>26000</v>
      </c>
      <c r="J39" s="32">
        <v>26157</v>
      </c>
      <c r="K39" s="32">
        <v>2587700</v>
      </c>
      <c r="L39" s="17">
        <f t="shared" si="9"/>
        <v>98570761800</v>
      </c>
      <c r="M39" s="17">
        <f t="shared" si="10"/>
        <v>67686468900</v>
      </c>
      <c r="N39" s="32">
        <v>22296</v>
      </c>
      <c r="O39" s="32">
        <v>26260</v>
      </c>
      <c r="P39" s="34">
        <v>22039</v>
      </c>
      <c r="Q39" s="34">
        <v>26536</v>
      </c>
      <c r="R39" s="32"/>
      <c r="S39" s="32"/>
      <c r="T39" s="32"/>
      <c r="U39" s="32"/>
      <c r="V39" s="32"/>
      <c r="X39" s="34">
        <v>22480</v>
      </c>
      <c r="Y39" s="34">
        <v>27192</v>
      </c>
      <c r="Z39" s="32"/>
      <c r="AA39" s="32"/>
      <c r="AB39" s="32"/>
      <c r="AC39" s="32">
        <v>6185</v>
      </c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3"/>
      <c r="AT39" s="33"/>
      <c r="AU39" s="33"/>
      <c r="AV39" s="33"/>
      <c r="AW39" s="33"/>
      <c r="AX39" s="33"/>
      <c r="AY39" s="32">
        <v>9945000</v>
      </c>
      <c r="AZ39" s="32"/>
      <c r="BA39" s="32"/>
      <c r="BB39" s="32"/>
      <c r="BC39" s="32"/>
      <c r="BE39" s="35"/>
      <c r="BF39" s="35"/>
      <c r="BG39" s="35"/>
      <c r="BH39" s="35"/>
      <c r="BI39" s="34">
        <f t="shared" si="11"/>
        <v>184</v>
      </c>
      <c r="BJ39" s="34">
        <f t="shared" si="12"/>
        <v>3.5491241431835491E-2</v>
      </c>
      <c r="BK39" s="34">
        <f t="shared" si="13"/>
        <v>1.1472736406847779</v>
      </c>
      <c r="BL39" s="34">
        <f t="shared" si="14"/>
        <v>3.5491241431835491E-2</v>
      </c>
      <c r="BM39" s="34">
        <f t="shared" si="15"/>
        <v>3.0200265799000963E-2</v>
      </c>
      <c r="BN39" s="14">
        <f t="shared" si="8"/>
        <v>2.9209779324237708</v>
      </c>
    </row>
    <row r="40" spans="1:66" s="23" customFormat="1" ht="21" hidden="1" customHeight="1">
      <c r="A40" s="20"/>
      <c r="B40" s="21" t="s">
        <v>104</v>
      </c>
      <c r="C40" s="21">
        <v>25</v>
      </c>
      <c r="D40" s="30">
        <v>22075</v>
      </c>
      <c r="E40" s="21">
        <v>22126</v>
      </c>
      <c r="F40" s="21">
        <v>21857</v>
      </c>
      <c r="G40" s="21">
        <v>5168000</v>
      </c>
      <c r="H40" s="21">
        <v>26000</v>
      </c>
      <c r="I40" s="21">
        <v>26040</v>
      </c>
      <c r="J40" s="21">
        <v>26182</v>
      </c>
      <c r="K40" s="21">
        <v>2968800</v>
      </c>
      <c r="L40" s="17">
        <f t="shared" si="9"/>
        <v>112956976000</v>
      </c>
      <c r="M40" s="17">
        <f t="shared" si="10"/>
        <v>77729121600</v>
      </c>
      <c r="N40" s="21">
        <v>22348</v>
      </c>
      <c r="O40" s="21">
        <v>26300</v>
      </c>
      <c r="P40" s="23">
        <v>22296</v>
      </c>
      <c r="Q40" s="23">
        <v>26260</v>
      </c>
      <c r="R40" s="21"/>
      <c r="S40" s="21"/>
      <c r="T40" s="21"/>
      <c r="U40" s="21"/>
      <c r="V40" s="21">
        <v>22650</v>
      </c>
      <c r="X40" s="23">
        <v>22900</v>
      </c>
      <c r="Y40" s="23">
        <v>27476</v>
      </c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30"/>
      <c r="AT40" s="30"/>
      <c r="AU40" s="30"/>
      <c r="AV40" s="30"/>
      <c r="AW40" s="30"/>
      <c r="AX40" s="30"/>
      <c r="AY40" s="21">
        <v>10215000</v>
      </c>
      <c r="AZ40" s="21"/>
      <c r="BA40" s="21"/>
      <c r="BB40" s="21"/>
      <c r="BC40" s="21"/>
      <c r="BE40" s="22"/>
      <c r="BF40" s="22"/>
      <c r="BG40" s="22"/>
      <c r="BH40" s="22"/>
      <c r="BI40" s="23">
        <f t="shared" si="11"/>
        <v>552</v>
      </c>
      <c r="BJ40" s="23">
        <f t="shared" si="12"/>
        <v>4.4714828897338403E-2</v>
      </c>
      <c r="BK40" s="23">
        <f t="shared" si="13"/>
        <v>0.87021692266235517</v>
      </c>
      <c r="BL40" s="23">
        <f t="shared" si="14"/>
        <v>4.4714828897338403E-2</v>
      </c>
      <c r="BM40" s="23">
        <f t="shared" si="15"/>
        <v>3.7372593431483581E-2</v>
      </c>
      <c r="BN40" s="14">
        <f t="shared" si="8"/>
        <v>4.7719266138994376</v>
      </c>
    </row>
    <row r="41" spans="1:66" s="23" customFormat="1" ht="21" hidden="1" customHeight="1">
      <c r="A41" s="20"/>
      <c r="B41" s="21" t="s">
        <v>105</v>
      </c>
      <c r="C41" s="21">
        <v>26</v>
      </c>
      <c r="D41" s="30">
        <v>22215</v>
      </c>
      <c r="E41" s="21">
        <v>22211</v>
      </c>
      <c r="F41" s="21">
        <v>22070</v>
      </c>
      <c r="G41" s="21">
        <v>6621700</v>
      </c>
      <c r="H41" s="21">
        <v>26054</v>
      </c>
      <c r="I41" s="21">
        <v>26298</v>
      </c>
      <c r="J41" s="21">
        <v>26307</v>
      </c>
      <c r="K41" s="21">
        <v>2583500</v>
      </c>
      <c r="L41" s="17">
        <f t="shared" si="9"/>
        <v>146140919000</v>
      </c>
      <c r="M41" s="17">
        <f t="shared" si="10"/>
        <v>67964134500</v>
      </c>
      <c r="N41" s="21">
        <v>22433</v>
      </c>
      <c r="O41" s="21">
        <v>26561</v>
      </c>
      <c r="P41" s="23">
        <v>22437</v>
      </c>
      <c r="Q41" s="23">
        <v>26315</v>
      </c>
      <c r="R41" s="21"/>
      <c r="S41" s="21"/>
      <c r="T41" s="21"/>
      <c r="U41" s="21"/>
      <c r="V41" s="21">
        <v>22980</v>
      </c>
      <c r="X41" s="23">
        <v>23240</v>
      </c>
      <c r="Y41" s="23">
        <v>28059</v>
      </c>
      <c r="Z41" s="21"/>
      <c r="AA41" s="21"/>
      <c r="AB41" s="21"/>
      <c r="AC41" s="21">
        <v>6400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30"/>
      <c r="AT41" s="30"/>
      <c r="AU41" s="30"/>
      <c r="AV41" s="30"/>
      <c r="AW41" s="30"/>
      <c r="AX41" s="30"/>
      <c r="AY41" s="21">
        <v>10305000</v>
      </c>
      <c r="AZ41" s="21"/>
      <c r="BA41" s="21"/>
      <c r="BB41" s="21"/>
      <c r="BC41" s="21"/>
      <c r="BE41" s="22"/>
      <c r="BF41" s="22"/>
      <c r="BG41" s="22"/>
      <c r="BH41" s="22"/>
      <c r="BI41" s="23">
        <f t="shared" si="11"/>
        <v>807</v>
      </c>
      <c r="BJ41" s="23">
        <f t="shared" si="12"/>
        <v>5.6398478972930238E-2</v>
      </c>
      <c r="BK41" s="23">
        <f t="shared" si="13"/>
        <v>1.2627830462550804</v>
      </c>
      <c r="BL41" s="23">
        <f t="shared" si="14"/>
        <v>5.6398478972930238E-2</v>
      </c>
      <c r="BM41" s="23">
        <f t="shared" si="15"/>
        <v>4.6139995498537027E-2</v>
      </c>
      <c r="BN41" s="14">
        <f t="shared" si="8"/>
        <v>5.3013140009062072</v>
      </c>
    </row>
    <row r="42" spans="1:66" s="23" customFormat="1" ht="21" hidden="1" customHeight="1">
      <c r="A42" s="20"/>
      <c r="B42" s="21" t="s">
        <v>106</v>
      </c>
      <c r="C42" s="21">
        <v>27</v>
      </c>
      <c r="D42" s="30">
        <v>22299</v>
      </c>
      <c r="E42" s="21">
        <v>22000</v>
      </c>
      <c r="F42" s="21">
        <v>22161</v>
      </c>
      <c r="G42" s="21">
        <v>4271500</v>
      </c>
      <c r="H42" s="21">
        <v>26125</v>
      </c>
      <c r="I42" s="21">
        <v>26176</v>
      </c>
      <c r="J42" s="21">
        <v>26344</v>
      </c>
      <c r="K42" s="21">
        <v>3262400</v>
      </c>
      <c r="L42" s="17">
        <f t="shared" si="9"/>
        <v>94660711500</v>
      </c>
      <c r="M42" s="17">
        <f t="shared" si="10"/>
        <v>85944665600</v>
      </c>
      <c r="N42" s="21">
        <v>22220</v>
      </c>
      <c r="O42" s="21">
        <v>26437</v>
      </c>
      <c r="P42" s="23">
        <v>22522</v>
      </c>
      <c r="Q42" s="23">
        <v>26386</v>
      </c>
      <c r="R42" s="21"/>
      <c r="S42" s="21"/>
      <c r="T42" s="21"/>
      <c r="U42" s="21"/>
      <c r="V42" s="21">
        <v>23120</v>
      </c>
      <c r="X42" s="23">
        <v>22850</v>
      </c>
      <c r="Y42" s="23">
        <v>28105</v>
      </c>
      <c r="Z42" s="21"/>
      <c r="AA42" s="21"/>
      <c r="AB42" s="21">
        <v>6360</v>
      </c>
      <c r="AC42" s="21">
        <v>6300</v>
      </c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30"/>
      <c r="AT42" s="30"/>
      <c r="AU42" s="30"/>
      <c r="AV42" s="30"/>
      <c r="AW42" s="30"/>
      <c r="AX42" s="30"/>
      <c r="AY42" s="21">
        <v>10075000</v>
      </c>
      <c r="AZ42" s="21"/>
      <c r="BA42" s="21"/>
      <c r="BB42" s="21"/>
      <c r="BC42" s="21"/>
      <c r="BE42" s="22"/>
      <c r="BF42" s="22"/>
      <c r="BG42" s="22"/>
      <c r="BH42" s="22"/>
      <c r="BI42" s="23">
        <f t="shared" si="11"/>
        <v>630</v>
      </c>
      <c r="BJ42" s="23">
        <f t="shared" si="12"/>
        <v>6.3093391837197865E-2</v>
      </c>
      <c r="BK42" s="23">
        <f t="shared" si="13"/>
        <v>0.9125183913683178</v>
      </c>
      <c r="BL42" s="23">
        <f t="shared" si="14"/>
        <v>6.3093391837197865E-2</v>
      </c>
      <c r="BM42" s="23">
        <f t="shared" si="15"/>
        <v>2.4709628234449974E-2</v>
      </c>
      <c r="BN42" s="14">
        <f t="shared" si="8"/>
        <v>3.1090654753846847</v>
      </c>
    </row>
    <row r="43" spans="1:66" s="23" customFormat="1" ht="21" hidden="1" customHeight="1">
      <c r="A43" s="20"/>
      <c r="B43" s="21" t="s">
        <v>107</v>
      </c>
      <c r="C43" s="21">
        <v>28</v>
      </c>
      <c r="D43" s="30">
        <v>22201</v>
      </c>
      <c r="E43" s="21">
        <v>22361</v>
      </c>
      <c r="F43" s="21">
        <v>22261</v>
      </c>
      <c r="G43" s="21">
        <v>5202600</v>
      </c>
      <c r="H43" s="21">
        <v>26324</v>
      </c>
      <c r="I43" s="21">
        <v>26850</v>
      </c>
      <c r="J43" s="21">
        <v>26683</v>
      </c>
      <c r="K43" s="21">
        <v>2977000</v>
      </c>
      <c r="L43" s="17">
        <f t="shared" si="9"/>
        <v>115815078600</v>
      </c>
      <c r="M43" s="17">
        <f t="shared" si="10"/>
        <v>79435291000</v>
      </c>
      <c r="N43" s="21">
        <v>22585</v>
      </c>
      <c r="O43" s="21">
        <v>27118</v>
      </c>
      <c r="P43" s="23">
        <v>22423</v>
      </c>
      <c r="Q43" s="23">
        <v>26587</v>
      </c>
      <c r="R43" s="21"/>
      <c r="S43" s="21"/>
      <c r="T43" s="21"/>
      <c r="U43" s="21"/>
      <c r="V43" s="21"/>
      <c r="X43" s="23">
        <v>23130</v>
      </c>
      <c r="Y43" s="23">
        <v>27907</v>
      </c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30"/>
      <c r="AT43" s="30"/>
      <c r="AU43" s="30"/>
      <c r="AV43" s="30"/>
      <c r="AW43" s="30"/>
      <c r="AX43" s="30"/>
      <c r="AY43" s="21"/>
      <c r="AZ43" s="21"/>
      <c r="BA43" s="21"/>
      <c r="BB43" s="21"/>
      <c r="BC43" s="21"/>
      <c r="BE43" s="22"/>
      <c r="BF43" s="22"/>
      <c r="BG43" s="22"/>
      <c r="BH43" s="22"/>
      <c r="BI43" s="23">
        <f t="shared" si="11"/>
        <v>545</v>
      </c>
      <c r="BJ43" s="23">
        <f t="shared" si="12"/>
        <v>2.9095066007817687E-2</v>
      </c>
      <c r="BK43" s="23">
        <f t="shared" si="13"/>
        <v>0.44763184413839435</v>
      </c>
      <c r="BL43" s="23">
        <f t="shared" si="14"/>
        <v>2.9095066007817687E-2</v>
      </c>
      <c r="BM43" s="23">
        <f t="shared" si="15"/>
        <v>4.1844961938651414E-2</v>
      </c>
      <c r="BN43" s="14">
        <f t="shared" si="8"/>
        <v>3.9036880643277483</v>
      </c>
    </row>
    <row r="44" spans="1:66" s="23" customFormat="1" ht="21" hidden="1" customHeight="1">
      <c r="A44" s="20"/>
      <c r="B44" s="21" t="s">
        <v>108</v>
      </c>
      <c r="C44" s="21">
        <v>29</v>
      </c>
      <c r="D44" s="30">
        <v>22113</v>
      </c>
      <c r="E44" s="21">
        <v>21954</v>
      </c>
      <c r="F44" s="21">
        <v>22067</v>
      </c>
      <c r="G44" s="21">
        <v>3815100</v>
      </c>
      <c r="H44" s="21">
        <v>26850</v>
      </c>
      <c r="I44" s="21">
        <v>21620</v>
      </c>
      <c r="J44" s="21">
        <v>26812</v>
      </c>
      <c r="K44" s="21">
        <v>1332600</v>
      </c>
      <c r="L44" s="17">
        <f t="shared" si="9"/>
        <v>84187811700</v>
      </c>
      <c r="M44" s="17">
        <f t="shared" si="10"/>
        <v>35729671200</v>
      </c>
      <c r="N44" s="21">
        <v>22174</v>
      </c>
      <c r="O44" s="21">
        <v>26929</v>
      </c>
      <c r="P44" s="23">
        <v>22335</v>
      </c>
      <c r="Q44" s="23">
        <v>27118</v>
      </c>
      <c r="R44" s="21"/>
      <c r="S44" s="21"/>
      <c r="T44" s="21"/>
      <c r="U44" s="21"/>
      <c r="V44" s="21"/>
      <c r="X44" s="23">
        <v>22600</v>
      </c>
      <c r="Y44" s="23">
        <v>27745</v>
      </c>
      <c r="Z44" s="21"/>
      <c r="AA44" s="21"/>
      <c r="AB44" s="21"/>
      <c r="AC44" s="21">
        <v>6235</v>
      </c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30"/>
      <c r="AT44" s="30"/>
      <c r="AU44" s="30"/>
      <c r="AV44" s="30"/>
      <c r="AW44" s="30"/>
      <c r="AX44" s="30"/>
      <c r="AY44" s="21">
        <v>10005000</v>
      </c>
      <c r="AZ44" s="21"/>
      <c r="BA44" s="21"/>
      <c r="BB44" s="21"/>
      <c r="BC44" s="21"/>
      <c r="BE44" s="22"/>
      <c r="BF44" s="22"/>
      <c r="BG44" s="22"/>
      <c r="BH44" s="22"/>
      <c r="BI44" s="23">
        <f t="shared" si="11"/>
        <v>426</v>
      </c>
      <c r="BJ44" s="23">
        <f t="shared" si="12"/>
        <v>3.0301905009469346E-2</v>
      </c>
      <c r="BK44" s="23">
        <f t="shared" si="13"/>
        <v>0.3594476962329281</v>
      </c>
      <c r="BL44" s="23">
        <f t="shared" si="14"/>
        <v>3.0301905009469346E-2</v>
      </c>
      <c r="BM44" s="23">
        <f t="shared" si="15"/>
        <v>2.2023244245466467E-2</v>
      </c>
      <c r="BN44" s="14">
        <f t="shared" si="8"/>
        <v>2.4153713690125529</v>
      </c>
    </row>
    <row r="45" spans="1:66" s="23" customFormat="1" ht="21" hidden="1" customHeight="1">
      <c r="A45" s="20"/>
      <c r="B45" s="21" t="s">
        <v>109</v>
      </c>
      <c r="C45" s="21">
        <v>30</v>
      </c>
      <c r="D45" s="30">
        <v>22176</v>
      </c>
      <c r="E45" s="21">
        <v>22075</v>
      </c>
      <c r="F45" s="21">
        <v>22106</v>
      </c>
      <c r="G45" s="21">
        <v>5932300</v>
      </c>
      <c r="H45" s="21">
        <v>26903</v>
      </c>
      <c r="I45" s="21">
        <v>26893</v>
      </c>
      <c r="J45" s="21">
        <v>26945</v>
      </c>
      <c r="K45" s="21">
        <v>479000</v>
      </c>
      <c r="L45" s="17">
        <f t="shared" si="9"/>
        <v>131139423800</v>
      </c>
      <c r="M45" s="17">
        <f t="shared" si="10"/>
        <v>12906655000</v>
      </c>
      <c r="N45" s="21">
        <v>22296</v>
      </c>
      <c r="O45" s="21">
        <v>27162</v>
      </c>
      <c r="P45" s="23">
        <v>22397</v>
      </c>
      <c r="Q45" s="23">
        <v>27172</v>
      </c>
      <c r="R45" s="21"/>
      <c r="S45" s="21"/>
      <c r="T45" s="21"/>
      <c r="U45" s="21"/>
      <c r="V45" s="21">
        <v>23050</v>
      </c>
      <c r="X45" s="23">
        <v>22940</v>
      </c>
      <c r="Y45" s="23">
        <v>28025</v>
      </c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30"/>
      <c r="AT45" s="30"/>
      <c r="AU45" s="30"/>
      <c r="AV45" s="30"/>
      <c r="AW45" s="30"/>
      <c r="AX45" s="30"/>
      <c r="AY45" s="21"/>
      <c r="AZ45" s="21"/>
      <c r="BA45" s="21"/>
      <c r="BB45" s="21"/>
      <c r="BC45" s="21"/>
      <c r="BE45" s="22"/>
      <c r="BF45" s="22"/>
      <c r="BG45" s="22"/>
      <c r="BH45" s="22"/>
      <c r="BI45" s="23">
        <f t="shared" si="11"/>
        <v>644</v>
      </c>
      <c r="BJ45" s="23">
        <f t="shared" si="12"/>
        <v>3.1772328989028792E-2</v>
      </c>
      <c r="BK45" s="23">
        <f t="shared" si="13"/>
        <v>0.97620041753653441</v>
      </c>
      <c r="BL45" s="23">
        <f t="shared" si="14"/>
        <v>3.1772328989028792E-2</v>
      </c>
      <c r="BM45" s="23">
        <f t="shared" si="15"/>
        <v>3.4451659451659448E-2</v>
      </c>
      <c r="BN45" s="14">
        <f t="shared" si="8"/>
        <v>3.7727313851443047</v>
      </c>
    </row>
    <row r="46" spans="1:66" s="39" customFormat="1" ht="21" hidden="1" customHeight="1">
      <c r="A46" s="36"/>
      <c r="B46" s="37" t="s">
        <v>110</v>
      </c>
      <c r="C46" s="37">
        <v>1</v>
      </c>
      <c r="D46" s="38">
        <v>22080</v>
      </c>
      <c r="E46" s="37">
        <v>22151</v>
      </c>
      <c r="F46" s="37">
        <v>22145</v>
      </c>
      <c r="G46" s="37">
        <v>6080900</v>
      </c>
      <c r="H46" s="37">
        <v>26893</v>
      </c>
      <c r="I46" s="37">
        <v>27115</v>
      </c>
      <c r="J46" s="37">
        <v>27064</v>
      </c>
      <c r="K46" s="37">
        <v>467600</v>
      </c>
      <c r="L46" s="37">
        <f t="shared" si="9"/>
        <v>134661530500</v>
      </c>
      <c r="M46" s="37">
        <f t="shared" si="10"/>
        <v>12655126400</v>
      </c>
      <c r="N46" s="37">
        <v>22372</v>
      </c>
      <c r="O46" s="37">
        <v>27386</v>
      </c>
      <c r="P46" s="39">
        <v>22301</v>
      </c>
      <c r="Q46" s="39">
        <v>27162</v>
      </c>
      <c r="R46" s="37"/>
      <c r="S46" s="37"/>
      <c r="T46" s="37"/>
      <c r="U46" s="37"/>
      <c r="V46" s="37"/>
      <c r="X46" s="39">
        <v>22880</v>
      </c>
      <c r="Y46" s="39">
        <v>27927</v>
      </c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8"/>
      <c r="AT46" s="38"/>
      <c r="AU46" s="38"/>
      <c r="AV46" s="38"/>
      <c r="AW46" s="38"/>
      <c r="AX46" s="38"/>
      <c r="AY46" s="37"/>
      <c r="AZ46" s="37"/>
      <c r="BA46" s="37"/>
      <c r="BB46" s="37"/>
      <c r="BC46" s="37"/>
      <c r="BE46" s="40"/>
      <c r="BF46" s="40"/>
      <c r="BG46" s="40"/>
      <c r="BH46" s="40"/>
      <c r="BI46" s="39">
        <f t="shared" si="11"/>
        <v>508</v>
      </c>
      <c r="BJ46" s="39">
        <f t="shared" si="12"/>
        <v>1.9754619148470022E-2</v>
      </c>
      <c r="BK46" s="39">
        <f t="shared" si="13"/>
        <v>1.3083832335329342</v>
      </c>
      <c r="BL46" s="39">
        <f t="shared" si="14"/>
        <v>1.9754619148470022E-2</v>
      </c>
      <c r="BM46" s="39">
        <f t="shared" si="15"/>
        <v>3.6231884057971016E-2</v>
      </c>
      <c r="BN46" s="14">
        <f t="shared" si="8"/>
        <v>3.3190336419056221</v>
      </c>
    </row>
    <row r="47" spans="1:66" s="39" customFormat="1" ht="21" hidden="1" customHeight="1">
      <c r="A47" s="36"/>
      <c r="B47" s="37" t="s">
        <v>111</v>
      </c>
      <c r="C47" s="37">
        <v>2</v>
      </c>
      <c r="D47" s="38">
        <v>22173</v>
      </c>
      <c r="E47" s="37">
        <v>22186</v>
      </c>
      <c r="F47" s="37">
        <v>22176</v>
      </c>
      <c r="G47" s="37">
        <v>7356200</v>
      </c>
      <c r="H47" s="37">
        <v>27150</v>
      </c>
      <c r="I47" s="37">
        <v>27030</v>
      </c>
      <c r="J47" s="37">
        <v>27088</v>
      </c>
      <c r="K47" s="37">
        <v>611800</v>
      </c>
      <c r="L47" s="37">
        <f t="shared" si="9"/>
        <v>163131091200</v>
      </c>
      <c r="M47" s="37">
        <f t="shared" si="10"/>
        <v>16572438400</v>
      </c>
      <c r="N47" s="37">
        <v>22408</v>
      </c>
      <c r="O47" s="37">
        <v>27301</v>
      </c>
      <c r="P47" s="39">
        <v>22394</v>
      </c>
      <c r="Q47" s="39">
        <v>27421</v>
      </c>
      <c r="R47" s="37"/>
      <c r="S47" s="37"/>
      <c r="T47" s="37"/>
      <c r="U47" s="37"/>
      <c r="V47" s="37"/>
      <c r="X47" s="39">
        <v>22920</v>
      </c>
      <c r="Y47" s="39">
        <v>27950</v>
      </c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8"/>
      <c r="AT47" s="38"/>
      <c r="AU47" s="38"/>
      <c r="AV47" s="38"/>
      <c r="AW47" s="38"/>
      <c r="AX47" s="38"/>
      <c r="AY47" s="37">
        <v>1090000</v>
      </c>
      <c r="AZ47" s="37"/>
      <c r="BA47" s="37"/>
      <c r="BB47" s="37"/>
      <c r="BC47" s="37"/>
      <c r="BE47" s="40"/>
      <c r="BF47" s="40"/>
      <c r="BG47" s="40"/>
      <c r="BH47" s="40"/>
      <c r="BI47" s="39">
        <f t="shared" si="11"/>
        <v>512</v>
      </c>
      <c r="BJ47" s="39">
        <f t="shared" si="12"/>
        <v>2.377202300282041E-2</v>
      </c>
      <c r="BK47" s="39">
        <f t="shared" si="13"/>
        <v>1.0933311539718862</v>
      </c>
      <c r="BL47" s="39">
        <f t="shared" si="14"/>
        <v>2.377202300282041E-2</v>
      </c>
      <c r="BM47" s="39">
        <f t="shared" si="15"/>
        <v>3.3689622513868221E-2</v>
      </c>
      <c r="BN47" s="14">
        <f t="shared" si="8"/>
        <v>3.3549783549783552</v>
      </c>
    </row>
    <row r="48" spans="1:66" s="39" customFormat="1" ht="21" hidden="1" customHeight="1">
      <c r="A48" s="36"/>
      <c r="B48" s="37" t="s">
        <v>112</v>
      </c>
      <c r="C48" s="37">
        <v>3</v>
      </c>
      <c r="D48" s="38">
        <v>22283</v>
      </c>
      <c r="E48" s="37">
        <v>22201</v>
      </c>
      <c r="F48" s="37">
        <v>22265</v>
      </c>
      <c r="G48" s="37">
        <v>8787200</v>
      </c>
      <c r="H48" s="37">
        <v>27030</v>
      </c>
      <c r="I48" s="37">
        <v>27047</v>
      </c>
      <c r="J48" s="37">
        <v>27150</v>
      </c>
      <c r="K48" s="37">
        <v>668900</v>
      </c>
      <c r="L48" s="37">
        <f t="shared" si="9"/>
        <v>195647008000</v>
      </c>
      <c r="M48" s="37">
        <f t="shared" si="10"/>
        <v>18160635000</v>
      </c>
      <c r="N48" s="37">
        <v>22423</v>
      </c>
      <c r="O48" s="37">
        <v>27318</v>
      </c>
      <c r="P48" s="39">
        <v>22506</v>
      </c>
      <c r="Q48" s="39">
        <v>27301</v>
      </c>
      <c r="R48" s="37"/>
      <c r="S48" s="37"/>
      <c r="T48" s="37"/>
      <c r="U48" s="37"/>
      <c r="V48" s="37">
        <v>23280</v>
      </c>
      <c r="X48" s="39">
        <v>23210</v>
      </c>
      <c r="Y48" s="39">
        <v>28259</v>
      </c>
      <c r="Z48" s="37"/>
      <c r="AA48" s="37"/>
      <c r="AB48" s="37">
        <v>6410</v>
      </c>
      <c r="AC48" s="37">
        <v>6375</v>
      </c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8"/>
      <c r="AT48" s="38"/>
      <c r="AU48" s="38"/>
      <c r="AV48" s="38"/>
      <c r="AW48" s="38"/>
      <c r="AX48" s="38"/>
      <c r="AY48" s="37">
        <v>10200000</v>
      </c>
      <c r="AZ48" s="37"/>
      <c r="BA48" s="37"/>
      <c r="BB48" s="37"/>
      <c r="BC48" s="37"/>
      <c r="BE48" s="40"/>
      <c r="BF48" s="40"/>
      <c r="BG48" s="40"/>
      <c r="BH48" s="40"/>
      <c r="BI48" s="39">
        <f t="shared" si="11"/>
        <v>787</v>
      </c>
      <c r="BJ48" s="39">
        <f t="shared" si="12"/>
        <v>3.4446152719818435E-2</v>
      </c>
      <c r="BK48" s="39">
        <f t="shared" si="13"/>
        <v>1.1163103602930184</v>
      </c>
      <c r="BL48" s="39">
        <f t="shared" si="14"/>
        <v>3.4446152719818435E-2</v>
      </c>
      <c r="BM48" s="39">
        <f t="shared" si="15"/>
        <v>4.1601220661490822E-2</v>
      </c>
      <c r="BN48" s="14">
        <f t="shared" si="8"/>
        <v>4.2443296653941163</v>
      </c>
    </row>
    <row r="49" spans="1:66" s="39" customFormat="1" ht="21" hidden="1" customHeight="1">
      <c r="A49" s="36"/>
      <c r="B49" s="37" t="s">
        <v>113</v>
      </c>
      <c r="C49" s="37">
        <v>4</v>
      </c>
      <c r="D49" s="38">
        <v>22169</v>
      </c>
      <c r="E49" s="37">
        <v>22211</v>
      </c>
      <c r="F49" s="37">
        <v>22155</v>
      </c>
      <c r="G49" s="37">
        <v>7704000</v>
      </c>
      <c r="H49" s="37">
        <v>27047</v>
      </c>
      <c r="I49" s="37">
        <v>27091</v>
      </c>
      <c r="J49" s="37">
        <v>27091</v>
      </c>
      <c r="K49" s="37">
        <v>746700</v>
      </c>
      <c r="L49" s="37">
        <f t="shared" si="9"/>
        <v>170682120000</v>
      </c>
      <c r="M49" s="37">
        <f t="shared" si="10"/>
        <v>20228849700</v>
      </c>
      <c r="N49" s="37">
        <v>22433</v>
      </c>
      <c r="O49" s="37">
        <v>27362</v>
      </c>
      <c r="P49" s="39">
        <v>22390</v>
      </c>
      <c r="Q49" s="39">
        <v>27318</v>
      </c>
      <c r="R49" s="37"/>
      <c r="S49" s="37"/>
      <c r="T49" s="37"/>
      <c r="U49" s="37"/>
      <c r="V49" s="37">
        <v>23100</v>
      </c>
      <c r="X49" s="39">
        <v>22980</v>
      </c>
      <c r="Y49" s="39">
        <v>28003</v>
      </c>
      <c r="Z49" s="37"/>
      <c r="AA49" s="37"/>
      <c r="AB49" s="37"/>
      <c r="AC49" s="37">
        <v>6330</v>
      </c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8">
        <v>10095000</v>
      </c>
      <c r="AT49" s="38"/>
      <c r="AU49" s="38"/>
      <c r="AV49" s="38"/>
      <c r="AW49" s="38"/>
      <c r="AX49" s="38"/>
      <c r="AY49" s="37">
        <v>10095000</v>
      </c>
      <c r="AZ49" s="37"/>
      <c r="BA49" s="37"/>
      <c r="BB49" s="37"/>
      <c r="BC49" s="37"/>
      <c r="BE49" s="40"/>
      <c r="BF49" s="40"/>
      <c r="BG49" s="40"/>
      <c r="BH49" s="40"/>
      <c r="BI49" s="39">
        <f t="shared" si="11"/>
        <v>547</v>
      </c>
      <c r="BJ49" s="39">
        <f t="shared" si="12"/>
        <v>2.3426650098676997E-2</v>
      </c>
      <c r="BK49" s="39">
        <f t="shared" si="13"/>
        <v>0.88536226061336543</v>
      </c>
      <c r="BL49" s="39">
        <f t="shared" si="14"/>
        <v>2.3426650098676997E-2</v>
      </c>
      <c r="BM49" s="39">
        <f t="shared" si="15"/>
        <v>3.6582615363796291E-2</v>
      </c>
      <c r="BN49" s="14">
        <f t="shared" si="8"/>
        <v>3.7237643872714963</v>
      </c>
    </row>
    <row r="50" spans="1:66" s="39" customFormat="1" ht="21" hidden="1" customHeight="1">
      <c r="A50" s="36"/>
      <c r="B50" s="37" t="s">
        <v>114</v>
      </c>
      <c r="C50" s="37">
        <v>5</v>
      </c>
      <c r="D50" s="38">
        <v>22256</v>
      </c>
      <c r="E50" s="37">
        <v>22300</v>
      </c>
      <c r="F50" s="37">
        <v>22270</v>
      </c>
      <c r="G50" s="37">
        <v>10087200</v>
      </c>
      <c r="H50" s="37">
        <v>27091</v>
      </c>
      <c r="I50" s="37">
        <v>27234</v>
      </c>
      <c r="J50" s="37">
        <v>27259</v>
      </c>
      <c r="K50" s="37">
        <v>661100</v>
      </c>
      <c r="L50" s="37">
        <f t="shared" si="9"/>
        <v>224641944000</v>
      </c>
      <c r="M50" s="37">
        <f t="shared" si="10"/>
        <v>18020924900</v>
      </c>
      <c r="N50" s="37">
        <v>22523</v>
      </c>
      <c r="O50" s="37">
        <v>27506</v>
      </c>
      <c r="P50" s="39">
        <v>22479</v>
      </c>
      <c r="Q50" s="39">
        <v>27362</v>
      </c>
      <c r="R50" s="37"/>
      <c r="S50" s="37"/>
      <c r="T50" s="37"/>
      <c r="U50" s="37"/>
      <c r="V50" s="37">
        <v>23160</v>
      </c>
      <c r="X50" s="39">
        <v>23330</v>
      </c>
      <c r="Y50" s="39">
        <v>28422</v>
      </c>
      <c r="Z50" s="37"/>
      <c r="AA50" s="37"/>
      <c r="AB50" s="37"/>
      <c r="AC50" s="37">
        <v>6430</v>
      </c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8"/>
      <c r="AT50" s="38"/>
      <c r="AU50" s="38"/>
      <c r="AV50" s="38"/>
      <c r="AW50" s="38"/>
      <c r="AX50" s="38"/>
      <c r="AY50" s="37">
        <v>10290000</v>
      </c>
      <c r="AZ50" s="37"/>
      <c r="BA50" s="37"/>
      <c r="BB50" s="37"/>
      <c r="BC50" s="37"/>
      <c r="BE50" s="40"/>
      <c r="BF50" s="40"/>
      <c r="BG50" s="40"/>
      <c r="BH50" s="40"/>
      <c r="BI50" s="39">
        <f t="shared" si="11"/>
        <v>807</v>
      </c>
      <c r="BJ50" s="39">
        <f t="shared" si="12"/>
        <v>3.330182505635134E-2</v>
      </c>
      <c r="BK50" s="39">
        <f t="shared" si="13"/>
        <v>0.62895174708818635</v>
      </c>
      <c r="BL50" s="39">
        <f t="shared" si="14"/>
        <v>3.330182505635134E-2</v>
      </c>
      <c r="BM50" s="39">
        <f t="shared" si="15"/>
        <v>4.8256649892163911E-2</v>
      </c>
      <c r="BN50" s="14">
        <f t="shared" si="8"/>
        <v>4.7597665020206552</v>
      </c>
    </row>
    <row r="51" spans="1:66" s="39" customFormat="1" ht="21" hidden="1" customHeight="1">
      <c r="A51" s="36"/>
      <c r="B51" s="37" t="s">
        <v>115</v>
      </c>
      <c r="C51" s="37">
        <v>6</v>
      </c>
      <c r="D51" s="38">
        <v>22315</v>
      </c>
      <c r="E51" s="37">
        <v>22448</v>
      </c>
      <c r="F51" s="37">
        <v>22403</v>
      </c>
      <c r="G51" s="37">
        <v>6515600</v>
      </c>
      <c r="H51" s="37">
        <v>27318</v>
      </c>
      <c r="I51" s="37">
        <v>27263</v>
      </c>
      <c r="J51" s="37">
        <v>27354</v>
      </c>
      <c r="K51" s="37">
        <v>415800</v>
      </c>
      <c r="L51" s="37">
        <f t="shared" si="9"/>
        <v>145968986800</v>
      </c>
      <c r="M51" s="37">
        <f t="shared" si="10"/>
        <v>11373793200</v>
      </c>
      <c r="N51" s="37">
        <v>22673</v>
      </c>
      <c r="O51" s="37">
        <v>27535</v>
      </c>
      <c r="P51" s="39">
        <v>22538</v>
      </c>
      <c r="Q51" s="39">
        <v>27591</v>
      </c>
      <c r="R51" s="37"/>
      <c r="S51" s="37"/>
      <c r="T51" s="37"/>
      <c r="U51" s="37"/>
      <c r="V51" s="37"/>
      <c r="X51" s="39">
        <v>23200</v>
      </c>
      <c r="Y51" s="39">
        <v>28410</v>
      </c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8"/>
      <c r="AT51" s="38"/>
      <c r="AU51" s="38"/>
      <c r="AV51" s="38"/>
      <c r="AW51" s="38"/>
      <c r="AX51" s="38"/>
      <c r="AY51" s="37">
        <v>10325000</v>
      </c>
      <c r="AZ51" s="37"/>
      <c r="BA51" s="37"/>
      <c r="BB51" s="37"/>
      <c r="BC51" s="37"/>
      <c r="BE51" s="40"/>
      <c r="BF51" s="40"/>
      <c r="BG51" s="40"/>
      <c r="BH51" s="40"/>
      <c r="BI51" s="39">
        <f t="shared" si="11"/>
        <v>527</v>
      </c>
      <c r="BJ51" s="39">
        <f t="shared" si="12"/>
        <v>3.1777737425095334E-2</v>
      </c>
      <c r="BK51" s="39">
        <f t="shared" si="13"/>
        <v>2.7195767195767195</v>
      </c>
      <c r="BL51" s="39">
        <f t="shared" si="14"/>
        <v>3.1777737425095334E-2</v>
      </c>
      <c r="BM51" s="39">
        <f t="shared" si="15"/>
        <v>3.9659421913511093E-2</v>
      </c>
      <c r="BN51" s="14">
        <f t="shared" si="8"/>
        <v>3.5575592554568582</v>
      </c>
    </row>
    <row r="52" spans="1:66" s="28" customFormat="1" ht="21" hidden="1" customHeight="1">
      <c r="A52" s="27"/>
      <c r="B52" s="9" t="s">
        <v>116</v>
      </c>
      <c r="C52" s="9">
        <v>8</v>
      </c>
      <c r="D52" s="26">
        <v>22983</v>
      </c>
      <c r="E52" s="9">
        <v>23228</v>
      </c>
      <c r="F52" s="9">
        <v>23153</v>
      </c>
      <c r="G52" s="9">
        <v>10435700</v>
      </c>
      <c r="H52" s="9">
        <v>27263</v>
      </c>
      <c r="I52" s="9">
        <v>28030</v>
      </c>
      <c r="J52" s="9">
        <v>27964</v>
      </c>
      <c r="K52" s="9">
        <v>1130800</v>
      </c>
      <c r="L52" s="9">
        <f t="shared" si="9"/>
        <v>241617762100</v>
      </c>
      <c r="M52" s="9">
        <f t="shared" si="10"/>
        <v>31621691200</v>
      </c>
      <c r="N52" s="9">
        <v>23461</v>
      </c>
      <c r="O52" s="9">
        <v>28310</v>
      </c>
      <c r="P52" s="28">
        <v>23213</v>
      </c>
      <c r="Q52" s="28">
        <v>27535</v>
      </c>
      <c r="R52" s="9"/>
      <c r="S52" s="9"/>
      <c r="T52" s="9"/>
      <c r="U52" s="9"/>
      <c r="V52" s="9">
        <v>23770</v>
      </c>
      <c r="X52" s="28">
        <v>23950</v>
      </c>
      <c r="Y52" s="28">
        <v>29211</v>
      </c>
      <c r="Z52" s="9"/>
      <c r="AA52" s="9"/>
      <c r="AB52" s="9"/>
      <c r="AC52" s="9">
        <v>10630000</v>
      </c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26"/>
      <c r="AT52" s="26"/>
      <c r="AU52" s="26"/>
      <c r="AV52" s="26"/>
      <c r="AW52" s="26"/>
      <c r="AX52" s="26"/>
      <c r="AY52" s="9">
        <v>10695000</v>
      </c>
      <c r="AZ52" s="9"/>
      <c r="BA52" s="9"/>
      <c r="BB52" s="9"/>
      <c r="BC52" s="9"/>
      <c r="BE52" s="29"/>
      <c r="BF52" s="29"/>
      <c r="BG52" s="29"/>
      <c r="BH52" s="29"/>
      <c r="BI52" s="28">
        <f t="shared" si="11"/>
        <v>489</v>
      </c>
      <c r="BJ52" s="28">
        <f t="shared" si="12"/>
        <v>3.1826209819851639E-2</v>
      </c>
      <c r="BK52" s="28">
        <f t="shared" si="13"/>
        <v>0.59789529536611252</v>
      </c>
      <c r="BL52" s="28">
        <f t="shared" si="14"/>
        <v>3.1826209819851639E-2</v>
      </c>
      <c r="BM52" s="28">
        <f t="shared" si="15"/>
        <v>4.2074576861158244E-2</v>
      </c>
      <c r="BN52" s="14">
        <f t="shared" si="8"/>
        <v>3.4423184900444865</v>
      </c>
    </row>
    <row r="53" spans="1:66" s="28" customFormat="1" ht="21" hidden="1" customHeight="1">
      <c r="A53" s="27"/>
      <c r="B53" s="9" t="s">
        <v>117</v>
      </c>
      <c r="C53" s="9">
        <v>9</v>
      </c>
      <c r="D53" s="26">
        <v>24037</v>
      </c>
      <c r="E53" s="9">
        <v>23217</v>
      </c>
      <c r="F53" s="9">
        <v>23835</v>
      </c>
      <c r="G53" s="9">
        <v>7157400</v>
      </c>
      <c r="H53" s="9">
        <v>29007</v>
      </c>
      <c r="I53" s="9">
        <v>28036</v>
      </c>
      <c r="J53" s="9">
        <v>28534</v>
      </c>
      <c r="K53" s="9">
        <v>676100</v>
      </c>
      <c r="L53" s="9">
        <f t="shared" si="9"/>
        <v>170596629000</v>
      </c>
      <c r="M53" s="9">
        <f t="shared" si="10"/>
        <v>19291837400</v>
      </c>
      <c r="N53" s="9">
        <v>23449</v>
      </c>
      <c r="O53" s="9">
        <v>28316</v>
      </c>
      <c r="P53" s="28">
        <v>24278</v>
      </c>
      <c r="Q53" s="28">
        <v>29297</v>
      </c>
      <c r="R53" s="9"/>
      <c r="S53" s="9"/>
      <c r="T53" s="9"/>
      <c r="U53" s="9"/>
      <c r="V53" s="9">
        <v>24550</v>
      </c>
      <c r="X53" s="28">
        <v>24430</v>
      </c>
      <c r="Y53" s="28">
        <v>30077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26"/>
      <c r="AT53" s="26"/>
      <c r="AU53" s="26"/>
      <c r="AV53" s="26"/>
      <c r="AW53" s="26"/>
      <c r="AX53" s="26"/>
      <c r="AY53" s="9">
        <v>10750000</v>
      </c>
      <c r="AZ53" s="9"/>
      <c r="BA53" s="9"/>
      <c r="BB53" s="9"/>
      <c r="BC53" s="9"/>
      <c r="BE53" s="29"/>
      <c r="BF53" s="29"/>
      <c r="BG53" s="29"/>
      <c r="BH53" s="29"/>
      <c r="BI53" s="28">
        <f t="shared" si="11"/>
        <v>981</v>
      </c>
      <c r="BJ53" s="28">
        <f t="shared" si="12"/>
        <v>6.2190987427602769E-2</v>
      </c>
      <c r="BK53" s="28">
        <f t="shared" si="13"/>
        <v>0.59784055613074993</v>
      </c>
      <c r="BL53" s="28">
        <f t="shared" si="14"/>
        <v>6.2190987427602769E-2</v>
      </c>
      <c r="BM53" s="28">
        <f t="shared" si="15"/>
        <v>1.6349794067479304E-2</v>
      </c>
      <c r="BN53" s="14">
        <f t="shared" si="8"/>
        <v>2.4963289280469896</v>
      </c>
    </row>
    <row r="54" spans="1:66" s="23" customFormat="1" ht="21" hidden="1" customHeight="1">
      <c r="A54" s="20"/>
      <c r="B54" s="21" t="s">
        <v>118</v>
      </c>
      <c r="C54" s="21">
        <v>10</v>
      </c>
      <c r="D54" s="30">
        <v>23218</v>
      </c>
      <c r="E54" s="21">
        <v>23172</v>
      </c>
      <c r="F54" s="21">
        <v>23104</v>
      </c>
      <c r="G54" s="21">
        <v>6255100</v>
      </c>
      <c r="H54" s="21">
        <v>28036</v>
      </c>
      <c r="I54" s="21">
        <v>27978</v>
      </c>
      <c r="J54" s="21">
        <v>27984</v>
      </c>
      <c r="K54" s="21">
        <v>404200</v>
      </c>
      <c r="L54" s="21">
        <f t="shared" si="9"/>
        <v>144517830400</v>
      </c>
      <c r="M54" s="21">
        <f t="shared" si="10"/>
        <v>11311132800</v>
      </c>
      <c r="N54" s="21">
        <v>23404</v>
      </c>
      <c r="O54" s="21">
        <v>28258</v>
      </c>
      <c r="P54" s="23">
        <v>23450</v>
      </c>
      <c r="Q54" s="23">
        <v>28316</v>
      </c>
      <c r="R54" s="21"/>
      <c r="S54" s="21"/>
      <c r="T54" s="21"/>
      <c r="U54" s="21"/>
      <c r="V54" s="21">
        <v>24050</v>
      </c>
      <c r="X54" s="23">
        <v>23750</v>
      </c>
      <c r="Y54" s="23">
        <v>29116</v>
      </c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30"/>
      <c r="AT54" s="30"/>
      <c r="AU54" s="30"/>
      <c r="AV54" s="30"/>
      <c r="AW54" s="30"/>
      <c r="AX54" s="30"/>
      <c r="AY54" s="21">
        <v>10645000</v>
      </c>
      <c r="AZ54" s="21"/>
      <c r="BA54" s="21"/>
      <c r="BB54" s="21"/>
      <c r="BC54" s="21"/>
      <c r="BE54" s="22"/>
      <c r="BF54" s="22"/>
      <c r="BG54" s="22"/>
      <c r="BH54" s="22"/>
      <c r="BI54" s="23">
        <f t="shared" si="11"/>
        <v>346</v>
      </c>
      <c r="BJ54" s="23">
        <f t="shared" si="12"/>
        <v>3.0363083020737491E-2</v>
      </c>
      <c r="BK54" s="23">
        <f t="shared" si="13"/>
        <v>1.6110836219693221</v>
      </c>
      <c r="BL54" s="23">
        <f t="shared" si="14"/>
        <v>3.0363083020737491E-2</v>
      </c>
      <c r="BM54" s="23">
        <f t="shared" si="15"/>
        <v>2.2913256955810146E-2</v>
      </c>
      <c r="BN54" s="14">
        <f t="shared" si="8"/>
        <v>2.7960526315789473</v>
      </c>
    </row>
    <row r="55" spans="1:66" s="28" customFormat="1" ht="21" hidden="1" customHeight="1">
      <c r="A55" s="27"/>
      <c r="B55" s="9" t="s">
        <v>119</v>
      </c>
      <c r="C55" s="9">
        <v>11</v>
      </c>
      <c r="D55" s="26">
        <v>23305</v>
      </c>
      <c r="E55" s="9">
        <v>23263</v>
      </c>
      <c r="F55" s="9">
        <v>23284</v>
      </c>
      <c r="G55" s="9">
        <v>7440200</v>
      </c>
      <c r="H55" s="9">
        <v>27978</v>
      </c>
      <c r="I55" s="9">
        <v>28232</v>
      </c>
      <c r="J55" s="9">
        <v>28257</v>
      </c>
      <c r="K55" s="9">
        <v>651200</v>
      </c>
      <c r="L55" s="9">
        <f t="shared" si="9"/>
        <v>173237616800</v>
      </c>
      <c r="M55" s="9">
        <f t="shared" si="10"/>
        <v>18400958400</v>
      </c>
      <c r="N55" s="9">
        <v>23496</v>
      </c>
      <c r="O55" s="9">
        <v>28514</v>
      </c>
      <c r="P55" s="28">
        <v>23538</v>
      </c>
      <c r="Q55" s="28">
        <v>28258</v>
      </c>
      <c r="R55" s="9"/>
      <c r="S55" s="9"/>
      <c r="T55" s="9"/>
      <c r="U55" s="9"/>
      <c r="V55" s="9">
        <v>24170</v>
      </c>
      <c r="X55" s="28">
        <v>23980</v>
      </c>
      <c r="Y55" s="28">
        <v>29360</v>
      </c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26"/>
      <c r="AT55" s="26"/>
      <c r="AU55" s="26"/>
      <c r="AV55" s="26"/>
      <c r="AW55" s="26"/>
      <c r="AX55" s="26"/>
      <c r="AY55" s="9">
        <v>10830000</v>
      </c>
      <c r="AZ55" s="9"/>
      <c r="BA55" s="9"/>
      <c r="BB55" s="9"/>
      <c r="BC55" s="9"/>
      <c r="BE55" s="29"/>
      <c r="BF55" s="29"/>
      <c r="BG55" s="29"/>
      <c r="BH55" s="29"/>
      <c r="BJ55" s="28">
        <f t="shared" si="12"/>
        <v>2.9669635968296276E-2</v>
      </c>
      <c r="BK55" s="28">
        <f t="shared" si="13"/>
        <v>1.6933353808353808</v>
      </c>
      <c r="BL55" s="28">
        <f t="shared" si="14"/>
        <v>2.9669635968296276E-2</v>
      </c>
      <c r="BM55" s="28">
        <f t="shared" si="15"/>
        <v>2.8963741686333404E-2</v>
      </c>
      <c r="BN55" s="14">
        <f t="shared" si="8"/>
        <v>2.9891771173337913</v>
      </c>
    </row>
    <row r="56" spans="1:66" s="28" customFormat="1" ht="21" hidden="1" customHeight="1">
      <c r="A56" s="27"/>
      <c r="B56" s="9" t="s">
        <v>120</v>
      </c>
      <c r="C56" s="9">
        <v>12</v>
      </c>
      <c r="D56" s="26">
        <v>23190</v>
      </c>
      <c r="E56" s="9">
        <v>23095</v>
      </c>
      <c r="F56" s="9">
        <v>23157</v>
      </c>
      <c r="G56" s="9">
        <v>6911900</v>
      </c>
      <c r="H56" s="9">
        <v>28232</v>
      </c>
      <c r="I56" s="9">
        <v>28074</v>
      </c>
      <c r="J56" s="9">
        <v>28039</v>
      </c>
      <c r="K56" s="9">
        <v>1102700</v>
      </c>
      <c r="L56" s="9">
        <f t="shared" si="9"/>
        <v>160058868300</v>
      </c>
      <c r="M56" s="9">
        <f t="shared" si="10"/>
        <v>30918605300</v>
      </c>
      <c r="N56" s="9">
        <v>23326</v>
      </c>
      <c r="O56" s="9">
        <v>28355</v>
      </c>
      <c r="P56" s="28">
        <v>23421</v>
      </c>
      <c r="Q56" s="28">
        <v>28514</v>
      </c>
      <c r="R56" s="9"/>
      <c r="S56" s="9"/>
      <c r="T56" s="9"/>
      <c r="U56" s="9"/>
      <c r="V56" s="9">
        <v>23850</v>
      </c>
      <c r="X56" s="28">
        <v>23970</v>
      </c>
      <c r="Y56" s="28">
        <v>29055</v>
      </c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26"/>
      <c r="AT56" s="26"/>
      <c r="AU56" s="26"/>
      <c r="AV56" s="26"/>
      <c r="AW56" s="26"/>
      <c r="AX56" s="26"/>
      <c r="AY56" s="9">
        <v>10840000</v>
      </c>
      <c r="AZ56" s="9"/>
      <c r="BA56" s="9"/>
      <c r="BB56" s="9"/>
      <c r="BC56" s="9"/>
      <c r="BE56" s="29"/>
      <c r="BF56" s="29"/>
      <c r="BG56" s="29"/>
      <c r="BH56" s="29"/>
      <c r="BJ56" s="28">
        <f t="shared" si="12"/>
        <v>2.4687004055722096E-2</v>
      </c>
      <c r="BK56" s="28">
        <f t="shared" si="13"/>
        <v>0.2930987575949941</v>
      </c>
      <c r="BL56" s="28">
        <f t="shared" si="14"/>
        <v>2.4687004055722096E-2</v>
      </c>
      <c r="BM56" s="28">
        <f t="shared" si="15"/>
        <v>3.3635187580853813E-2</v>
      </c>
      <c r="BN56" s="14">
        <f t="shared" si="8"/>
        <v>3.5108174634019953</v>
      </c>
    </row>
    <row r="57" spans="1:66" s="28" customFormat="1" ht="21" hidden="1" customHeight="1">
      <c r="A57" s="27"/>
      <c r="B57" s="9" t="s">
        <v>121</v>
      </c>
      <c r="C57" s="9">
        <v>13</v>
      </c>
      <c r="D57" s="26">
        <v>23163</v>
      </c>
      <c r="E57" s="9">
        <v>23207</v>
      </c>
      <c r="F57" s="9">
        <v>23147</v>
      </c>
      <c r="G57" s="9">
        <v>5333300</v>
      </c>
      <c r="H57" s="9">
        <v>28100</v>
      </c>
      <c r="I57" s="9">
        <v>28417</v>
      </c>
      <c r="J57" s="9">
        <v>28310</v>
      </c>
      <c r="K57" s="9">
        <v>323200</v>
      </c>
      <c r="L57" s="9">
        <f t="shared" si="9"/>
        <v>123449895100</v>
      </c>
      <c r="M57" s="9">
        <f t="shared" si="10"/>
        <v>9149792000</v>
      </c>
      <c r="N57" s="9">
        <v>23439</v>
      </c>
      <c r="O57" s="9">
        <v>28701</v>
      </c>
      <c r="P57" s="28">
        <v>23394</v>
      </c>
      <c r="Q57" s="28">
        <v>28381</v>
      </c>
      <c r="R57" s="9"/>
      <c r="S57" s="9"/>
      <c r="T57" s="9"/>
      <c r="U57" s="9"/>
      <c r="V57" s="28">
        <v>23840</v>
      </c>
      <c r="X57" s="28">
        <v>23830</v>
      </c>
      <c r="Y57" s="28">
        <v>29111</v>
      </c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26"/>
      <c r="AT57" s="26"/>
      <c r="AU57" s="26"/>
      <c r="AV57" s="26"/>
      <c r="AW57" s="26"/>
      <c r="AX57" s="26"/>
      <c r="AY57" s="9">
        <v>10760000</v>
      </c>
      <c r="AZ57" s="9"/>
      <c r="BA57" s="9"/>
      <c r="BB57" s="9"/>
      <c r="BC57" s="9"/>
      <c r="BE57" s="29"/>
      <c r="BF57" s="29"/>
      <c r="BG57" s="29"/>
      <c r="BH57" s="29"/>
      <c r="BJ57" s="28">
        <f t="shared" si="12"/>
        <v>1.4285216542977597E-2</v>
      </c>
      <c r="BK57" s="28">
        <f t="shared" si="13"/>
        <v>0.93440594059405946</v>
      </c>
      <c r="BL57" s="28">
        <f t="shared" si="14"/>
        <v>1.4285216542977597E-2</v>
      </c>
      <c r="BM57" s="28">
        <f t="shared" si="15"/>
        <v>2.8795924534818461E-2</v>
      </c>
      <c r="BN57" s="14">
        <f t="shared" si="8"/>
        <v>2.9507063550352099</v>
      </c>
    </row>
    <row r="58" spans="1:66" s="34" customFormat="1" ht="21" hidden="1" customHeight="1">
      <c r="A58" s="31"/>
      <c r="B58" s="32" t="s">
        <v>122</v>
      </c>
      <c r="C58" s="32">
        <v>17</v>
      </c>
      <c r="D58" s="33">
        <v>23356</v>
      </c>
      <c r="E58" s="32">
        <v>23351</v>
      </c>
      <c r="F58" s="32">
        <v>23363</v>
      </c>
      <c r="G58" s="32">
        <v>7194800</v>
      </c>
      <c r="H58" s="32">
        <v>28417</v>
      </c>
      <c r="I58" s="32">
        <v>28450</v>
      </c>
      <c r="J58" s="32">
        <v>28491</v>
      </c>
      <c r="K58" s="32">
        <v>302000</v>
      </c>
      <c r="L58" s="32">
        <f t="shared" si="9"/>
        <v>168092112400</v>
      </c>
      <c r="M58" s="32">
        <f t="shared" si="10"/>
        <v>8604282000</v>
      </c>
      <c r="N58" s="32">
        <v>23584</v>
      </c>
      <c r="O58" s="32">
        <v>28734</v>
      </c>
      <c r="P58" s="34">
        <v>23590</v>
      </c>
      <c r="Q58" s="34">
        <v>28701</v>
      </c>
      <c r="R58" s="32"/>
      <c r="S58" s="32"/>
      <c r="T58" s="32"/>
      <c r="U58" s="32"/>
      <c r="V58" s="34">
        <v>24030</v>
      </c>
      <c r="X58" s="34">
        <v>23980</v>
      </c>
      <c r="Y58" s="34">
        <v>29166</v>
      </c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3"/>
      <c r="AT58" s="33"/>
      <c r="AU58" s="33"/>
      <c r="AV58" s="33"/>
      <c r="AW58" s="33"/>
      <c r="AX58" s="33"/>
      <c r="AY58" s="32">
        <v>10900000</v>
      </c>
      <c r="AZ58" s="32"/>
      <c r="BA58" s="32"/>
      <c r="BB58" s="32"/>
      <c r="BC58" s="32"/>
      <c r="BE58" s="35"/>
      <c r="BF58" s="35"/>
      <c r="BG58" s="35"/>
      <c r="BH58" s="35"/>
      <c r="BJ58" s="34">
        <f t="shared" si="12"/>
        <v>1.5034453956984757E-2</v>
      </c>
      <c r="BK58" s="34">
        <f t="shared" si="13"/>
        <v>0.74238410596026494</v>
      </c>
      <c r="BL58" s="34">
        <f t="shared" si="14"/>
        <v>1.5034453956984757E-2</v>
      </c>
      <c r="BM58" s="34">
        <f t="shared" si="15"/>
        <v>2.671690357938003E-2</v>
      </c>
      <c r="BN58" s="14">
        <f t="shared" si="8"/>
        <v>2.6409279630184481</v>
      </c>
    </row>
    <row r="59" spans="1:66" s="34" customFormat="1" ht="21" hidden="1" customHeight="1">
      <c r="A59" s="31"/>
      <c r="B59" s="32" t="s">
        <v>123</v>
      </c>
      <c r="C59" s="32">
        <v>18</v>
      </c>
      <c r="D59" s="33">
        <v>23319</v>
      </c>
      <c r="E59" s="32">
        <v>23298</v>
      </c>
      <c r="F59" s="32">
        <v>23284</v>
      </c>
      <c r="G59" s="32">
        <v>5780300</v>
      </c>
      <c r="H59" s="32">
        <v>28450</v>
      </c>
      <c r="I59" s="32">
        <v>28400</v>
      </c>
      <c r="J59" s="32">
        <v>28488</v>
      </c>
      <c r="K59" s="32">
        <v>224200</v>
      </c>
      <c r="L59" s="32">
        <f t="shared" si="9"/>
        <v>134588505200</v>
      </c>
      <c r="M59" s="32">
        <f t="shared" si="10"/>
        <v>6387009600</v>
      </c>
      <c r="N59" s="32">
        <v>23530</v>
      </c>
      <c r="O59" s="32">
        <v>28684</v>
      </c>
      <c r="P59" s="34">
        <v>23552</v>
      </c>
      <c r="Q59" s="34">
        <v>28735</v>
      </c>
      <c r="R59" s="32"/>
      <c r="S59" s="32"/>
      <c r="T59" s="32"/>
      <c r="U59" s="32"/>
      <c r="V59" s="34">
        <v>23920</v>
      </c>
      <c r="X59" s="34">
        <v>23880</v>
      </c>
      <c r="Y59" s="34">
        <v>29141</v>
      </c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3"/>
      <c r="AT59" s="33"/>
      <c r="AU59" s="33"/>
      <c r="AV59" s="33"/>
      <c r="AW59" s="33"/>
      <c r="AX59" s="33"/>
      <c r="AY59" s="32">
        <v>10685000</v>
      </c>
      <c r="AZ59" s="32"/>
      <c r="BA59" s="32"/>
      <c r="BB59" s="32"/>
      <c r="BC59" s="32"/>
      <c r="BE59" s="35"/>
      <c r="BF59" s="35"/>
      <c r="BG59" s="35"/>
      <c r="BH59" s="35"/>
      <c r="BJ59" s="34">
        <f t="shared" si="12"/>
        <v>1.5932227025519455E-2</v>
      </c>
      <c r="BK59" s="34">
        <f t="shared" si="13"/>
        <v>0.91882247992863519</v>
      </c>
      <c r="BL59" s="34">
        <f t="shared" si="14"/>
        <v>1.5932227025519455E-2</v>
      </c>
      <c r="BM59" s="34">
        <f t="shared" si="15"/>
        <v>2.4057635404605687E-2</v>
      </c>
      <c r="BN59" s="14">
        <f t="shared" si="8"/>
        <v>2.5596976464524994</v>
      </c>
    </row>
    <row r="60" spans="1:66" s="34" customFormat="1" ht="21" hidden="1" customHeight="1">
      <c r="A60" s="31"/>
      <c r="B60" s="32" t="s">
        <v>124</v>
      </c>
      <c r="C60" s="32">
        <v>19</v>
      </c>
      <c r="D60" s="33">
        <v>23418</v>
      </c>
      <c r="E60" s="32">
        <v>23341</v>
      </c>
      <c r="F60" s="32">
        <v>23364</v>
      </c>
      <c r="G60" s="32">
        <v>8986900</v>
      </c>
      <c r="H60" s="32">
        <v>28400</v>
      </c>
      <c r="I60" s="32">
        <v>28450</v>
      </c>
      <c r="J60" s="32">
        <v>28483</v>
      </c>
      <c r="K60" s="32">
        <v>206000</v>
      </c>
      <c r="L60" s="32">
        <f t="shared" si="9"/>
        <v>209969931600</v>
      </c>
      <c r="M60" s="32">
        <f t="shared" si="10"/>
        <v>5867498000</v>
      </c>
      <c r="N60" s="32">
        <v>23575</v>
      </c>
      <c r="O60" s="32">
        <v>28734</v>
      </c>
      <c r="P60" s="34">
        <v>23652</v>
      </c>
      <c r="Q60" s="34">
        <v>28684</v>
      </c>
      <c r="R60" s="32"/>
      <c r="S60" s="32"/>
      <c r="T60" s="32"/>
      <c r="U60" s="32"/>
      <c r="V60" s="34">
        <v>24030</v>
      </c>
      <c r="X60" s="34">
        <v>24180</v>
      </c>
      <c r="Y60" s="34">
        <v>29307</v>
      </c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3"/>
      <c r="AT60" s="33"/>
      <c r="AU60" s="33"/>
      <c r="AV60" s="33"/>
      <c r="AW60" s="33"/>
      <c r="AX60" s="33"/>
      <c r="AY60" s="32">
        <v>10755000</v>
      </c>
      <c r="AZ60" s="32"/>
      <c r="BA60" s="32"/>
      <c r="BB60" s="32"/>
      <c r="BC60" s="32"/>
      <c r="BE60" s="35"/>
      <c r="BF60" s="35"/>
      <c r="BG60" s="35"/>
      <c r="BH60" s="35"/>
      <c r="BJ60" s="34">
        <f t="shared" si="12"/>
        <v>1.994153267905617E-2</v>
      </c>
      <c r="BK60" s="34">
        <f t="shared" si="13"/>
        <v>0.3446601941747573</v>
      </c>
      <c r="BL60" s="34">
        <f t="shared" si="14"/>
        <v>1.994153267905617E-2</v>
      </c>
      <c r="BM60" s="34">
        <f t="shared" si="15"/>
        <v>3.2539072508326931E-2</v>
      </c>
      <c r="BN60" s="14">
        <f t="shared" si="8"/>
        <v>3.4925526450950182</v>
      </c>
    </row>
    <row r="61" spans="1:66" s="34" customFormat="1" ht="21" hidden="1" customHeight="1">
      <c r="A61" s="31"/>
      <c r="B61" s="32" t="s">
        <v>125</v>
      </c>
      <c r="C61" s="32">
        <v>20</v>
      </c>
      <c r="D61" s="33">
        <v>23360</v>
      </c>
      <c r="E61" s="32">
        <v>23375</v>
      </c>
      <c r="F61" s="32">
        <v>23364</v>
      </c>
      <c r="G61" s="32">
        <v>4261300</v>
      </c>
      <c r="H61" s="32">
        <v>28450</v>
      </c>
      <c r="I61" s="32">
        <v>28670</v>
      </c>
      <c r="J61" s="32">
        <v>28655</v>
      </c>
      <c r="K61" s="32">
        <v>71000</v>
      </c>
      <c r="L61" s="32">
        <f t="shared" si="9"/>
        <v>99561013200</v>
      </c>
      <c r="M61" s="32">
        <f t="shared" si="10"/>
        <v>2034505000</v>
      </c>
      <c r="N61" s="32">
        <v>23609</v>
      </c>
      <c r="O61" s="32">
        <v>28957</v>
      </c>
      <c r="P61" s="34">
        <v>23594</v>
      </c>
      <c r="Q61" s="34">
        <v>28734</v>
      </c>
      <c r="R61" s="32"/>
      <c r="S61" s="32"/>
      <c r="T61" s="32"/>
      <c r="U61" s="32"/>
      <c r="V61" s="34">
        <v>23950</v>
      </c>
      <c r="X61" s="34">
        <v>24020</v>
      </c>
      <c r="Y61" s="34">
        <v>29231</v>
      </c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3"/>
      <c r="AT61" s="33"/>
      <c r="AU61" s="33"/>
      <c r="AV61" s="33"/>
      <c r="AW61" s="33"/>
      <c r="AX61" s="33"/>
      <c r="AY61" s="32">
        <v>10795000</v>
      </c>
      <c r="AZ61" s="32"/>
      <c r="BA61" s="32"/>
      <c r="BB61" s="32"/>
      <c r="BC61" s="32"/>
      <c r="BE61" s="35"/>
      <c r="BF61" s="35"/>
      <c r="BG61" s="35"/>
      <c r="BH61" s="35"/>
      <c r="BJ61" s="34">
        <f>(Y61-O61)/O61</f>
        <v>9.4623061781261876E-3</v>
      </c>
      <c r="BK61" s="34">
        <f t="shared" si="13"/>
        <v>12.219718309859156</v>
      </c>
      <c r="BL61" s="34">
        <f t="shared" si="14"/>
        <v>9.4623061781261876E-3</v>
      </c>
      <c r="BM61" s="34">
        <f t="shared" si="15"/>
        <v>2.8253424657534245E-2</v>
      </c>
      <c r="BN61" s="14">
        <f t="shared" si="8"/>
        <v>2.8077384009587401</v>
      </c>
    </row>
    <row r="62" spans="1:66" s="28" customFormat="1" ht="21" hidden="1" customHeight="1">
      <c r="A62" s="27"/>
      <c r="B62" s="9" t="s">
        <v>126</v>
      </c>
      <c r="C62" s="9">
        <v>22</v>
      </c>
      <c r="D62" s="26">
        <v>23105</v>
      </c>
      <c r="E62" s="9">
        <v>23156</v>
      </c>
      <c r="F62" s="9">
        <v>23063</v>
      </c>
      <c r="G62" s="9">
        <v>4665200</v>
      </c>
      <c r="H62" s="9">
        <v>28670</v>
      </c>
      <c r="I62" s="9">
        <v>27862</v>
      </c>
      <c r="J62" s="9">
        <v>27891</v>
      </c>
      <c r="K62" s="9">
        <v>867600</v>
      </c>
      <c r="L62" s="9">
        <f t="shared" si="9"/>
        <v>107593507600</v>
      </c>
      <c r="M62" s="9">
        <f t="shared" si="10"/>
        <v>24198231600</v>
      </c>
      <c r="N62" s="9">
        <v>23387</v>
      </c>
      <c r="O62" s="9">
        <v>28140</v>
      </c>
      <c r="P62" s="28">
        <v>23336</v>
      </c>
      <c r="Q62" s="28">
        <v>28957</v>
      </c>
      <c r="R62" s="9"/>
      <c r="S62" s="9"/>
      <c r="T62" s="9"/>
      <c r="U62" s="9"/>
      <c r="V62" s="28">
        <v>23600</v>
      </c>
      <c r="X62" s="28">
        <v>23640</v>
      </c>
      <c r="Y62" s="28">
        <v>28601</v>
      </c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26"/>
      <c r="AT62" s="26"/>
      <c r="AU62" s="26"/>
      <c r="AV62" s="26"/>
      <c r="AW62" s="26"/>
      <c r="AX62" s="26"/>
      <c r="AY62" s="9"/>
      <c r="AZ62" s="9"/>
      <c r="BA62" s="9"/>
      <c r="BB62" s="9"/>
      <c r="BC62" s="9"/>
      <c r="BE62" s="29"/>
      <c r="BF62" s="29"/>
      <c r="BG62" s="29"/>
      <c r="BH62" s="29"/>
      <c r="BJ62" s="28">
        <f t="shared" si="12"/>
        <v>1.6382373845060413E-2</v>
      </c>
      <c r="BK62" s="28" t="e">
        <f>#REF!/K62</f>
        <v>#REF!</v>
      </c>
      <c r="BL62" s="28">
        <f t="shared" si="14"/>
        <v>1.6382373845060413E-2</v>
      </c>
      <c r="BM62" s="28">
        <f t="shared" si="15"/>
        <v>2.3155161220515041E-2</v>
      </c>
      <c r="BN62" s="14">
        <f t="shared" si="8"/>
        <v>2.5018427784763473</v>
      </c>
    </row>
    <row r="63" spans="1:66" s="28" customFormat="1" ht="21" hidden="1" customHeight="1">
      <c r="A63" s="27"/>
      <c r="B63" s="9" t="s">
        <v>127</v>
      </c>
      <c r="C63" s="9">
        <v>23</v>
      </c>
      <c r="D63" s="26">
        <v>23294</v>
      </c>
      <c r="E63" s="9">
        <v>23297</v>
      </c>
      <c r="F63" s="9">
        <v>23280</v>
      </c>
      <c r="G63" s="9">
        <v>8774900</v>
      </c>
      <c r="H63" s="9">
        <v>27862</v>
      </c>
      <c r="I63" s="9">
        <v>28426</v>
      </c>
      <c r="J63" s="9">
        <v>28358</v>
      </c>
      <c r="K63" s="9">
        <v>322400</v>
      </c>
      <c r="L63" s="9">
        <f t="shared" si="9"/>
        <v>204279672000</v>
      </c>
      <c r="M63" s="9">
        <f t="shared" si="10"/>
        <v>9142619200</v>
      </c>
      <c r="N63" s="28">
        <v>23530</v>
      </c>
      <c r="O63" s="28">
        <v>28710</v>
      </c>
      <c r="P63" s="9">
        <v>23526</v>
      </c>
      <c r="Q63" s="9">
        <v>28140</v>
      </c>
      <c r="R63" s="9"/>
      <c r="S63" s="9"/>
      <c r="T63" s="9"/>
      <c r="U63" s="9"/>
      <c r="V63" s="28">
        <v>23870</v>
      </c>
      <c r="X63" s="28">
        <v>23970</v>
      </c>
      <c r="Y63" s="28">
        <v>28952</v>
      </c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26"/>
      <c r="AT63" s="26"/>
      <c r="AU63" s="26"/>
      <c r="AV63" s="26"/>
      <c r="AW63" s="26"/>
      <c r="AX63" s="26"/>
      <c r="AY63" s="9"/>
      <c r="AZ63" s="9"/>
      <c r="BA63" s="9"/>
      <c r="BB63" s="9"/>
      <c r="BC63" s="9"/>
      <c r="BE63" s="29"/>
      <c r="BF63" s="29"/>
      <c r="BG63" s="29"/>
      <c r="BH63" s="29"/>
      <c r="BJ63" s="28">
        <f t="shared" si="12"/>
        <v>8.4291187739463595E-3</v>
      </c>
      <c r="BL63" s="28">
        <f t="shared" si="14"/>
        <v>8.4291187739463595E-3</v>
      </c>
      <c r="BM63" s="28">
        <f t="shared" si="15"/>
        <v>2.9020348587619128E-2</v>
      </c>
      <c r="BN63" s="14">
        <f t="shared" si="8"/>
        <v>2.963917525773196</v>
      </c>
    </row>
    <row r="64" spans="1:66" s="28" customFormat="1" ht="21" hidden="1" customHeight="1">
      <c r="A64" s="27"/>
      <c r="B64" s="9" t="s">
        <v>128</v>
      </c>
      <c r="C64" s="9">
        <v>24</v>
      </c>
      <c r="D64" s="26">
        <v>23341</v>
      </c>
      <c r="E64" s="9">
        <v>23316</v>
      </c>
      <c r="F64" s="9">
        <v>23361</v>
      </c>
      <c r="G64" s="9">
        <v>5852700</v>
      </c>
      <c r="H64" s="9">
        <v>28500</v>
      </c>
      <c r="I64" s="9">
        <v>28110</v>
      </c>
      <c r="J64" s="9">
        <v>28243</v>
      </c>
      <c r="K64" s="9">
        <v>894900</v>
      </c>
      <c r="L64" s="9">
        <f t="shared" si="9"/>
        <v>136724924700</v>
      </c>
      <c r="M64" s="9">
        <f t="shared" si="10"/>
        <v>25274660700</v>
      </c>
      <c r="N64" s="28">
        <v>23549</v>
      </c>
      <c r="O64" s="28">
        <v>28391</v>
      </c>
      <c r="P64" s="9">
        <v>23575</v>
      </c>
      <c r="Q64" s="9">
        <v>28785</v>
      </c>
      <c r="R64" s="9"/>
      <c r="S64" s="9"/>
      <c r="T64" s="9"/>
      <c r="U64" s="9"/>
      <c r="V64" s="28">
        <v>24000</v>
      </c>
      <c r="X64" s="28">
        <v>23920</v>
      </c>
      <c r="Y64" s="28">
        <v>29100</v>
      </c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26"/>
      <c r="AT64" s="26"/>
      <c r="AU64" s="26"/>
      <c r="AV64" s="26"/>
      <c r="AW64" s="26"/>
      <c r="AX64" s="26"/>
      <c r="AY64" s="9"/>
      <c r="AZ64" s="9"/>
      <c r="BA64" s="9"/>
      <c r="BB64" s="9"/>
      <c r="BC64" s="9"/>
      <c r="BE64" s="29"/>
      <c r="BF64" s="29"/>
      <c r="BG64" s="29"/>
      <c r="BH64" s="29"/>
      <c r="BJ64" s="28">
        <f t="shared" si="12"/>
        <v>2.4972702617026523E-2</v>
      </c>
      <c r="BL64" s="28">
        <f t="shared" si="14"/>
        <v>2.4972702617026523E-2</v>
      </c>
      <c r="BM64" s="28">
        <f t="shared" si="15"/>
        <v>2.4806135127029689E-2</v>
      </c>
      <c r="BN64" s="14">
        <f t="shared" si="8"/>
        <v>2.3928770172509739</v>
      </c>
    </row>
    <row r="65" spans="1:66" s="28" customFormat="1" ht="21" hidden="1" customHeight="1">
      <c r="A65" s="27"/>
      <c r="B65" s="9" t="s">
        <v>129</v>
      </c>
      <c r="C65" s="9">
        <v>25</v>
      </c>
      <c r="D65" s="26">
        <v>23332</v>
      </c>
      <c r="E65" s="9">
        <v>23345</v>
      </c>
      <c r="F65" s="9">
        <v>23346</v>
      </c>
      <c r="G65" s="9">
        <v>7357400</v>
      </c>
      <c r="H65" s="9">
        <v>28044</v>
      </c>
      <c r="I65" s="9">
        <v>28025</v>
      </c>
      <c r="J65" s="9">
        <v>28129</v>
      </c>
      <c r="K65" s="9">
        <v>1531000</v>
      </c>
      <c r="L65" s="9">
        <f t="shared" si="9"/>
        <v>171765860400</v>
      </c>
      <c r="M65" s="9">
        <f t="shared" si="10"/>
        <v>43065499000</v>
      </c>
      <c r="N65" s="28">
        <v>23578</v>
      </c>
      <c r="O65" s="28">
        <v>28305</v>
      </c>
      <c r="P65" s="9">
        <v>23565</v>
      </c>
      <c r="Q65" s="9">
        <v>28324</v>
      </c>
      <c r="R65" s="9"/>
      <c r="S65" s="9"/>
      <c r="T65" s="9"/>
      <c r="U65" s="9"/>
      <c r="V65" s="28">
        <v>23920</v>
      </c>
      <c r="X65" s="28">
        <v>24040</v>
      </c>
      <c r="Y65" s="28">
        <v>29055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26"/>
      <c r="AT65" s="26"/>
      <c r="AU65" s="26"/>
      <c r="AV65" s="26"/>
      <c r="AW65" s="26"/>
      <c r="AX65" s="26"/>
      <c r="AY65" s="9"/>
      <c r="AZ65" s="9"/>
      <c r="BA65" s="9"/>
      <c r="BB65" s="9"/>
      <c r="BC65" s="9"/>
      <c r="BE65" s="29"/>
      <c r="BF65" s="29"/>
      <c r="BG65" s="29"/>
      <c r="BH65" s="29"/>
      <c r="BJ65" s="28">
        <f t="shared" si="12"/>
        <v>2.6497085320614733E-2</v>
      </c>
      <c r="BL65" s="28">
        <f t="shared" si="14"/>
        <v>2.6497085320614733E-2</v>
      </c>
      <c r="BM65" s="28">
        <f t="shared" si="15"/>
        <v>3.0344591119492541E-2</v>
      </c>
      <c r="BN65" s="14">
        <f t="shared" si="8"/>
        <v>2.972671978069048</v>
      </c>
    </row>
    <row r="66" spans="1:66" s="28" customFormat="1" ht="21" hidden="1" customHeight="1">
      <c r="A66" s="27"/>
      <c r="B66" s="9" t="s">
        <v>130</v>
      </c>
      <c r="C66" s="9">
        <v>26</v>
      </c>
      <c r="D66" s="26">
        <v>23384</v>
      </c>
      <c r="E66" s="9">
        <v>23337</v>
      </c>
      <c r="F66" s="9">
        <v>23385</v>
      </c>
      <c r="G66" s="9">
        <v>8859500</v>
      </c>
      <c r="H66" s="9">
        <v>28025</v>
      </c>
      <c r="I66" s="9">
        <v>28360</v>
      </c>
      <c r="J66" s="9">
        <v>28342</v>
      </c>
      <c r="K66" s="9">
        <v>853300</v>
      </c>
      <c r="L66" s="9">
        <f t="shared" ref="L66:L97" si="16">F66*G66</f>
        <v>207179407500</v>
      </c>
      <c r="M66" s="9">
        <f t="shared" ref="M66:M97" si="17">J66*K66</f>
        <v>24184228600</v>
      </c>
      <c r="N66" s="28">
        <v>23570</v>
      </c>
      <c r="O66" s="28">
        <v>28643</v>
      </c>
      <c r="P66" s="9">
        <v>23618</v>
      </c>
      <c r="Q66" s="9">
        <v>28305</v>
      </c>
      <c r="R66" s="9"/>
      <c r="S66" s="9"/>
      <c r="T66" s="9"/>
      <c r="U66" s="9"/>
      <c r="V66" s="28">
        <v>23940</v>
      </c>
      <c r="X66" s="28">
        <v>24110</v>
      </c>
      <c r="Y66" s="28">
        <v>29095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26"/>
      <c r="AT66" s="26"/>
      <c r="AU66" s="26"/>
      <c r="AV66" s="26"/>
      <c r="AW66" s="26"/>
      <c r="AX66" s="26"/>
      <c r="AY66" s="9"/>
      <c r="AZ66" s="9"/>
      <c r="BA66" s="9"/>
      <c r="BB66" s="9"/>
      <c r="BC66" s="9"/>
      <c r="BE66" s="29"/>
      <c r="BF66" s="29"/>
      <c r="BG66" s="29"/>
      <c r="BH66" s="29"/>
      <c r="BJ66" s="28">
        <f t="shared" ref="BJ66:BJ76" si="18">(Y66-O66)/O66</f>
        <v>1.5780469922843279E-2</v>
      </c>
      <c r="BL66" s="28">
        <f t="shared" si="14"/>
        <v>1.5780469922843279E-2</v>
      </c>
      <c r="BM66" s="28">
        <f t="shared" ref="BM66:BM81" si="19">(X66-D66)/D66</f>
        <v>3.1046869654464591E-2</v>
      </c>
      <c r="BN66" s="14">
        <f t="shared" si="8"/>
        <v>3.1002779559546716</v>
      </c>
    </row>
    <row r="67" spans="1:66" s="28" customFormat="1" ht="21" hidden="1" customHeight="1">
      <c r="A67" s="27"/>
      <c r="B67" s="9" t="s">
        <v>131</v>
      </c>
      <c r="C67" s="9">
        <v>27</v>
      </c>
      <c r="D67" s="26">
        <v>23424</v>
      </c>
      <c r="E67" s="9">
        <v>23475</v>
      </c>
      <c r="F67" s="9">
        <v>23425</v>
      </c>
      <c r="G67" s="9">
        <v>7220400</v>
      </c>
      <c r="H67" s="9">
        <v>28360</v>
      </c>
      <c r="I67" s="9">
        <v>28556</v>
      </c>
      <c r="J67" s="9">
        <v>28545</v>
      </c>
      <c r="K67" s="9">
        <v>201900</v>
      </c>
      <c r="L67" s="9">
        <f t="shared" si="16"/>
        <v>169137870000</v>
      </c>
      <c r="M67" s="9">
        <f t="shared" si="17"/>
        <v>5763235500</v>
      </c>
      <c r="N67" s="28">
        <v>23710</v>
      </c>
      <c r="O67" s="28">
        <v>28842</v>
      </c>
      <c r="P67" s="9">
        <v>23658</v>
      </c>
      <c r="Q67" s="9">
        <v>28643</v>
      </c>
      <c r="R67" s="9"/>
      <c r="S67" s="9"/>
      <c r="T67" s="9"/>
      <c r="U67" s="9"/>
      <c r="V67" s="28">
        <v>24220</v>
      </c>
      <c r="X67" s="28">
        <v>24340</v>
      </c>
      <c r="Y67" s="28">
        <v>29223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26"/>
      <c r="AT67" s="26"/>
      <c r="AU67" s="26"/>
      <c r="AV67" s="26"/>
      <c r="AW67" s="26"/>
      <c r="AX67" s="26"/>
      <c r="AY67" s="9"/>
      <c r="AZ67" s="9"/>
      <c r="BA67" s="9"/>
      <c r="BB67" s="9"/>
      <c r="BC67" s="9"/>
      <c r="BE67" s="29"/>
      <c r="BF67" s="29"/>
      <c r="BG67" s="29"/>
      <c r="BH67" s="29"/>
      <c r="BJ67" s="28">
        <f t="shared" si="18"/>
        <v>1.3209902225920533E-2</v>
      </c>
      <c r="BL67" s="28">
        <f t="shared" si="14"/>
        <v>1.3209902225920533E-2</v>
      </c>
      <c r="BM67" s="28">
        <f t="shared" si="19"/>
        <v>3.9105191256830603E-2</v>
      </c>
      <c r="BN67" s="14">
        <f t="shared" si="8"/>
        <v>3.9060832443970117</v>
      </c>
    </row>
    <row r="68" spans="1:66" s="34" customFormat="1" ht="21" hidden="1" customHeight="1">
      <c r="A68" s="31"/>
      <c r="B68" s="32" t="s">
        <v>132</v>
      </c>
      <c r="C68" s="32">
        <v>29</v>
      </c>
      <c r="D68" s="33">
        <v>24050</v>
      </c>
      <c r="E68" s="32">
        <v>23388</v>
      </c>
      <c r="F68" s="32">
        <v>23663</v>
      </c>
      <c r="G68" s="32">
        <v>3826700</v>
      </c>
      <c r="H68" s="32">
        <v>28556</v>
      </c>
      <c r="I68" s="32">
        <v>27999</v>
      </c>
      <c r="J68" s="32">
        <v>28282</v>
      </c>
      <c r="K68" s="32">
        <v>533700</v>
      </c>
      <c r="L68" s="32">
        <f t="shared" si="16"/>
        <v>90551202100</v>
      </c>
      <c r="M68" s="32">
        <f t="shared" si="17"/>
        <v>15094103400</v>
      </c>
      <c r="N68" s="34">
        <v>23622</v>
      </c>
      <c r="O68" s="34">
        <v>28279</v>
      </c>
      <c r="P68" s="32">
        <v>24290</v>
      </c>
      <c r="Q68" s="32">
        <v>28842</v>
      </c>
      <c r="R68" s="32"/>
      <c r="S68" s="32"/>
      <c r="T68" s="32"/>
      <c r="U68" s="32"/>
      <c r="V68" s="34">
        <v>24430</v>
      </c>
      <c r="X68" s="34">
        <v>24200</v>
      </c>
      <c r="Y68" s="34">
        <v>28872</v>
      </c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3"/>
      <c r="AT68" s="33"/>
      <c r="AU68" s="33"/>
      <c r="AV68" s="33"/>
      <c r="AW68" s="33"/>
      <c r="AX68" s="33"/>
      <c r="AY68" s="32"/>
      <c r="AZ68" s="32"/>
      <c r="BA68" s="32"/>
      <c r="BB68" s="32"/>
      <c r="BC68" s="32"/>
      <c r="BE68" s="35"/>
      <c r="BF68" s="35"/>
      <c r="BG68" s="35"/>
      <c r="BH68" s="35"/>
      <c r="BJ68" s="34">
        <f t="shared" si="18"/>
        <v>2.0969624102691042E-2</v>
      </c>
      <c r="BL68" s="34">
        <f t="shared" si="14"/>
        <v>2.0969624102691042E-2</v>
      </c>
      <c r="BM68" s="34">
        <f t="shared" si="19"/>
        <v>6.2370062370062374E-3</v>
      </c>
      <c r="BN68" s="14">
        <f t="shared" si="8"/>
        <v>2.2693656763723955</v>
      </c>
    </row>
    <row r="69" spans="1:66" s="34" customFormat="1" ht="21" hidden="1" customHeight="1">
      <c r="A69" s="31"/>
      <c r="B69" s="32" t="s">
        <v>133</v>
      </c>
      <c r="C69" s="32">
        <v>30</v>
      </c>
      <c r="D69" s="33">
        <v>23388</v>
      </c>
      <c r="E69" s="32">
        <v>23311</v>
      </c>
      <c r="F69" s="32">
        <v>23226</v>
      </c>
      <c r="G69" s="32">
        <v>4222100</v>
      </c>
      <c r="H69" s="32">
        <v>27999</v>
      </c>
      <c r="I69" s="32">
        <v>27424</v>
      </c>
      <c r="J69" s="32">
        <v>27673</v>
      </c>
      <c r="K69" s="32">
        <v>359400</v>
      </c>
      <c r="L69" s="32">
        <f t="shared" si="16"/>
        <v>98062494600</v>
      </c>
      <c r="M69" s="32">
        <f t="shared" si="17"/>
        <v>9945676200</v>
      </c>
      <c r="N69" s="34">
        <v>23544</v>
      </c>
      <c r="O69" s="34">
        <v>27698</v>
      </c>
      <c r="P69" s="32">
        <v>23622</v>
      </c>
      <c r="Q69" s="32">
        <v>28279</v>
      </c>
      <c r="R69" s="32"/>
      <c r="S69" s="32"/>
      <c r="T69" s="32"/>
      <c r="U69" s="32"/>
      <c r="V69" s="34">
        <v>23630</v>
      </c>
      <c r="X69" s="34">
        <v>23740</v>
      </c>
      <c r="Y69" s="34">
        <v>27946</v>
      </c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3"/>
      <c r="AT69" s="33"/>
      <c r="AU69" s="33"/>
      <c r="AV69" s="33"/>
      <c r="AW69" s="33"/>
      <c r="AX69" s="33"/>
      <c r="AY69" s="32"/>
      <c r="AZ69" s="32"/>
      <c r="BA69" s="32"/>
      <c r="BB69" s="32"/>
      <c r="BC69" s="32"/>
      <c r="BE69" s="35"/>
      <c r="BF69" s="35"/>
      <c r="BG69" s="35"/>
      <c r="BH69" s="35"/>
      <c r="BJ69" s="34">
        <f t="shared" si="18"/>
        <v>8.953715069680122E-3</v>
      </c>
      <c r="BL69" s="34">
        <f t="shared" si="14"/>
        <v>8.953715069680122E-3</v>
      </c>
      <c r="BM69" s="34">
        <f t="shared" si="19"/>
        <v>1.5050453223875491E-2</v>
      </c>
      <c r="BN69" s="14">
        <f t="shared" si="8"/>
        <v>2.2130371135796092</v>
      </c>
    </row>
    <row r="70" spans="1:66" s="34" customFormat="1" ht="21" hidden="1" customHeight="1">
      <c r="A70" s="31"/>
      <c r="B70" s="32" t="s">
        <v>134</v>
      </c>
      <c r="C70" s="32">
        <v>31</v>
      </c>
      <c r="D70" s="33">
        <v>23311</v>
      </c>
      <c r="E70" s="32">
        <v>23544</v>
      </c>
      <c r="F70" s="32">
        <v>23364</v>
      </c>
      <c r="G70" s="32">
        <v>4213900</v>
      </c>
      <c r="H70" s="32">
        <v>27424</v>
      </c>
      <c r="I70" s="32">
        <v>27803</v>
      </c>
      <c r="J70" s="32">
        <v>27693</v>
      </c>
      <c r="K70" s="32">
        <v>596200</v>
      </c>
      <c r="L70" s="32">
        <f t="shared" si="16"/>
        <v>98453559600</v>
      </c>
      <c r="M70" s="32">
        <f t="shared" si="17"/>
        <v>16510566600</v>
      </c>
      <c r="N70" s="34">
        <v>23779</v>
      </c>
      <c r="O70" s="34">
        <v>28081</v>
      </c>
      <c r="P70" s="32">
        <v>23544</v>
      </c>
      <c r="Q70" s="32">
        <v>27698</v>
      </c>
      <c r="R70" s="32"/>
      <c r="S70" s="32"/>
      <c r="T70" s="32"/>
      <c r="U70" s="32"/>
      <c r="V70" s="34">
        <v>23880</v>
      </c>
      <c r="X70" s="34">
        <v>23930</v>
      </c>
      <c r="Y70" s="34">
        <v>28324</v>
      </c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3"/>
      <c r="AT70" s="33"/>
      <c r="AU70" s="33"/>
      <c r="AV70" s="33"/>
      <c r="AW70" s="33"/>
      <c r="AX70" s="33"/>
      <c r="AY70" s="32"/>
      <c r="AZ70" s="32"/>
      <c r="BA70" s="32"/>
      <c r="BB70" s="32"/>
      <c r="BC70" s="32"/>
      <c r="BE70" s="35"/>
      <c r="BF70" s="35"/>
      <c r="BG70" s="35"/>
      <c r="BH70" s="35"/>
      <c r="BJ70" s="34">
        <f t="shared" si="18"/>
        <v>8.6535379794166877E-3</v>
      </c>
      <c r="BM70" s="34">
        <f t="shared" si="19"/>
        <v>2.6553987387928447E-2</v>
      </c>
      <c r="BN70" s="14">
        <f t="shared" si="8"/>
        <v>2.4225303886320835</v>
      </c>
    </row>
    <row r="71" spans="1:66" s="34" customFormat="1" ht="21" hidden="1" customHeight="1">
      <c r="A71" s="31"/>
      <c r="B71" s="32" t="s">
        <v>135</v>
      </c>
      <c r="C71" s="32">
        <v>1</v>
      </c>
      <c r="D71" s="33">
        <v>23497</v>
      </c>
      <c r="E71" s="32">
        <v>23629</v>
      </c>
      <c r="F71" s="32">
        <v>23610</v>
      </c>
      <c r="G71" s="32">
        <v>6635900</v>
      </c>
      <c r="H71" s="32">
        <v>27803</v>
      </c>
      <c r="I71" s="32">
        <v>28225</v>
      </c>
      <c r="J71" s="32">
        <v>27963</v>
      </c>
      <c r="K71" s="32">
        <v>665400</v>
      </c>
      <c r="L71" s="32">
        <f t="shared" si="16"/>
        <v>156673599000</v>
      </c>
      <c r="M71" s="32">
        <f t="shared" si="17"/>
        <v>18606580200</v>
      </c>
      <c r="N71" s="34">
        <v>23865</v>
      </c>
      <c r="O71" s="34">
        <v>28507</v>
      </c>
      <c r="P71" s="32">
        <v>23732</v>
      </c>
      <c r="Q71" s="32">
        <v>28081</v>
      </c>
      <c r="R71" s="32"/>
      <c r="S71" s="32"/>
      <c r="T71" s="32"/>
      <c r="U71" s="32"/>
      <c r="V71" s="34">
        <v>24150</v>
      </c>
      <c r="X71" s="34">
        <v>24220</v>
      </c>
      <c r="Y71" s="34">
        <v>28791</v>
      </c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3"/>
      <c r="AT71" s="33"/>
      <c r="AU71" s="33"/>
      <c r="AV71" s="33"/>
      <c r="AW71" s="33"/>
      <c r="AX71" s="33"/>
      <c r="AY71" s="32"/>
      <c r="AZ71" s="32"/>
      <c r="BA71" s="32"/>
      <c r="BB71" s="32"/>
      <c r="BC71" s="32"/>
      <c r="BE71" s="35"/>
      <c r="BF71" s="35"/>
      <c r="BG71" s="35"/>
      <c r="BH71" s="35"/>
      <c r="BJ71" s="34">
        <f t="shared" si="18"/>
        <v>9.962465359385414E-3</v>
      </c>
      <c r="BM71" s="34">
        <f t="shared" si="19"/>
        <v>3.0769885517300082E-2</v>
      </c>
      <c r="BN71" s="14">
        <f t="shared" si="8"/>
        <v>2.5836509953409572</v>
      </c>
    </row>
    <row r="72" spans="1:66" s="34" customFormat="1" ht="21" hidden="1" customHeight="1">
      <c r="A72" s="31"/>
      <c r="B72" s="32" t="s">
        <v>136</v>
      </c>
      <c r="C72" s="32">
        <v>2</v>
      </c>
      <c r="D72" s="33">
        <v>23629</v>
      </c>
      <c r="E72" s="32">
        <v>23502</v>
      </c>
      <c r="F72" s="32">
        <v>23599</v>
      </c>
      <c r="G72" s="32">
        <v>5837100</v>
      </c>
      <c r="H72" s="32">
        <v>28225</v>
      </c>
      <c r="I72" s="32">
        <v>27800</v>
      </c>
      <c r="J72" s="32">
        <v>28072</v>
      </c>
      <c r="K72" s="32">
        <v>366600</v>
      </c>
      <c r="L72" s="32">
        <f t="shared" si="16"/>
        <v>137749722900</v>
      </c>
      <c r="M72" s="32">
        <f t="shared" si="17"/>
        <v>10291195200</v>
      </c>
      <c r="N72" s="34">
        <v>23737</v>
      </c>
      <c r="O72" s="34">
        <v>28078</v>
      </c>
      <c r="P72" s="32">
        <v>23865</v>
      </c>
      <c r="Q72" s="32">
        <v>28507</v>
      </c>
      <c r="R72" s="32"/>
      <c r="S72" s="32"/>
      <c r="T72" s="32"/>
      <c r="U72" s="32"/>
      <c r="X72" s="34">
        <v>24130</v>
      </c>
      <c r="Y72" s="34">
        <v>28818</v>
      </c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3"/>
      <c r="AT72" s="33"/>
      <c r="AU72" s="33"/>
      <c r="AV72" s="33"/>
      <c r="AW72" s="33"/>
      <c r="AX72" s="33"/>
      <c r="AY72" s="32"/>
      <c r="AZ72" s="32"/>
      <c r="BA72" s="32"/>
      <c r="BB72" s="32"/>
      <c r="BC72" s="32"/>
      <c r="BE72" s="35"/>
      <c r="BF72" s="35"/>
      <c r="BG72" s="35"/>
      <c r="BH72" s="35"/>
      <c r="BJ72" s="34">
        <f t="shared" si="18"/>
        <v>2.6355153500961608E-2</v>
      </c>
      <c r="BM72" s="34">
        <f t="shared" si="19"/>
        <v>2.1202759321173135E-2</v>
      </c>
      <c r="BN72" s="14">
        <f t="shared" si="8"/>
        <v>2.2500953430230095</v>
      </c>
    </row>
    <row r="73" spans="1:66" s="34" customFormat="1" ht="21" hidden="1" customHeight="1">
      <c r="A73" s="31"/>
      <c r="B73" s="32" t="s">
        <v>137</v>
      </c>
      <c r="C73" s="32">
        <v>3</v>
      </c>
      <c r="D73" s="33">
        <v>23608</v>
      </c>
      <c r="E73" s="32">
        <v>23640</v>
      </c>
      <c r="F73" s="32">
        <v>23612</v>
      </c>
      <c r="G73" s="32">
        <v>2942600</v>
      </c>
      <c r="H73" s="32">
        <v>27800</v>
      </c>
      <c r="I73" s="32">
        <v>28076</v>
      </c>
      <c r="J73" s="32">
        <v>28073</v>
      </c>
      <c r="K73" s="32">
        <v>261100</v>
      </c>
      <c r="L73" s="32">
        <f t="shared" si="16"/>
        <v>69480671200</v>
      </c>
      <c r="M73" s="32">
        <f t="shared" si="17"/>
        <v>7329860300</v>
      </c>
      <c r="N73" s="34">
        <v>23876</v>
      </c>
      <c r="O73" s="34">
        <v>28357</v>
      </c>
      <c r="P73" s="32">
        <v>23844</v>
      </c>
      <c r="Q73" s="32">
        <v>28078</v>
      </c>
      <c r="R73" s="32"/>
      <c r="S73" s="32"/>
      <c r="T73" s="32"/>
      <c r="U73" s="32"/>
      <c r="X73" s="34">
        <v>24100</v>
      </c>
      <c r="Y73" s="34">
        <v>28777</v>
      </c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3"/>
      <c r="AT73" s="33"/>
      <c r="AU73" s="33"/>
      <c r="AV73" s="33"/>
      <c r="AW73" s="33"/>
      <c r="AX73" s="33"/>
      <c r="AY73" s="32"/>
      <c r="AZ73" s="32"/>
      <c r="BA73" s="32"/>
      <c r="BB73" s="32"/>
      <c r="BC73" s="32"/>
      <c r="BE73" s="35"/>
      <c r="BF73" s="35"/>
      <c r="BG73" s="35"/>
      <c r="BH73" s="35"/>
      <c r="BJ73" s="34">
        <f t="shared" si="18"/>
        <v>1.4811157738829919E-2</v>
      </c>
      <c r="BM73" s="34">
        <f t="shared" si="19"/>
        <v>2.0840393087089123E-2</v>
      </c>
      <c r="BN73" s="14">
        <f t="shared" si="8"/>
        <v>2.0667457225139758</v>
      </c>
    </row>
    <row r="74" spans="1:66" s="28" customFormat="1" ht="21" hidden="1" customHeight="1">
      <c r="A74" s="27"/>
      <c r="B74" s="9" t="s">
        <v>138</v>
      </c>
      <c r="C74" s="9">
        <v>5</v>
      </c>
      <c r="D74" s="26">
        <v>23737</v>
      </c>
      <c r="E74" s="9">
        <v>23825</v>
      </c>
      <c r="F74" s="9">
        <v>23805</v>
      </c>
      <c r="G74" s="9">
        <v>8070900</v>
      </c>
      <c r="H74" s="9">
        <v>28076</v>
      </c>
      <c r="I74" s="9">
        <v>28205</v>
      </c>
      <c r="J74" s="9">
        <v>28276</v>
      </c>
      <c r="K74" s="9">
        <v>970400</v>
      </c>
      <c r="L74" s="9">
        <f t="shared" si="16"/>
        <v>192127774500</v>
      </c>
      <c r="M74" s="9">
        <f t="shared" si="17"/>
        <v>27439030400</v>
      </c>
      <c r="N74" s="28">
        <v>24063</v>
      </c>
      <c r="O74" s="28">
        <v>28487</v>
      </c>
      <c r="P74" s="9">
        <v>23974</v>
      </c>
      <c r="Q74" s="9">
        <v>28357</v>
      </c>
      <c r="R74" s="9"/>
      <c r="S74" s="9"/>
      <c r="T74" s="9"/>
      <c r="U74" s="9"/>
      <c r="V74" s="28">
        <v>24380</v>
      </c>
      <c r="X74" s="28">
        <v>24450</v>
      </c>
      <c r="Y74" s="28">
        <v>29400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26"/>
      <c r="AT74" s="26"/>
      <c r="AU74" s="26"/>
      <c r="AV74" s="26"/>
      <c r="AW74" s="26"/>
      <c r="AX74" s="26"/>
      <c r="AY74" s="9"/>
      <c r="AZ74" s="9"/>
      <c r="BA74" s="9"/>
      <c r="BB74" s="9"/>
      <c r="BC74" s="9"/>
      <c r="BE74" s="29"/>
      <c r="BF74" s="29"/>
      <c r="BG74" s="29"/>
      <c r="BH74" s="29"/>
      <c r="BJ74" s="28">
        <f t="shared" si="18"/>
        <v>3.2049706883841754E-2</v>
      </c>
      <c r="BM74" s="28">
        <f t="shared" si="19"/>
        <v>3.0037494207355606E-2</v>
      </c>
      <c r="BN74" s="14">
        <f t="shared" si="8"/>
        <v>2.7095148078134845</v>
      </c>
    </row>
    <row r="75" spans="1:66" s="28" customFormat="1" ht="21" hidden="1" customHeight="1">
      <c r="A75" s="27"/>
      <c r="B75" s="9" t="s">
        <v>139</v>
      </c>
      <c r="C75" s="9">
        <v>6</v>
      </c>
      <c r="D75" s="26">
        <v>23825</v>
      </c>
      <c r="E75" s="9">
        <v>23786</v>
      </c>
      <c r="F75" s="9">
        <v>23786</v>
      </c>
      <c r="G75" s="9">
        <v>6150100</v>
      </c>
      <c r="H75" s="9">
        <v>28205</v>
      </c>
      <c r="I75" s="9">
        <v>28200</v>
      </c>
      <c r="J75" s="9">
        <v>28288</v>
      </c>
      <c r="K75" s="9">
        <v>758900</v>
      </c>
      <c r="L75" s="9">
        <f t="shared" si="16"/>
        <v>146286278600</v>
      </c>
      <c r="M75" s="9">
        <f t="shared" si="17"/>
        <v>21467763200</v>
      </c>
      <c r="N75" s="28">
        <v>24024</v>
      </c>
      <c r="O75" s="28">
        <v>28482</v>
      </c>
      <c r="P75" s="9">
        <v>24063</v>
      </c>
      <c r="Q75" s="9">
        <v>28487</v>
      </c>
      <c r="R75" s="9"/>
      <c r="S75" s="9"/>
      <c r="T75" s="9"/>
      <c r="U75" s="9"/>
      <c r="V75" s="28">
        <v>24340</v>
      </c>
      <c r="X75" s="28">
        <v>24400</v>
      </c>
      <c r="Y75" s="28">
        <v>29088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26"/>
      <c r="AT75" s="26"/>
      <c r="AU75" s="26"/>
      <c r="AV75" s="26"/>
      <c r="AW75" s="26"/>
      <c r="AX75" s="26"/>
      <c r="AY75" s="9"/>
      <c r="AZ75" s="9"/>
      <c r="BA75" s="9"/>
      <c r="BB75" s="9"/>
      <c r="BC75" s="9"/>
      <c r="BE75" s="29"/>
      <c r="BF75" s="29"/>
      <c r="BG75" s="29"/>
      <c r="BH75" s="29"/>
      <c r="BJ75" s="28">
        <f t="shared" si="18"/>
        <v>2.1276595744680851E-2</v>
      </c>
      <c r="BM75" s="28">
        <f t="shared" si="19"/>
        <v>2.4134312696747113E-2</v>
      </c>
      <c r="BN75" s="14">
        <f t="shared" si="8"/>
        <v>2.5813503741696797</v>
      </c>
    </row>
    <row r="76" spans="1:66" s="28" customFormat="1" ht="21" hidden="1" customHeight="1">
      <c r="A76" s="27"/>
      <c r="B76" s="9" t="s">
        <v>140</v>
      </c>
      <c r="C76" s="9">
        <v>7</v>
      </c>
      <c r="D76" s="26">
        <v>23902</v>
      </c>
      <c r="E76" s="9">
        <v>24197</v>
      </c>
      <c r="F76" s="9">
        <v>24103</v>
      </c>
      <c r="G76" s="9">
        <v>6564300</v>
      </c>
      <c r="H76" s="9">
        <v>28405</v>
      </c>
      <c r="I76" s="9">
        <v>28537</v>
      </c>
      <c r="J76" s="9">
        <v>28539</v>
      </c>
      <c r="K76" s="9">
        <v>1415300</v>
      </c>
      <c r="L76" s="9">
        <f t="shared" si="16"/>
        <v>158219322900</v>
      </c>
      <c r="M76" s="9">
        <f t="shared" si="17"/>
        <v>40391246700</v>
      </c>
      <c r="N76" s="28">
        <v>24439</v>
      </c>
      <c r="O76" s="28">
        <v>28822</v>
      </c>
      <c r="P76" s="9">
        <v>24141</v>
      </c>
      <c r="Q76" s="9">
        <v>28689</v>
      </c>
      <c r="R76" s="9"/>
      <c r="S76" s="9"/>
      <c r="T76" s="9"/>
      <c r="U76" s="9"/>
      <c r="V76" s="28">
        <v>24670</v>
      </c>
      <c r="X76" s="28">
        <v>24740</v>
      </c>
      <c r="Y76" s="28">
        <v>29374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26"/>
      <c r="AT76" s="26"/>
      <c r="AU76" s="26"/>
      <c r="AV76" s="26"/>
      <c r="AW76" s="26"/>
      <c r="AX76" s="26"/>
      <c r="AY76" s="9"/>
      <c r="AZ76" s="9"/>
      <c r="BA76" s="9"/>
      <c r="BB76" s="9"/>
      <c r="BC76" s="9"/>
      <c r="BE76" s="29"/>
      <c r="BF76" s="29"/>
      <c r="BG76" s="29"/>
      <c r="BH76" s="29"/>
      <c r="BJ76" s="28">
        <f t="shared" si="18"/>
        <v>1.9152036638678788E-2</v>
      </c>
      <c r="BM76" s="28">
        <f t="shared" si="19"/>
        <v>3.5059827629487075E-2</v>
      </c>
      <c r="BN76" s="14">
        <f t="shared" si="8"/>
        <v>2.6428245446624903</v>
      </c>
    </row>
    <row r="77" spans="1:66" s="28" customFormat="1" ht="21" hidden="1" customHeight="1">
      <c r="A77" s="27"/>
      <c r="B77" s="9" t="s">
        <v>141</v>
      </c>
      <c r="C77" s="9">
        <v>8</v>
      </c>
      <c r="D77" s="26">
        <v>24371</v>
      </c>
      <c r="E77" s="9">
        <v>24609</v>
      </c>
      <c r="F77" s="9">
        <v>24568</v>
      </c>
      <c r="G77" s="9">
        <v>4748900</v>
      </c>
      <c r="H77" s="9">
        <v>28600</v>
      </c>
      <c r="I77" s="9">
        <v>28969</v>
      </c>
      <c r="J77" s="9">
        <v>28899</v>
      </c>
      <c r="K77" s="9">
        <v>1224600</v>
      </c>
      <c r="L77" s="9">
        <f t="shared" si="16"/>
        <v>116670975200</v>
      </c>
      <c r="M77" s="9">
        <f t="shared" si="17"/>
        <v>35389715400</v>
      </c>
      <c r="N77" s="28">
        <v>24855</v>
      </c>
      <c r="O77" s="28">
        <v>29259</v>
      </c>
      <c r="P77" s="9">
        <v>24615</v>
      </c>
      <c r="Q77" s="9">
        <v>28886</v>
      </c>
      <c r="R77" s="9"/>
      <c r="S77" s="9"/>
      <c r="T77" s="9"/>
      <c r="U77" s="9"/>
      <c r="V77" s="28">
        <v>24980</v>
      </c>
      <c r="X77" s="28">
        <v>25130</v>
      </c>
      <c r="Y77" s="28">
        <v>29754</v>
      </c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26"/>
      <c r="AT77" s="26"/>
      <c r="AU77" s="26"/>
      <c r="AV77" s="26"/>
      <c r="AW77" s="26"/>
      <c r="AX77" s="26"/>
      <c r="AY77" s="9"/>
      <c r="AZ77" s="9"/>
      <c r="BA77" s="9"/>
      <c r="BB77" s="9"/>
      <c r="BC77" s="9"/>
      <c r="BE77" s="29"/>
      <c r="BF77" s="29"/>
      <c r="BG77" s="29"/>
      <c r="BH77" s="29"/>
      <c r="BM77" s="28">
        <f t="shared" si="19"/>
        <v>3.1143572278527758E-2</v>
      </c>
      <c r="BN77" s="14">
        <f t="shared" ref="BN77:BN140" si="20">100*(X77-F77)/F77</f>
        <v>2.2875284923477697</v>
      </c>
    </row>
    <row r="78" spans="1:66" s="28" customFormat="1" ht="21" hidden="1" customHeight="1">
      <c r="A78" s="27"/>
      <c r="B78" s="9" t="s">
        <v>142</v>
      </c>
      <c r="C78" s="9">
        <v>9</v>
      </c>
      <c r="D78" s="26">
        <v>24532</v>
      </c>
      <c r="E78" s="9">
        <v>24758</v>
      </c>
      <c r="F78" s="9">
        <v>24779</v>
      </c>
      <c r="G78" s="9">
        <v>4888200</v>
      </c>
      <c r="H78" s="9">
        <v>29000</v>
      </c>
      <c r="I78" s="9">
        <v>29442</v>
      </c>
      <c r="J78" s="9">
        <v>29388</v>
      </c>
      <c r="K78" s="9">
        <v>466700</v>
      </c>
      <c r="L78" s="9">
        <f t="shared" si="16"/>
        <v>121124707800</v>
      </c>
      <c r="M78" s="9">
        <f t="shared" si="17"/>
        <v>13715379600</v>
      </c>
      <c r="N78" s="28">
        <v>25005</v>
      </c>
      <c r="O78" s="28">
        <v>29736</v>
      </c>
      <c r="P78" s="9">
        <v>24855</v>
      </c>
      <c r="Q78" s="9">
        <v>29259</v>
      </c>
      <c r="R78" s="9"/>
      <c r="S78" s="9"/>
      <c r="T78" s="9"/>
      <c r="U78" s="9"/>
      <c r="V78" s="28">
        <v>25000</v>
      </c>
      <c r="X78" s="28">
        <v>25270</v>
      </c>
      <c r="Y78" s="28">
        <v>29786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26"/>
      <c r="AT78" s="26"/>
      <c r="AU78" s="26"/>
      <c r="AV78" s="26"/>
      <c r="AW78" s="26"/>
      <c r="AX78" s="26"/>
      <c r="AY78" s="9"/>
      <c r="AZ78" s="9"/>
      <c r="BA78" s="9"/>
      <c r="BB78" s="9"/>
      <c r="BC78" s="9"/>
      <c r="BE78" s="29"/>
      <c r="BF78" s="29"/>
      <c r="BG78" s="29"/>
      <c r="BH78" s="29"/>
      <c r="BM78" s="28">
        <f t="shared" si="19"/>
        <v>3.008315669329855E-2</v>
      </c>
      <c r="BN78" s="14">
        <f t="shared" si="20"/>
        <v>1.9815166068041488</v>
      </c>
    </row>
    <row r="79" spans="1:66" s="28" customFormat="1" ht="21" hidden="1" customHeight="1">
      <c r="A79" s="27"/>
      <c r="B79" s="9" t="s">
        <v>143</v>
      </c>
      <c r="C79" s="9">
        <v>10</v>
      </c>
      <c r="D79" s="26">
        <v>24741</v>
      </c>
      <c r="E79" s="9">
        <v>24812</v>
      </c>
      <c r="F79" s="9">
        <v>24759</v>
      </c>
      <c r="G79" s="9">
        <v>3275700</v>
      </c>
      <c r="H79" s="9">
        <v>29800</v>
      </c>
      <c r="I79" s="9">
        <v>29650</v>
      </c>
      <c r="J79" s="9">
        <v>29635</v>
      </c>
      <c r="K79" s="9">
        <v>113200</v>
      </c>
      <c r="L79" s="9">
        <f t="shared" si="16"/>
        <v>81103056300</v>
      </c>
      <c r="M79" s="9">
        <f t="shared" si="17"/>
        <v>3354682000</v>
      </c>
      <c r="N79" s="28">
        <v>25060</v>
      </c>
      <c r="O79" s="28">
        <v>29946</v>
      </c>
      <c r="P79" s="9">
        <v>24988</v>
      </c>
      <c r="Q79" s="9">
        <v>30098</v>
      </c>
      <c r="R79" s="9"/>
      <c r="S79" s="9"/>
      <c r="T79" s="9"/>
      <c r="U79" s="9"/>
      <c r="V79" s="28">
        <v>25220</v>
      </c>
      <c r="X79" s="28">
        <v>25190</v>
      </c>
      <c r="Y79" s="28">
        <v>29966</v>
      </c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26"/>
      <c r="AT79" s="26"/>
      <c r="AU79" s="26"/>
      <c r="AV79" s="26"/>
      <c r="AW79" s="26"/>
      <c r="AX79" s="26"/>
      <c r="AY79" s="9"/>
      <c r="AZ79" s="9"/>
      <c r="BA79" s="9"/>
      <c r="BB79" s="9"/>
      <c r="BC79" s="9"/>
      <c r="BE79" s="29"/>
      <c r="BF79" s="29"/>
      <c r="BG79" s="29"/>
      <c r="BH79" s="29"/>
      <c r="BM79" s="28">
        <f t="shared" si="19"/>
        <v>1.8148013419021058E-2</v>
      </c>
      <c r="BN79" s="14">
        <f t="shared" si="20"/>
        <v>1.7407811300941072</v>
      </c>
    </row>
    <row r="80" spans="1:66" s="34" customFormat="1" ht="21" hidden="1" customHeight="1">
      <c r="A80" s="31"/>
      <c r="B80" s="32" t="s">
        <v>144</v>
      </c>
      <c r="C80" s="32">
        <v>12</v>
      </c>
      <c r="D80" s="33">
        <v>24812</v>
      </c>
      <c r="E80" s="32">
        <v>24676</v>
      </c>
      <c r="F80" s="32">
        <v>24687</v>
      </c>
      <c r="G80" s="32">
        <v>4004700</v>
      </c>
      <c r="H80" s="32">
        <v>29650</v>
      </c>
      <c r="I80" s="32">
        <v>29310</v>
      </c>
      <c r="J80" s="32">
        <v>29391</v>
      </c>
      <c r="K80" s="32">
        <v>180200</v>
      </c>
      <c r="L80" s="32">
        <f t="shared" si="16"/>
        <v>98864028900</v>
      </c>
      <c r="M80" s="32">
        <f t="shared" si="17"/>
        <v>5296258200</v>
      </c>
      <c r="N80" s="34">
        <v>24922</v>
      </c>
      <c r="O80" s="34">
        <v>29603</v>
      </c>
      <c r="P80" s="32">
        <v>25060</v>
      </c>
      <c r="Q80" s="32">
        <v>29946</v>
      </c>
      <c r="R80" s="32"/>
      <c r="S80" s="32"/>
      <c r="T80" s="32"/>
      <c r="U80" s="32"/>
      <c r="V80" s="34">
        <v>25120</v>
      </c>
      <c r="X80" s="34">
        <v>25190</v>
      </c>
      <c r="Y80" s="34">
        <v>29804</v>
      </c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3"/>
      <c r="AT80" s="33"/>
      <c r="AU80" s="33"/>
      <c r="AV80" s="33"/>
      <c r="AW80" s="33"/>
      <c r="AX80" s="33"/>
      <c r="AY80" s="32"/>
      <c r="AZ80" s="32"/>
      <c r="BA80" s="32"/>
      <c r="BB80" s="32"/>
      <c r="BC80" s="32"/>
      <c r="BE80" s="35"/>
      <c r="BF80" s="35"/>
      <c r="BG80" s="35"/>
      <c r="BH80" s="35"/>
      <c r="BM80" s="34">
        <f t="shared" si="19"/>
        <v>1.5234563920683539E-2</v>
      </c>
      <c r="BN80" s="14">
        <f t="shared" si="20"/>
        <v>2.037509620448009</v>
      </c>
    </row>
    <row r="81" spans="1:66" s="34" customFormat="1" ht="21" hidden="1" customHeight="1">
      <c r="A81" s="31"/>
      <c r="B81" s="32" t="s">
        <v>145</v>
      </c>
      <c r="C81" s="32">
        <v>13</v>
      </c>
      <c r="D81" s="33">
        <v>24770</v>
      </c>
      <c r="E81" s="32">
        <v>24682</v>
      </c>
      <c r="F81" s="32">
        <v>24796</v>
      </c>
      <c r="G81" s="32">
        <v>4701500</v>
      </c>
      <c r="H81" s="32">
        <v>29310</v>
      </c>
      <c r="I81" s="32">
        <v>29655</v>
      </c>
      <c r="J81" s="32">
        <v>29623</v>
      </c>
      <c r="K81" s="32">
        <v>167500</v>
      </c>
      <c r="L81" s="32">
        <f t="shared" si="16"/>
        <v>116578394000</v>
      </c>
      <c r="M81" s="32">
        <f t="shared" si="17"/>
        <v>4961852500</v>
      </c>
      <c r="N81" s="34">
        <v>24929</v>
      </c>
      <c r="O81" s="34">
        <v>29951</v>
      </c>
      <c r="P81" s="32">
        <v>25018</v>
      </c>
      <c r="Q81" s="32">
        <v>29603</v>
      </c>
      <c r="R81" s="32"/>
      <c r="S81" s="32"/>
      <c r="T81" s="32"/>
      <c r="U81" s="32"/>
      <c r="V81" s="34">
        <v>25330</v>
      </c>
      <c r="X81" s="34">
        <v>25180</v>
      </c>
      <c r="Y81" s="34">
        <v>30065</v>
      </c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3"/>
      <c r="AT81" s="33"/>
      <c r="AU81" s="33"/>
      <c r="AV81" s="33"/>
      <c r="AW81" s="33"/>
      <c r="AX81" s="33"/>
      <c r="AY81" s="32"/>
      <c r="AZ81" s="32"/>
      <c r="BA81" s="32"/>
      <c r="BB81" s="32"/>
      <c r="BC81" s="32"/>
      <c r="BE81" s="35"/>
      <c r="BF81" s="35"/>
      <c r="BG81" s="35"/>
      <c r="BH81" s="35"/>
      <c r="BM81" s="34">
        <f t="shared" si="19"/>
        <v>1.6552280985062576E-2</v>
      </c>
      <c r="BN81" s="14">
        <f t="shared" si="20"/>
        <v>1.5486368769156316</v>
      </c>
    </row>
    <row r="82" spans="1:66" s="34" customFormat="1" ht="21" hidden="1" customHeight="1">
      <c r="A82" s="31"/>
      <c r="B82" s="32" t="s">
        <v>146</v>
      </c>
      <c r="C82" s="32">
        <v>14</v>
      </c>
      <c r="D82" s="33">
        <v>24682</v>
      </c>
      <c r="E82" s="32">
        <v>24505</v>
      </c>
      <c r="F82" s="32">
        <v>24560</v>
      </c>
      <c r="G82" s="32">
        <v>2063800</v>
      </c>
      <c r="H82" s="32">
        <v>29655</v>
      </c>
      <c r="I82" s="32">
        <v>29290</v>
      </c>
      <c r="J82" s="32">
        <v>29327</v>
      </c>
      <c r="K82" s="32">
        <v>98200</v>
      </c>
      <c r="L82" s="32">
        <f t="shared" si="16"/>
        <v>50686928000</v>
      </c>
      <c r="M82" s="32">
        <f t="shared" si="17"/>
        <v>2879911400</v>
      </c>
      <c r="N82" s="34">
        <v>24750</v>
      </c>
      <c r="O82" s="34">
        <v>29583</v>
      </c>
      <c r="P82" s="32">
        <v>24929</v>
      </c>
      <c r="Q82" s="32">
        <v>29951</v>
      </c>
      <c r="R82" s="32"/>
      <c r="S82" s="32"/>
      <c r="T82" s="32"/>
      <c r="U82" s="32"/>
      <c r="V82" s="34">
        <v>25080</v>
      </c>
      <c r="X82" s="35">
        <v>24970</v>
      </c>
      <c r="Y82" s="34">
        <v>29763</v>
      </c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3"/>
      <c r="AT82" s="33"/>
      <c r="AU82" s="33"/>
      <c r="AV82" s="33"/>
      <c r="AW82" s="33"/>
      <c r="AX82" s="33"/>
      <c r="AY82" s="32"/>
      <c r="AZ82" s="32"/>
      <c r="BA82" s="32"/>
      <c r="BB82" s="32"/>
      <c r="BC82" s="32"/>
      <c r="BE82" s="35"/>
      <c r="BF82" s="35"/>
      <c r="BG82" s="35"/>
      <c r="BH82" s="35"/>
      <c r="BN82" s="14">
        <f t="shared" si="20"/>
        <v>1.6693811074918568</v>
      </c>
    </row>
    <row r="83" spans="1:66" s="34" customFormat="1" ht="21" hidden="1" customHeight="1">
      <c r="A83" s="31"/>
      <c r="B83" s="32" t="s">
        <v>147</v>
      </c>
      <c r="C83" s="32">
        <v>15</v>
      </c>
      <c r="D83" s="33">
        <v>24505</v>
      </c>
      <c r="E83" s="32">
        <v>24359</v>
      </c>
      <c r="F83" s="32">
        <v>24461</v>
      </c>
      <c r="G83" s="32">
        <v>5991100</v>
      </c>
      <c r="H83" s="32">
        <v>29290</v>
      </c>
      <c r="I83" s="32">
        <v>29350</v>
      </c>
      <c r="J83" s="32">
        <v>29352</v>
      </c>
      <c r="K83" s="32">
        <v>180000</v>
      </c>
      <c r="L83" s="32">
        <f t="shared" si="16"/>
        <v>146548297100</v>
      </c>
      <c r="M83" s="32">
        <f t="shared" si="17"/>
        <v>5283360000</v>
      </c>
      <c r="N83" s="34">
        <v>24602</v>
      </c>
      <c r="O83" s="34">
        <v>29643</v>
      </c>
      <c r="P83" s="32">
        <v>24750</v>
      </c>
      <c r="Q83" s="32">
        <v>29583</v>
      </c>
      <c r="R83" s="32"/>
      <c r="S83" s="32"/>
      <c r="T83" s="32"/>
      <c r="U83" s="32"/>
      <c r="V83" s="34">
        <v>25060</v>
      </c>
      <c r="X83" s="35">
        <v>25110</v>
      </c>
      <c r="Y83" s="34">
        <v>29779</v>
      </c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3"/>
      <c r="AT83" s="33"/>
      <c r="AU83" s="33"/>
      <c r="AV83" s="33"/>
      <c r="AW83" s="33"/>
      <c r="AX83" s="33"/>
      <c r="AY83" s="32"/>
      <c r="AZ83" s="32"/>
      <c r="BA83" s="32"/>
      <c r="BB83" s="32"/>
      <c r="BC83" s="32"/>
      <c r="BE83" s="35"/>
      <c r="BF83" s="35"/>
      <c r="BG83" s="35"/>
      <c r="BH83" s="35"/>
      <c r="BN83" s="14">
        <f t="shared" si="20"/>
        <v>2.6532030579289483</v>
      </c>
    </row>
    <row r="84" spans="1:66" s="34" customFormat="1" ht="21" hidden="1" customHeight="1">
      <c r="A84" s="31"/>
      <c r="B84" s="32" t="s">
        <v>148</v>
      </c>
      <c r="C84" s="32">
        <v>16</v>
      </c>
      <c r="D84" s="33">
        <v>24432</v>
      </c>
      <c r="E84" s="32">
        <v>24109</v>
      </c>
      <c r="F84" s="32">
        <v>24242</v>
      </c>
      <c r="G84" s="32">
        <v>5324200</v>
      </c>
      <c r="H84" s="32">
        <v>29350</v>
      </c>
      <c r="I84" s="32">
        <v>29200</v>
      </c>
      <c r="J84" s="32">
        <v>29350</v>
      </c>
      <c r="K84" s="32">
        <v>115200</v>
      </c>
      <c r="L84" s="32">
        <f t="shared" si="16"/>
        <v>129069256400</v>
      </c>
      <c r="M84" s="32">
        <f t="shared" si="17"/>
        <v>3381120000</v>
      </c>
      <c r="N84" s="34">
        <v>24350</v>
      </c>
      <c r="O84" s="34">
        <v>29492</v>
      </c>
      <c r="P84" s="32">
        <v>24676</v>
      </c>
      <c r="Q84" s="32">
        <v>29643</v>
      </c>
      <c r="R84" s="32"/>
      <c r="S84" s="32"/>
      <c r="T84" s="32"/>
      <c r="U84" s="32"/>
      <c r="V84" s="34">
        <v>25030</v>
      </c>
      <c r="X84" s="35">
        <v>24900</v>
      </c>
      <c r="Y84" s="34">
        <v>29477</v>
      </c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3"/>
      <c r="AT84" s="33"/>
      <c r="AU84" s="33"/>
      <c r="AV84" s="33"/>
      <c r="AW84" s="33"/>
      <c r="AX84" s="33"/>
      <c r="AY84" s="32"/>
      <c r="AZ84" s="32"/>
      <c r="BA84" s="32"/>
      <c r="BB84" s="32"/>
      <c r="BC84" s="32"/>
      <c r="BE84" s="35"/>
      <c r="BF84" s="35"/>
      <c r="BG84" s="35"/>
      <c r="BH84" s="35"/>
      <c r="BN84" s="14">
        <f t="shared" si="20"/>
        <v>2.7142975002062535</v>
      </c>
    </row>
    <row r="85" spans="1:66" s="28" customFormat="1" ht="21" hidden="1" customHeight="1">
      <c r="A85" s="27"/>
      <c r="B85" s="9" t="s">
        <v>149</v>
      </c>
      <c r="C85" s="9">
        <v>19</v>
      </c>
      <c r="D85" s="26">
        <v>24279</v>
      </c>
      <c r="E85" s="9">
        <v>24268</v>
      </c>
      <c r="F85" s="9">
        <v>24240</v>
      </c>
      <c r="G85" s="9">
        <v>6332900</v>
      </c>
      <c r="H85" s="9">
        <v>29200</v>
      </c>
      <c r="I85" s="9">
        <v>29160</v>
      </c>
      <c r="J85" s="9">
        <v>29103</v>
      </c>
      <c r="K85" s="9">
        <v>205800</v>
      </c>
      <c r="L85" s="9">
        <f t="shared" si="16"/>
        <v>153509496000</v>
      </c>
      <c r="M85" s="9">
        <f t="shared" si="17"/>
        <v>5989397400</v>
      </c>
      <c r="N85" s="28">
        <v>24510</v>
      </c>
      <c r="O85" s="28">
        <v>29452</v>
      </c>
      <c r="P85" s="9">
        <v>24521</v>
      </c>
      <c r="Q85" s="9">
        <v>29492</v>
      </c>
      <c r="R85" s="9"/>
      <c r="S85" s="9"/>
      <c r="T85" s="9"/>
      <c r="U85" s="9"/>
      <c r="V85" s="28">
        <v>24920</v>
      </c>
      <c r="X85" s="29">
        <v>24880</v>
      </c>
      <c r="Y85" s="28">
        <v>29581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26"/>
      <c r="AT85" s="26"/>
      <c r="AU85" s="26"/>
      <c r="AV85" s="26"/>
      <c r="AW85" s="26"/>
      <c r="AX85" s="26"/>
      <c r="AY85" s="9"/>
      <c r="AZ85" s="9"/>
      <c r="BA85" s="9"/>
      <c r="BB85" s="9"/>
      <c r="BC85" s="9"/>
      <c r="BE85" s="29"/>
      <c r="BF85" s="29"/>
      <c r="BG85" s="29"/>
      <c r="BH85" s="29"/>
      <c r="BN85" s="14">
        <f t="shared" si="20"/>
        <v>2.6402640264026402</v>
      </c>
    </row>
    <row r="86" spans="1:66" s="23" customFormat="1" ht="21" hidden="1" customHeight="1">
      <c r="A86" s="20"/>
      <c r="B86" s="21" t="s">
        <v>150</v>
      </c>
      <c r="C86" s="21">
        <v>20</v>
      </c>
      <c r="D86" s="30">
        <v>24242</v>
      </c>
      <c r="E86" s="21">
        <v>24405</v>
      </c>
      <c r="F86" s="21">
        <v>24302</v>
      </c>
      <c r="G86" s="21">
        <v>5403600</v>
      </c>
      <c r="H86" s="21">
        <v>29190</v>
      </c>
      <c r="I86" s="21">
        <v>29172</v>
      </c>
      <c r="J86" s="21">
        <v>29087</v>
      </c>
      <c r="K86" s="21">
        <v>190100</v>
      </c>
      <c r="L86" s="21">
        <f t="shared" si="16"/>
        <v>131318287200</v>
      </c>
      <c r="M86" s="21">
        <f t="shared" si="17"/>
        <v>5529438700</v>
      </c>
      <c r="N86" s="23">
        <v>24649</v>
      </c>
      <c r="O86" s="23">
        <v>29464</v>
      </c>
      <c r="P86" s="21">
        <v>24484</v>
      </c>
      <c r="Q86" s="21">
        <v>29482</v>
      </c>
      <c r="R86" s="21"/>
      <c r="S86" s="21"/>
      <c r="T86" s="21"/>
      <c r="U86" s="21"/>
      <c r="V86" s="23">
        <v>24900</v>
      </c>
      <c r="X86" s="22">
        <v>24880</v>
      </c>
      <c r="Y86" s="23">
        <v>29569</v>
      </c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30"/>
      <c r="AT86" s="30"/>
      <c r="AU86" s="30"/>
      <c r="AV86" s="30"/>
      <c r="AW86" s="30"/>
      <c r="AX86" s="30"/>
      <c r="AY86" s="21"/>
      <c r="AZ86" s="21"/>
      <c r="BA86" s="21"/>
      <c r="BB86" s="21"/>
      <c r="BC86" s="21"/>
      <c r="BE86" s="22"/>
      <c r="BF86" s="22"/>
      <c r="BG86" s="22"/>
      <c r="BH86" s="22"/>
      <c r="BN86" s="14">
        <f t="shared" si="20"/>
        <v>2.3784050695416017</v>
      </c>
    </row>
    <row r="87" spans="1:66" s="28" customFormat="1" ht="21" hidden="1" customHeight="1">
      <c r="A87" s="27"/>
      <c r="B87" s="9" t="s">
        <v>151</v>
      </c>
      <c r="C87" s="9">
        <v>21</v>
      </c>
      <c r="D87" s="26">
        <v>24358</v>
      </c>
      <c r="E87" s="9">
        <v>24467</v>
      </c>
      <c r="F87" s="9">
        <v>24411</v>
      </c>
      <c r="G87" s="9">
        <v>5277000</v>
      </c>
      <c r="H87" s="9">
        <v>29172</v>
      </c>
      <c r="I87" s="9">
        <v>29164</v>
      </c>
      <c r="J87" s="9">
        <v>29187</v>
      </c>
      <c r="K87" s="9">
        <v>100100</v>
      </c>
      <c r="L87" s="9">
        <f t="shared" si="16"/>
        <v>128816847000</v>
      </c>
      <c r="M87" s="9">
        <f t="shared" si="17"/>
        <v>2921618700</v>
      </c>
      <c r="N87" s="28">
        <v>24712</v>
      </c>
      <c r="O87" s="28">
        <v>29456</v>
      </c>
      <c r="P87" s="9">
        <v>24602</v>
      </c>
      <c r="Q87" s="9">
        <v>29464</v>
      </c>
      <c r="R87" s="9"/>
      <c r="S87" s="9"/>
      <c r="T87" s="9"/>
      <c r="U87" s="9"/>
      <c r="V87" s="29">
        <v>24890</v>
      </c>
      <c r="X87" s="28">
        <v>24920</v>
      </c>
      <c r="Y87" s="28">
        <v>29531</v>
      </c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26"/>
      <c r="AT87" s="26"/>
      <c r="AU87" s="26"/>
      <c r="AV87" s="26"/>
      <c r="AW87" s="26"/>
      <c r="AX87" s="26"/>
      <c r="AY87" s="9"/>
      <c r="AZ87" s="9"/>
      <c r="BA87" s="9"/>
      <c r="BB87" s="9"/>
      <c r="BC87" s="9"/>
      <c r="BE87" s="29"/>
      <c r="BF87" s="29"/>
      <c r="BG87" s="29"/>
      <c r="BH87" s="29"/>
      <c r="BN87" s="14">
        <f t="shared" si="20"/>
        <v>2.0851255581500143</v>
      </c>
    </row>
    <row r="88" spans="1:66" s="28" customFormat="1" ht="21" hidden="1" customHeight="1">
      <c r="A88" s="27"/>
      <c r="B88" s="9" t="s">
        <v>152</v>
      </c>
      <c r="C88" s="9">
        <v>22</v>
      </c>
      <c r="D88" s="26">
        <v>24467</v>
      </c>
      <c r="E88" s="9">
        <v>24318</v>
      </c>
      <c r="F88" s="9">
        <v>24369</v>
      </c>
      <c r="G88" s="9">
        <v>2548900</v>
      </c>
      <c r="H88" s="9">
        <v>29164</v>
      </c>
      <c r="I88" s="9">
        <v>29082</v>
      </c>
      <c r="J88" s="9">
        <v>29097</v>
      </c>
      <c r="K88" s="9">
        <v>105700</v>
      </c>
      <c r="L88" s="9">
        <f t="shared" si="16"/>
        <v>62114144100</v>
      </c>
      <c r="M88" s="9">
        <f t="shared" si="17"/>
        <v>3075552900</v>
      </c>
      <c r="N88" s="28">
        <v>24561</v>
      </c>
      <c r="O88" s="28">
        <v>29373</v>
      </c>
      <c r="P88" s="9">
        <v>24712</v>
      </c>
      <c r="Q88" s="9">
        <v>29456</v>
      </c>
      <c r="R88" s="9"/>
      <c r="S88" s="9"/>
      <c r="T88" s="9"/>
      <c r="U88" s="9"/>
      <c r="V88" s="29">
        <v>24850</v>
      </c>
      <c r="X88" s="28">
        <v>24750</v>
      </c>
      <c r="Y88" s="28">
        <v>29450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26"/>
      <c r="AT88" s="26"/>
      <c r="AU88" s="26"/>
      <c r="AV88" s="26"/>
      <c r="AW88" s="26"/>
      <c r="AX88" s="26"/>
      <c r="AY88" s="9"/>
      <c r="AZ88" s="9"/>
      <c r="BA88" s="9"/>
      <c r="BB88" s="9"/>
      <c r="BC88" s="9"/>
      <c r="BE88" s="29"/>
      <c r="BF88" s="29"/>
      <c r="BG88" s="29"/>
      <c r="BH88" s="29"/>
      <c r="BN88" s="14">
        <f t="shared" si="20"/>
        <v>1.5634617752062046</v>
      </c>
    </row>
    <row r="89" spans="1:66" s="28" customFormat="1" ht="21" hidden="1" customHeight="1">
      <c r="A89" s="27"/>
      <c r="B89" s="9" t="s">
        <v>153</v>
      </c>
      <c r="C89" s="9">
        <v>23</v>
      </c>
      <c r="D89" s="26">
        <v>24318</v>
      </c>
      <c r="E89" s="9">
        <v>24015</v>
      </c>
      <c r="F89" s="9">
        <v>24005</v>
      </c>
      <c r="G89" s="9">
        <v>3386600</v>
      </c>
      <c r="H89" s="9">
        <v>29082</v>
      </c>
      <c r="I89" s="9">
        <v>28650</v>
      </c>
      <c r="J89" s="9">
        <v>28701</v>
      </c>
      <c r="K89" s="9">
        <v>78000</v>
      </c>
      <c r="L89" s="9">
        <f t="shared" si="16"/>
        <v>81295333000</v>
      </c>
      <c r="M89" s="9">
        <f t="shared" si="17"/>
        <v>2238678000</v>
      </c>
      <c r="N89" s="28">
        <v>24255</v>
      </c>
      <c r="O89" s="28">
        <v>28936</v>
      </c>
      <c r="P89" s="9">
        <v>24561</v>
      </c>
      <c r="Q89" s="9">
        <v>29373</v>
      </c>
      <c r="R89" s="9"/>
      <c r="S89" s="9"/>
      <c r="T89" s="9"/>
      <c r="U89" s="9"/>
      <c r="V89" s="28">
        <v>24450</v>
      </c>
      <c r="X89" s="28">
        <v>24520</v>
      </c>
      <c r="Y89" s="28">
        <v>28819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26"/>
      <c r="AT89" s="26"/>
      <c r="AU89" s="26"/>
      <c r="AV89" s="26"/>
      <c r="AW89" s="26"/>
      <c r="AX89" s="26"/>
      <c r="AY89" s="9"/>
      <c r="AZ89" s="9"/>
      <c r="BA89" s="9"/>
      <c r="BB89" s="9"/>
      <c r="BC89" s="9"/>
      <c r="BE89" s="29"/>
      <c r="BF89" s="29"/>
      <c r="BG89" s="29"/>
      <c r="BH89" s="29"/>
      <c r="BN89" s="14">
        <f t="shared" si="20"/>
        <v>2.1453863778379505</v>
      </c>
    </row>
    <row r="90" spans="1:66" s="14" customFormat="1" ht="21" hidden="1" customHeight="1">
      <c r="A90" s="11"/>
      <c r="B90" s="12" t="s">
        <v>154</v>
      </c>
      <c r="C90" s="12">
        <v>26</v>
      </c>
      <c r="D90" s="41">
        <v>24100</v>
      </c>
      <c r="E90" s="12">
        <v>24091</v>
      </c>
      <c r="F90" s="12">
        <v>24138</v>
      </c>
      <c r="G90" s="12">
        <v>6225800</v>
      </c>
      <c r="H90" s="12">
        <v>28650</v>
      </c>
      <c r="I90" s="12">
        <v>28521</v>
      </c>
      <c r="J90" s="12">
        <v>28539</v>
      </c>
      <c r="K90" s="12">
        <v>326500</v>
      </c>
      <c r="L90" s="12">
        <f t="shared" si="16"/>
        <v>150278360400</v>
      </c>
      <c r="M90" s="12">
        <f t="shared" si="17"/>
        <v>9317983500</v>
      </c>
      <c r="N90" s="14">
        <v>24332</v>
      </c>
      <c r="O90" s="14">
        <v>28806</v>
      </c>
      <c r="P90" s="12">
        <v>24341</v>
      </c>
      <c r="Q90" s="12">
        <v>28936</v>
      </c>
      <c r="R90" s="12"/>
      <c r="S90" s="12"/>
      <c r="T90" s="12"/>
      <c r="U90" s="12"/>
      <c r="V90" s="14">
        <v>24770</v>
      </c>
      <c r="X90" s="14">
        <v>24670</v>
      </c>
      <c r="Y90" s="14">
        <v>29196</v>
      </c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41"/>
      <c r="AT90" s="41"/>
      <c r="AU90" s="41"/>
      <c r="AV90" s="41"/>
      <c r="AW90" s="41"/>
      <c r="AX90" s="41"/>
      <c r="AY90" s="12"/>
      <c r="AZ90" s="12"/>
      <c r="BA90" s="12"/>
      <c r="BB90" s="12"/>
      <c r="BC90" s="12"/>
      <c r="BE90" s="13"/>
      <c r="BF90" s="13"/>
      <c r="BG90" s="13"/>
      <c r="BH90" s="13"/>
      <c r="BN90" s="14">
        <f t="shared" si="20"/>
        <v>2.2039937028751346</v>
      </c>
    </row>
    <row r="91" spans="1:66" s="14" customFormat="1" ht="21" hidden="1" customHeight="1">
      <c r="A91" s="11"/>
      <c r="B91" s="12" t="s">
        <v>155</v>
      </c>
      <c r="C91" s="12">
        <v>27</v>
      </c>
      <c r="D91" s="41">
        <v>24008</v>
      </c>
      <c r="E91" s="12">
        <v>23899</v>
      </c>
      <c r="F91" s="12">
        <v>23959</v>
      </c>
      <c r="G91" s="12">
        <v>5786000</v>
      </c>
      <c r="H91" s="12">
        <v>28521</v>
      </c>
      <c r="I91" s="12">
        <v>28590</v>
      </c>
      <c r="J91" s="12">
        <v>28582</v>
      </c>
      <c r="K91" s="12">
        <v>151900</v>
      </c>
      <c r="L91" s="12">
        <f t="shared" si="16"/>
        <v>138626774000</v>
      </c>
      <c r="M91" s="12">
        <f t="shared" si="17"/>
        <v>4341605800</v>
      </c>
      <c r="N91" s="14">
        <v>24138</v>
      </c>
      <c r="O91" s="14">
        <v>28876</v>
      </c>
      <c r="P91" s="12">
        <v>24248</v>
      </c>
      <c r="Q91" s="12">
        <v>28807</v>
      </c>
      <c r="R91" s="12"/>
      <c r="S91" s="12"/>
      <c r="T91" s="12"/>
      <c r="U91" s="12"/>
      <c r="V91" s="14">
        <v>24720</v>
      </c>
      <c r="X91" s="14">
        <v>24650</v>
      </c>
      <c r="Y91" s="14">
        <v>29196</v>
      </c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41"/>
      <c r="AT91" s="41"/>
      <c r="AU91" s="41"/>
      <c r="AV91" s="41"/>
      <c r="AW91" s="41"/>
      <c r="AX91" s="41"/>
      <c r="AY91" s="12"/>
      <c r="AZ91" s="12"/>
      <c r="BA91" s="12"/>
      <c r="BB91" s="12"/>
      <c r="BC91" s="12"/>
      <c r="BE91" s="13"/>
      <c r="BF91" s="13"/>
      <c r="BG91" s="13"/>
      <c r="BH91" s="13"/>
      <c r="BN91" s="14">
        <f t="shared" si="20"/>
        <v>2.8840936600025042</v>
      </c>
    </row>
    <row r="92" spans="1:66" s="14" customFormat="1" ht="21" hidden="1" customHeight="1">
      <c r="A92" s="11"/>
      <c r="B92" s="12" t="s">
        <v>156</v>
      </c>
      <c r="C92" s="12">
        <v>28</v>
      </c>
      <c r="D92" s="41">
        <v>23056</v>
      </c>
      <c r="E92" s="12">
        <v>23911</v>
      </c>
      <c r="F92" s="12">
        <v>23840</v>
      </c>
      <c r="G92" s="12">
        <v>4854700</v>
      </c>
      <c r="H92" s="12">
        <v>28590</v>
      </c>
      <c r="I92" s="12">
        <v>28499</v>
      </c>
      <c r="J92" s="12">
        <v>28483</v>
      </c>
      <c r="K92" s="12">
        <v>179500</v>
      </c>
      <c r="L92" s="12">
        <f t="shared" si="16"/>
        <v>115736048000</v>
      </c>
      <c r="M92" s="12">
        <f t="shared" si="17"/>
        <v>5112698500</v>
      </c>
      <c r="N92" s="14">
        <v>24150</v>
      </c>
      <c r="O92" s="14">
        <v>28784</v>
      </c>
      <c r="P92" s="12">
        <v>23287</v>
      </c>
      <c r="Q92" s="12">
        <v>28876</v>
      </c>
      <c r="R92" s="12"/>
      <c r="S92" s="12"/>
      <c r="T92" s="12"/>
      <c r="U92" s="12"/>
      <c r="V92" s="14">
        <v>24500</v>
      </c>
      <c r="X92" s="14">
        <v>24400</v>
      </c>
      <c r="Y92" s="14">
        <v>28785</v>
      </c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41"/>
      <c r="AT92" s="41"/>
      <c r="AU92" s="41"/>
      <c r="AV92" s="41"/>
      <c r="AW92" s="41"/>
      <c r="AX92" s="41"/>
      <c r="AY92" s="12"/>
      <c r="AZ92" s="12"/>
      <c r="BA92" s="12"/>
      <c r="BB92" s="12"/>
      <c r="BC92" s="12"/>
      <c r="BE92" s="13"/>
      <c r="BF92" s="13"/>
      <c r="BG92" s="13"/>
      <c r="BH92" s="13"/>
      <c r="BN92" s="14">
        <f t="shared" si="20"/>
        <v>2.348993288590604</v>
      </c>
    </row>
    <row r="93" spans="1:66" s="28" customFormat="1" ht="21" hidden="1" customHeight="1">
      <c r="A93" s="27"/>
      <c r="B93" s="9" t="s">
        <v>157</v>
      </c>
      <c r="C93" s="9">
        <v>4</v>
      </c>
      <c r="D93" s="26">
        <v>23911</v>
      </c>
      <c r="E93" s="9">
        <v>24357</v>
      </c>
      <c r="F93" s="9">
        <v>24311</v>
      </c>
      <c r="G93" s="9">
        <v>7792000</v>
      </c>
      <c r="H93" s="9">
        <v>28499</v>
      </c>
      <c r="I93" s="9">
        <v>28515</v>
      </c>
      <c r="J93" s="9">
        <v>28468</v>
      </c>
      <c r="K93" s="9">
        <v>769000</v>
      </c>
      <c r="L93" s="12">
        <f t="shared" si="16"/>
        <v>189431312000</v>
      </c>
      <c r="M93" s="12">
        <f t="shared" si="17"/>
        <v>21891892000</v>
      </c>
      <c r="N93" s="28">
        <v>24601</v>
      </c>
      <c r="O93" s="28">
        <v>28800</v>
      </c>
      <c r="P93" s="9">
        <v>24150</v>
      </c>
      <c r="Q93" s="9">
        <v>28784</v>
      </c>
      <c r="R93" s="9"/>
      <c r="S93" s="9"/>
      <c r="T93" s="9"/>
      <c r="U93" s="9"/>
      <c r="V93" s="28">
        <v>24830</v>
      </c>
      <c r="X93" s="28">
        <v>24980</v>
      </c>
      <c r="Y93" s="28">
        <v>29241</v>
      </c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26"/>
      <c r="AT93" s="26"/>
      <c r="AU93" s="26"/>
      <c r="AV93" s="26"/>
      <c r="AW93" s="26"/>
      <c r="AX93" s="26"/>
      <c r="AY93" s="9"/>
      <c r="AZ93" s="9"/>
      <c r="BA93" s="9"/>
      <c r="BB93" s="9"/>
      <c r="BC93" s="9"/>
      <c r="BE93" s="29"/>
      <c r="BF93" s="29"/>
      <c r="BG93" s="29"/>
      <c r="BH93" s="29"/>
      <c r="BN93" s="14">
        <f t="shared" si="20"/>
        <v>2.7518407305335035</v>
      </c>
    </row>
    <row r="94" spans="1:66" s="28" customFormat="1" ht="21" hidden="1" customHeight="1">
      <c r="A94" s="27"/>
      <c r="B94" s="9" t="s">
        <v>158</v>
      </c>
      <c r="C94" s="9">
        <v>5</v>
      </c>
      <c r="D94" s="26">
        <v>24392</v>
      </c>
      <c r="E94" s="9">
        <v>24049</v>
      </c>
      <c r="F94" s="9">
        <v>24247</v>
      </c>
      <c r="G94" s="9">
        <v>9069200</v>
      </c>
      <c r="H94" s="9">
        <v>28503</v>
      </c>
      <c r="I94" s="9">
        <v>28320</v>
      </c>
      <c r="J94" s="9">
        <v>28446</v>
      </c>
      <c r="K94" s="9">
        <v>501300</v>
      </c>
      <c r="L94" s="12">
        <f t="shared" si="16"/>
        <v>219900892400</v>
      </c>
      <c r="M94" s="12">
        <f t="shared" si="17"/>
        <v>14259979800</v>
      </c>
      <c r="N94" s="28">
        <v>24289</v>
      </c>
      <c r="O94" s="28">
        <v>28603</v>
      </c>
      <c r="P94" s="9">
        <v>24635</v>
      </c>
      <c r="Q94" s="9">
        <v>28788</v>
      </c>
      <c r="R94" s="9"/>
      <c r="S94" s="9"/>
      <c r="T94" s="9"/>
      <c r="U94" s="9"/>
      <c r="V94" s="28">
        <v>25110</v>
      </c>
      <c r="X94" s="28">
        <v>25120</v>
      </c>
      <c r="Y94" s="28">
        <v>29570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26"/>
      <c r="AT94" s="26"/>
      <c r="AU94" s="26"/>
      <c r="AV94" s="26"/>
      <c r="AW94" s="26"/>
      <c r="AX94" s="26"/>
      <c r="AY94" s="9"/>
      <c r="AZ94" s="9"/>
      <c r="BA94" s="9"/>
      <c r="BB94" s="9"/>
      <c r="BC94" s="9"/>
      <c r="BE94" s="29"/>
      <c r="BF94" s="29"/>
      <c r="BG94" s="29"/>
      <c r="BH94" s="29"/>
      <c r="BN94" s="14">
        <f t="shared" si="20"/>
        <v>3.6004454159277435</v>
      </c>
    </row>
    <row r="95" spans="1:66" s="28" customFormat="1" ht="21" hidden="1" customHeight="1">
      <c r="A95" s="27"/>
      <c r="B95" s="9" t="s">
        <v>159</v>
      </c>
      <c r="C95" s="9">
        <v>6</v>
      </c>
      <c r="D95" s="26">
        <v>24195</v>
      </c>
      <c r="E95" s="9">
        <v>24564</v>
      </c>
      <c r="F95" s="9">
        <v>24237</v>
      </c>
      <c r="G95" s="9">
        <v>7907600</v>
      </c>
      <c r="H95" s="9">
        <v>28500</v>
      </c>
      <c r="I95" s="9">
        <v>28515</v>
      </c>
      <c r="J95" s="9">
        <v>28467</v>
      </c>
      <c r="K95" s="9">
        <v>1007000</v>
      </c>
      <c r="L95" s="12">
        <f t="shared" si="16"/>
        <v>191656501200</v>
      </c>
      <c r="M95" s="12">
        <f t="shared" si="17"/>
        <v>28666269000</v>
      </c>
      <c r="N95" s="28">
        <v>24809</v>
      </c>
      <c r="O95" s="28">
        <v>28800</v>
      </c>
      <c r="P95" s="9">
        <v>24437</v>
      </c>
      <c r="Q95" s="9">
        <v>28785</v>
      </c>
      <c r="R95" s="9"/>
      <c r="S95" s="9"/>
      <c r="T95" s="9"/>
      <c r="U95" s="9"/>
      <c r="V95" s="28">
        <v>25240</v>
      </c>
      <c r="X95" s="28">
        <v>25290</v>
      </c>
      <c r="Y95" s="28">
        <v>29810</v>
      </c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26"/>
      <c r="AT95" s="26"/>
      <c r="AU95" s="26"/>
      <c r="AV95" s="26"/>
      <c r="AW95" s="26"/>
      <c r="AX95" s="26"/>
      <c r="AY95" s="9"/>
      <c r="AZ95" s="9"/>
      <c r="BA95" s="9"/>
      <c r="BB95" s="9"/>
      <c r="BC95" s="9"/>
      <c r="BE95" s="29"/>
      <c r="BF95" s="29"/>
      <c r="BG95" s="29"/>
      <c r="BH95" s="29"/>
      <c r="BN95" s="14">
        <f t="shared" si="20"/>
        <v>4.3445971036019309</v>
      </c>
    </row>
    <row r="96" spans="1:66" s="14" customFormat="1" ht="21" hidden="1" customHeight="1">
      <c r="A96" s="11"/>
      <c r="B96" s="12" t="s">
        <v>160</v>
      </c>
      <c r="C96" s="12">
        <v>9</v>
      </c>
      <c r="D96" s="41">
        <v>24773</v>
      </c>
      <c r="E96" s="12">
        <v>25110</v>
      </c>
      <c r="F96" s="12">
        <v>25128</v>
      </c>
      <c r="G96" s="12">
        <v>6988700</v>
      </c>
      <c r="H96" s="12">
        <v>28584</v>
      </c>
      <c r="I96" s="12">
        <v>29455</v>
      </c>
      <c r="J96" s="12">
        <v>29324</v>
      </c>
      <c r="K96" s="12">
        <v>1353300</v>
      </c>
      <c r="L96" s="12">
        <f t="shared" si="16"/>
        <v>175612053600</v>
      </c>
      <c r="M96" s="12">
        <f t="shared" si="17"/>
        <v>39684169200</v>
      </c>
      <c r="N96" s="14">
        <v>25361</v>
      </c>
      <c r="O96" s="14">
        <v>29750</v>
      </c>
      <c r="P96" s="12">
        <v>25020</v>
      </c>
      <c r="Q96" s="12">
        <v>28870</v>
      </c>
      <c r="R96" s="12"/>
      <c r="S96" s="12"/>
      <c r="T96" s="12"/>
      <c r="U96" s="12"/>
      <c r="V96" s="14">
        <v>25720</v>
      </c>
      <c r="X96" s="14">
        <v>25980</v>
      </c>
      <c r="Y96" s="14">
        <v>30521</v>
      </c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41"/>
      <c r="AT96" s="41"/>
      <c r="AU96" s="41"/>
      <c r="AV96" s="41"/>
      <c r="AW96" s="41"/>
      <c r="AX96" s="41"/>
      <c r="AY96" s="12"/>
      <c r="AZ96" s="12"/>
      <c r="BA96" s="12"/>
      <c r="BB96" s="12"/>
      <c r="BC96" s="12"/>
      <c r="BE96" s="13"/>
      <c r="BF96" s="13"/>
      <c r="BG96" s="13"/>
      <c r="BH96" s="13"/>
      <c r="BN96" s="14">
        <f t="shared" si="20"/>
        <v>3.390639923591213</v>
      </c>
    </row>
    <row r="97" spans="1:66" s="14" customFormat="1" ht="21" hidden="1" customHeight="1">
      <c r="A97" s="11"/>
      <c r="B97" s="12" t="s">
        <v>161</v>
      </c>
      <c r="C97" s="12">
        <v>10</v>
      </c>
      <c r="D97" s="41">
        <v>25002</v>
      </c>
      <c r="E97" s="12">
        <v>24850</v>
      </c>
      <c r="F97" s="12">
        <v>25051</v>
      </c>
      <c r="G97" s="12">
        <v>6167100</v>
      </c>
      <c r="H97" s="12">
        <v>29455</v>
      </c>
      <c r="I97" s="12">
        <v>29286</v>
      </c>
      <c r="J97" s="12">
        <v>29441</v>
      </c>
      <c r="K97" s="12">
        <v>861800</v>
      </c>
      <c r="L97" s="12">
        <f t="shared" si="16"/>
        <v>154492022100</v>
      </c>
      <c r="M97" s="12">
        <f t="shared" si="17"/>
        <v>25372253800</v>
      </c>
      <c r="N97" s="14">
        <v>25098</v>
      </c>
      <c r="O97" s="14">
        <v>29579</v>
      </c>
      <c r="P97" s="12">
        <v>25252</v>
      </c>
      <c r="Q97" s="12">
        <v>29750</v>
      </c>
      <c r="R97" s="12"/>
      <c r="S97" s="12"/>
      <c r="T97" s="12"/>
      <c r="U97" s="12"/>
      <c r="V97" s="14">
        <v>25780</v>
      </c>
      <c r="X97" s="14">
        <v>25620</v>
      </c>
      <c r="Y97" s="14">
        <v>30616</v>
      </c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41"/>
      <c r="AT97" s="41"/>
      <c r="AU97" s="41"/>
      <c r="AV97" s="41"/>
      <c r="AW97" s="41"/>
      <c r="AX97" s="41"/>
      <c r="AY97" s="12"/>
      <c r="AZ97" s="12"/>
      <c r="BA97" s="12"/>
      <c r="BB97" s="12"/>
      <c r="BC97" s="12"/>
      <c r="BE97" s="13"/>
      <c r="BF97" s="13"/>
      <c r="BG97" s="13"/>
      <c r="BH97" s="13"/>
      <c r="BN97" s="14">
        <f t="shared" si="20"/>
        <v>2.2713664125184625</v>
      </c>
    </row>
    <row r="98" spans="1:66" s="14" customFormat="1" ht="21" hidden="1" customHeight="1">
      <c r="A98" s="11"/>
      <c r="B98" s="12" t="s">
        <v>162</v>
      </c>
      <c r="C98" s="12">
        <v>11</v>
      </c>
      <c r="D98" s="41">
        <v>24850</v>
      </c>
      <c r="E98" s="12">
        <v>24950</v>
      </c>
      <c r="F98" s="12">
        <v>24959</v>
      </c>
      <c r="G98" s="12">
        <v>3698400</v>
      </c>
      <c r="H98" s="12">
        <v>29286</v>
      </c>
      <c r="I98" s="12">
        <v>29259</v>
      </c>
      <c r="J98" s="12">
        <v>29201</v>
      </c>
      <c r="K98" s="12">
        <v>1558800</v>
      </c>
      <c r="L98" s="12">
        <f t="shared" ref="L98:L129" si="21">F98*G98</f>
        <v>92308365600</v>
      </c>
      <c r="M98" s="12">
        <f t="shared" ref="M98:M129" si="22">J98*K98</f>
        <v>45518518800</v>
      </c>
      <c r="N98" s="14">
        <v>25200</v>
      </c>
      <c r="O98" s="14">
        <v>29552</v>
      </c>
      <c r="P98" s="12">
        <v>25098</v>
      </c>
      <c r="Q98" s="12">
        <v>29579</v>
      </c>
      <c r="R98" s="12"/>
      <c r="S98" s="12"/>
      <c r="T98" s="12"/>
      <c r="U98" s="12"/>
      <c r="V98" s="14">
        <v>25560</v>
      </c>
      <c r="X98" s="14">
        <v>25480</v>
      </c>
      <c r="Y98" s="14">
        <v>30347</v>
      </c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41"/>
      <c r="AT98" s="41"/>
      <c r="AU98" s="41"/>
      <c r="AV98" s="41"/>
      <c r="AW98" s="41"/>
      <c r="AX98" s="41"/>
      <c r="AY98" s="12"/>
      <c r="AZ98" s="12"/>
      <c r="BA98" s="12"/>
      <c r="BB98" s="12"/>
      <c r="BC98" s="12"/>
      <c r="BE98" s="13"/>
      <c r="BF98" s="13"/>
      <c r="BG98" s="13"/>
      <c r="BH98" s="13"/>
      <c r="BN98" s="14">
        <f t="shared" si="20"/>
        <v>2.0874233743339077</v>
      </c>
    </row>
    <row r="99" spans="1:66" s="14" customFormat="1" ht="21" hidden="1" customHeight="1">
      <c r="A99" s="11"/>
      <c r="B99" s="12" t="s">
        <v>163</v>
      </c>
      <c r="C99" s="12">
        <v>12</v>
      </c>
      <c r="D99" s="41">
        <v>24954</v>
      </c>
      <c r="E99" s="12">
        <v>25000</v>
      </c>
      <c r="F99" s="12">
        <v>24928</v>
      </c>
      <c r="G99" s="12">
        <v>6469700</v>
      </c>
      <c r="H99" s="12">
        <v>29259</v>
      </c>
      <c r="I99" s="12">
        <v>29649</v>
      </c>
      <c r="J99" s="12">
        <v>29249</v>
      </c>
      <c r="K99" s="12">
        <v>1301700</v>
      </c>
      <c r="L99" s="12">
        <f t="shared" si="21"/>
        <v>161276681600</v>
      </c>
      <c r="M99" s="12">
        <f t="shared" si="22"/>
        <v>38073423300</v>
      </c>
      <c r="N99" s="14">
        <v>25250</v>
      </c>
      <c r="O99" s="14">
        <v>29945</v>
      </c>
      <c r="P99" s="12">
        <v>25204</v>
      </c>
      <c r="Q99" s="12">
        <v>29552</v>
      </c>
      <c r="R99" s="12"/>
      <c r="S99" s="12"/>
      <c r="T99" s="12"/>
      <c r="U99" s="12"/>
      <c r="V99" s="14">
        <v>25500</v>
      </c>
      <c r="X99" s="14">
        <v>25630</v>
      </c>
      <c r="Y99" s="14">
        <v>30340</v>
      </c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41"/>
      <c r="AT99" s="41"/>
      <c r="AU99" s="41"/>
      <c r="AV99" s="41"/>
      <c r="AW99" s="41"/>
      <c r="AX99" s="41"/>
      <c r="AY99" s="12"/>
      <c r="AZ99" s="12"/>
      <c r="BA99" s="12"/>
      <c r="BB99" s="12"/>
      <c r="BC99" s="12"/>
      <c r="BE99" s="13"/>
      <c r="BF99" s="13"/>
      <c r="BG99" s="13"/>
      <c r="BH99" s="13"/>
      <c r="BN99" s="14">
        <f t="shared" si="20"/>
        <v>2.8161103979460846</v>
      </c>
    </row>
    <row r="100" spans="1:66" s="14" customFormat="1" ht="21" hidden="1" customHeight="1">
      <c r="A100" s="11"/>
      <c r="B100" s="12" t="s">
        <v>164</v>
      </c>
      <c r="C100" s="12">
        <v>13</v>
      </c>
      <c r="D100" s="41">
        <v>25001</v>
      </c>
      <c r="E100" s="12">
        <v>25020</v>
      </c>
      <c r="F100" s="12">
        <v>25023</v>
      </c>
      <c r="G100" s="12">
        <v>4324400</v>
      </c>
      <c r="H100" s="12">
        <v>29600</v>
      </c>
      <c r="I100" s="12">
        <v>29348</v>
      </c>
      <c r="J100" s="12">
        <v>29281</v>
      </c>
      <c r="K100" s="12">
        <v>1308200</v>
      </c>
      <c r="L100" s="12">
        <f t="shared" si="21"/>
        <v>108209461200</v>
      </c>
      <c r="M100" s="12">
        <f t="shared" si="22"/>
        <v>38305404200</v>
      </c>
      <c r="N100" s="14">
        <v>25270</v>
      </c>
      <c r="O100" s="14">
        <v>29642</v>
      </c>
      <c r="P100" s="12">
        <v>25251</v>
      </c>
      <c r="Q100" s="12">
        <v>29896</v>
      </c>
      <c r="R100" s="12"/>
      <c r="S100" s="12"/>
      <c r="T100" s="12"/>
      <c r="U100" s="12"/>
      <c r="V100" s="14">
        <v>25500</v>
      </c>
      <c r="X100" s="14">
        <v>25510</v>
      </c>
      <c r="Y100" s="14">
        <v>30230</v>
      </c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41"/>
      <c r="AT100" s="41"/>
      <c r="AU100" s="41"/>
      <c r="AV100" s="41"/>
      <c r="AW100" s="41"/>
      <c r="AX100" s="41"/>
      <c r="AY100" s="12"/>
      <c r="AZ100" s="12"/>
      <c r="BA100" s="12"/>
      <c r="BB100" s="12"/>
      <c r="BC100" s="12"/>
      <c r="BE100" s="13"/>
      <c r="BF100" s="13"/>
      <c r="BG100" s="13"/>
      <c r="BH100" s="13"/>
      <c r="BN100" s="14">
        <f t="shared" si="20"/>
        <v>1.9462094872717099</v>
      </c>
    </row>
    <row r="101" spans="1:66" s="28" customFormat="1" ht="21" hidden="1" customHeight="1">
      <c r="A101" s="27"/>
      <c r="B101" s="9" t="s">
        <v>165</v>
      </c>
      <c r="C101" s="9">
        <v>16</v>
      </c>
      <c r="D101" s="26">
        <v>25000</v>
      </c>
      <c r="E101" s="9">
        <v>24809</v>
      </c>
      <c r="F101" s="9">
        <v>24789</v>
      </c>
      <c r="G101" s="9">
        <v>6980200</v>
      </c>
      <c r="H101" s="9">
        <v>29348</v>
      </c>
      <c r="I101" s="9">
        <v>29335</v>
      </c>
      <c r="J101" s="9">
        <v>29182</v>
      </c>
      <c r="K101" s="9">
        <v>486500</v>
      </c>
      <c r="L101" s="12">
        <f t="shared" si="21"/>
        <v>173032177800</v>
      </c>
      <c r="M101" s="12">
        <f t="shared" si="22"/>
        <v>14197043000</v>
      </c>
      <c r="N101" s="28">
        <v>25057</v>
      </c>
      <c r="O101" s="28">
        <v>29628</v>
      </c>
      <c r="P101" s="9">
        <v>25250</v>
      </c>
      <c r="Q101" s="9">
        <v>29642</v>
      </c>
      <c r="R101" s="9"/>
      <c r="S101" s="9"/>
      <c r="T101" s="9"/>
      <c r="U101" s="9"/>
      <c r="V101" s="28">
        <v>25420</v>
      </c>
      <c r="X101" s="28">
        <v>25550</v>
      </c>
      <c r="Y101" s="28">
        <v>30039</v>
      </c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26"/>
      <c r="AT101" s="26"/>
      <c r="AU101" s="26"/>
      <c r="AV101" s="26"/>
      <c r="AW101" s="26"/>
      <c r="AX101" s="26"/>
      <c r="AY101" s="9"/>
      <c r="AZ101" s="9"/>
      <c r="BA101" s="9"/>
      <c r="BB101" s="9"/>
      <c r="BC101" s="9"/>
      <c r="BE101" s="29"/>
      <c r="BF101" s="29"/>
      <c r="BG101" s="29"/>
      <c r="BH101" s="29"/>
      <c r="BN101" s="14">
        <f t="shared" si="20"/>
        <v>3.0699100407438782</v>
      </c>
    </row>
    <row r="102" spans="1:66" s="28" customFormat="1" ht="21" hidden="1" customHeight="1">
      <c r="A102" s="27"/>
      <c r="B102" s="9" t="s">
        <v>166</v>
      </c>
      <c r="C102" s="9">
        <v>17</v>
      </c>
      <c r="D102" s="26">
        <v>24881</v>
      </c>
      <c r="E102" s="9">
        <v>25013</v>
      </c>
      <c r="F102" s="9">
        <v>24987</v>
      </c>
      <c r="G102" s="9">
        <v>6442800</v>
      </c>
      <c r="H102" s="9">
        <v>29200</v>
      </c>
      <c r="I102" s="9">
        <v>29500</v>
      </c>
      <c r="J102" s="9">
        <v>29234</v>
      </c>
      <c r="K102" s="9">
        <v>742800</v>
      </c>
      <c r="L102" s="12">
        <f t="shared" si="21"/>
        <v>160986243600</v>
      </c>
      <c r="M102" s="12">
        <f t="shared" si="22"/>
        <v>21715015200</v>
      </c>
      <c r="N102" s="28">
        <v>25263</v>
      </c>
      <c r="O102" s="28">
        <v>29795</v>
      </c>
      <c r="P102" s="9">
        <v>25130</v>
      </c>
      <c r="Q102" s="9">
        <v>29492</v>
      </c>
      <c r="R102" s="9"/>
      <c r="S102" s="9"/>
      <c r="T102" s="9"/>
      <c r="U102" s="9"/>
      <c r="V102" s="28">
        <v>25680</v>
      </c>
      <c r="X102" s="28">
        <v>25720</v>
      </c>
      <c r="Y102" s="28">
        <v>30215</v>
      </c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26"/>
      <c r="AT102" s="26"/>
      <c r="AU102" s="26"/>
      <c r="AV102" s="26"/>
      <c r="AW102" s="26"/>
      <c r="AX102" s="26"/>
      <c r="AY102" s="9"/>
      <c r="AZ102" s="9"/>
      <c r="BA102" s="9"/>
      <c r="BB102" s="9"/>
      <c r="BC102" s="9"/>
      <c r="BE102" s="29"/>
      <c r="BF102" s="29"/>
      <c r="BG102" s="29"/>
      <c r="BH102" s="29"/>
      <c r="BN102" s="14">
        <f t="shared" si="20"/>
        <v>2.9335254332252769</v>
      </c>
    </row>
    <row r="103" spans="1:66" s="28" customFormat="1" ht="21" hidden="1" customHeight="1">
      <c r="A103" s="27"/>
      <c r="B103" s="9" t="s">
        <v>167</v>
      </c>
      <c r="C103" s="9">
        <v>18</v>
      </c>
      <c r="D103" s="26">
        <v>25014</v>
      </c>
      <c r="E103" s="9">
        <v>25120</v>
      </c>
      <c r="F103" s="9">
        <v>25037</v>
      </c>
      <c r="G103" s="9">
        <v>7707900</v>
      </c>
      <c r="H103" s="9">
        <v>29500</v>
      </c>
      <c r="I103" s="9">
        <v>29522</v>
      </c>
      <c r="J103" s="9">
        <v>29461</v>
      </c>
      <c r="K103" s="9">
        <v>588500</v>
      </c>
      <c r="L103" s="12">
        <f t="shared" si="21"/>
        <v>192982692300</v>
      </c>
      <c r="M103" s="12">
        <f t="shared" si="22"/>
        <v>17337798500</v>
      </c>
      <c r="N103" s="28">
        <v>25371</v>
      </c>
      <c r="O103" s="28">
        <v>29817</v>
      </c>
      <c r="P103" s="9">
        <v>25264</v>
      </c>
      <c r="Q103" s="9">
        <v>29795</v>
      </c>
      <c r="R103" s="9"/>
      <c r="S103" s="9"/>
      <c r="T103" s="9"/>
      <c r="U103" s="9"/>
      <c r="V103" s="28">
        <v>25660</v>
      </c>
      <c r="X103" s="28">
        <v>25780</v>
      </c>
      <c r="Y103" s="28">
        <v>30239</v>
      </c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26"/>
      <c r="AT103" s="26"/>
      <c r="AU103" s="26"/>
      <c r="AV103" s="26"/>
      <c r="AW103" s="26"/>
      <c r="AX103" s="26"/>
      <c r="AY103" s="9"/>
      <c r="AZ103" s="9"/>
      <c r="BA103" s="9"/>
      <c r="BB103" s="9"/>
      <c r="BC103" s="9"/>
      <c r="BE103" s="29"/>
      <c r="BF103" s="29"/>
      <c r="BG103" s="29"/>
      <c r="BH103" s="29"/>
      <c r="BN103" s="14">
        <f t="shared" si="20"/>
        <v>2.9676079402484321</v>
      </c>
    </row>
    <row r="104" spans="1:66" s="28" customFormat="1" ht="21" hidden="1" customHeight="1">
      <c r="A104" s="27"/>
      <c r="B104" s="9" t="s">
        <v>168</v>
      </c>
      <c r="C104" s="9">
        <v>19</v>
      </c>
      <c r="D104" s="26">
        <v>25210</v>
      </c>
      <c r="E104" s="9">
        <v>25280</v>
      </c>
      <c r="F104" s="9">
        <v>25300</v>
      </c>
      <c r="G104" s="9">
        <v>8778800</v>
      </c>
      <c r="H104" s="9">
        <v>29522</v>
      </c>
      <c r="I104" s="9">
        <v>29898</v>
      </c>
      <c r="J104" s="9">
        <v>29725</v>
      </c>
      <c r="K104" s="9">
        <v>498500</v>
      </c>
      <c r="L104" s="12">
        <f t="shared" si="21"/>
        <v>222103640000</v>
      </c>
      <c r="M104" s="12">
        <f t="shared" si="22"/>
        <v>14817912500</v>
      </c>
      <c r="N104" s="28">
        <v>25533</v>
      </c>
      <c r="O104" s="28">
        <v>30197</v>
      </c>
      <c r="P104" s="9">
        <v>25462</v>
      </c>
      <c r="Q104" s="9">
        <v>29817</v>
      </c>
      <c r="R104" s="9"/>
      <c r="S104" s="9"/>
      <c r="T104" s="9"/>
      <c r="U104" s="9"/>
      <c r="V104" s="28">
        <v>25960</v>
      </c>
      <c r="X104" s="28">
        <v>26070</v>
      </c>
      <c r="Y104" s="28">
        <v>30619</v>
      </c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26"/>
      <c r="AT104" s="26"/>
      <c r="AU104" s="26"/>
      <c r="AV104" s="26"/>
      <c r="AW104" s="26"/>
      <c r="AX104" s="26"/>
      <c r="AY104" s="9"/>
      <c r="AZ104" s="9"/>
      <c r="BA104" s="9"/>
      <c r="BB104" s="9"/>
      <c r="BC104" s="9"/>
      <c r="BE104" s="29"/>
      <c r="BF104" s="29"/>
      <c r="BG104" s="29"/>
      <c r="BH104" s="29"/>
      <c r="BN104" s="14">
        <f t="shared" si="20"/>
        <v>3.0434782608695654</v>
      </c>
    </row>
    <row r="105" spans="1:66" s="28" customFormat="1" ht="21" hidden="1" customHeight="1">
      <c r="A105" s="27"/>
      <c r="B105" s="9" t="s">
        <v>169</v>
      </c>
      <c r="C105" s="9">
        <v>20</v>
      </c>
      <c r="D105" s="26">
        <v>25677</v>
      </c>
      <c r="E105" s="9">
        <v>25815</v>
      </c>
      <c r="F105" s="9">
        <v>25717</v>
      </c>
      <c r="G105" s="9">
        <v>9813900</v>
      </c>
      <c r="H105" s="9">
        <v>29978</v>
      </c>
      <c r="I105" s="9">
        <v>30124</v>
      </c>
      <c r="J105" s="9">
        <v>30036</v>
      </c>
      <c r="K105" s="9">
        <v>728300</v>
      </c>
      <c r="L105" s="9">
        <f t="shared" si="21"/>
        <v>252384066300</v>
      </c>
      <c r="M105" s="9">
        <f t="shared" si="22"/>
        <v>21875218800</v>
      </c>
      <c r="N105" s="28">
        <v>26073</v>
      </c>
      <c r="O105" s="28">
        <v>30426</v>
      </c>
      <c r="P105" s="9">
        <v>25934</v>
      </c>
      <c r="Q105" s="9">
        <v>30277</v>
      </c>
      <c r="R105" s="9"/>
      <c r="S105" s="9"/>
      <c r="T105" s="9"/>
      <c r="U105" s="9"/>
      <c r="V105" s="28">
        <v>26470</v>
      </c>
      <c r="X105" s="28">
        <v>26520</v>
      </c>
      <c r="Y105" s="28">
        <v>30971</v>
      </c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26"/>
      <c r="AT105" s="26"/>
      <c r="AU105" s="26"/>
      <c r="AV105" s="26"/>
      <c r="AW105" s="26"/>
      <c r="AX105" s="26"/>
      <c r="AY105" s="9"/>
      <c r="AZ105" s="9"/>
      <c r="BA105" s="9"/>
      <c r="BB105" s="9"/>
      <c r="BC105" s="9"/>
      <c r="BE105" s="29"/>
      <c r="BF105" s="29"/>
      <c r="BG105" s="29"/>
      <c r="BH105" s="29"/>
      <c r="BN105" s="14">
        <f t="shared" si="20"/>
        <v>3.1224481860248083</v>
      </c>
    </row>
    <row r="106" spans="1:66" s="34" customFormat="1" ht="21" hidden="1" customHeight="1">
      <c r="A106" s="31"/>
      <c r="B106" s="32" t="s">
        <v>170</v>
      </c>
      <c r="C106" s="32">
        <v>23</v>
      </c>
      <c r="D106" s="33">
        <v>25700</v>
      </c>
      <c r="E106" s="32">
        <v>25647</v>
      </c>
      <c r="F106" s="32">
        <v>25757</v>
      </c>
      <c r="G106" s="32">
        <v>7868600</v>
      </c>
      <c r="H106" s="32">
        <v>30124</v>
      </c>
      <c r="I106" s="32">
        <v>30128</v>
      </c>
      <c r="J106" s="32">
        <v>30108</v>
      </c>
      <c r="K106" s="32">
        <v>994800</v>
      </c>
      <c r="L106" s="12">
        <f t="shared" si="21"/>
        <v>202671530200</v>
      </c>
      <c r="M106" s="12">
        <f t="shared" si="22"/>
        <v>29951438400</v>
      </c>
      <c r="N106" s="34">
        <v>25903</v>
      </c>
      <c r="O106" s="34">
        <v>30429</v>
      </c>
      <c r="P106" s="32">
        <v>25957</v>
      </c>
      <c r="Q106" s="32">
        <v>30426</v>
      </c>
      <c r="R106" s="32"/>
      <c r="S106" s="32"/>
      <c r="T106" s="32"/>
      <c r="U106" s="32"/>
      <c r="V106" s="34">
        <v>26370</v>
      </c>
      <c r="X106" s="34">
        <v>26580</v>
      </c>
      <c r="Y106" s="34">
        <v>31149</v>
      </c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3"/>
      <c r="AT106" s="33"/>
      <c r="AU106" s="33"/>
      <c r="AV106" s="33"/>
      <c r="AW106" s="33"/>
      <c r="AX106" s="33"/>
      <c r="AY106" s="32"/>
      <c r="AZ106" s="32"/>
      <c r="BA106" s="32"/>
      <c r="BB106" s="32"/>
      <c r="BC106" s="32"/>
      <c r="BE106" s="35"/>
      <c r="BF106" s="35"/>
      <c r="BG106" s="35"/>
      <c r="BH106" s="35"/>
      <c r="BN106" s="14">
        <f t="shared" si="20"/>
        <v>3.195247893776449</v>
      </c>
    </row>
    <row r="107" spans="1:66" s="34" customFormat="1" ht="21" hidden="1" customHeight="1">
      <c r="A107" s="31"/>
      <c r="B107" s="32" t="s">
        <v>171</v>
      </c>
      <c r="C107" s="32">
        <v>24</v>
      </c>
      <c r="D107" s="33">
        <v>25746</v>
      </c>
      <c r="E107" s="32">
        <v>25767</v>
      </c>
      <c r="F107" s="32">
        <v>25638</v>
      </c>
      <c r="G107" s="32">
        <v>7755400</v>
      </c>
      <c r="H107" s="32">
        <v>30128</v>
      </c>
      <c r="I107" s="32">
        <v>30268</v>
      </c>
      <c r="J107" s="32">
        <v>30117</v>
      </c>
      <c r="K107" s="32">
        <v>1127900</v>
      </c>
      <c r="L107" s="32">
        <f t="shared" si="21"/>
        <v>198832945200</v>
      </c>
      <c r="M107" s="32">
        <f t="shared" si="22"/>
        <v>33968964300</v>
      </c>
      <c r="N107" s="34">
        <v>26024</v>
      </c>
      <c r="O107" s="34">
        <v>30571</v>
      </c>
      <c r="P107" s="32">
        <v>26003</v>
      </c>
      <c r="Q107" s="32">
        <v>30429</v>
      </c>
      <c r="R107" s="32"/>
      <c r="S107" s="32"/>
      <c r="T107" s="32"/>
      <c r="U107" s="32"/>
      <c r="V107" s="34">
        <v>26500</v>
      </c>
      <c r="X107" s="34">
        <v>26660</v>
      </c>
      <c r="Y107" s="34">
        <v>31385</v>
      </c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3"/>
      <c r="AT107" s="33"/>
      <c r="AU107" s="33"/>
      <c r="AV107" s="33"/>
      <c r="AW107" s="33"/>
      <c r="AX107" s="33"/>
      <c r="AY107" s="32"/>
      <c r="AZ107" s="32"/>
      <c r="BA107" s="32"/>
      <c r="BB107" s="32"/>
      <c r="BC107" s="32"/>
      <c r="BE107" s="35"/>
      <c r="BF107" s="35"/>
      <c r="BG107" s="35"/>
      <c r="BH107" s="35"/>
      <c r="BN107" s="14">
        <f t="shared" si="20"/>
        <v>3.9862703799048287</v>
      </c>
    </row>
    <row r="108" spans="1:66" s="28" customFormat="1" ht="21" hidden="1" customHeight="1">
      <c r="A108" s="27"/>
      <c r="B108" s="9" t="s">
        <v>172</v>
      </c>
      <c r="C108" s="9">
        <v>31</v>
      </c>
      <c r="D108" s="26">
        <v>26655</v>
      </c>
      <c r="E108" s="9">
        <v>26635</v>
      </c>
      <c r="F108" s="9">
        <v>26659</v>
      </c>
      <c r="G108" s="9">
        <v>8276500</v>
      </c>
      <c r="H108" s="9">
        <v>31100</v>
      </c>
      <c r="I108" s="9">
        <v>31382</v>
      </c>
      <c r="J108" s="9">
        <v>31298</v>
      </c>
      <c r="K108" s="9">
        <v>663900</v>
      </c>
      <c r="L108" s="9">
        <f t="shared" si="21"/>
        <v>220643213500</v>
      </c>
      <c r="M108" s="9">
        <f t="shared" si="22"/>
        <v>20778742200</v>
      </c>
      <c r="N108" s="28">
        <v>26901</v>
      </c>
      <c r="O108" s="28">
        <v>31696</v>
      </c>
      <c r="P108" s="9">
        <v>26921</v>
      </c>
      <c r="Q108" s="9">
        <v>31411</v>
      </c>
      <c r="R108" s="9"/>
      <c r="S108" s="9"/>
      <c r="T108" s="9"/>
      <c r="U108" s="9"/>
      <c r="V108" s="28">
        <v>27380</v>
      </c>
      <c r="X108" s="28">
        <v>27390</v>
      </c>
      <c r="Y108" s="28">
        <v>32318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26"/>
      <c r="AT108" s="26"/>
      <c r="AU108" s="26"/>
      <c r="AV108" s="26"/>
      <c r="AW108" s="26"/>
      <c r="AX108" s="26"/>
      <c r="AY108" s="9"/>
      <c r="AZ108" s="9"/>
      <c r="BA108" s="9"/>
      <c r="BB108" s="9"/>
      <c r="BC108" s="9"/>
      <c r="BE108" s="29"/>
      <c r="BF108" s="29"/>
      <c r="BG108" s="29"/>
      <c r="BH108" s="29"/>
      <c r="BN108" s="14">
        <f t="shared" si="20"/>
        <v>2.7420383360216061</v>
      </c>
    </row>
    <row r="109" spans="1:66" s="28" customFormat="1" ht="21" hidden="1" customHeight="1">
      <c r="A109" s="27"/>
      <c r="B109" s="9" t="s">
        <v>173</v>
      </c>
      <c r="C109" s="9">
        <v>1</v>
      </c>
      <c r="D109" s="26">
        <v>26409</v>
      </c>
      <c r="E109" s="9">
        <v>26432</v>
      </c>
      <c r="F109" s="9">
        <v>26465</v>
      </c>
      <c r="G109" s="9">
        <v>9486200</v>
      </c>
      <c r="H109" s="9">
        <v>31382</v>
      </c>
      <c r="I109" s="9">
        <v>31470</v>
      </c>
      <c r="J109" s="9">
        <v>31469</v>
      </c>
      <c r="K109" s="9">
        <v>846800</v>
      </c>
      <c r="L109" s="9">
        <f t="shared" si="21"/>
        <v>251052283000</v>
      </c>
      <c r="M109" s="9">
        <f t="shared" si="22"/>
        <v>26647949200</v>
      </c>
      <c r="N109" s="28">
        <v>26696</v>
      </c>
      <c r="O109" s="28">
        <v>31785</v>
      </c>
      <c r="P109" s="9">
        <v>26673</v>
      </c>
      <c r="Q109" s="9">
        <v>31696</v>
      </c>
      <c r="R109" s="9"/>
      <c r="S109" s="9"/>
      <c r="T109" s="9"/>
      <c r="U109" s="9"/>
      <c r="V109" s="28">
        <v>27400</v>
      </c>
      <c r="X109" s="28">
        <v>27460</v>
      </c>
      <c r="Y109" s="28">
        <v>32096</v>
      </c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26"/>
      <c r="AT109" s="26"/>
      <c r="AU109" s="26"/>
      <c r="AV109" s="26"/>
      <c r="AW109" s="26"/>
      <c r="AX109" s="26"/>
      <c r="AY109" s="9"/>
      <c r="AZ109" s="9"/>
      <c r="BA109" s="9"/>
      <c r="BB109" s="9"/>
      <c r="BC109" s="9"/>
      <c r="BE109" s="29"/>
      <c r="BF109" s="29"/>
      <c r="BG109" s="29"/>
      <c r="BH109" s="29"/>
      <c r="BN109" s="14">
        <f t="shared" si="20"/>
        <v>3.7596825996599281</v>
      </c>
    </row>
    <row r="110" spans="1:66" s="28" customFormat="1" ht="21" hidden="1" customHeight="1">
      <c r="A110" s="27"/>
      <c r="B110" s="9" t="s">
        <v>174</v>
      </c>
      <c r="C110" s="9">
        <v>2</v>
      </c>
      <c r="D110" s="26">
        <v>26581</v>
      </c>
      <c r="E110" s="9">
        <v>26638</v>
      </c>
      <c r="F110" s="9">
        <v>26674</v>
      </c>
      <c r="G110" s="9">
        <v>9412600</v>
      </c>
      <c r="H110" s="9">
        <v>31357</v>
      </c>
      <c r="I110" s="9">
        <v>31402</v>
      </c>
      <c r="J110" s="9">
        <v>31546</v>
      </c>
      <c r="K110" s="9">
        <v>865300</v>
      </c>
      <c r="L110" s="9">
        <f t="shared" si="21"/>
        <v>251071692400</v>
      </c>
      <c r="M110" s="9">
        <f t="shared" si="22"/>
        <v>27296753800</v>
      </c>
      <c r="N110" s="28">
        <v>26904</v>
      </c>
      <c r="O110" s="28">
        <v>31716</v>
      </c>
      <c r="P110" s="9">
        <v>26846</v>
      </c>
      <c r="Q110" s="28">
        <v>31671</v>
      </c>
      <c r="R110" s="9"/>
      <c r="S110" s="9"/>
      <c r="T110" s="9"/>
      <c r="U110" s="9"/>
      <c r="V110" s="28">
        <v>27850</v>
      </c>
      <c r="X110" s="28">
        <v>27730</v>
      </c>
      <c r="Y110" s="28">
        <v>32639</v>
      </c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26"/>
      <c r="AT110" s="26"/>
      <c r="AU110" s="26"/>
      <c r="AV110" s="26"/>
      <c r="AW110" s="26"/>
      <c r="AX110" s="26"/>
      <c r="AY110" s="9"/>
      <c r="AZ110" s="9"/>
      <c r="BA110" s="9"/>
      <c r="BB110" s="9"/>
      <c r="BC110" s="9"/>
      <c r="BE110" s="29"/>
      <c r="BF110" s="29"/>
      <c r="BG110" s="29"/>
      <c r="BH110" s="29"/>
      <c r="BN110" s="14">
        <f t="shared" si="20"/>
        <v>3.9589112993926672</v>
      </c>
    </row>
    <row r="111" spans="1:66" s="28" customFormat="1" ht="21" hidden="1" customHeight="1">
      <c r="A111" s="27"/>
      <c r="B111" s="9" t="s">
        <v>175</v>
      </c>
      <c r="C111" s="9">
        <v>3</v>
      </c>
      <c r="D111" s="26">
        <v>26638</v>
      </c>
      <c r="E111" s="9">
        <v>26862</v>
      </c>
      <c r="F111" s="9">
        <v>26768</v>
      </c>
      <c r="G111" s="9">
        <v>10321100</v>
      </c>
      <c r="H111" s="9">
        <v>31402</v>
      </c>
      <c r="I111" s="9">
        <v>31448</v>
      </c>
      <c r="J111" s="9">
        <v>31438</v>
      </c>
      <c r="K111" s="9">
        <v>985200</v>
      </c>
      <c r="L111" s="9">
        <f t="shared" si="21"/>
        <v>276275204800</v>
      </c>
      <c r="M111" s="9">
        <f t="shared" si="22"/>
        <v>30972717600</v>
      </c>
      <c r="N111" s="28">
        <v>27130</v>
      </c>
      <c r="O111" s="28">
        <v>31762</v>
      </c>
      <c r="P111" s="9">
        <v>26904</v>
      </c>
      <c r="Q111" s="28">
        <v>31716</v>
      </c>
      <c r="R111" s="9"/>
      <c r="S111" s="9"/>
      <c r="T111" s="9"/>
      <c r="U111" s="9"/>
      <c r="V111" s="28">
        <v>27650</v>
      </c>
      <c r="X111" s="28">
        <v>27740</v>
      </c>
      <c r="Y111" s="28">
        <v>32566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26"/>
      <c r="AT111" s="26"/>
      <c r="AU111" s="26"/>
      <c r="AV111" s="26"/>
      <c r="AW111" s="26"/>
      <c r="AX111" s="26"/>
      <c r="AY111" s="9"/>
      <c r="AZ111" s="9"/>
      <c r="BA111" s="9"/>
      <c r="BB111" s="9"/>
      <c r="BC111" s="9"/>
      <c r="BE111" s="29"/>
      <c r="BF111" s="29"/>
      <c r="BG111" s="29"/>
      <c r="BH111" s="29"/>
      <c r="BN111" s="14">
        <f t="shared" si="20"/>
        <v>3.6312014345487147</v>
      </c>
    </row>
    <row r="112" spans="1:66" s="45" customFormat="1" ht="21" hidden="1" customHeight="1">
      <c r="A112" s="42"/>
      <c r="B112" s="43" t="s">
        <v>176</v>
      </c>
      <c r="C112" s="43">
        <v>4</v>
      </c>
      <c r="D112" s="44">
        <v>27030</v>
      </c>
      <c r="E112" s="43">
        <v>27490</v>
      </c>
      <c r="F112" s="43">
        <v>27299</v>
      </c>
      <c r="G112" s="43">
        <v>3900800</v>
      </c>
      <c r="H112" s="43">
        <v>31739</v>
      </c>
      <c r="I112" s="43">
        <v>31798</v>
      </c>
      <c r="J112" s="43">
        <v>31665</v>
      </c>
      <c r="K112" s="43">
        <v>1037800</v>
      </c>
      <c r="L112" s="43">
        <f t="shared" si="21"/>
        <v>106487939200</v>
      </c>
      <c r="M112" s="43">
        <f t="shared" si="22"/>
        <v>32861937000</v>
      </c>
      <c r="N112" s="45">
        <v>27765</v>
      </c>
      <c r="O112" s="45">
        <v>32116</v>
      </c>
      <c r="P112" s="43">
        <v>27300</v>
      </c>
      <c r="Q112" s="45">
        <v>32056</v>
      </c>
      <c r="R112" s="43"/>
      <c r="S112" s="43"/>
      <c r="T112" s="43"/>
      <c r="U112" s="43"/>
      <c r="X112" s="45">
        <v>27920</v>
      </c>
      <c r="Y112" s="45">
        <v>32700</v>
      </c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4"/>
      <c r="AT112" s="44"/>
      <c r="AU112" s="44"/>
      <c r="AV112" s="44"/>
      <c r="AW112" s="44"/>
      <c r="AX112" s="44"/>
      <c r="AY112" s="43"/>
      <c r="AZ112" s="43"/>
      <c r="BA112" s="43"/>
      <c r="BB112" s="43"/>
      <c r="BC112" s="43"/>
      <c r="BE112" s="46"/>
      <c r="BF112" s="46"/>
      <c r="BG112" s="46"/>
      <c r="BH112" s="46"/>
      <c r="BN112" s="14">
        <f t="shared" si="20"/>
        <v>2.2748086010476576</v>
      </c>
    </row>
    <row r="113" spans="1:66" s="14" customFormat="1" ht="21" hidden="1" customHeight="1">
      <c r="A113" s="11"/>
      <c r="B113" s="12" t="s">
        <v>177</v>
      </c>
      <c r="C113" s="12">
        <v>6</v>
      </c>
      <c r="D113" s="41">
        <v>27784</v>
      </c>
      <c r="E113" s="12">
        <v>27442</v>
      </c>
      <c r="F113" s="12">
        <v>27663</v>
      </c>
      <c r="G113" s="12">
        <v>5677600</v>
      </c>
      <c r="H113" s="12">
        <v>31798</v>
      </c>
      <c r="I113" s="12">
        <v>31992</v>
      </c>
      <c r="J113" s="12">
        <v>32158</v>
      </c>
      <c r="K113" s="12">
        <v>1457800</v>
      </c>
      <c r="L113" s="12">
        <f t="shared" si="21"/>
        <v>157059448800</v>
      </c>
      <c r="M113" s="12">
        <f t="shared" si="22"/>
        <v>46879932400</v>
      </c>
      <c r="N113" s="14">
        <v>27716</v>
      </c>
      <c r="O113" s="14">
        <v>32312</v>
      </c>
      <c r="P113" s="12">
        <v>28062</v>
      </c>
      <c r="Q113" s="14">
        <v>32116</v>
      </c>
      <c r="R113" s="12"/>
      <c r="S113" s="12"/>
      <c r="T113" s="12"/>
      <c r="U113" s="12"/>
      <c r="V113" s="14">
        <v>28270</v>
      </c>
      <c r="X113" s="14">
        <v>28260</v>
      </c>
      <c r="Y113" s="14">
        <v>33394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41"/>
      <c r="AT113" s="41"/>
      <c r="AU113" s="41"/>
      <c r="AV113" s="41"/>
      <c r="AW113" s="41"/>
      <c r="AX113" s="41"/>
      <c r="AY113" s="12"/>
      <c r="AZ113" s="12"/>
      <c r="BA113" s="12"/>
      <c r="BB113" s="12"/>
      <c r="BC113" s="12"/>
      <c r="BE113" s="13"/>
      <c r="BF113" s="13"/>
      <c r="BG113" s="13"/>
      <c r="BH113" s="13"/>
      <c r="BN113" s="14">
        <f t="shared" si="20"/>
        <v>2.1581173408524021</v>
      </c>
    </row>
    <row r="114" spans="1:66" s="14" customFormat="1" ht="21" hidden="1" customHeight="1">
      <c r="A114" s="11"/>
      <c r="B114" s="12" t="s">
        <v>178</v>
      </c>
      <c r="C114" s="12">
        <v>7</v>
      </c>
      <c r="D114" s="41">
        <v>27340</v>
      </c>
      <c r="E114" s="12">
        <v>26965</v>
      </c>
      <c r="F114" s="12">
        <v>27148</v>
      </c>
      <c r="G114" s="12">
        <v>5269000</v>
      </c>
      <c r="H114" s="12">
        <v>32350</v>
      </c>
      <c r="I114" s="12">
        <v>31300</v>
      </c>
      <c r="J114" s="12">
        <v>31609</v>
      </c>
      <c r="K114" s="12">
        <v>1605500</v>
      </c>
      <c r="L114" s="12">
        <f t="shared" si="21"/>
        <v>143042812000</v>
      </c>
      <c r="M114" s="12">
        <f t="shared" si="22"/>
        <v>50748249500</v>
      </c>
      <c r="N114" s="14">
        <v>27234</v>
      </c>
      <c r="O114" s="14">
        <v>31613</v>
      </c>
      <c r="P114" s="12">
        <v>27614</v>
      </c>
      <c r="Q114" s="14">
        <v>32673</v>
      </c>
      <c r="R114" s="12"/>
      <c r="S114" s="12"/>
      <c r="T114" s="12"/>
      <c r="U114" s="12"/>
      <c r="V114" s="14">
        <v>28080</v>
      </c>
      <c r="X114" s="13">
        <v>27830</v>
      </c>
      <c r="Y114" s="14">
        <v>33099</v>
      </c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41"/>
      <c r="AT114" s="41"/>
      <c r="AU114" s="41"/>
      <c r="AV114" s="41"/>
      <c r="AW114" s="41"/>
      <c r="AX114" s="41"/>
      <c r="AY114" s="12"/>
      <c r="AZ114" s="12"/>
      <c r="BA114" s="12"/>
      <c r="BB114" s="12"/>
      <c r="BC114" s="12"/>
      <c r="BE114" s="13"/>
      <c r="BF114" s="13"/>
      <c r="BG114" s="13"/>
      <c r="BH114" s="13"/>
      <c r="BN114" s="14">
        <f t="shared" si="20"/>
        <v>2.5121555915721232</v>
      </c>
    </row>
    <row r="115" spans="1:66" s="14" customFormat="1" ht="21" hidden="1" customHeight="1">
      <c r="A115" s="11"/>
      <c r="B115" s="12" t="s">
        <v>179</v>
      </c>
      <c r="C115" s="12">
        <v>8</v>
      </c>
      <c r="D115" s="41">
        <v>26965</v>
      </c>
      <c r="E115" s="12">
        <v>25931</v>
      </c>
      <c r="F115" s="12">
        <v>26198</v>
      </c>
      <c r="G115" s="12">
        <v>5319000</v>
      </c>
      <c r="H115" s="12">
        <v>31300</v>
      </c>
      <c r="I115" s="12">
        <v>30387</v>
      </c>
      <c r="J115" s="12">
        <v>30487</v>
      </c>
      <c r="K115" s="12">
        <v>1376600</v>
      </c>
      <c r="L115" s="12">
        <f t="shared" si="21"/>
        <v>139347162000</v>
      </c>
      <c r="M115" s="12">
        <f t="shared" si="22"/>
        <v>41968404200</v>
      </c>
      <c r="N115" s="14">
        <v>26190</v>
      </c>
      <c r="O115" s="14">
        <v>30691</v>
      </c>
      <c r="P115" s="12">
        <v>27234</v>
      </c>
      <c r="Q115" s="14">
        <v>31613</v>
      </c>
      <c r="R115" s="12"/>
      <c r="S115" s="12"/>
      <c r="T115" s="12"/>
      <c r="U115" s="12"/>
      <c r="V115" s="47">
        <v>27230</v>
      </c>
      <c r="X115" s="14">
        <v>26900</v>
      </c>
      <c r="Y115" s="14">
        <v>32122</v>
      </c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41"/>
      <c r="AT115" s="41"/>
      <c r="AU115" s="41"/>
      <c r="AV115" s="41"/>
      <c r="AW115" s="41"/>
      <c r="AX115" s="41"/>
      <c r="AY115" s="12"/>
      <c r="AZ115" s="12"/>
      <c r="BA115" s="12"/>
      <c r="BB115" s="12"/>
      <c r="BC115" s="12"/>
      <c r="BE115" s="13"/>
      <c r="BF115" s="13"/>
      <c r="BG115" s="13"/>
      <c r="BH115" s="13"/>
      <c r="BN115" s="14">
        <f t="shared" si="20"/>
        <v>2.6795938621268798</v>
      </c>
    </row>
    <row r="116" spans="1:66" s="14" customFormat="1" ht="21" hidden="1" customHeight="1">
      <c r="A116" s="11"/>
      <c r="B116" s="12" t="s">
        <v>180</v>
      </c>
      <c r="C116" s="12">
        <v>9</v>
      </c>
      <c r="D116" s="41">
        <v>26285</v>
      </c>
      <c r="E116" s="12">
        <v>26215</v>
      </c>
      <c r="F116" s="12">
        <v>26265</v>
      </c>
      <c r="G116" s="12">
        <v>8186900</v>
      </c>
      <c r="H116" s="12">
        <v>30387</v>
      </c>
      <c r="I116" s="12">
        <v>30934</v>
      </c>
      <c r="J116" s="12">
        <v>30715</v>
      </c>
      <c r="K116" s="12">
        <v>1183300</v>
      </c>
      <c r="L116" s="12">
        <f t="shared" si="21"/>
        <v>215028928500</v>
      </c>
      <c r="M116" s="12">
        <f t="shared" si="22"/>
        <v>36345059500</v>
      </c>
      <c r="N116" s="14">
        <v>26477</v>
      </c>
      <c r="O116" s="14">
        <v>31243</v>
      </c>
      <c r="P116" s="12">
        <v>26548</v>
      </c>
      <c r="Q116" s="14">
        <v>30691</v>
      </c>
      <c r="R116" s="12"/>
      <c r="S116" s="12"/>
      <c r="T116" s="12"/>
      <c r="U116" s="12"/>
      <c r="V116" s="47">
        <v>27370</v>
      </c>
      <c r="X116" s="14">
        <v>27250</v>
      </c>
      <c r="Y116" s="14">
        <v>32333</v>
      </c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41"/>
      <c r="AT116" s="41"/>
      <c r="AU116" s="41"/>
      <c r="AV116" s="41"/>
      <c r="AW116" s="41"/>
      <c r="AX116" s="41"/>
      <c r="AY116" s="12"/>
      <c r="AZ116" s="12"/>
      <c r="BA116" s="12"/>
      <c r="BB116" s="12"/>
      <c r="BC116" s="12"/>
      <c r="BE116" s="13"/>
      <c r="BF116" s="13"/>
      <c r="BG116" s="13"/>
      <c r="BH116" s="13"/>
      <c r="BN116" s="14">
        <f t="shared" si="20"/>
        <v>3.7502379592613746</v>
      </c>
    </row>
    <row r="117" spans="1:66" s="14" customFormat="1" ht="21" hidden="1" customHeight="1">
      <c r="A117" s="11"/>
      <c r="B117" s="12" t="s">
        <v>181</v>
      </c>
      <c r="C117" s="12">
        <v>10</v>
      </c>
      <c r="D117" s="41">
        <v>26215</v>
      </c>
      <c r="E117" s="12">
        <v>26307</v>
      </c>
      <c r="F117" s="12">
        <v>26285</v>
      </c>
      <c r="G117" s="12">
        <v>7089500</v>
      </c>
      <c r="H117" s="12">
        <v>30934</v>
      </c>
      <c r="I117" s="12">
        <v>30797</v>
      </c>
      <c r="J117" s="12">
        <v>30862</v>
      </c>
      <c r="K117" s="12">
        <v>944600</v>
      </c>
      <c r="L117" s="12">
        <f t="shared" si="21"/>
        <v>186347507500</v>
      </c>
      <c r="M117" s="12">
        <f t="shared" si="22"/>
        <v>29152245200</v>
      </c>
      <c r="N117" s="14">
        <v>26570</v>
      </c>
      <c r="O117" s="14">
        <v>31105</v>
      </c>
      <c r="P117" s="12">
        <v>26477</v>
      </c>
      <c r="Q117" s="14">
        <v>31243</v>
      </c>
      <c r="R117" s="12"/>
      <c r="S117" s="12"/>
      <c r="T117" s="12"/>
      <c r="U117" s="12"/>
      <c r="V117" s="47">
        <v>27320</v>
      </c>
      <c r="X117" s="14">
        <v>27130</v>
      </c>
      <c r="Y117" s="14">
        <v>32247</v>
      </c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41"/>
      <c r="AT117" s="41"/>
      <c r="AU117" s="41"/>
      <c r="AV117" s="41"/>
      <c r="AW117" s="41"/>
      <c r="AX117" s="41"/>
      <c r="AY117" s="12"/>
      <c r="AZ117" s="12"/>
      <c r="BA117" s="12"/>
      <c r="BB117" s="12"/>
      <c r="BC117" s="12"/>
      <c r="BE117" s="13"/>
      <c r="BF117" s="13"/>
      <c r="BG117" s="13"/>
      <c r="BH117" s="13"/>
      <c r="BN117" s="14">
        <f t="shared" si="20"/>
        <v>3.2147612706867035</v>
      </c>
    </row>
    <row r="118" spans="1:66" s="45" customFormat="1" ht="21" hidden="1" customHeight="1">
      <c r="A118" s="42"/>
      <c r="B118" s="43" t="s">
        <v>182</v>
      </c>
      <c r="C118" s="43">
        <v>11</v>
      </c>
      <c r="D118" s="44">
        <v>26261</v>
      </c>
      <c r="E118" s="43">
        <v>26408</v>
      </c>
      <c r="F118" s="43">
        <v>26353</v>
      </c>
      <c r="G118" s="43">
        <v>5094700</v>
      </c>
      <c r="H118" s="43">
        <v>30797</v>
      </c>
      <c r="I118" s="43">
        <v>31052</v>
      </c>
      <c r="J118" s="43">
        <v>30846</v>
      </c>
      <c r="K118" s="43">
        <v>577000</v>
      </c>
      <c r="L118" s="43">
        <f t="shared" si="21"/>
        <v>134260629100</v>
      </c>
      <c r="M118" s="43">
        <f t="shared" si="22"/>
        <v>17798142000</v>
      </c>
      <c r="N118" s="45">
        <v>26672</v>
      </c>
      <c r="O118" s="45">
        <v>31362</v>
      </c>
      <c r="P118" s="43">
        <v>26523</v>
      </c>
      <c r="Q118" s="45">
        <v>31105</v>
      </c>
      <c r="R118" s="43"/>
      <c r="S118" s="43"/>
      <c r="T118" s="43"/>
      <c r="U118" s="43"/>
      <c r="V118" s="48"/>
      <c r="X118" s="45">
        <v>27190</v>
      </c>
      <c r="Y118" s="45">
        <v>32300</v>
      </c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4"/>
      <c r="AT118" s="44"/>
      <c r="AU118" s="44"/>
      <c r="AV118" s="44"/>
      <c r="AW118" s="44"/>
      <c r="AX118" s="44"/>
      <c r="AY118" s="43"/>
      <c r="AZ118" s="43"/>
      <c r="BA118" s="43"/>
      <c r="BB118" s="43"/>
      <c r="BC118" s="43"/>
      <c r="BE118" s="46"/>
      <c r="BF118" s="46"/>
      <c r="BG118" s="46"/>
      <c r="BH118" s="46"/>
      <c r="BN118" s="14">
        <f t="shared" si="20"/>
        <v>3.1761089818995938</v>
      </c>
    </row>
    <row r="119" spans="1:66" s="28" customFormat="1" ht="21" hidden="1" customHeight="1">
      <c r="A119" s="27"/>
      <c r="B119" s="9" t="s">
        <v>183</v>
      </c>
      <c r="C119" s="9">
        <v>13</v>
      </c>
      <c r="D119" s="26">
        <v>26408</v>
      </c>
      <c r="E119" s="9">
        <v>26500</v>
      </c>
      <c r="F119" s="9">
        <v>26424</v>
      </c>
      <c r="G119" s="9">
        <v>6055600</v>
      </c>
      <c r="H119" s="9">
        <v>31052</v>
      </c>
      <c r="I119" s="9">
        <v>30992</v>
      </c>
      <c r="J119" s="9">
        <v>31080</v>
      </c>
      <c r="K119" s="9">
        <v>857400</v>
      </c>
      <c r="L119" s="9">
        <f t="shared" si="21"/>
        <v>160013174400</v>
      </c>
      <c r="M119" s="9">
        <f t="shared" si="22"/>
        <v>26647992000</v>
      </c>
      <c r="N119" s="28">
        <v>26765</v>
      </c>
      <c r="O119" s="28">
        <v>31302</v>
      </c>
      <c r="P119" s="9">
        <v>26672</v>
      </c>
      <c r="Q119" s="28">
        <v>31362</v>
      </c>
      <c r="R119" s="9"/>
      <c r="S119" s="9"/>
      <c r="T119" s="9"/>
      <c r="U119" s="9"/>
      <c r="V119" s="49">
        <v>27170</v>
      </c>
      <c r="X119" s="28">
        <v>27050</v>
      </c>
      <c r="Y119" s="28">
        <v>32273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26"/>
      <c r="AT119" s="26"/>
      <c r="AU119" s="26"/>
      <c r="AV119" s="26"/>
      <c r="AW119" s="26"/>
      <c r="AX119" s="26"/>
      <c r="AY119" s="9"/>
      <c r="AZ119" s="9"/>
      <c r="BA119" s="9"/>
      <c r="BB119" s="9"/>
      <c r="BC119" s="9"/>
      <c r="BE119" s="29"/>
      <c r="BF119" s="29"/>
      <c r="BG119" s="29"/>
      <c r="BH119" s="29"/>
      <c r="BN119" s="14">
        <f t="shared" si="20"/>
        <v>2.3690584317287313</v>
      </c>
    </row>
    <row r="120" spans="1:66" s="53" customFormat="1" ht="21" hidden="1" customHeight="1">
      <c r="A120" s="50"/>
      <c r="B120" s="51" t="s">
        <v>184</v>
      </c>
      <c r="C120" s="51">
        <v>14</v>
      </c>
      <c r="D120" s="52">
        <v>26441</v>
      </c>
      <c r="E120" s="51">
        <v>26423</v>
      </c>
      <c r="F120" s="51">
        <v>26453</v>
      </c>
      <c r="G120" s="51">
        <v>6934900</v>
      </c>
      <c r="H120" s="51">
        <v>31300</v>
      </c>
      <c r="I120" s="51">
        <v>31047</v>
      </c>
      <c r="J120" s="51">
        <v>31045</v>
      </c>
      <c r="K120" s="51">
        <v>1267000</v>
      </c>
      <c r="L120" s="51">
        <f t="shared" si="21"/>
        <v>183448909700</v>
      </c>
      <c r="M120" s="51">
        <f t="shared" si="22"/>
        <v>39334015000</v>
      </c>
      <c r="N120" s="53">
        <v>26687</v>
      </c>
      <c r="O120" s="53">
        <v>31358</v>
      </c>
      <c r="P120" s="51">
        <v>26705</v>
      </c>
      <c r="Q120" s="53">
        <v>31613</v>
      </c>
      <c r="R120" s="51"/>
      <c r="S120" s="51"/>
      <c r="T120" s="51"/>
      <c r="U120" s="51"/>
      <c r="V120" s="54">
        <v>27170</v>
      </c>
      <c r="X120" s="53">
        <v>27190</v>
      </c>
      <c r="Y120" s="53">
        <v>32356</v>
      </c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2"/>
      <c r="AT120" s="52"/>
      <c r="AU120" s="52"/>
      <c r="AV120" s="52"/>
      <c r="AW120" s="52"/>
      <c r="AX120" s="52"/>
      <c r="AY120" s="51"/>
      <c r="AZ120" s="51"/>
      <c r="BA120" s="51"/>
      <c r="BB120" s="51"/>
      <c r="BC120" s="51"/>
      <c r="BE120" s="55"/>
      <c r="BF120" s="55"/>
      <c r="BG120" s="55"/>
      <c r="BH120" s="55"/>
      <c r="BN120" s="14">
        <f t="shared" si="20"/>
        <v>2.7860734132234528</v>
      </c>
    </row>
    <row r="121" spans="1:66" s="59" customFormat="1" ht="21" hidden="1" customHeight="1">
      <c r="A121" s="56"/>
      <c r="B121" s="57" t="s">
        <v>185</v>
      </c>
      <c r="C121" s="57">
        <v>15</v>
      </c>
      <c r="D121" s="58">
        <v>26450</v>
      </c>
      <c r="E121" s="57">
        <v>26328</v>
      </c>
      <c r="F121" s="57">
        <v>26359</v>
      </c>
      <c r="G121" s="57">
        <v>5658100</v>
      </c>
      <c r="H121" s="57">
        <v>30950</v>
      </c>
      <c r="I121" s="57">
        <v>31104</v>
      </c>
      <c r="J121" s="57">
        <v>31137</v>
      </c>
      <c r="K121" s="57">
        <v>702100</v>
      </c>
      <c r="L121" s="57">
        <f t="shared" si="21"/>
        <v>149141857900</v>
      </c>
      <c r="M121" s="57">
        <f t="shared" si="22"/>
        <v>21861287700</v>
      </c>
      <c r="N121" s="59">
        <v>26591</v>
      </c>
      <c r="O121" s="59">
        <v>31415</v>
      </c>
      <c r="P121" s="57">
        <v>26714</v>
      </c>
      <c r="Q121" s="59">
        <v>31259</v>
      </c>
      <c r="R121" s="57"/>
      <c r="S121" s="57"/>
      <c r="T121" s="57"/>
      <c r="U121" s="57"/>
      <c r="V121" s="60">
        <v>27070</v>
      </c>
      <c r="X121" s="59">
        <v>27010</v>
      </c>
      <c r="Y121" s="59">
        <v>32081</v>
      </c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8"/>
      <c r="AT121" s="58"/>
      <c r="AU121" s="58"/>
      <c r="AV121" s="58"/>
      <c r="AW121" s="58"/>
      <c r="AX121" s="58"/>
      <c r="AY121" s="57"/>
      <c r="AZ121" s="57"/>
      <c r="BA121" s="57"/>
      <c r="BB121" s="57"/>
      <c r="BC121" s="57"/>
      <c r="BE121" s="61"/>
      <c r="BF121" s="61"/>
      <c r="BG121" s="61"/>
      <c r="BH121" s="61"/>
      <c r="BN121" s="14">
        <f t="shared" si="20"/>
        <v>2.4697446792366935</v>
      </c>
    </row>
    <row r="122" spans="1:66" s="59" customFormat="1" ht="21" hidden="1" customHeight="1">
      <c r="A122" s="56"/>
      <c r="B122" s="57" t="s">
        <v>186</v>
      </c>
      <c r="C122" s="57">
        <v>16</v>
      </c>
      <c r="D122" s="58">
        <v>26570</v>
      </c>
      <c r="E122" s="57">
        <v>26360</v>
      </c>
      <c r="F122" s="57">
        <v>26384</v>
      </c>
      <c r="G122" s="57">
        <v>7781600</v>
      </c>
      <c r="H122" s="57">
        <v>31212</v>
      </c>
      <c r="I122" s="57">
        <v>31350</v>
      </c>
      <c r="J122" s="57">
        <v>31111</v>
      </c>
      <c r="K122" s="57">
        <v>1167200</v>
      </c>
      <c r="L122" s="57">
        <f t="shared" si="21"/>
        <v>205309734400</v>
      </c>
      <c r="M122" s="57">
        <f t="shared" si="22"/>
        <v>36312759200</v>
      </c>
      <c r="N122" s="59">
        <v>26623</v>
      </c>
      <c r="O122" s="59">
        <v>31663</v>
      </c>
      <c r="P122" s="57">
        <v>26836</v>
      </c>
      <c r="Q122" s="59">
        <v>31525</v>
      </c>
      <c r="R122" s="57"/>
      <c r="S122" s="57"/>
      <c r="T122" s="57"/>
      <c r="U122" s="57"/>
      <c r="V122" s="59">
        <v>27180</v>
      </c>
      <c r="X122" s="59">
        <v>27120</v>
      </c>
      <c r="Y122" s="59">
        <v>32297</v>
      </c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8"/>
      <c r="AT122" s="58"/>
      <c r="AU122" s="58"/>
      <c r="AV122" s="58"/>
      <c r="AW122" s="58"/>
      <c r="AX122" s="58"/>
      <c r="AY122" s="57"/>
      <c r="AZ122" s="57"/>
      <c r="BA122" s="57"/>
      <c r="BB122" s="57"/>
      <c r="BC122" s="57"/>
      <c r="BE122" s="61"/>
      <c r="BF122" s="61"/>
      <c r="BG122" s="61"/>
      <c r="BH122" s="61"/>
      <c r="BN122" s="14">
        <f t="shared" si="20"/>
        <v>2.7895694360218313</v>
      </c>
    </row>
    <row r="123" spans="1:66" s="59" customFormat="1" ht="21" hidden="1" customHeight="1">
      <c r="A123" s="56"/>
      <c r="B123" s="57" t="s">
        <v>187</v>
      </c>
      <c r="C123" s="57">
        <v>17</v>
      </c>
      <c r="D123" s="58">
        <v>26681</v>
      </c>
      <c r="E123" s="57">
        <v>26582</v>
      </c>
      <c r="F123" s="57">
        <v>26514</v>
      </c>
      <c r="G123" s="57">
        <v>10053900</v>
      </c>
      <c r="H123" s="57">
        <v>31234</v>
      </c>
      <c r="I123" s="57">
        <v>31217</v>
      </c>
      <c r="J123" s="57">
        <v>31159</v>
      </c>
      <c r="K123" s="57">
        <v>1549100</v>
      </c>
      <c r="L123" s="57">
        <f t="shared" si="21"/>
        <v>266569104600</v>
      </c>
      <c r="M123" s="57">
        <f t="shared" si="22"/>
        <v>48268406900</v>
      </c>
      <c r="N123" s="59">
        <v>26852</v>
      </c>
      <c r="O123" s="59">
        <v>31530</v>
      </c>
      <c r="P123" s="57">
        <v>26948</v>
      </c>
      <c r="Q123" s="59">
        <v>31547</v>
      </c>
      <c r="R123" s="57"/>
      <c r="S123" s="57"/>
      <c r="T123" s="57"/>
      <c r="U123" s="57"/>
      <c r="V123" s="59">
        <v>27570</v>
      </c>
      <c r="X123" s="59">
        <v>27530</v>
      </c>
      <c r="Y123" s="59">
        <v>32539</v>
      </c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8"/>
      <c r="AT123" s="58"/>
      <c r="AU123" s="58"/>
      <c r="AV123" s="58"/>
      <c r="AW123" s="58"/>
      <c r="AX123" s="58"/>
      <c r="AY123" s="57"/>
      <c r="AZ123" s="57"/>
      <c r="BA123" s="57"/>
      <c r="BB123" s="57"/>
      <c r="BC123" s="57"/>
      <c r="BE123" s="61"/>
      <c r="BF123" s="61"/>
      <c r="BG123" s="61"/>
      <c r="BH123" s="61"/>
      <c r="BN123" s="14">
        <f t="shared" si="20"/>
        <v>3.8319378441578036</v>
      </c>
    </row>
    <row r="124" spans="1:66" s="53" customFormat="1" ht="21" hidden="1" customHeight="1">
      <c r="A124" s="50"/>
      <c r="B124" s="51" t="s">
        <v>188</v>
      </c>
      <c r="C124" s="51">
        <v>18</v>
      </c>
      <c r="D124" s="52">
        <v>26670</v>
      </c>
      <c r="E124" s="51">
        <v>26624</v>
      </c>
      <c r="F124" s="51">
        <v>26589</v>
      </c>
      <c r="G124" s="51">
        <v>6494700</v>
      </c>
      <c r="H124" s="51">
        <v>31310</v>
      </c>
      <c r="I124" s="51">
        <v>31234</v>
      </c>
      <c r="J124" s="51">
        <v>31217</v>
      </c>
      <c r="K124" s="51">
        <v>1009100</v>
      </c>
      <c r="L124" s="51">
        <f t="shared" si="21"/>
        <v>172687578300</v>
      </c>
      <c r="M124" s="51">
        <f t="shared" si="22"/>
        <v>31501074700</v>
      </c>
      <c r="N124" s="53">
        <v>26936</v>
      </c>
      <c r="O124" s="53">
        <v>31623</v>
      </c>
      <c r="P124" s="51">
        <v>26890</v>
      </c>
      <c r="Q124" s="53">
        <v>31547</v>
      </c>
      <c r="R124" s="51"/>
      <c r="S124" s="51"/>
      <c r="T124" s="51"/>
      <c r="U124" s="51"/>
      <c r="X124" s="53">
        <v>27820</v>
      </c>
      <c r="Y124" s="53">
        <v>32696</v>
      </c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2"/>
      <c r="AT124" s="52"/>
      <c r="AU124" s="52"/>
      <c r="AV124" s="52"/>
      <c r="AW124" s="52"/>
      <c r="AX124" s="52"/>
      <c r="AY124" s="51"/>
      <c r="AZ124" s="51"/>
      <c r="BA124" s="51"/>
      <c r="BB124" s="51"/>
      <c r="BC124" s="51"/>
      <c r="BE124" s="55"/>
      <c r="BF124" s="55"/>
      <c r="BG124" s="55"/>
      <c r="BH124" s="55"/>
      <c r="BN124" s="14">
        <f t="shared" si="20"/>
        <v>4.6297341005679042</v>
      </c>
    </row>
    <row r="125" spans="1:66" s="62" customFormat="1" ht="21" hidden="1" customHeight="1">
      <c r="A125" s="11"/>
      <c r="B125" s="12" t="s">
        <v>189</v>
      </c>
      <c r="C125" s="12">
        <v>20</v>
      </c>
      <c r="D125" s="41">
        <v>26687</v>
      </c>
      <c r="E125" s="12">
        <v>26847</v>
      </c>
      <c r="F125" s="12">
        <v>26742</v>
      </c>
      <c r="G125" s="12">
        <v>9055300</v>
      </c>
      <c r="H125" s="12">
        <v>31234</v>
      </c>
      <c r="I125" s="12">
        <v>31388</v>
      </c>
      <c r="J125" s="12">
        <v>31359</v>
      </c>
      <c r="K125" s="12">
        <v>1223500</v>
      </c>
      <c r="L125" s="12">
        <f t="shared" si="21"/>
        <v>242156832600</v>
      </c>
      <c r="M125" s="12">
        <f t="shared" si="22"/>
        <v>38367736500</v>
      </c>
      <c r="N125" s="62">
        <v>27116</v>
      </c>
      <c r="O125" s="62">
        <v>31702</v>
      </c>
      <c r="P125" s="62">
        <v>26954</v>
      </c>
      <c r="Q125" s="62">
        <v>31547</v>
      </c>
      <c r="R125" s="12"/>
      <c r="S125" s="12"/>
      <c r="T125" s="12"/>
      <c r="U125" s="12"/>
      <c r="V125" s="62">
        <v>27800</v>
      </c>
      <c r="X125" s="62">
        <v>27830</v>
      </c>
      <c r="Y125" s="62">
        <v>32800</v>
      </c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41"/>
      <c r="AT125" s="41"/>
      <c r="AU125" s="41"/>
      <c r="AV125" s="41"/>
      <c r="AW125" s="41"/>
      <c r="AX125" s="41"/>
      <c r="AY125" s="12"/>
      <c r="AZ125" s="12"/>
      <c r="BA125" s="12"/>
      <c r="BB125" s="12"/>
      <c r="BC125" s="12"/>
      <c r="BE125" s="63"/>
      <c r="BF125" s="63"/>
      <c r="BG125" s="63"/>
      <c r="BH125" s="63"/>
      <c r="BN125" s="14">
        <f t="shared" si="20"/>
        <v>4.0685064692244408</v>
      </c>
    </row>
    <row r="126" spans="1:66" s="62" customFormat="1" ht="21" hidden="1" customHeight="1">
      <c r="A126" s="11"/>
      <c r="B126" s="12" t="s">
        <v>190</v>
      </c>
      <c r="C126" s="12">
        <v>21</v>
      </c>
      <c r="D126" s="41">
        <v>26778</v>
      </c>
      <c r="E126" s="12">
        <v>26502</v>
      </c>
      <c r="F126" s="12">
        <v>26580</v>
      </c>
      <c r="G126" s="12">
        <v>8758100</v>
      </c>
      <c r="H126" s="12">
        <v>31400</v>
      </c>
      <c r="I126" s="12">
        <v>31242</v>
      </c>
      <c r="J126" s="12">
        <v>31328</v>
      </c>
      <c r="K126" s="12">
        <v>962100</v>
      </c>
      <c r="L126" s="12">
        <f t="shared" si="21"/>
        <v>232790298000</v>
      </c>
      <c r="M126" s="12">
        <f t="shared" si="22"/>
        <v>30140668800</v>
      </c>
      <c r="N126" s="62">
        <v>26767</v>
      </c>
      <c r="O126" s="62">
        <v>31554</v>
      </c>
      <c r="P126" s="62">
        <v>27046</v>
      </c>
      <c r="Q126" s="62">
        <v>31714</v>
      </c>
      <c r="R126" s="12"/>
      <c r="S126" s="12"/>
      <c r="T126" s="12"/>
      <c r="U126" s="12"/>
      <c r="X126" s="62">
        <v>27500</v>
      </c>
      <c r="Y126" s="62">
        <v>32552</v>
      </c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41"/>
      <c r="AT126" s="41"/>
      <c r="AU126" s="41"/>
      <c r="AV126" s="41"/>
      <c r="AW126" s="41"/>
      <c r="AX126" s="41"/>
      <c r="AY126" s="12"/>
      <c r="AZ126" s="12"/>
      <c r="BA126" s="12"/>
      <c r="BB126" s="12"/>
      <c r="BC126" s="12"/>
      <c r="BE126" s="63"/>
      <c r="BF126" s="63"/>
      <c r="BG126" s="63"/>
      <c r="BH126" s="63"/>
      <c r="BN126" s="14">
        <f t="shared" si="20"/>
        <v>3.4612490594431904</v>
      </c>
    </row>
    <row r="127" spans="1:66" s="62" customFormat="1" ht="21" hidden="1" customHeight="1">
      <c r="A127" s="11"/>
      <c r="B127" s="12" t="s">
        <v>191</v>
      </c>
      <c r="C127" s="12">
        <v>22</v>
      </c>
      <c r="D127" s="41">
        <v>26502</v>
      </c>
      <c r="E127" s="12">
        <v>26313</v>
      </c>
      <c r="F127" s="12">
        <v>26204</v>
      </c>
      <c r="G127" s="12">
        <v>8019300</v>
      </c>
      <c r="H127" s="12">
        <v>31250</v>
      </c>
      <c r="I127" s="12">
        <v>31378</v>
      </c>
      <c r="J127" s="12">
        <v>31080</v>
      </c>
      <c r="K127" s="12">
        <v>573100</v>
      </c>
      <c r="L127" s="12">
        <f t="shared" si="21"/>
        <v>210137737200</v>
      </c>
      <c r="M127" s="12">
        <f t="shared" si="22"/>
        <v>17811948000</v>
      </c>
      <c r="N127" s="62">
        <v>26577</v>
      </c>
      <c r="O127" s="62">
        <v>31692</v>
      </c>
      <c r="P127" s="62">
        <v>26767</v>
      </c>
      <c r="Q127" s="62">
        <v>31562</v>
      </c>
      <c r="R127" s="12"/>
      <c r="S127" s="12"/>
      <c r="T127" s="12"/>
      <c r="U127" s="12"/>
      <c r="X127" s="62">
        <v>27100</v>
      </c>
      <c r="Y127" s="62">
        <v>31782</v>
      </c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41"/>
      <c r="AT127" s="41"/>
      <c r="AU127" s="41"/>
      <c r="AV127" s="41"/>
      <c r="AW127" s="41"/>
      <c r="AX127" s="41"/>
      <c r="AY127" s="12"/>
      <c r="AZ127" s="12"/>
      <c r="BA127" s="12"/>
      <c r="BB127" s="12"/>
      <c r="BC127" s="12"/>
      <c r="BE127" s="63"/>
      <c r="BF127" s="63"/>
      <c r="BG127" s="63"/>
      <c r="BH127" s="63"/>
      <c r="BN127" s="14">
        <f t="shared" si="20"/>
        <v>3.4193252938482672</v>
      </c>
    </row>
    <row r="128" spans="1:66" s="62" customFormat="1" ht="21" hidden="1" customHeight="1">
      <c r="A128" s="11"/>
      <c r="B128" s="12" t="s">
        <v>192</v>
      </c>
      <c r="C128" s="12">
        <v>23</v>
      </c>
      <c r="D128" s="41">
        <v>26313</v>
      </c>
      <c r="E128" s="12">
        <v>26516</v>
      </c>
      <c r="F128" s="12">
        <v>26379</v>
      </c>
      <c r="G128" s="12">
        <v>9028800</v>
      </c>
      <c r="H128" s="12">
        <v>31378</v>
      </c>
      <c r="I128" s="12">
        <v>31373</v>
      </c>
      <c r="J128" s="12">
        <v>31146</v>
      </c>
      <c r="K128" s="12">
        <v>1286100</v>
      </c>
      <c r="L128" s="12">
        <f t="shared" si="21"/>
        <v>238170715200</v>
      </c>
      <c r="M128" s="12">
        <f t="shared" si="22"/>
        <v>40056870600</v>
      </c>
      <c r="N128" s="62">
        <v>26781</v>
      </c>
      <c r="O128" s="62">
        <v>31687</v>
      </c>
      <c r="P128" s="62">
        <v>26577</v>
      </c>
      <c r="Q128" s="62">
        <v>31692</v>
      </c>
      <c r="R128" s="12"/>
      <c r="S128" s="12"/>
      <c r="T128" s="12"/>
      <c r="U128" s="12"/>
      <c r="V128" s="62">
        <v>27410</v>
      </c>
      <c r="X128" s="62">
        <v>27370</v>
      </c>
      <c r="Y128" s="62">
        <v>32420</v>
      </c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41"/>
      <c r="AT128" s="41"/>
      <c r="AU128" s="41"/>
      <c r="AV128" s="41"/>
      <c r="AW128" s="41"/>
      <c r="AX128" s="41"/>
      <c r="AY128" s="12"/>
      <c r="AZ128" s="12"/>
      <c r="BA128" s="12"/>
      <c r="BB128" s="12"/>
      <c r="BC128" s="12"/>
      <c r="BE128" s="63"/>
      <c r="BF128" s="63"/>
      <c r="BG128" s="63"/>
      <c r="BH128" s="63"/>
      <c r="BN128" s="14">
        <f t="shared" si="20"/>
        <v>3.7567762235111264</v>
      </c>
    </row>
    <row r="129" spans="1:66" s="62" customFormat="1" ht="21" hidden="1" customHeight="1">
      <c r="A129" s="11"/>
      <c r="B129" s="12" t="s">
        <v>193</v>
      </c>
      <c r="C129" s="12">
        <v>24</v>
      </c>
      <c r="D129" s="41">
        <v>26423</v>
      </c>
      <c r="E129" s="12">
        <v>26372</v>
      </c>
      <c r="F129" s="12">
        <v>26372</v>
      </c>
      <c r="G129" s="12">
        <v>9040900</v>
      </c>
      <c r="H129" s="12">
        <v>31425</v>
      </c>
      <c r="I129" s="12">
        <v>31224</v>
      </c>
      <c r="J129" s="12">
        <v>31330</v>
      </c>
      <c r="K129" s="12">
        <v>722300</v>
      </c>
      <c r="L129" s="12">
        <f t="shared" si="21"/>
        <v>238426614800</v>
      </c>
      <c r="M129" s="12">
        <f t="shared" si="22"/>
        <v>22629659000</v>
      </c>
      <c r="N129" s="62">
        <v>26636</v>
      </c>
      <c r="O129" s="62">
        <v>31537</v>
      </c>
      <c r="P129" s="62">
        <v>26687</v>
      </c>
      <c r="Q129" s="62">
        <v>31739</v>
      </c>
      <c r="R129" s="12"/>
      <c r="S129" s="12"/>
      <c r="T129" s="12"/>
      <c r="U129" s="12"/>
      <c r="V129" s="62">
        <v>27250</v>
      </c>
      <c r="X129" s="62">
        <v>27320</v>
      </c>
      <c r="Y129" s="62">
        <v>32233</v>
      </c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41"/>
      <c r="AT129" s="41"/>
      <c r="AU129" s="41"/>
      <c r="AV129" s="41"/>
      <c r="AW129" s="41"/>
      <c r="AX129" s="41"/>
      <c r="AY129" s="12"/>
      <c r="AZ129" s="12"/>
      <c r="BA129" s="12"/>
      <c r="BB129" s="12"/>
      <c r="BC129" s="12"/>
      <c r="BE129" s="63"/>
      <c r="BF129" s="63"/>
      <c r="BG129" s="63"/>
      <c r="BH129" s="63"/>
      <c r="BN129" s="14">
        <f t="shared" si="20"/>
        <v>3.5947216745032611</v>
      </c>
    </row>
    <row r="130" spans="1:66" s="62" customFormat="1" ht="21" hidden="1" customHeight="1">
      <c r="A130" s="11"/>
      <c r="B130" s="12" t="s">
        <v>194</v>
      </c>
      <c r="C130" s="12">
        <v>25</v>
      </c>
      <c r="D130" s="41">
        <v>26329</v>
      </c>
      <c r="E130" s="12">
        <v>26483</v>
      </c>
      <c r="F130" s="12">
        <v>26393</v>
      </c>
      <c r="G130" s="12">
        <v>5107400</v>
      </c>
      <c r="H130" s="12">
        <v>31400</v>
      </c>
      <c r="I130" s="12">
        <v>31085</v>
      </c>
      <c r="J130" s="12">
        <v>31114</v>
      </c>
      <c r="K130" s="12">
        <v>629100</v>
      </c>
      <c r="L130" s="12">
        <f t="shared" ref="L130:L161" si="23">F130*G130</f>
        <v>134799608200</v>
      </c>
      <c r="M130" s="12">
        <f t="shared" ref="M130:M190" si="24">J130*K130</f>
        <v>19573817400</v>
      </c>
      <c r="N130" s="62">
        <v>26748</v>
      </c>
      <c r="O130" s="62">
        <v>31396</v>
      </c>
      <c r="P130" s="62">
        <v>26592</v>
      </c>
      <c r="Q130" s="62">
        <v>31714</v>
      </c>
      <c r="R130" s="12"/>
      <c r="S130" s="12"/>
      <c r="T130" s="12"/>
      <c r="U130" s="12"/>
      <c r="V130" s="62">
        <v>27200</v>
      </c>
      <c r="X130" s="62">
        <v>27220</v>
      </c>
      <c r="Y130" s="62">
        <v>32187</v>
      </c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41"/>
      <c r="AT130" s="41"/>
      <c r="AU130" s="41"/>
      <c r="AV130" s="41"/>
      <c r="AW130" s="41"/>
      <c r="AX130" s="41"/>
      <c r="AY130" s="12"/>
      <c r="AZ130" s="12"/>
      <c r="BA130" s="12"/>
      <c r="BB130" s="12"/>
      <c r="BC130" s="12"/>
      <c r="BE130" s="63"/>
      <c r="BF130" s="63"/>
      <c r="BG130" s="63"/>
      <c r="BH130" s="63"/>
      <c r="BN130" s="14">
        <f t="shared" si="20"/>
        <v>3.1334065850793773</v>
      </c>
    </row>
    <row r="131" spans="1:66" s="64" customFormat="1" ht="21" hidden="1" customHeight="1">
      <c r="A131" s="27"/>
      <c r="B131" s="9" t="s">
        <v>195</v>
      </c>
      <c r="C131" s="9">
        <v>27</v>
      </c>
      <c r="D131" s="26">
        <v>26628</v>
      </c>
      <c r="E131" s="9">
        <v>26507</v>
      </c>
      <c r="F131" s="9">
        <v>26561</v>
      </c>
      <c r="G131" s="9">
        <v>8861800</v>
      </c>
      <c r="H131" s="9">
        <v>31295</v>
      </c>
      <c r="I131" s="9">
        <v>31039</v>
      </c>
      <c r="J131" s="9">
        <v>31112</v>
      </c>
      <c r="K131" s="9">
        <v>1048900</v>
      </c>
      <c r="L131" s="9">
        <f t="shared" si="23"/>
        <v>235378269800</v>
      </c>
      <c r="M131" s="9">
        <f t="shared" si="24"/>
        <v>32633376800</v>
      </c>
      <c r="N131" s="64">
        <v>26772</v>
      </c>
      <c r="O131" s="64">
        <v>31349</v>
      </c>
      <c r="P131" s="64">
        <v>26894</v>
      </c>
      <c r="Q131" s="64">
        <v>31608</v>
      </c>
      <c r="R131" s="9"/>
      <c r="S131" s="9"/>
      <c r="T131" s="9"/>
      <c r="U131" s="9"/>
      <c r="V131" s="64">
        <v>27470</v>
      </c>
      <c r="X131" s="64">
        <v>27600</v>
      </c>
      <c r="Y131" s="64">
        <v>32263</v>
      </c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26"/>
      <c r="AT131" s="26"/>
      <c r="AU131" s="26"/>
      <c r="AV131" s="26"/>
      <c r="AW131" s="26"/>
      <c r="AX131" s="26"/>
      <c r="AY131" s="9"/>
      <c r="AZ131" s="9"/>
      <c r="BA131" s="9"/>
      <c r="BB131" s="9"/>
      <c r="BC131" s="9"/>
      <c r="BE131" s="65"/>
      <c r="BF131" s="65"/>
      <c r="BG131" s="65"/>
      <c r="BH131" s="65"/>
      <c r="BN131" s="14">
        <f t="shared" si="20"/>
        <v>3.9117503106057754</v>
      </c>
    </row>
    <row r="132" spans="1:66" s="64" customFormat="1" ht="21" hidden="1" customHeight="1">
      <c r="A132" s="27"/>
      <c r="B132" s="9" t="s">
        <v>196</v>
      </c>
      <c r="C132" s="9">
        <v>28</v>
      </c>
      <c r="D132" s="26">
        <v>26507</v>
      </c>
      <c r="E132" s="9">
        <v>26395</v>
      </c>
      <c r="F132" s="9">
        <v>26391</v>
      </c>
      <c r="G132" s="9">
        <v>8230700</v>
      </c>
      <c r="H132" s="9">
        <v>31039</v>
      </c>
      <c r="I132" s="9">
        <v>31069</v>
      </c>
      <c r="J132" s="9">
        <v>31097</v>
      </c>
      <c r="K132" s="9">
        <v>482400</v>
      </c>
      <c r="L132" s="9">
        <f t="shared" si="23"/>
        <v>217216403700</v>
      </c>
      <c r="M132" s="9">
        <f t="shared" si="24"/>
        <v>15001192800</v>
      </c>
      <c r="N132" s="64">
        <v>26659</v>
      </c>
      <c r="O132" s="64">
        <v>31380</v>
      </c>
      <c r="P132" s="64">
        <v>26772</v>
      </c>
      <c r="Q132" s="64">
        <v>31349</v>
      </c>
      <c r="R132" s="9"/>
      <c r="S132" s="9"/>
      <c r="T132" s="9"/>
      <c r="U132" s="9"/>
      <c r="V132" s="64">
        <v>27300</v>
      </c>
      <c r="X132" s="64">
        <v>27340</v>
      </c>
      <c r="Y132" s="64">
        <v>32028</v>
      </c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26"/>
      <c r="AT132" s="26"/>
      <c r="AU132" s="26"/>
      <c r="AV132" s="26"/>
      <c r="AW132" s="26"/>
      <c r="AX132" s="26"/>
      <c r="AY132" s="9"/>
      <c r="AZ132" s="9"/>
      <c r="BA132" s="9"/>
      <c r="BB132" s="9"/>
      <c r="BC132" s="9"/>
      <c r="BE132" s="65"/>
      <c r="BF132" s="65"/>
      <c r="BG132" s="65"/>
      <c r="BH132" s="65"/>
      <c r="BN132" s="14">
        <f t="shared" si="20"/>
        <v>3.5959228524875906</v>
      </c>
    </row>
    <row r="133" spans="1:66" s="64" customFormat="1" ht="21" hidden="1" customHeight="1">
      <c r="A133" s="27"/>
      <c r="B133" s="66" t="s">
        <v>197</v>
      </c>
      <c r="C133" s="9">
        <v>29</v>
      </c>
      <c r="D133" s="26">
        <v>26376</v>
      </c>
      <c r="E133" s="9">
        <v>26232</v>
      </c>
      <c r="F133" s="9">
        <v>26276</v>
      </c>
      <c r="G133" s="9">
        <v>8995300</v>
      </c>
      <c r="H133" s="9">
        <v>31069</v>
      </c>
      <c r="I133" s="9">
        <v>31447</v>
      </c>
      <c r="J133" s="9">
        <v>31304</v>
      </c>
      <c r="K133" s="9">
        <v>356800</v>
      </c>
      <c r="L133" s="9">
        <f t="shared" si="23"/>
        <v>236360502800</v>
      </c>
      <c r="M133" s="9">
        <f t="shared" si="24"/>
        <v>11169267200</v>
      </c>
      <c r="N133" s="64">
        <v>26494</v>
      </c>
      <c r="O133" s="64">
        <v>31761</v>
      </c>
      <c r="P133" s="64">
        <v>26639</v>
      </c>
      <c r="Q133" s="64">
        <v>31380</v>
      </c>
      <c r="R133" s="9"/>
      <c r="S133" s="9"/>
      <c r="T133" s="9"/>
      <c r="U133" s="9"/>
      <c r="V133" s="64">
        <v>27400</v>
      </c>
      <c r="X133" s="64">
        <v>27380</v>
      </c>
      <c r="Y133" s="64">
        <v>32093</v>
      </c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26"/>
      <c r="AT133" s="26"/>
      <c r="AU133" s="26"/>
      <c r="AV133" s="26"/>
      <c r="AW133" s="26"/>
      <c r="AX133" s="26"/>
      <c r="AY133" s="9"/>
      <c r="AZ133" s="9"/>
      <c r="BA133" s="9"/>
      <c r="BB133" s="9"/>
      <c r="BC133" s="9"/>
      <c r="BE133" s="65"/>
      <c r="BF133" s="65"/>
      <c r="BG133" s="65"/>
      <c r="BH133" s="65"/>
      <c r="BN133" s="14">
        <f t="shared" si="20"/>
        <v>4.2015527477546053</v>
      </c>
    </row>
    <row r="134" spans="1:66" s="64" customFormat="1" ht="21" hidden="1" customHeight="1">
      <c r="A134" s="27"/>
      <c r="B134" s="66" t="s">
        <v>198</v>
      </c>
      <c r="C134" s="9">
        <v>30</v>
      </c>
      <c r="D134" s="26">
        <v>26270</v>
      </c>
      <c r="E134" s="9">
        <v>26232</v>
      </c>
      <c r="F134" s="9">
        <v>26287</v>
      </c>
      <c r="G134" s="9">
        <v>10062100</v>
      </c>
      <c r="H134" s="9">
        <v>31447</v>
      </c>
      <c r="I134" s="9">
        <v>31280</v>
      </c>
      <c r="J134" s="9">
        <v>31273</v>
      </c>
      <c r="K134" s="9">
        <v>878800</v>
      </c>
      <c r="L134" s="9">
        <f t="shared" si="23"/>
        <v>264502422700</v>
      </c>
      <c r="M134" s="9">
        <f t="shared" si="24"/>
        <v>27482712400</v>
      </c>
      <c r="N134" s="64">
        <v>26494</v>
      </c>
      <c r="O134" s="64">
        <v>31593</v>
      </c>
      <c r="P134" s="64">
        <v>26532</v>
      </c>
      <c r="Q134" s="64">
        <v>31761</v>
      </c>
      <c r="R134" s="9"/>
      <c r="S134" s="9"/>
      <c r="T134" s="9"/>
      <c r="U134" s="9"/>
      <c r="V134" s="64">
        <v>27400</v>
      </c>
      <c r="X134" s="64">
        <v>27350</v>
      </c>
      <c r="Y134" s="64">
        <v>32181</v>
      </c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26"/>
      <c r="AT134" s="26"/>
      <c r="AU134" s="26"/>
      <c r="AV134" s="26"/>
      <c r="AW134" s="26"/>
      <c r="AX134" s="26"/>
      <c r="AY134" s="9"/>
      <c r="AZ134" s="9"/>
      <c r="BA134" s="9"/>
      <c r="BB134" s="9"/>
      <c r="BC134" s="9"/>
      <c r="BE134" s="65"/>
      <c r="BF134" s="65"/>
      <c r="BG134" s="65"/>
      <c r="BH134" s="65"/>
      <c r="BN134" s="14">
        <f t="shared" si="20"/>
        <v>4.0438239433940728</v>
      </c>
    </row>
    <row r="135" spans="1:66" s="64" customFormat="1" ht="18" hidden="1">
      <c r="A135" s="27"/>
      <c r="B135" s="66" t="s">
        <v>199</v>
      </c>
      <c r="C135" s="9">
        <v>31</v>
      </c>
      <c r="D135" s="26">
        <v>26232</v>
      </c>
      <c r="E135" s="9">
        <v>26260</v>
      </c>
      <c r="F135" s="9">
        <v>26260</v>
      </c>
      <c r="G135" s="9">
        <v>8462400</v>
      </c>
      <c r="H135" s="9">
        <v>31280</v>
      </c>
      <c r="I135" s="9">
        <v>31084</v>
      </c>
      <c r="J135" s="9">
        <v>31147</v>
      </c>
      <c r="K135" s="9">
        <v>412100</v>
      </c>
      <c r="L135" s="9">
        <f t="shared" si="23"/>
        <v>222222624000</v>
      </c>
      <c r="M135" s="9">
        <f t="shared" si="24"/>
        <v>12835678700</v>
      </c>
      <c r="N135" s="64">
        <v>26523</v>
      </c>
      <c r="O135" s="64">
        <v>31394</v>
      </c>
      <c r="P135" s="64">
        <v>26494</v>
      </c>
      <c r="Q135" s="64">
        <v>31593</v>
      </c>
      <c r="R135" s="9"/>
      <c r="S135" s="9"/>
      <c r="T135" s="9"/>
      <c r="U135" s="9"/>
      <c r="V135" s="64">
        <v>27500</v>
      </c>
      <c r="X135" s="64">
        <v>27520</v>
      </c>
      <c r="Y135" s="64">
        <v>32347</v>
      </c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26"/>
      <c r="AT135" s="26"/>
      <c r="AU135" s="26"/>
      <c r="AV135" s="26"/>
      <c r="AW135" s="26"/>
      <c r="AX135" s="26"/>
      <c r="AY135" s="9"/>
      <c r="AZ135" s="9"/>
      <c r="BA135" s="9"/>
      <c r="BB135" s="9"/>
      <c r="BC135" s="9"/>
      <c r="BE135" s="65"/>
      <c r="BF135" s="65"/>
      <c r="BG135" s="65"/>
      <c r="BH135" s="65"/>
      <c r="BN135" s="14">
        <f t="shared" si="20"/>
        <v>4.7981721249047986</v>
      </c>
    </row>
    <row r="136" spans="1:66" s="68" customFormat="1" ht="21" hidden="1" customHeight="1">
      <c r="A136" s="20"/>
      <c r="B136" s="67" t="s">
        <v>200</v>
      </c>
      <c r="C136" s="21">
        <v>1</v>
      </c>
      <c r="D136" s="30">
        <v>26285</v>
      </c>
      <c r="E136" s="21">
        <v>26472</v>
      </c>
      <c r="F136" s="21">
        <v>26346</v>
      </c>
      <c r="G136" s="21">
        <v>7327700</v>
      </c>
      <c r="H136" s="21">
        <v>31065</v>
      </c>
      <c r="I136" s="21">
        <v>31168</v>
      </c>
      <c r="J136" s="21">
        <v>31073</v>
      </c>
      <c r="K136" s="21">
        <v>409200</v>
      </c>
      <c r="L136" s="21">
        <f t="shared" si="23"/>
        <v>193055584200</v>
      </c>
      <c r="M136" s="21">
        <f t="shared" si="24"/>
        <v>12715071600</v>
      </c>
      <c r="N136" s="68">
        <v>26736</v>
      </c>
      <c r="O136" s="68">
        <v>31480</v>
      </c>
      <c r="P136" s="68">
        <v>26548</v>
      </c>
      <c r="Q136" s="68">
        <v>31375</v>
      </c>
      <c r="R136" s="21"/>
      <c r="S136" s="21"/>
      <c r="T136" s="21"/>
      <c r="U136" s="21"/>
      <c r="V136" s="68">
        <v>27500</v>
      </c>
      <c r="X136" s="68">
        <v>27470</v>
      </c>
      <c r="Y136" s="68">
        <v>32242</v>
      </c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30"/>
      <c r="AT136" s="30"/>
      <c r="AU136" s="30"/>
      <c r="AV136" s="30"/>
      <c r="AW136" s="30"/>
      <c r="AX136" s="30"/>
      <c r="AY136" s="21"/>
      <c r="AZ136" s="21"/>
      <c r="BA136" s="21"/>
      <c r="BB136" s="21"/>
      <c r="BC136" s="21"/>
      <c r="BE136" s="69"/>
      <c r="BF136" s="69"/>
      <c r="BG136" s="69"/>
      <c r="BH136" s="69"/>
      <c r="BN136" s="14">
        <f t="shared" si="20"/>
        <v>4.2663022849768462</v>
      </c>
    </row>
    <row r="137" spans="1:66" s="71" customFormat="1" ht="21" hidden="1" customHeight="1">
      <c r="A137" s="31"/>
      <c r="B137" s="70" t="s">
        <v>201</v>
      </c>
      <c r="C137" s="32">
        <v>3</v>
      </c>
      <c r="D137" s="33">
        <v>26530</v>
      </c>
      <c r="E137" s="32">
        <v>26568</v>
      </c>
      <c r="F137" s="32">
        <v>26572</v>
      </c>
      <c r="G137" s="32">
        <v>9541500</v>
      </c>
      <c r="H137" s="32">
        <v>31168</v>
      </c>
      <c r="I137" s="32">
        <v>31185</v>
      </c>
      <c r="J137" s="32">
        <v>31146</v>
      </c>
      <c r="K137" s="32">
        <v>1141700</v>
      </c>
      <c r="L137" s="32">
        <f t="shared" si="23"/>
        <v>253536738000</v>
      </c>
      <c r="M137" s="32">
        <f t="shared" si="24"/>
        <v>35559388200</v>
      </c>
      <c r="N137" s="71">
        <v>26834</v>
      </c>
      <c r="O137" s="71">
        <v>31497</v>
      </c>
      <c r="P137" s="71">
        <v>26796</v>
      </c>
      <c r="Q137" s="71">
        <v>31480</v>
      </c>
      <c r="R137" s="32"/>
      <c r="S137" s="32"/>
      <c r="T137" s="32"/>
      <c r="U137" s="32"/>
      <c r="V137" s="71">
        <v>27680</v>
      </c>
      <c r="X137" s="71">
        <v>27540</v>
      </c>
      <c r="Y137" s="71">
        <v>32349</v>
      </c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3"/>
      <c r="AT137" s="33"/>
      <c r="AU137" s="33"/>
      <c r="AV137" s="33"/>
      <c r="AW137" s="33"/>
      <c r="AX137" s="33"/>
      <c r="AY137" s="32"/>
      <c r="AZ137" s="32"/>
      <c r="BA137" s="32"/>
      <c r="BB137" s="32"/>
      <c r="BC137" s="32"/>
      <c r="BE137" s="72"/>
      <c r="BF137" s="72"/>
      <c r="BG137" s="72"/>
      <c r="BH137" s="72"/>
      <c r="BN137" s="14">
        <f t="shared" si="20"/>
        <v>3.6429324100556979</v>
      </c>
    </row>
    <row r="138" spans="1:66" s="71" customFormat="1" ht="21" hidden="1" customHeight="1">
      <c r="A138" s="31"/>
      <c r="B138" s="70" t="s">
        <v>202</v>
      </c>
      <c r="C138" s="32">
        <v>4</v>
      </c>
      <c r="D138" s="33">
        <v>26563</v>
      </c>
      <c r="E138" s="32">
        <v>26763</v>
      </c>
      <c r="F138" s="32">
        <v>26641</v>
      </c>
      <c r="G138" s="32">
        <v>9198200</v>
      </c>
      <c r="H138" s="32">
        <v>31185</v>
      </c>
      <c r="I138" s="32">
        <v>31265</v>
      </c>
      <c r="J138" s="32">
        <v>31207</v>
      </c>
      <c r="K138" s="32">
        <v>800500</v>
      </c>
      <c r="L138" s="32">
        <f t="shared" si="23"/>
        <v>245049246200</v>
      </c>
      <c r="M138" s="32">
        <f t="shared" si="24"/>
        <v>24981203500</v>
      </c>
      <c r="N138" s="71">
        <v>27030</v>
      </c>
      <c r="O138" s="71">
        <v>31578</v>
      </c>
      <c r="P138" s="71">
        <v>26829</v>
      </c>
      <c r="Q138" s="71">
        <v>31497</v>
      </c>
      <c r="R138" s="32"/>
      <c r="S138" s="32"/>
      <c r="T138" s="32"/>
      <c r="U138" s="32"/>
      <c r="V138" s="71">
        <v>27600</v>
      </c>
      <c r="X138" s="71">
        <v>27650</v>
      </c>
      <c r="Y138" s="71">
        <v>32256</v>
      </c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3"/>
      <c r="AT138" s="33"/>
      <c r="AU138" s="33"/>
      <c r="AV138" s="33"/>
      <c r="AW138" s="33"/>
      <c r="AX138" s="33"/>
      <c r="AY138" s="32"/>
      <c r="AZ138" s="32"/>
      <c r="BA138" s="32"/>
      <c r="BB138" s="32"/>
      <c r="BC138" s="32"/>
      <c r="BE138" s="72"/>
      <c r="BF138" s="72"/>
      <c r="BG138" s="72"/>
      <c r="BH138" s="72"/>
      <c r="BN138" s="14">
        <f t="shared" si="20"/>
        <v>3.7873953680417403</v>
      </c>
    </row>
    <row r="139" spans="1:66" s="71" customFormat="1" ht="21" hidden="1" customHeight="1">
      <c r="A139" s="31"/>
      <c r="B139" s="70" t="s">
        <v>203</v>
      </c>
      <c r="C139" s="32">
        <v>6</v>
      </c>
      <c r="D139" s="33">
        <v>26902</v>
      </c>
      <c r="E139" s="32">
        <v>27230</v>
      </c>
      <c r="F139" s="32">
        <v>27169</v>
      </c>
      <c r="G139" s="32">
        <v>7757800</v>
      </c>
      <c r="H139" s="32">
        <v>31265</v>
      </c>
      <c r="I139" s="32">
        <v>31900</v>
      </c>
      <c r="J139" s="32">
        <v>31623</v>
      </c>
      <c r="K139" s="32">
        <v>961200</v>
      </c>
      <c r="L139" s="32">
        <f t="shared" si="23"/>
        <v>210771668200</v>
      </c>
      <c r="M139" s="32">
        <f t="shared" si="24"/>
        <v>30396027600</v>
      </c>
      <c r="N139" s="71">
        <v>27502</v>
      </c>
      <c r="O139" s="71">
        <v>32219</v>
      </c>
      <c r="P139" s="71">
        <v>27171</v>
      </c>
      <c r="Q139" s="71">
        <v>31578</v>
      </c>
      <c r="R139" s="32"/>
      <c r="S139" s="32"/>
      <c r="T139" s="32"/>
      <c r="U139" s="32"/>
      <c r="V139" s="71">
        <v>27850</v>
      </c>
      <c r="X139" s="71">
        <v>27900</v>
      </c>
      <c r="Y139" s="71">
        <v>32455</v>
      </c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3"/>
      <c r="AT139" s="33"/>
      <c r="AU139" s="33"/>
      <c r="AV139" s="33"/>
      <c r="AW139" s="33"/>
      <c r="AX139" s="33"/>
      <c r="AY139" s="32"/>
      <c r="AZ139" s="32"/>
      <c r="BA139" s="32"/>
      <c r="BB139" s="32"/>
      <c r="BC139" s="32"/>
      <c r="BE139" s="72"/>
      <c r="BF139" s="72"/>
      <c r="BG139" s="72"/>
      <c r="BH139" s="72"/>
      <c r="BN139" s="14">
        <f t="shared" si="20"/>
        <v>2.6905664544149581</v>
      </c>
    </row>
    <row r="140" spans="1:66" s="71" customFormat="1" ht="21" hidden="1" customHeight="1">
      <c r="A140" s="31"/>
      <c r="B140" s="70" t="s">
        <v>204</v>
      </c>
      <c r="C140" s="32">
        <v>7</v>
      </c>
      <c r="D140" s="33">
        <v>27419</v>
      </c>
      <c r="E140" s="32">
        <v>27633</v>
      </c>
      <c r="F140" s="32">
        <v>27449</v>
      </c>
      <c r="G140" s="32">
        <v>9393600</v>
      </c>
      <c r="H140" s="32">
        <v>31900</v>
      </c>
      <c r="I140" s="32">
        <v>32220</v>
      </c>
      <c r="J140" s="32">
        <v>31790</v>
      </c>
      <c r="K140" s="32">
        <v>863400</v>
      </c>
      <c r="L140" s="32">
        <f t="shared" si="23"/>
        <v>257844926400</v>
      </c>
      <c r="M140" s="32">
        <f t="shared" si="24"/>
        <v>27447486000</v>
      </c>
      <c r="N140" s="71">
        <v>27909</v>
      </c>
      <c r="O140" s="71">
        <v>32543</v>
      </c>
      <c r="P140" s="71">
        <v>27693</v>
      </c>
      <c r="Q140" s="71">
        <v>32219</v>
      </c>
      <c r="R140" s="32"/>
      <c r="S140" s="32"/>
      <c r="T140" s="32"/>
      <c r="U140" s="32"/>
      <c r="V140" s="71">
        <v>28180</v>
      </c>
      <c r="X140" s="71">
        <v>28300</v>
      </c>
      <c r="Y140" s="71">
        <v>32854</v>
      </c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3"/>
      <c r="AT140" s="33"/>
      <c r="AU140" s="33"/>
      <c r="AV140" s="33"/>
      <c r="AW140" s="33"/>
      <c r="AX140" s="33"/>
      <c r="AY140" s="32"/>
      <c r="AZ140" s="32"/>
      <c r="BA140" s="32"/>
      <c r="BB140" s="32"/>
      <c r="BC140" s="32"/>
      <c r="BE140" s="72"/>
      <c r="BF140" s="72"/>
      <c r="BG140" s="72"/>
      <c r="BH140" s="72"/>
      <c r="BN140" s="14">
        <f t="shared" si="20"/>
        <v>3.1002950927174031</v>
      </c>
    </row>
    <row r="141" spans="1:66" s="71" customFormat="1" ht="21" hidden="1" customHeight="1">
      <c r="A141" s="31"/>
      <c r="B141" s="70" t="s">
        <v>205</v>
      </c>
      <c r="C141" s="32">
        <v>8</v>
      </c>
      <c r="D141" s="33">
        <v>27523</v>
      </c>
      <c r="E141" s="32">
        <v>27832</v>
      </c>
      <c r="F141" s="32">
        <v>27639</v>
      </c>
      <c r="G141" s="32">
        <v>5803400</v>
      </c>
      <c r="H141" s="32">
        <v>32220</v>
      </c>
      <c r="I141" s="32">
        <v>32332</v>
      </c>
      <c r="J141" s="32">
        <v>32330</v>
      </c>
      <c r="K141" s="32">
        <v>337600</v>
      </c>
      <c r="L141" s="32">
        <f t="shared" si="23"/>
        <v>160400172600</v>
      </c>
      <c r="M141" s="32">
        <f t="shared" si="24"/>
        <v>10914608000</v>
      </c>
      <c r="N141" s="71">
        <v>28111</v>
      </c>
      <c r="O141" s="71">
        <v>32656</v>
      </c>
      <c r="P141" s="71">
        <v>27798</v>
      </c>
      <c r="Q141" s="71">
        <v>32543</v>
      </c>
      <c r="R141" s="32"/>
      <c r="S141" s="32"/>
      <c r="T141" s="32"/>
      <c r="U141" s="32"/>
      <c r="V141" s="71">
        <v>28320</v>
      </c>
      <c r="X141" s="71">
        <v>28390</v>
      </c>
      <c r="Y141" s="71">
        <v>32822</v>
      </c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3"/>
      <c r="AT141" s="33"/>
      <c r="AU141" s="33"/>
      <c r="AV141" s="33"/>
      <c r="AW141" s="33"/>
      <c r="AX141" s="33"/>
      <c r="AY141" s="32"/>
      <c r="AZ141" s="32"/>
      <c r="BA141" s="32"/>
      <c r="BB141" s="32"/>
      <c r="BC141" s="32"/>
      <c r="BE141" s="72"/>
      <c r="BF141" s="72"/>
      <c r="BG141" s="72"/>
      <c r="BH141" s="72"/>
      <c r="BN141" s="14">
        <f t="shared" ref="BN141:BN195" si="25">100*(X141-F141)/F141</f>
        <v>2.7171750063316327</v>
      </c>
    </row>
    <row r="142" spans="1:66" s="64" customFormat="1" ht="21" hidden="1" customHeight="1">
      <c r="A142" s="27"/>
      <c r="B142" s="66" t="s">
        <v>206</v>
      </c>
      <c r="C142" s="9">
        <v>10</v>
      </c>
      <c r="D142" s="26">
        <v>27657</v>
      </c>
      <c r="E142" s="9">
        <v>27473</v>
      </c>
      <c r="F142" s="9">
        <v>27531</v>
      </c>
      <c r="G142" s="9">
        <v>6487600</v>
      </c>
      <c r="H142" s="9">
        <v>32332</v>
      </c>
      <c r="I142" s="9">
        <v>31617</v>
      </c>
      <c r="J142" s="9">
        <v>32040</v>
      </c>
      <c r="K142" s="9">
        <v>610400</v>
      </c>
      <c r="L142" s="9">
        <f t="shared" si="23"/>
        <v>178610115600</v>
      </c>
      <c r="M142" s="9">
        <f t="shared" si="24"/>
        <v>19557216000</v>
      </c>
      <c r="N142" s="64">
        <v>27747</v>
      </c>
      <c r="O142" s="64">
        <v>31933</v>
      </c>
      <c r="P142" s="64">
        <v>27934</v>
      </c>
      <c r="Q142" s="64">
        <v>32656</v>
      </c>
      <c r="R142" s="9"/>
      <c r="S142" s="9"/>
      <c r="T142" s="9"/>
      <c r="U142" s="9"/>
      <c r="V142" s="64">
        <v>28270</v>
      </c>
      <c r="X142" s="64">
        <v>28100</v>
      </c>
      <c r="Y142" s="64">
        <v>32756</v>
      </c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26"/>
      <c r="AT142" s="26"/>
      <c r="AU142" s="26"/>
      <c r="AV142" s="26"/>
      <c r="AW142" s="26"/>
      <c r="AX142" s="26"/>
      <c r="AY142" s="9"/>
      <c r="AZ142" s="9"/>
      <c r="BA142" s="9"/>
      <c r="BB142" s="9"/>
      <c r="BC142" s="9"/>
      <c r="BE142" s="65"/>
      <c r="BF142" s="65"/>
      <c r="BG142" s="65"/>
      <c r="BH142" s="65"/>
      <c r="BN142" s="14">
        <f t="shared" si="25"/>
        <v>2.0667611056627075</v>
      </c>
    </row>
    <row r="143" spans="1:66" s="64" customFormat="1" ht="21" hidden="1" customHeight="1">
      <c r="A143" s="27"/>
      <c r="B143" s="66" t="s">
        <v>207</v>
      </c>
      <c r="C143" s="9">
        <v>11</v>
      </c>
      <c r="D143" s="26">
        <v>27318</v>
      </c>
      <c r="E143" s="9">
        <v>27293</v>
      </c>
      <c r="F143" s="9">
        <v>27250</v>
      </c>
      <c r="G143" s="9">
        <v>6807700</v>
      </c>
      <c r="H143" s="9">
        <v>31617</v>
      </c>
      <c r="I143" s="9">
        <v>31590</v>
      </c>
      <c r="J143" s="9">
        <v>31590</v>
      </c>
      <c r="K143" s="9">
        <v>803500</v>
      </c>
      <c r="L143" s="9">
        <f t="shared" si="23"/>
        <v>185509825000</v>
      </c>
      <c r="M143" s="9">
        <f t="shared" si="24"/>
        <v>25382565000</v>
      </c>
      <c r="N143" s="64">
        <v>27566</v>
      </c>
      <c r="O143" s="64">
        <v>31905</v>
      </c>
      <c r="P143" s="64">
        <v>27591</v>
      </c>
      <c r="Q143" s="64">
        <v>31933</v>
      </c>
      <c r="R143" s="9"/>
      <c r="S143" s="9"/>
      <c r="T143" s="9"/>
      <c r="U143" s="9"/>
      <c r="V143" s="64">
        <v>28110</v>
      </c>
      <c r="X143" s="64">
        <v>28020</v>
      </c>
      <c r="Y143" s="64">
        <v>32512</v>
      </c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26"/>
      <c r="AT143" s="26"/>
      <c r="AU143" s="26"/>
      <c r="AV143" s="26"/>
      <c r="AW143" s="26"/>
      <c r="AX143" s="26"/>
      <c r="AY143" s="9"/>
      <c r="AZ143" s="9"/>
      <c r="BA143" s="9"/>
      <c r="BB143" s="9"/>
      <c r="BC143" s="9"/>
      <c r="BE143" s="65"/>
      <c r="BF143" s="65"/>
      <c r="BG143" s="65"/>
      <c r="BH143" s="65"/>
      <c r="BN143" s="14">
        <f t="shared" si="25"/>
        <v>2.8256880733944953</v>
      </c>
    </row>
    <row r="144" spans="1:66" s="64" customFormat="1" ht="21" hidden="1" customHeight="1">
      <c r="A144" s="27"/>
      <c r="B144" s="66" t="s">
        <v>208</v>
      </c>
      <c r="C144" s="9">
        <v>12</v>
      </c>
      <c r="D144" s="26">
        <v>27269</v>
      </c>
      <c r="E144" s="9">
        <v>27249</v>
      </c>
      <c r="F144" s="9">
        <v>27229</v>
      </c>
      <c r="G144" s="9">
        <v>7875600</v>
      </c>
      <c r="H144" s="9">
        <v>31590</v>
      </c>
      <c r="I144" s="9">
        <v>31582</v>
      </c>
      <c r="J144" s="9">
        <v>31586</v>
      </c>
      <c r="K144" s="9">
        <v>813300</v>
      </c>
      <c r="L144" s="9">
        <f t="shared" si="23"/>
        <v>214444712400</v>
      </c>
      <c r="M144" s="9">
        <f t="shared" si="24"/>
        <v>25688893800</v>
      </c>
      <c r="N144" s="64">
        <v>27522</v>
      </c>
      <c r="O144" s="64">
        <v>31898</v>
      </c>
      <c r="P144" s="64">
        <v>27542</v>
      </c>
      <c r="Q144" s="64">
        <v>31905</v>
      </c>
      <c r="R144" s="9"/>
      <c r="S144" s="9"/>
      <c r="T144" s="9"/>
      <c r="U144" s="9"/>
      <c r="V144" s="64">
        <v>28050</v>
      </c>
      <c r="X144" s="64">
        <v>28110</v>
      </c>
      <c r="Y144" s="64">
        <v>32600</v>
      </c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26"/>
      <c r="AT144" s="26"/>
      <c r="AU144" s="26"/>
      <c r="AV144" s="26"/>
      <c r="AW144" s="26"/>
      <c r="AX144" s="26"/>
      <c r="AY144" s="9"/>
      <c r="AZ144" s="9"/>
      <c r="BA144" s="9"/>
      <c r="BB144" s="9"/>
      <c r="BC144" s="9"/>
      <c r="BE144" s="65"/>
      <c r="BF144" s="65"/>
      <c r="BG144" s="65"/>
      <c r="BH144" s="65"/>
      <c r="BN144" s="14">
        <f t="shared" si="25"/>
        <v>3.2355209519262549</v>
      </c>
    </row>
    <row r="145" spans="1:66" s="95" customFormat="1" ht="21" hidden="1" customHeight="1">
      <c r="A145" s="91"/>
      <c r="B145" s="92" t="s">
        <v>209</v>
      </c>
      <c r="C145" s="93">
        <v>14</v>
      </c>
      <c r="D145" s="94">
        <v>27249</v>
      </c>
      <c r="E145" s="93">
        <v>27271</v>
      </c>
      <c r="F145" s="93">
        <v>27376</v>
      </c>
      <c r="G145" s="93">
        <v>4049300</v>
      </c>
      <c r="H145" s="93">
        <v>31582</v>
      </c>
      <c r="I145" s="93">
        <v>31470</v>
      </c>
      <c r="J145" s="93">
        <v>31690</v>
      </c>
      <c r="K145" s="93">
        <v>376700</v>
      </c>
      <c r="L145" s="93">
        <f t="shared" si="23"/>
        <v>110853636800</v>
      </c>
      <c r="M145" s="93">
        <f t="shared" si="24"/>
        <v>11937623000</v>
      </c>
      <c r="N145" s="95">
        <v>27544</v>
      </c>
      <c r="O145" s="95">
        <v>31785</v>
      </c>
      <c r="P145" s="95">
        <v>27522</v>
      </c>
      <c r="Q145" s="95">
        <v>31898</v>
      </c>
      <c r="R145" s="93"/>
      <c r="S145" s="93"/>
      <c r="T145" s="93"/>
      <c r="U145" s="93"/>
      <c r="V145" s="95">
        <v>28150</v>
      </c>
      <c r="X145" s="95">
        <v>27980</v>
      </c>
      <c r="Y145" s="95">
        <v>32400</v>
      </c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4"/>
      <c r="AT145" s="94"/>
      <c r="AU145" s="94"/>
      <c r="AV145" s="94"/>
      <c r="AW145" s="94"/>
      <c r="AX145" s="94"/>
      <c r="AY145" s="93"/>
      <c r="AZ145" s="93"/>
      <c r="BA145" s="93"/>
      <c r="BB145" s="93"/>
      <c r="BC145" s="93"/>
      <c r="BE145" s="96"/>
      <c r="BF145" s="96"/>
      <c r="BG145" s="96"/>
      <c r="BH145" s="96"/>
      <c r="BN145" s="14">
        <f t="shared" si="25"/>
        <v>2.2063120981881941</v>
      </c>
    </row>
    <row r="146" spans="1:66" s="101" customFormat="1" ht="21" hidden="1" customHeight="1">
      <c r="A146" s="97"/>
      <c r="B146" s="98" t="s">
        <v>399</v>
      </c>
      <c r="C146" s="99">
        <v>17</v>
      </c>
      <c r="D146" s="100">
        <v>27020</v>
      </c>
      <c r="E146" s="99">
        <v>26869</v>
      </c>
      <c r="F146" s="99">
        <v>26987</v>
      </c>
      <c r="G146" s="99">
        <v>7931300</v>
      </c>
      <c r="H146" s="99">
        <v>31470</v>
      </c>
      <c r="I146" s="99">
        <v>31495</v>
      </c>
      <c r="J146" s="99">
        <v>31436</v>
      </c>
      <c r="K146" s="99">
        <v>504700</v>
      </c>
      <c r="L146" s="99">
        <f t="shared" si="23"/>
        <v>214041993100</v>
      </c>
      <c r="M146" s="99">
        <f t="shared" si="24"/>
        <v>15865749200</v>
      </c>
      <c r="N146" s="101">
        <v>27138</v>
      </c>
      <c r="O146" s="101">
        <v>31810</v>
      </c>
      <c r="P146" s="101">
        <v>27290</v>
      </c>
      <c r="Q146" s="101">
        <v>31785</v>
      </c>
      <c r="R146" s="99"/>
      <c r="S146" s="99"/>
      <c r="T146" s="99"/>
      <c r="U146" s="99"/>
      <c r="V146" s="101">
        <v>27880</v>
      </c>
      <c r="X146" s="101">
        <v>27750</v>
      </c>
      <c r="Y146" s="101">
        <v>32224</v>
      </c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100"/>
      <c r="AT146" s="100"/>
      <c r="AU146" s="100"/>
      <c r="AV146" s="100"/>
      <c r="AW146" s="100"/>
      <c r="AX146" s="100"/>
      <c r="AY146" s="99"/>
      <c r="AZ146" s="99"/>
      <c r="BA146" s="99"/>
      <c r="BB146" s="99"/>
      <c r="BC146" s="99"/>
      <c r="BE146" s="102"/>
      <c r="BF146" s="102"/>
      <c r="BG146" s="102"/>
      <c r="BH146" s="102"/>
      <c r="BN146" s="14">
        <f t="shared" si="25"/>
        <v>2.8272872123615076</v>
      </c>
    </row>
    <row r="147" spans="1:66" s="101" customFormat="1" ht="21" hidden="1" customHeight="1">
      <c r="A147" s="97"/>
      <c r="B147" s="98" t="s">
        <v>401</v>
      </c>
      <c r="C147" s="99">
        <v>18</v>
      </c>
      <c r="D147" s="100">
        <v>26552</v>
      </c>
      <c r="E147" s="99">
        <v>26617</v>
      </c>
      <c r="F147" s="99">
        <v>26650</v>
      </c>
      <c r="G147" s="99">
        <v>6622400</v>
      </c>
      <c r="H147" s="99">
        <v>31400</v>
      </c>
      <c r="I147" s="99">
        <v>30450</v>
      </c>
      <c r="J147" s="99">
        <v>30816</v>
      </c>
      <c r="K147" s="99">
        <v>1092900</v>
      </c>
      <c r="L147" s="99">
        <f t="shared" si="23"/>
        <v>176486960000</v>
      </c>
      <c r="M147" s="99">
        <f t="shared" si="24"/>
        <v>33678806400</v>
      </c>
      <c r="N147" s="101">
        <v>26883</v>
      </c>
      <c r="O147" s="101">
        <v>30754</v>
      </c>
      <c r="P147" s="101">
        <v>26817</v>
      </c>
      <c r="Q147" s="101">
        <v>31714</v>
      </c>
      <c r="R147" s="99"/>
      <c r="S147" s="99"/>
      <c r="T147" s="99"/>
      <c r="U147" s="99"/>
      <c r="V147" s="101">
        <v>27550</v>
      </c>
      <c r="X147" s="101">
        <v>27550</v>
      </c>
      <c r="Y147" s="101">
        <v>31842</v>
      </c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99"/>
      <c r="AO147" s="99"/>
      <c r="AP147" s="99"/>
      <c r="AQ147" s="99"/>
      <c r="AR147" s="99"/>
      <c r="AS147" s="100"/>
      <c r="AT147" s="100"/>
      <c r="AU147" s="100"/>
      <c r="AV147" s="100"/>
      <c r="AW147" s="100"/>
      <c r="AX147" s="100"/>
      <c r="AY147" s="99"/>
      <c r="AZ147" s="99"/>
      <c r="BA147" s="99"/>
      <c r="BB147" s="99"/>
      <c r="BC147" s="99"/>
      <c r="BE147" s="102"/>
      <c r="BF147" s="102"/>
      <c r="BG147" s="102"/>
      <c r="BH147" s="102"/>
      <c r="BN147" s="14">
        <f t="shared" si="25"/>
        <v>3.3771106941838651</v>
      </c>
    </row>
    <row r="148" spans="1:66" s="101" customFormat="1" ht="21" hidden="1" customHeight="1">
      <c r="A148" s="97"/>
      <c r="B148" s="98" t="s">
        <v>403</v>
      </c>
      <c r="C148" s="99">
        <v>19</v>
      </c>
      <c r="D148" s="100">
        <v>26646</v>
      </c>
      <c r="E148" s="99">
        <v>26572</v>
      </c>
      <c r="F148" s="99">
        <v>26650</v>
      </c>
      <c r="G148" s="99">
        <v>8283400</v>
      </c>
      <c r="H148" s="99">
        <v>30450</v>
      </c>
      <c r="I148" s="99">
        <v>30400</v>
      </c>
      <c r="J148" s="99">
        <v>30589</v>
      </c>
      <c r="K148" s="99">
        <v>1202500</v>
      </c>
      <c r="L148" s="99">
        <f t="shared" si="23"/>
        <v>220752610000</v>
      </c>
      <c r="M148" s="99">
        <f t="shared" si="24"/>
        <v>36783272500</v>
      </c>
      <c r="N148" s="101">
        <v>26838</v>
      </c>
      <c r="O148" s="101">
        <v>30704</v>
      </c>
      <c r="P148" s="101">
        <v>26913</v>
      </c>
      <c r="Q148" s="101">
        <v>30754</v>
      </c>
      <c r="R148" s="99"/>
      <c r="S148" s="99"/>
      <c r="T148" s="99"/>
      <c r="U148" s="99"/>
      <c r="V148" s="101">
        <v>27610</v>
      </c>
      <c r="X148" s="101">
        <v>27470</v>
      </c>
      <c r="Y148" s="101">
        <v>31856</v>
      </c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99"/>
      <c r="AO148" s="99"/>
      <c r="AP148" s="99"/>
      <c r="AQ148" s="99"/>
      <c r="AR148" s="99"/>
      <c r="AS148" s="100"/>
      <c r="AT148" s="100"/>
      <c r="AU148" s="100"/>
      <c r="AV148" s="100"/>
      <c r="AW148" s="100"/>
      <c r="AX148" s="100"/>
      <c r="AY148" s="99"/>
      <c r="AZ148" s="99"/>
      <c r="BA148" s="99"/>
      <c r="BB148" s="99"/>
      <c r="BC148" s="99"/>
      <c r="BE148" s="102"/>
      <c r="BF148" s="102"/>
      <c r="BG148" s="102"/>
      <c r="BH148" s="102"/>
      <c r="BN148" s="14">
        <f t="shared" si="25"/>
        <v>3.0769230769230771</v>
      </c>
    </row>
    <row r="149" spans="1:66" s="101" customFormat="1" ht="21" hidden="1" customHeight="1">
      <c r="A149" s="97"/>
      <c r="B149" s="98" t="s">
        <v>406</v>
      </c>
      <c r="C149" s="99">
        <v>20</v>
      </c>
      <c r="D149" s="100">
        <v>26572</v>
      </c>
      <c r="E149" s="99">
        <v>26402</v>
      </c>
      <c r="F149" s="99">
        <v>26410</v>
      </c>
      <c r="G149" s="99">
        <v>5931500</v>
      </c>
      <c r="H149" s="99">
        <v>30400</v>
      </c>
      <c r="I149" s="99">
        <v>30480</v>
      </c>
      <c r="J149" s="99">
        <v>30421</v>
      </c>
      <c r="K149" s="99">
        <v>1174100</v>
      </c>
      <c r="L149" s="99">
        <f t="shared" si="23"/>
        <v>156650915000</v>
      </c>
      <c r="M149" s="99">
        <f t="shared" si="24"/>
        <v>35717296100</v>
      </c>
      <c r="N149" s="101">
        <v>26666</v>
      </c>
      <c r="O149" s="101">
        <v>30785</v>
      </c>
      <c r="P149" s="101">
        <v>26838</v>
      </c>
      <c r="Q149" s="101">
        <v>30704</v>
      </c>
      <c r="R149" s="99"/>
      <c r="S149" s="99"/>
      <c r="T149" s="99"/>
      <c r="U149" s="99"/>
      <c r="V149" s="101">
        <v>27350</v>
      </c>
      <c r="X149" s="101">
        <v>27020</v>
      </c>
      <c r="Y149" s="101">
        <v>31466</v>
      </c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100"/>
      <c r="AT149" s="100"/>
      <c r="AU149" s="100"/>
      <c r="AV149" s="100"/>
      <c r="AW149" s="100"/>
      <c r="AX149" s="100"/>
      <c r="AY149" s="99"/>
      <c r="AZ149" s="99"/>
      <c r="BA149" s="99"/>
      <c r="BB149" s="99"/>
      <c r="BC149" s="99"/>
      <c r="BE149" s="102"/>
      <c r="BF149" s="102"/>
      <c r="BG149" s="102"/>
      <c r="BH149" s="102"/>
      <c r="BN149" s="14">
        <f t="shared" si="25"/>
        <v>2.3097311624384704</v>
      </c>
    </row>
    <row r="150" spans="1:66" s="101" customFormat="1" ht="21" hidden="1" customHeight="1">
      <c r="A150" s="97"/>
      <c r="B150" s="98" t="s">
        <v>407</v>
      </c>
      <c r="C150" s="99">
        <v>21</v>
      </c>
      <c r="D150" s="100">
        <v>26402</v>
      </c>
      <c r="E150" s="99">
        <v>26306</v>
      </c>
      <c r="F150" s="99">
        <v>26281</v>
      </c>
      <c r="G150" s="99">
        <v>8578700</v>
      </c>
      <c r="H150" s="99">
        <v>30480</v>
      </c>
      <c r="I150" s="99">
        <v>30106</v>
      </c>
      <c r="J150" s="99">
        <v>30342</v>
      </c>
      <c r="K150" s="99">
        <v>951900</v>
      </c>
      <c r="L150" s="99">
        <f t="shared" si="23"/>
        <v>225456814700</v>
      </c>
      <c r="M150" s="99">
        <f t="shared" si="24"/>
        <v>28882549800</v>
      </c>
      <c r="N150" s="101">
        <v>26569</v>
      </c>
      <c r="O150" s="101">
        <v>30407</v>
      </c>
      <c r="P150" s="101">
        <v>26666</v>
      </c>
      <c r="Q150" s="101">
        <v>30785</v>
      </c>
      <c r="R150" s="99"/>
      <c r="S150" s="99"/>
      <c r="T150" s="99"/>
      <c r="U150" s="99"/>
      <c r="V150" s="101">
        <v>26980</v>
      </c>
      <c r="X150" s="101">
        <v>27210</v>
      </c>
      <c r="Y150" s="101">
        <v>31246</v>
      </c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100"/>
      <c r="AT150" s="100"/>
      <c r="AU150" s="100"/>
      <c r="AV150" s="100"/>
      <c r="AW150" s="100"/>
      <c r="AX150" s="100"/>
      <c r="AY150" s="99"/>
      <c r="AZ150" s="99"/>
      <c r="BA150" s="99"/>
      <c r="BB150" s="99"/>
      <c r="BC150" s="99"/>
      <c r="BE150" s="102"/>
      <c r="BF150" s="102"/>
      <c r="BG150" s="102"/>
      <c r="BH150" s="102"/>
      <c r="BN150" s="14">
        <f t="shared" si="25"/>
        <v>3.5348731022411628</v>
      </c>
    </row>
    <row r="151" spans="1:66" s="101" customFormat="1" ht="21" hidden="1" customHeight="1">
      <c r="A151" s="97"/>
      <c r="B151" s="98" t="s">
        <v>409</v>
      </c>
      <c r="C151" s="99">
        <v>22</v>
      </c>
      <c r="D151" s="100">
        <v>26408</v>
      </c>
      <c r="E151" s="99">
        <v>26233</v>
      </c>
      <c r="F151" s="99">
        <v>26358</v>
      </c>
      <c r="G151" s="99">
        <v>6339700</v>
      </c>
      <c r="H151" s="99">
        <v>30500</v>
      </c>
      <c r="I151" s="99">
        <v>30105</v>
      </c>
      <c r="J151" s="99">
        <v>30157</v>
      </c>
      <c r="K151" s="99">
        <v>1066900</v>
      </c>
      <c r="L151" s="99">
        <f t="shared" si="23"/>
        <v>167101812600</v>
      </c>
      <c r="M151" s="99">
        <f t="shared" si="24"/>
        <v>32174503300</v>
      </c>
      <c r="N151" s="101">
        <v>26496</v>
      </c>
      <c r="O151" s="101">
        <v>30406</v>
      </c>
      <c r="P151" s="101">
        <v>26672</v>
      </c>
      <c r="Q151" s="101">
        <v>30805</v>
      </c>
      <c r="R151" s="99"/>
      <c r="S151" s="99"/>
      <c r="T151" s="99"/>
      <c r="U151" s="99"/>
      <c r="V151" s="101">
        <v>27220</v>
      </c>
      <c r="X151" s="101">
        <v>27100</v>
      </c>
      <c r="Y151" s="101">
        <v>31440</v>
      </c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99"/>
      <c r="AO151" s="99"/>
      <c r="AP151" s="99"/>
      <c r="AQ151" s="99"/>
      <c r="AR151" s="99"/>
      <c r="AS151" s="100"/>
      <c r="AT151" s="100"/>
      <c r="AU151" s="100"/>
      <c r="AV151" s="100"/>
      <c r="AW151" s="100"/>
      <c r="AX151" s="100"/>
      <c r="AY151" s="99"/>
      <c r="AZ151" s="99"/>
      <c r="BA151" s="99"/>
      <c r="BB151" s="99"/>
      <c r="BC151" s="99"/>
      <c r="BE151" s="102"/>
      <c r="BF151" s="102"/>
      <c r="BG151" s="102"/>
      <c r="BH151" s="102"/>
      <c r="BN151" s="14">
        <f t="shared" si="25"/>
        <v>2.8150846042947113</v>
      </c>
    </row>
    <row r="152" spans="1:66" s="95" customFormat="1" ht="21" hidden="1" customHeight="1">
      <c r="A152" s="91"/>
      <c r="B152" s="92" t="s">
        <v>412</v>
      </c>
      <c r="C152" s="93">
        <v>24</v>
      </c>
      <c r="D152" s="94">
        <v>26426</v>
      </c>
      <c r="E152" s="93">
        <v>26300</v>
      </c>
      <c r="F152" s="93">
        <v>26338</v>
      </c>
      <c r="G152" s="93">
        <v>9095900</v>
      </c>
      <c r="H152" s="93">
        <v>30105</v>
      </c>
      <c r="I152" s="93">
        <v>30117</v>
      </c>
      <c r="J152" s="93">
        <v>30200</v>
      </c>
      <c r="K152" s="93">
        <v>1397100</v>
      </c>
      <c r="L152" s="93">
        <f t="shared" si="23"/>
        <v>239567814200</v>
      </c>
      <c r="M152" s="93">
        <f t="shared" si="24"/>
        <v>42192420000</v>
      </c>
      <c r="N152" s="95">
        <v>26563</v>
      </c>
      <c r="O152" s="95">
        <v>30418</v>
      </c>
      <c r="P152" s="95">
        <v>26691</v>
      </c>
      <c r="Q152" s="95">
        <v>30406</v>
      </c>
      <c r="R152" s="93"/>
      <c r="S152" s="93"/>
      <c r="T152" s="93"/>
      <c r="U152" s="93"/>
      <c r="V152" s="95">
        <v>27330</v>
      </c>
      <c r="X152" s="95">
        <v>27250</v>
      </c>
      <c r="Y152" s="95">
        <v>31564</v>
      </c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4"/>
      <c r="AT152" s="94"/>
      <c r="AU152" s="94"/>
      <c r="AV152" s="94"/>
      <c r="AW152" s="94"/>
      <c r="AX152" s="94"/>
      <c r="AY152" s="93"/>
      <c r="AZ152" s="93"/>
      <c r="BA152" s="93"/>
      <c r="BB152" s="93"/>
      <c r="BC152" s="93"/>
      <c r="BE152" s="96"/>
      <c r="BF152" s="96"/>
      <c r="BG152" s="96"/>
      <c r="BH152" s="96"/>
      <c r="BN152" s="14">
        <f t="shared" si="25"/>
        <v>3.46267750018984</v>
      </c>
    </row>
    <row r="153" spans="1:66" s="95" customFormat="1" ht="21" hidden="1" customHeight="1">
      <c r="A153" s="91"/>
      <c r="B153" s="92" t="s">
        <v>414</v>
      </c>
      <c r="C153" s="93">
        <v>25</v>
      </c>
      <c r="D153" s="94">
        <v>26313</v>
      </c>
      <c r="E153" s="93">
        <v>26293</v>
      </c>
      <c r="F153" s="93">
        <v>26313</v>
      </c>
      <c r="G153" s="93">
        <v>8987200</v>
      </c>
      <c r="H153" s="93">
        <v>30146</v>
      </c>
      <c r="I153" s="93">
        <v>30146</v>
      </c>
      <c r="J153" s="93">
        <v>30137</v>
      </c>
      <c r="K153" s="93">
        <v>2310500</v>
      </c>
      <c r="L153" s="93">
        <f t="shared" si="23"/>
        <v>236480193600</v>
      </c>
      <c r="M153" s="93">
        <f t="shared" si="24"/>
        <v>69631538500</v>
      </c>
      <c r="N153" s="95">
        <v>26556</v>
      </c>
      <c r="O153" s="95">
        <v>30475</v>
      </c>
      <c r="P153" s="95">
        <v>26576</v>
      </c>
      <c r="Q153" s="95">
        <v>30448</v>
      </c>
      <c r="R153" s="93"/>
      <c r="S153" s="93"/>
      <c r="T153" s="93"/>
      <c r="U153" s="93"/>
      <c r="V153" s="95">
        <v>27240</v>
      </c>
      <c r="X153" s="95">
        <v>27150</v>
      </c>
      <c r="Y153" s="95">
        <v>31599</v>
      </c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4"/>
      <c r="AT153" s="94"/>
      <c r="AU153" s="94"/>
      <c r="AV153" s="94"/>
      <c r="AW153" s="94"/>
      <c r="AX153" s="94"/>
      <c r="AY153" s="93"/>
      <c r="AZ153" s="93"/>
      <c r="BA153" s="93"/>
      <c r="BB153" s="93"/>
      <c r="BC153" s="93"/>
      <c r="BE153" s="96"/>
      <c r="BF153" s="96"/>
      <c r="BG153" s="96"/>
      <c r="BH153" s="96"/>
      <c r="BN153" s="14">
        <f t="shared" si="25"/>
        <v>3.1809371793410102</v>
      </c>
    </row>
    <row r="154" spans="1:66" s="95" customFormat="1" ht="21" hidden="1" customHeight="1">
      <c r="A154" s="91"/>
      <c r="B154" s="92" t="s">
        <v>416</v>
      </c>
      <c r="C154" s="93">
        <v>26</v>
      </c>
      <c r="D154" s="94">
        <v>26260</v>
      </c>
      <c r="E154" s="93">
        <v>26389</v>
      </c>
      <c r="F154" s="93">
        <v>26265</v>
      </c>
      <c r="G154" s="93">
        <v>8590100</v>
      </c>
      <c r="H154" s="93">
        <v>30146</v>
      </c>
      <c r="I154" s="93">
        <v>30345</v>
      </c>
      <c r="J154" s="93">
        <v>30252</v>
      </c>
      <c r="K154" s="93">
        <v>2397900</v>
      </c>
      <c r="L154" s="93">
        <f t="shared" si="23"/>
        <v>225618976500</v>
      </c>
      <c r="M154" s="93">
        <f t="shared" si="24"/>
        <v>72541270800</v>
      </c>
      <c r="N154" s="95">
        <v>26653</v>
      </c>
      <c r="O154" s="95">
        <v>30649</v>
      </c>
      <c r="P154" s="95">
        <v>26522</v>
      </c>
      <c r="Q154" s="95">
        <v>30447</v>
      </c>
      <c r="R154" s="93"/>
      <c r="S154" s="93"/>
      <c r="T154" s="93"/>
      <c r="U154" s="93"/>
      <c r="V154" s="95">
        <v>27080</v>
      </c>
      <c r="X154" s="95">
        <v>27080</v>
      </c>
      <c r="Y154" s="95">
        <v>31395</v>
      </c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4"/>
      <c r="AT154" s="94"/>
      <c r="AU154" s="94"/>
      <c r="AV154" s="94"/>
      <c r="AW154" s="94"/>
      <c r="AX154" s="94"/>
      <c r="AY154" s="93"/>
      <c r="AZ154" s="93"/>
      <c r="BA154" s="93"/>
      <c r="BB154" s="93"/>
      <c r="BC154" s="93"/>
      <c r="BE154" s="96"/>
      <c r="BF154" s="96"/>
      <c r="BG154" s="96"/>
      <c r="BH154" s="96"/>
      <c r="BN154" s="14">
        <f t="shared" si="25"/>
        <v>3.102988768322863</v>
      </c>
    </row>
    <row r="155" spans="1:66" s="95" customFormat="1" ht="21" hidden="1" customHeight="1">
      <c r="A155" s="91"/>
      <c r="B155" s="92" t="s">
        <v>418</v>
      </c>
      <c r="C155" s="93">
        <v>27</v>
      </c>
      <c r="D155" s="94">
        <v>26520</v>
      </c>
      <c r="E155" s="93">
        <v>26519</v>
      </c>
      <c r="F155" s="93">
        <v>26481</v>
      </c>
      <c r="G155" s="93">
        <v>9341400</v>
      </c>
      <c r="H155" s="93">
        <v>30450</v>
      </c>
      <c r="I155" s="93">
        <v>30755</v>
      </c>
      <c r="J155" s="93">
        <v>30553</v>
      </c>
      <c r="K155" s="93">
        <v>1963000</v>
      </c>
      <c r="L155" s="93">
        <f t="shared" si="23"/>
        <v>247369613400</v>
      </c>
      <c r="M155" s="93">
        <f t="shared" si="24"/>
        <v>59975539000</v>
      </c>
      <c r="N155" s="95">
        <v>26784</v>
      </c>
      <c r="O155" s="95">
        <v>31062</v>
      </c>
      <c r="P155" s="95">
        <v>26786</v>
      </c>
      <c r="Q155" s="95">
        <v>30754</v>
      </c>
      <c r="R155" s="93"/>
      <c r="S155" s="93"/>
      <c r="T155" s="93"/>
      <c r="U155" s="93"/>
      <c r="V155" s="95">
        <v>27380</v>
      </c>
      <c r="X155" s="95">
        <v>27380</v>
      </c>
      <c r="Y155" s="95">
        <v>31899</v>
      </c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4"/>
      <c r="AT155" s="94"/>
      <c r="AU155" s="94"/>
      <c r="AV155" s="94"/>
      <c r="AW155" s="94"/>
      <c r="AX155" s="94"/>
      <c r="AY155" s="93"/>
      <c r="AZ155" s="93"/>
      <c r="BA155" s="93"/>
      <c r="BB155" s="93"/>
      <c r="BC155" s="93"/>
      <c r="BE155" s="96"/>
      <c r="BF155" s="96"/>
      <c r="BG155" s="96"/>
      <c r="BH155" s="96"/>
      <c r="BN155" s="14">
        <f t="shared" si="25"/>
        <v>3.3948869000415391</v>
      </c>
    </row>
    <row r="156" spans="1:66" s="95" customFormat="1" ht="21" hidden="1" customHeight="1">
      <c r="A156" s="91"/>
      <c r="B156" s="92" t="s">
        <v>420</v>
      </c>
      <c r="C156" s="93">
        <v>28</v>
      </c>
      <c r="D156" s="94">
        <v>26574</v>
      </c>
      <c r="E156" s="93">
        <v>26569</v>
      </c>
      <c r="F156" s="93">
        <v>26483</v>
      </c>
      <c r="G156" s="93">
        <v>9658300</v>
      </c>
      <c r="H156" s="93">
        <v>30750</v>
      </c>
      <c r="I156" s="93">
        <v>30650</v>
      </c>
      <c r="J156" s="93">
        <v>30661</v>
      </c>
      <c r="K156" s="93">
        <v>1623100</v>
      </c>
      <c r="L156" s="93">
        <f t="shared" si="23"/>
        <v>255780758900</v>
      </c>
      <c r="M156" s="93">
        <f t="shared" si="24"/>
        <v>49765869100</v>
      </c>
      <c r="N156" s="95">
        <v>26834</v>
      </c>
      <c r="O156" s="95">
        <v>30956</v>
      </c>
      <c r="P156" s="95">
        <v>26840</v>
      </c>
      <c r="Q156" s="95">
        <v>31057</v>
      </c>
      <c r="R156" s="93"/>
      <c r="S156" s="93"/>
      <c r="T156" s="93"/>
      <c r="U156" s="93"/>
      <c r="V156" s="95">
        <v>27420</v>
      </c>
      <c r="X156" s="95">
        <v>27320</v>
      </c>
      <c r="Y156" s="95">
        <v>31773</v>
      </c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4"/>
      <c r="AT156" s="94"/>
      <c r="AU156" s="94"/>
      <c r="AV156" s="94"/>
      <c r="AW156" s="94"/>
      <c r="AX156" s="94"/>
      <c r="AY156" s="93"/>
      <c r="AZ156" s="93"/>
      <c r="BA156" s="93"/>
      <c r="BB156" s="93"/>
      <c r="BC156" s="93"/>
      <c r="BE156" s="96"/>
      <c r="BF156" s="96"/>
      <c r="BG156" s="96"/>
      <c r="BH156" s="96"/>
      <c r="BN156" s="14">
        <f t="shared" si="25"/>
        <v>3.1605180681946909</v>
      </c>
    </row>
    <row r="157" spans="1:66" s="95" customFormat="1" ht="21" hidden="1" customHeight="1">
      <c r="A157" s="91"/>
      <c r="B157" s="92" t="s">
        <v>422</v>
      </c>
      <c r="C157" s="93">
        <v>29</v>
      </c>
      <c r="D157" s="94">
        <v>26385</v>
      </c>
      <c r="E157" s="93">
        <v>26482</v>
      </c>
      <c r="F157" s="93">
        <v>26479</v>
      </c>
      <c r="G157" s="93">
        <v>6968200</v>
      </c>
      <c r="H157" s="93">
        <v>30650</v>
      </c>
      <c r="I157" s="93">
        <v>30690</v>
      </c>
      <c r="J157" s="95">
        <v>30661</v>
      </c>
      <c r="K157" s="93">
        <v>858000</v>
      </c>
      <c r="L157" s="93">
        <f t="shared" si="23"/>
        <v>184510967800</v>
      </c>
      <c r="M157" s="93">
        <f t="shared" si="24"/>
        <v>26307138000</v>
      </c>
      <c r="N157" s="95">
        <v>26747</v>
      </c>
      <c r="O157" s="95">
        <v>30967</v>
      </c>
      <c r="P157" s="95">
        <v>26649</v>
      </c>
      <c r="Q157" s="95">
        <v>30956</v>
      </c>
      <c r="R157" s="93"/>
      <c r="S157" s="93"/>
      <c r="T157" s="93"/>
      <c r="U157" s="93"/>
      <c r="V157" s="95">
        <v>27320</v>
      </c>
      <c r="X157" s="95">
        <v>27380</v>
      </c>
      <c r="Y157" s="95">
        <v>31883</v>
      </c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4"/>
      <c r="AT157" s="94"/>
      <c r="AU157" s="94"/>
      <c r="AV157" s="94"/>
      <c r="AW157" s="94"/>
      <c r="AX157" s="94"/>
      <c r="AY157" s="93"/>
      <c r="AZ157" s="93"/>
      <c r="BA157" s="93"/>
      <c r="BB157" s="93"/>
      <c r="BC157" s="93"/>
      <c r="BE157" s="96"/>
      <c r="BF157" s="96"/>
      <c r="BG157" s="96"/>
      <c r="BH157" s="96"/>
      <c r="BN157" s="14">
        <f t="shared" si="25"/>
        <v>3.4026964764530381</v>
      </c>
    </row>
    <row r="158" spans="1:66" s="101" customFormat="1" ht="21" hidden="1" customHeight="1">
      <c r="A158" s="97"/>
      <c r="B158" s="98" t="s">
        <v>425</v>
      </c>
      <c r="C158" s="99">
        <v>1</v>
      </c>
      <c r="D158" s="100">
        <v>26511</v>
      </c>
      <c r="E158" s="99">
        <v>26780</v>
      </c>
      <c r="F158" s="99">
        <v>26576</v>
      </c>
      <c r="G158" s="99">
        <v>9387100</v>
      </c>
      <c r="H158" s="99">
        <v>31186</v>
      </c>
      <c r="I158" s="99">
        <v>30665</v>
      </c>
      <c r="J158" s="101">
        <v>30786</v>
      </c>
      <c r="K158" s="99">
        <v>934300</v>
      </c>
      <c r="L158" s="99">
        <f t="shared" si="23"/>
        <v>249471569600</v>
      </c>
      <c r="M158" s="99">
        <f t="shared" si="24"/>
        <v>28763359800</v>
      </c>
      <c r="N158" s="101">
        <v>27047</v>
      </c>
      <c r="O158" s="101">
        <v>30972</v>
      </c>
      <c r="P158" s="101">
        <v>26776</v>
      </c>
      <c r="Q158" s="101">
        <v>31498</v>
      </c>
      <c r="R158" s="99"/>
      <c r="S158" s="99"/>
      <c r="T158" s="99"/>
      <c r="U158" s="99"/>
      <c r="V158" s="101">
        <v>27470</v>
      </c>
      <c r="X158" s="101">
        <v>27580</v>
      </c>
      <c r="Y158" s="101">
        <v>31990</v>
      </c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100"/>
      <c r="AT158" s="100"/>
      <c r="AU158" s="100"/>
      <c r="AV158" s="100"/>
      <c r="AW158" s="100"/>
      <c r="AX158" s="100"/>
      <c r="AY158" s="99"/>
      <c r="AZ158" s="99"/>
      <c r="BA158" s="99"/>
      <c r="BB158" s="99"/>
      <c r="BC158" s="99"/>
      <c r="BE158" s="102"/>
      <c r="BF158" s="102"/>
      <c r="BG158" s="102"/>
      <c r="BH158" s="102"/>
      <c r="BN158" s="14">
        <f t="shared" si="25"/>
        <v>3.7778446718844072</v>
      </c>
    </row>
    <row r="159" spans="1:66" s="101" customFormat="1" ht="21" hidden="1" customHeight="1">
      <c r="A159" s="97"/>
      <c r="B159" s="98" t="s">
        <v>427</v>
      </c>
      <c r="C159" s="99">
        <v>3</v>
      </c>
      <c r="D159" s="100">
        <v>26803</v>
      </c>
      <c r="E159" s="99">
        <v>27009</v>
      </c>
      <c r="F159" s="99">
        <v>26923</v>
      </c>
      <c r="G159" s="99">
        <v>7622400</v>
      </c>
      <c r="H159" s="99">
        <v>30665</v>
      </c>
      <c r="I159" s="99">
        <v>31011</v>
      </c>
      <c r="J159" s="101">
        <v>31026</v>
      </c>
      <c r="K159" s="99">
        <v>1492500</v>
      </c>
      <c r="L159" s="99">
        <f t="shared" si="23"/>
        <v>205217875200</v>
      </c>
      <c r="M159" s="99">
        <f t="shared" si="24"/>
        <v>46306305000</v>
      </c>
      <c r="N159" s="101">
        <v>27279</v>
      </c>
      <c r="O159" s="101">
        <v>31321</v>
      </c>
      <c r="P159" s="101">
        <v>27071</v>
      </c>
      <c r="Q159" s="101">
        <v>30972</v>
      </c>
      <c r="R159" s="99"/>
      <c r="S159" s="99"/>
      <c r="T159" s="99"/>
      <c r="U159" s="99"/>
      <c r="V159" s="101">
        <v>27670</v>
      </c>
      <c r="X159" s="101">
        <v>27620</v>
      </c>
      <c r="Y159" s="101">
        <v>32250</v>
      </c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100"/>
      <c r="AT159" s="100"/>
      <c r="AU159" s="100"/>
      <c r="AV159" s="100"/>
      <c r="AW159" s="100"/>
      <c r="AX159" s="100"/>
      <c r="AY159" s="99"/>
      <c r="AZ159" s="99"/>
      <c r="BA159" s="99"/>
      <c r="BB159" s="99"/>
      <c r="BC159" s="99"/>
      <c r="BE159" s="102"/>
      <c r="BF159" s="102"/>
      <c r="BG159" s="102"/>
      <c r="BH159" s="102"/>
      <c r="BN159" s="14">
        <f t="shared" si="25"/>
        <v>2.5888645396129704</v>
      </c>
    </row>
    <row r="160" spans="1:66" s="101" customFormat="1" ht="21" hidden="1" customHeight="1">
      <c r="A160" s="97"/>
      <c r="B160" s="98" t="s">
        <v>429</v>
      </c>
      <c r="C160" s="99">
        <v>4</v>
      </c>
      <c r="D160" s="100">
        <v>26809</v>
      </c>
      <c r="E160" s="99">
        <v>26690</v>
      </c>
      <c r="F160" s="99">
        <v>26679</v>
      </c>
      <c r="G160" s="99">
        <v>9805000</v>
      </c>
      <c r="H160" s="99">
        <v>31150</v>
      </c>
      <c r="I160" s="99">
        <v>31298</v>
      </c>
      <c r="J160" s="101">
        <v>31231</v>
      </c>
      <c r="K160" s="99">
        <v>752700</v>
      </c>
      <c r="L160" s="99">
        <f t="shared" si="23"/>
        <v>261587595000</v>
      </c>
      <c r="M160" s="99">
        <f t="shared" si="24"/>
        <v>23507573700</v>
      </c>
      <c r="N160" s="101">
        <v>26957</v>
      </c>
      <c r="O160" s="101">
        <v>31611</v>
      </c>
      <c r="P160" s="101">
        <v>27077</v>
      </c>
      <c r="Q160" s="101">
        <v>31462</v>
      </c>
      <c r="R160" s="99"/>
      <c r="S160" s="99"/>
      <c r="T160" s="99"/>
      <c r="U160" s="99"/>
      <c r="V160" s="101">
        <v>27540</v>
      </c>
      <c r="X160" s="101">
        <v>27440</v>
      </c>
      <c r="Y160" s="101">
        <v>31902</v>
      </c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100"/>
      <c r="AT160" s="100"/>
      <c r="AU160" s="100"/>
      <c r="AV160" s="100"/>
      <c r="AW160" s="100"/>
      <c r="AX160" s="100"/>
      <c r="AY160" s="99"/>
      <c r="AZ160" s="99"/>
      <c r="BA160" s="99"/>
      <c r="BB160" s="99"/>
      <c r="BC160" s="99"/>
      <c r="BE160" s="102"/>
      <c r="BF160" s="102"/>
      <c r="BG160" s="102"/>
      <c r="BH160" s="102"/>
      <c r="BN160" s="14">
        <f t="shared" si="25"/>
        <v>2.8524307507777653</v>
      </c>
    </row>
    <row r="161" spans="1:66" s="101" customFormat="1" ht="21" hidden="1" customHeight="1">
      <c r="A161" s="97"/>
      <c r="B161" s="98" t="s">
        <v>431</v>
      </c>
      <c r="C161" s="99">
        <v>5</v>
      </c>
      <c r="D161" s="100">
        <v>26714</v>
      </c>
      <c r="E161" s="99">
        <v>26659</v>
      </c>
      <c r="F161" s="99">
        <v>26626</v>
      </c>
      <c r="G161" s="99">
        <v>12098700</v>
      </c>
      <c r="H161" s="99">
        <v>31300</v>
      </c>
      <c r="I161" s="99">
        <v>31150</v>
      </c>
      <c r="J161" s="101">
        <v>31224</v>
      </c>
      <c r="K161" s="99">
        <v>754800</v>
      </c>
      <c r="L161" s="99">
        <f t="shared" si="23"/>
        <v>322139986200</v>
      </c>
      <c r="M161" s="99">
        <f t="shared" si="24"/>
        <v>23567875200</v>
      </c>
      <c r="N161" s="101">
        <v>26925</v>
      </c>
      <c r="O161" s="101">
        <v>31461</v>
      </c>
      <c r="P161" s="101">
        <v>26981</v>
      </c>
      <c r="Q161" s="101">
        <v>31613</v>
      </c>
      <c r="R161" s="99"/>
      <c r="S161" s="99"/>
      <c r="T161" s="99"/>
      <c r="U161" s="99"/>
      <c r="V161" s="101">
        <v>27560</v>
      </c>
      <c r="X161" s="101">
        <v>27680</v>
      </c>
      <c r="Y161" s="101">
        <v>31958</v>
      </c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100"/>
      <c r="AT161" s="100"/>
      <c r="AU161" s="100"/>
      <c r="AV161" s="100"/>
      <c r="AW161" s="100"/>
      <c r="AX161" s="100"/>
      <c r="AY161" s="99"/>
      <c r="AZ161" s="99"/>
      <c r="BA161" s="99"/>
      <c r="BB161" s="99"/>
      <c r="BC161" s="99"/>
      <c r="BE161" s="102"/>
      <c r="BF161" s="102"/>
      <c r="BG161" s="102"/>
      <c r="BH161" s="102"/>
      <c r="BN161" s="14">
        <f t="shared" si="25"/>
        <v>3.9585367685720723</v>
      </c>
    </row>
    <row r="162" spans="1:66" s="101" customFormat="1" ht="21" hidden="1" customHeight="1">
      <c r="A162" s="97"/>
      <c r="B162" s="98" t="s">
        <v>433</v>
      </c>
      <c r="C162" s="99">
        <v>6</v>
      </c>
      <c r="D162" s="100">
        <v>26707</v>
      </c>
      <c r="E162" s="99">
        <v>26701</v>
      </c>
      <c r="F162" s="99">
        <v>26689</v>
      </c>
      <c r="G162" s="99">
        <v>8231300</v>
      </c>
      <c r="H162" s="99">
        <v>31200</v>
      </c>
      <c r="I162" s="99">
        <v>30913</v>
      </c>
      <c r="J162" s="101">
        <v>30962</v>
      </c>
      <c r="K162" s="99">
        <v>837100</v>
      </c>
      <c r="L162" s="99">
        <f>F162*G162</f>
        <v>219685165700</v>
      </c>
      <c r="M162" s="99">
        <f t="shared" si="24"/>
        <v>25918290200</v>
      </c>
      <c r="N162" s="101">
        <v>26968</v>
      </c>
      <c r="O162" s="101">
        <v>31222</v>
      </c>
      <c r="P162" s="101">
        <v>26974</v>
      </c>
      <c r="Q162" s="101">
        <v>31512</v>
      </c>
      <c r="R162" s="99"/>
      <c r="S162" s="99"/>
      <c r="T162" s="99"/>
      <c r="U162" s="99"/>
      <c r="V162" s="101">
        <v>27680</v>
      </c>
      <c r="X162" s="101">
        <v>27630</v>
      </c>
      <c r="Y162" s="101">
        <v>32114</v>
      </c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100"/>
      <c r="AT162" s="100"/>
      <c r="AU162" s="100"/>
      <c r="AV162" s="100"/>
      <c r="AW162" s="100"/>
      <c r="AX162" s="100"/>
      <c r="AY162" s="99"/>
      <c r="AZ162" s="99"/>
      <c r="BA162" s="99"/>
      <c r="BB162" s="99"/>
      <c r="BC162" s="99"/>
      <c r="BE162" s="102"/>
      <c r="BF162" s="102"/>
      <c r="BG162" s="102"/>
      <c r="BH162" s="102"/>
      <c r="BN162" s="14">
        <f t="shared" si="25"/>
        <v>3.5257971448911536</v>
      </c>
    </row>
    <row r="163" spans="1:66" s="107" customFormat="1" ht="21" hidden="1" customHeight="1">
      <c r="A163" s="103"/>
      <c r="B163" s="104" t="s">
        <v>436</v>
      </c>
      <c r="C163" s="105">
        <v>8</v>
      </c>
      <c r="D163" s="106">
        <v>26674</v>
      </c>
      <c r="E163" s="105"/>
      <c r="F163" s="105">
        <v>26446</v>
      </c>
      <c r="G163" s="115">
        <v>8525400</v>
      </c>
      <c r="H163" s="105">
        <v>30913</v>
      </c>
      <c r="I163" s="105"/>
      <c r="J163" s="107">
        <v>30455</v>
      </c>
      <c r="K163" s="105">
        <v>1495700</v>
      </c>
      <c r="L163" s="99">
        <f>F163*G163</f>
        <v>225462728400</v>
      </c>
      <c r="M163" s="99">
        <f>J163*K163</f>
        <v>45551543500</v>
      </c>
      <c r="N163" s="105">
        <v>26931</v>
      </c>
      <c r="O163" s="105">
        <v>31002</v>
      </c>
      <c r="P163" s="107">
        <v>26941</v>
      </c>
      <c r="Q163" s="107">
        <v>31222</v>
      </c>
      <c r="R163" s="105"/>
      <c r="S163" s="105"/>
      <c r="T163" s="105"/>
      <c r="U163" s="105"/>
      <c r="V163" s="107">
        <v>27570</v>
      </c>
      <c r="X163" s="107">
        <v>27480</v>
      </c>
      <c r="Y163" s="107">
        <v>31758</v>
      </c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6"/>
      <c r="AT163" s="106"/>
      <c r="AU163" s="106"/>
      <c r="AV163" s="106"/>
      <c r="AW163" s="106"/>
      <c r="AX163" s="106"/>
      <c r="AY163" s="105"/>
      <c r="AZ163" s="105"/>
      <c r="BA163" s="105"/>
      <c r="BB163" s="105"/>
      <c r="BC163" s="105"/>
      <c r="BE163" s="108"/>
      <c r="BF163" s="108"/>
      <c r="BG163" s="108"/>
      <c r="BH163" s="108"/>
      <c r="BN163" s="14">
        <f t="shared" si="25"/>
        <v>3.9098540421991985</v>
      </c>
    </row>
    <row r="164" spans="1:66" s="117" customFormat="1" ht="21" hidden="1" customHeight="1">
      <c r="A164" s="113"/>
      <c r="B164" s="114" t="s">
        <v>438</v>
      </c>
      <c r="C164" s="115">
        <v>9</v>
      </c>
      <c r="D164" s="116">
        <v>26546</v>
      </c>
      <c r="E164" s="115">
        <v>26393</v>
      </c>
      <c r="F164" s="115">
        <v>26446</v>
      </c>
      <c r="G164" s="115">
        <v>8525400</v>
      </c>
      <c r="H164" s="115">
        <v>30695</v>
      </c>
      <c r="I164" s="115">
        <v>30400</v>
      </c>
      <c r="J164" s="117">
        <v>30455</v>
      </c>
      <c r="K164" s="115">
        <v>1495700</v>
      </c>
      <c r="L164" s="99">
        <f t="shared" ref="L164:L190" si="26">F164*G164</f>
        <v>225462728400</v>
      </c>
      <c r="M164" s="99">
        <f t="shared" si="24"/>
        <v>45551543500</v>
      </c>
      <c r="N164" s="117">
        <v>26657</v>
      </c>
      <c r="O164" s="117">
        <v>30704</v>
      </c>
      <c r="P164" s="117">
        <v>26812</v>
      </c>
      <c r="Q164" s="117">
        <v>31002</v>
      </c>
      <c r="R164" s="115"/>
      <c r="S164" s="115"/>
      <c r="T164" s="115"/>
      <c r="U164" s="115"/>
      <c r="V164" s="117">
        <v>27480</v>
      </c>
      <c r="X164" s="117">
        <v>27540</v>
      </c>
      <c r="Y164" s="117">
        <v>31700</v>
      </c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6"/>
      <c r="AT164" s="116"/>
      <c r="AU164" s="116"/>
      <c r="AV164" s="116"/>
      <c r="AW164" s="116"/>
      <c r="AX164" s="116"/>
      <c r="AY164" s="115"/>
      <c r="AZ164" s="115"/>
      <c r="BA164" s="115"/>
      <c r="BB164" s="115"/>
      <c r="BC164" s="115"/>
      <c r="BE164" s="118"/>
      <c r="BF164" s="118"/>
      <c r="BG164" s="118"/>
      <c r="BH164" s="118"/>
      <c r="BN164" s="14">
        <f t="shared" si="25"/>
        <v>4.1367314527716861</v>
      </c>
    </row>
    <row r="165" spans="1:66" s="123" customFormat="1" ht="21" hidden="1" customHeight="1">
      <c r="A165" s="119"/>
      <c r="B165" s="120" t="s">
        <v>440</v>
      </c>
      <c r="C165" s="121">
        <v>10</v>
      </c>
      <c r="D165" s="122">
        <v>26413</v>
      </c>
      <c r="E165" s="121">
        <v>26457</v>
      </c>
      <c r="F165" s="121">
        <v>26505</v>
      </c>
      <c r="G165" s="121">
        <v>11227200</v>
      </c>
      <c r="H165" s="121">
        <v>30400</v>
      </c>
      <c r="I165" s="121">
        <v>30801</v>
      </c>
      <c r="J165" s="123">
        <v>30635</v>
      </c>
      <c r="K165" s="121">
        <v>1476900</v>
      </c>
      <c r="L165" s="99">
        <f t="shared" si="26"/>
        <v>297576936000</v>
      </c>
      <c r="M165" s="99">
        <f t="shared" si="24"/>
        <v>45244831500</v>
      </c>
      <c r="N165" s="123">
        <v>26722</v>
      </c>
      <c r="O165" s="123">
        <v>31109</v>
      </c>
      <c r="P165" s="123">
        <v>26677</v>
      </c>
      <c r="Q165" s="123">
        <v>30704</v>
      </c>
      <c r="R165" s="121"/>
      <c r="S165" s="121"/>
      <c r="T165" s="121"/>
      <c r="U165" s="121"/>
      <c r="V165" s="123">
        <v>27570</v>
      </c>
      <c r="X165" s="123">
        <v>27580</v>
      </c>
      <c r="Y165" s="123">
        <v>31935</v>
      </c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2"/>
      <c r="AT165" s="122"/>
      <c r="AU165" s="122"/>
      <c r="AV165" s="122"/>
      <c r="AW165" s="122"/>
      <c r="AX165" s="122"/>
      <c r="AY165" s="121"/>
      <c r="AZ165" s="121"/>
      <c r="BA165" s="121"/>
      <c r="BB165" s="121"/>
      <c r="BC165" s="121"/>
      <c r="BE165" s="124"/>
      <c r="BF165" s="124"/>
      <c r="BG165" s="124"/>
      <c r="BH165" s="124"/>
      <c r="BN165" s="14">
        <f t="shared" si="25"/>
        <v>4.0558385210337669</v>
      </c>
    </row>
    <row r="166" spans="1:66" s="117" customFormat="1" ht="21" hidden="1" customHeight="1">
      <c r="A166" s="113"/>
      <c r="B166" s="114" t="s">
        <v>442</v>
      </c>
      <c r="C166" s="115">
        <v>11</v>
      </c>
      <c r="D166" s="116">
        <v>26563</v>
      </c>
      <c r="E166" s="115">
        <v>26559</v>
      </c>
      <c r="F166" s="115">
        <v>26555</v>
      </c>
      <c r="G166" s="115">
        <v>10481400</v>
      </c>
      <c r="H166" s="115">
        <v>30600</v>
      </c>
      <c r="I166" s="115">
        <v>30573</v>
      </c>
      <c r="J166" s="117">
        <v>30658</v>
      </c>
      <c r="K166" s="115">
        <v>1737100</v>
      </c>
      <c r="L166" s="99">
        <f t="shared" si="26"/>
        <v>278333577000</v>
      </c>
      <c r="M166" s="99">
        <f>J166*K166</f>
        <v>53256011800</v>
      </c>
      <c r="N166" s="117">
        <v>26825</v>
      </c>
      <c r="O166" s="117">
        <v>30878</v>
      </c>
      <c r="P166" s="117">
        <v>26828</v>
      </c>
      <c r="Q166" s="117">
        <v>30906</v>
      </c>
      <c r="R166" s="115"/>
      <c r="S166" s="115"/>
      <c r="T166" s="115"/>
      <c r="U166" s="115"/>
      <c r="V166" s="117">
        <v>27550</v>
      </c>
      <c r="X166" s="117">
        <v>27540</v>
      </c>
      <c r="Y166" s="117">
        <v>31878</v>
      </c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6"/>
      <c r="AT166" s="116"/>
      <c r="AU166" s="116"/>
      <c r="AV166" s="116"/>
      <c r="AW166" s="116"/>
      <c r="AX166" s="116"/>
      <c r="AY166" s="115"/>
      <c r="AZ166" s="115"/>
      <c r="BA166" s="115"/>
      <c r="BB166" s="115"/>
      <c r="BC166" s="115"/>
      <c r="BE166" s="118"/>
      <c r="BF166" s="118"/>
      <c r="BG166" s="118"/>
      <c r="BH166" s="118"/>
      <c r="BN166" s="14">
        <f t="shared" si="25"/>
        <v>3.7092826209753342</v>
      </c>
    </row>
    <row r="167" spans="1:66" s="117" customFormat="1" ht="21" hidden="1" customHeight="1">
      <c r="A167" s="113"/>
      <c r="B167" s="114" t="s">
        <v>444</v>
      </c>
      <c r="C167" s="115">
        <v>12</v>
      </c>
      <c r="D167" s="116">
        <v>26614</v>
      </c>
      <c r="E167" s="115">
        <v>26744</v>
      </c>
      <c r="F167" s="115">
        <v>26743</v>
      </c>
      <c r="G167" s="115">
        <v>10300800</v>
      </c>
      <c r="H167" s="115">
        <v>30573</v>
      </c>
      <c r="I167" s="115">
        <v>30800</v>
      </c>
      <c r="J167" s="117">
        <v>30787</v>
      </c>
      <c r="K167" s="115">
        <v>1773700</v>
      </c>
      <c r="L167" s="99">
        <f t="shared" si="26"/>
        <v>275474294400</v>
      </c>
      <c r="M167" s="99">
        <f t="shared" si="24"/>
        <v>54606901900</v>
      </c>
      <c r="N167" s="117">
        <v>27012</v>
      </c>
      <c r="O167" s="117">
        <v>31108</v>
      </c>
      <c r="P167" s="117">
        <v>26880</v>
      </c>
      <c r="Q167" s="117">
        <v>30878</v>
      </c>
      <c r="R167" s="115"/>
      <c r="S167" s="115"/>
      <c r="T167" s="115"/>
      <c r="U167" s="115"/>
      <c r="V167" s="117">
        <v>27620</v>
      </c>
      <c r="X167" s="117">
        <v>27800</v>
      </c>
      <c r="Y167" s="117">
        <v>31998</v>
      </c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6"/>
      <c r="AT167" s="116"/>
      <c r="AU167" s="116"/>
      <c r="AV167" s="116"/>
      <c r="AW167" s="116"/>
      <c r="AX167" s="116"/>
      <c r="AY167" s="115"/>
      <c r="AZ167" s="115"/>
      <c r="BA167" s="115"/>
      <c r="BB167" s="115"/>
      <c r="BC167" s="115"/>
      <c r="BE167" s="118"/>
      <c r="BF167" s="118"/>
      <c r="BG167" s="118"/>
      <c r="BH167" s="118"/>
      <c r="BN167" s="14">
        <f t="shared" si="25"/>
        <v>3.9524361515162845</v>
      </c>
    </row>
    <row r="168" spans="1:66" s="123" customFormat="1" ht="21" hidden="1" customHeight="1">
      <c r="A168" s="119"/>
      <c r="B168" s="120" t="s">
        <v>446</v>
      </c>
      <c r="C168" s="121">
        <v>13</v>
      </c>
      <c r="D168" s="122">
        <v>26823</v>
      </c>
      <c r="E168" s="121">
        <v>26805</v>
      </c>
      <c r="F168" s="121">
        <v>26777</v>
      </c>
      <c r="G168" s="121">
        <v>6743300</v>
      </c>
      <c r="H168" s="121">
        <v>30753</v>
      </c>
      <c r="I168" s="121">
        <v>30774</v>
      </c>
      <c r="J168" s="123">
        <v>30771</v>
      </c>
      <c r="K168" s="121">
        <v>1438700</v>
      </c>
      <c r="L168" s="125">
        <f t="shared" si="26"/>
        <v>180565344100</v>
      </c>
      <c r="M168" s="125">
        <f t="shared" si="24"/>
        <v>44270237700</v>
      </c>
      <c r="N168" s="123">
        <v>27073</v>
      </c>
      <c r="O168" s="123">
        <v>31082</v>
      </c>
      <c r="P168" s="123">
        <v>27068</v>
      </c>
      <c r="Q168" s="123">
        <v>31087</v>
      </c>
      <c r="R168" s="121"/>
      <c r="S168" s="121"/>
      <c r="T168" s="121"/>
      <c r="U168" s="121"/>
      <c r="V168" s="123">
        <v>27750</v>
      </c>
      <c r="X168" s="123">
        <v>27750</v>
      </c>
      <c r="Y168" s="123">
        <v>32035</v>
      </c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2"/>
      <c r="AT168" s="122"/>
      <c r="AU168" s="122"/>
      <c r="AV168" s="122"/>
      <c r="AW168" s="122"/>
      <c r="AX168" s="122"/>
      <c r="AY168" s="121"/>
      <c r="AZ168" s="121"/>
      <c r="BA168" s="121"/>
      <c r="BB168" s="121"/>
      <c r="BC168" s="121"/>
      <c r="BE168" s="124"/>
      <c r="BF168" s="124"/>
      <c r="BG168" s="124"/>
      <c r="BH168" s="124"/>
      <c r="BN168" s="14">
        <f t="shared" si="25"/>
        <v>3.6337155021100198</v>
      </c>
    </row>
    <row r="169" spans="1:66" s="130" customFormat="1" ht="21" hidden="1" customHeight="1">
      <c r="A169" s="126"/>
      <c r="B169" s="127" t="s">
        <v>450</v>
      </c>
      <c r="C169" s="128">
        <v>15</v>
      </c>
      <c r="D169" s="129">
        <v>26897</v>
      </c>
      <c r="E169" s="128">
        <v>26764</v>
      </c>
      <c r="F169" s="128">
        <v>26851</v>
      </c>
      <c r="G169" s="128">
        <v>9862800</v>
      </c>
      <c r="H169" s="128">
        <v>30700</v>
      </c>
      <c r="I169" s="128">
        <v>30670</v>
      </c>
      <c r="J169" s="130">
        <v>30693</v>
      </c>
      <c r="K169" s="128">
        <v>2610400</v>
      </c>
      <c r="L169" s="99">
        <f t="shared" si="26"/>
        <v>264826042800</v>
      </c>
      <c r="M169" s="99">
        <f t="shared" si="24"/>
        <v>80121007200</v>
      </c>
      <c r="N169" s="130">
        <v>27032</v>
      </c>
      <c r="O169" s="130">
        <v>30977</v>
      </c>
      <c r="P169" s="130">
        <v>27165</v>
      </c>
      <c r="Q169" s="130">
        <v>31007</v>
      </c>
      <c r="R169" s="128"/>
      <c r="S169" s="128"/>
      <c r="T169" s="128"/>
      <c r="U169" s="128"/>
      <c r="V169" s="130">
        <v>27810</v>
      </c>
      <c r="X169" s="130">
        <v>27870</v>
      </c>
      <c r="Y169" s="130">
        <v>32072</v>
      </c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9"/>
      <c r="AT169" s="129"/>
      <c r="AU169" s="129"/>
      <c r="AV169" s="129"/>
      <c r="AW169" s="129"/>
      <c r="AX169" s="129"/>
      <c r="AY169" s="128"/>
      <c r="AZ169" s="128"/>
      <c r="BA169" s="128"/>
      <c r="BB169" s="128"/>
      <c r="BC169" s="128"/>
      <c r="BE169" s="131"/>
      <c r="BF169" s="131"/>
      <c r="BG169" s="131"/>
      <c r="BH169" s="131"/>
      <c r="BN169" s="14">
        <f t="shared" si="25"/>
        <v>3.7950169453651634</v>
      </c>
    </row>
    <row r="170" spans="1:66" s="130" customFormat="1" ht="21" hidden="1" customHeight="1">
      <c r="A170" s="126"/>
      <c r="B170" s="127" t="s">
        <v>451</v>
      </c>
      <c r="C170" s="128">
        <v>16</v>
      </c>
      <c r="D170" s="129">
        <v>26818</v>
      </c>
      <c r="E170" s="128">
        <v>27022</v>
      </c>
      <c r="F170" s="128">
        <v>26830</v>
      </c>
      <c r="G170" s="128">
        <v>10046600</v>
      </c>
      <c r="H170" s="128">
        <v>30680</v>
      </c>
      <c r="I170" s="128">
        <v>30679</v>
      </c>
      <c r="J170" s="130">
        <v>30683</v>
      </c>
      <c r="K170" s="128">
        <v>2758900</v>
      </c>
      <c r="L170" s="99">
        <f t="shared" si="26"/>
        <v>269550278000</v>
      </c>
      <c r="M170" s="99">
        <f t="shared" si="24"/>
        <v>84651328700</v>
      </c>
      <c r="N170" s="130">
        <v>27292</v>
      </c>
      <c r="O170" s="130">
        <v>30986</v>
      </c>
      <c r="P170" s="130">
        <v>27086</v>
      </c>
      <c r="Q170" s="130">
        <v>30987</v>
      </c>
      <c r="R170" s="128"/>
      <c r="S170" s="128"/>
      <c r="T170" s="128"/>
      <c r="U170" s="128"/>
      <c r="V170" s="130">
        <v>27830</v>
      </c>
      <c r="X170" s="130">
        <v>27900</v>
      </c>
      <c r="Y170" s="130">
        <v>32107</v>
      </c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9"/>
      <c r="AT170" s="129"/>
      <c r="AU170" s="129"/>
      <c r="AV170" s="129"/>
      <c r="AW170" s="129"/>
      <c r="AX170" s="129"/>
      <c r="AY170" s="128"/>
      <c r="AZ170" s="128"/>
      <c r="BA170" s="128"/>
      <c r="BB170" s="128"/>
      <c r="BC170" s="128"/>
      <c r="BE170" s="131"/>
      <c r="BF170" s="131"/>
      <c r="BG170" s="131"/>
      <c r="BH170" s="131"/>
      <c r="BN170" s="14">
        <f t="shared" si="25"/>
        <v>3.9880730525531121</v>
      </c>
    </row>
    <row r="171" spans="1:66" s="130" customFormat="1" ht="21" hidden="1" customHeight="1">
      <c r="A171" s="126"/>
      <c r="B171" s="127" t="s">
        <v>453</v>
      </c>
      <c r="C171" s="128">
        <v>17</v>
      </c>
      <c r="D171" s="129">
        <v>27207</v>
      </c>
      <c r="E171" s="128">
        <v>27354</v>
      </c>
      <c r="F171" s="128">
        <v>27306</v>
      </c>
      <c r="G171" s="128">
        <v>8489900</v>
      </c>
      <c r="H171" s="128">
        <v>31137</v>
      </c>
      <c r="I171" s="128">
        <v>31294</v>
      </c>
      <c r="J171" s="130">
        <v>31148</v>
      </c>
      <c r="K171" s="128">
        <v>2332400</v>
      </c>
      <c r="L171" s="99">
        <f t="shared" si="26"/>
        <v>231825209400</v>
      </c>
      <c r="M171" s="99">
        <f t="shared" si="24"/>
        <v>72649595200</v>
      </c>
      <c r="N171" s="130">
        <v>27627</v>
      </c>
      <c r="O171" s="130">
        <v>31607</v>
      </c>
      <c r="P171" s="130">
        <v>27479</v>
      </c>
      <c r="Q171" s="130">
        <v>31449</v>
      </c>
      <c r="R171" s="128"/>
      <c r="S171" s="128"/>
      <c r="T171" s="128"/>
      <c r="U171" s="128"/>
      <c r="V171" s="130">
        <v>28020</v>
      </c>
      <c r="X171" s="130">
        <v>28100</v>
      </c>
      <c r="Y171" s="130">
        <v>32413</v>
      </c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9"/>
      <c r="AT171" s="129"/>
      <c r="AU171" s="129"/>
      <c r="AV171" s="129"/>
      <c r="AW171" s="129"/>
      <c r="AX171" s="129"/>
      <c r="AY171" s="128"/>
      <c r="AZ171" s="128"/>
      <c r="BA171" s="128"/>
      <c r="BB171" s="128"/>
      <c r="BC171" s="128"/>
      <c r="BE171" s="131"/>
      <c r="BF171" s="131"/>
      <c r="BG171" s="131"/>
      <c r="BH171" s="131"/>
      <c r="BN171" s="14">
        <f t="shared" si="25"/>
        <v>2.9077858346151029</v>
      </c>
    </row>
    <row r="172" spans="1:66" s="130" customFormat="1" ht="21" hidden="1" customHeight="1">
      <c r="A172" s="126"/>
      <c r="B172" s="127" t="s">
        <v>455</v>
      </c>
      <c r="C172" s="128">
        <v>18</v>
      </c>
      <c r="D172" s="129">
        <v>27352</v>
      </c>
      <c r="E172" s="128">
        <v>27227</v>
      </c>
      <c r="F172" s="128">
        <v>27270</v>
      </c>
      <c r="G172" s="128">
        <v>10298600</v>
      </c>
      <c r="H172" s="128">
        <v>31233</v>
      </c>
      <c r="I172" s="128">
        <v>31400</v>
      </c>
      <c r="J172" s="130">
        <v>31345</v>
      </c>
      <c r="K172" s="128">
        <v>1564600</v>
      </c>
      <c r="L172" s="99">
        <f t="shared" si="26"/>
        <v>280842822000</v>
      </c>
      <c r="M172" s="99">
        <f t="shared" si="24"/>
        <v>49042387000</v>
      </c>
      <c r="N172" s="130">
        <v>27499</v>
      </c>
      <c r="O172" s="130">
        <v>31714</v>
      </c>
      <c r="P172" s="130">
        <v>27625</v>
      </c>
      <c r="Q172" s="130">
        <v>31545</v>
      </c>
      <c r="R172" s="128"/>
      <c r="S172" s="128"/>
      <c r="T172" s="128"/>
      <c r="U172" s="128"/>
      <c r="V172" s="130">
        <v>28080</v>
      </c>
      <c r="X172" s="130">
        <v>28140</v>
      </c>
      <c r="Y172" s="130">
        <v>32543</v>
      </c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9"/>
      <c r="AT172" s="129"/>
      <c r="AU172" s="129"/>
      <c r="AV172" s="129"/>
      <c r="AW172" s="129"/>
      <c r="AX172" s="129"/>
      <c r="AY172" s="128"/>
      <c r="AZ172" s="128"/>
      <c r="BA172" s="128"/>
      <c r="BB172" s="128"/>
      <c r="BC172" s="128"/>
      <c r="BE172" s="131"/>
      <c r="BF172" s="131"/>
      <c r="BG172" s="131"/>
      <c r="BH172" s="131"/>
      <c r="BN172" s="14">
        <f t="shared" si="25"/>
        <v>3.1903190319031904</v>
      </c>
    </row>
    <row r="173" spans="1:66" s="130" customFormat="1" ht="21" hidden="1" customHeight="1">
      <c r="A173" s="126"/>
      <c r="B173" s="127" t="s">
        <v>457</v>
      </c>
      <c r="C173" s="128">
        <v>19</v>
      </c>
      <c r="D173" s="129">
        <v>27425</v>
      </c>
      <c r="E173" s="128">
        <v>27317</v>
      </c>
      <c r="F173" s="128">
        <v>27320</v>
      </c>
      <c r="G173" s="128">
        <v>10920500</v>
      </c>
      <c r="H173" s="128">
        <v>31417</v>
      </c>
      <c r="I173" s="128">
        <v>31511</v>
      </c>
      <c r="J173" s="130">
        <v>31482</v>
      </c>
      <c r="K173" s="128">
        <v>1261900</v>
      </c>
      <c r="L173" s="99">
        <f t="shared" si="26"/>
        <v>298348060000</v>
      </c>
      <c r="M173" s="99">
        <f t="shared" si="24"/>
        <v>39727135800</v>
      </c>
      <c r="N173" s="130">
        <v>27590</v>
      </c>
      <c r="O173" s="130">
        <v>31826</v>
      </c>
      <c r="P173" s="130">
        <v>27699</v>
      </c>
      <c r="Q173" s="130">
        <v>31731</v>
      </c>
      <c r="R173" s="128"/>
      <c r="S173" s="128"/>
      <c r="T173" s="128"/>
      <c r="U173" s="128"/>
      <c r="V173" s="130">
        <v>28180</v>
      </c>
      <c r="X173" s="130">
        <v>28250</v>
      </c>
      <c r="Y173" s="130">
        <v>32578</v>
      </c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9"/>
      <c r="AT173" s="129"/>
      <c r="AU173" s="129"/>
      <c r="AV173" s="129"/>
      <c r="AW173" s="129"/>
      <c r="AX173" s="129"/>
      <c r="AY173" s="128"/>
      <c r="AZ173" s="128"/>
      <c r="BA173" s="128"/>
      <c r="BB173" s="128"/>
      <c r="BC173" s="128"/>
      <c r="BE173" s="131"/>
      <c r="BF173" s="131"/>
      <c r="BG173" s="131"/>
      <c r="BH173" s="131"/>
      <c r="BN173" s="14">
        <f t="shared" si="25"/>
        <v>3.4040995607613471</v>
      </c>
    </row>
    <row r="174" spans="1:66" s="130" customFormat="1" ht="21" hidden="1" customHeight="1">
      <c r="A174" s="126"/>
      <c r="B174" s="127" t="s">
        <v>459</v>
      </c>
      <c r="C174" s="128">
        <v>20</v>
      </c>
      <c r="D174" s="129">
        <v>27338</v>
      </c>
      <c r="E174" s="128">
        <v>27719</v>
      </c>
      <c r="F174" s="128">
        <v>27564</v>
      </c>
      <c r="G174" s="128">
        <v>7048800</v>
      </c>
      <c r="H174" s="128">
        <v>31502</v>
      </c>
      <c r="I174" s="128">
        <v>31582</v>
      </c>
      <c r="J174" s="130">
        <v>31542</v>
      </c>
      <c r="K174" s="128">
        <v>1145000</v>
      </c>
      <c r="L174" s="99">
        <f t="shared" si="26"/>
        <v>194293123200</v>
      </c>
      <c r="M174" s="99">
        <f t="shared" si="24"/>
        <v>36115590000</v>
      </c>
      <c r="N174" s="130">
        <v>27996</v>
      </c>
      <c r="O174" s="130">
        <v>31897</v>
      </c>
      <c r="P174" s="130">
        <v>27611</v>
      </c>
      <c r="Q174" s="130">
        <v>31817</v>
      </c>
      <c r="R174" s="128"/>
      <c r="S174" s="128"/>
      <c r="T174" s="128"/>
      <c r="U174" s="128"/>
      <c r="V174" s="130">
        <v>28340</v>
      </c>
      <c r="X174" s="130">
        <v>28370</v>
      </c>
      <c r="Y174" s="130">
        <v>32678</v>
      </c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9"/>
      <c r="AT174" s="129"/>
      <c r="AU174" s="129"/>
      <c r="AV174" s="129"/>
      <c r="AW174" s="129"/>
      <c r="AX174" s="129"/>
      <c r="AY174" s="128"/>
      <c r="AZ174" s="128"/>
      <c r="BA174" s="128"/>
      <c r="BB174" s="128"/>
      <c r="BC174" s="128"/>
      <c r="BE174" s="131"/>
      <c r="BF174" s="131"/>
      <c r="BG174" s="131"/>
      <c r="BH174" s="131"/>
      <c r="BN174" s="14">
        <f t="shared" si="25"/>
        <v>2.9241039036424321</v>
      </c>
    </row>
    <row r="175" spans="1:66" s="123" customFormat="1" ht="21" hidden="1" customHeight="1">
      <c r="A175" s="119"/>
      <c r="B175" s="120" t="s">
        <v>463</v>
      </c>
      <c r="C175" s="121">
        <v>22</v>
      </c>
      <c r="D175" s="122">
        <v>27657</v>
      </c>
      <c r="E175" s="121">
        <v>27585</v>
      </c>
      <c r="F175" s="121">
        <v>27691</v>
      </c>
      <c r="G175" s="121">
        <v>13052500</v>
      </c>
      <c r="H175" s="121">
        <v>31582</v>
      </c>
      <c r="I175" s="121">
        <v>31743</v>
      </c>
      <c r="J175" s="123">
        <v>31748</v>
      </c>
      <c r="K175" s="121">
        <v>1317900</v>
      </c>
      <c r="L175" s="125">
        <f t="shared" si="26"/>
        <v>361436777500</v>
      </c>
      <c r="M175" s="125">
        <f t="shared" si="24"/>
        <v>41840689200</v>
      </c>
      <c r="N175" s="123">
        <v>27860</v>
      </c>
      <c r="O175" s="123">
        <v>32061</v>
      </c>
      <c r="P175" s="123">
        <v>27933</v>
      </c>
      <c r="Q175" s="123">
        <v>31897</v>
      </c>
      <c r="R175" s="121"/>
      <c r="S175" s="121"/>
      <c r="T175" s="121"/>
      <c r="U175" s="121"/>
      <c r="V175" s="123">
        <v>28470</v>
      </c>
      <c r="X175" s="123">
        <v>28720</v>
      </c>
      <c r="Y175" s="123">
        <v>32655</v>
      </c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21"/>
      <c r="AQ175" s="121"/>
      <c r="AR175" s="121"/>
      <c r="AS175" s="122"/>
      <c r="AT175" s="122"/>
      <c r="AU175" s="122"/>
      <c r="AV175" s="122"/>
      <c r="AW175" s="122"/>
      <c r="AX175" s="122"/>
      <c r="AY175" s="121"/>
      <c r="AZ175" s="121"/>
      <c r="BA175" s="121"/>
      <c r="BB175" s="121"/>
      <c r="BC175" s="121"/>
      <c r="BE175" s="124"/>
      <c r="BF175" s="124"/>
      <c r="BG175" s="124"/>
      <c r="BH175" s="124"/>
      <c r="BN175" s="14">
        <f t="shared" si="25"/>
        <v>3.7160088115272112</v>
      </c>
    </row>
    <row r="176" spans="1:66" s="117" customFormat="1" ht="21" hidden="1" customHeight="1">
      <c r="A176" s="113"/>
      <c r="B176" s="114" t="s">
        <v>465</v>
      </c>
      <c r="C176" s="115">
        <v>23</v>
      </c>
      <c r="D176" s="116">
        <v>27494</v>
      </c>
      <c r="E176" s="115">
        <v>26882</v>
      </c>
      <c r="F176" s="115">
        <v>27339</v>
      </c>
      <c r="G176" s="115">
        <v>11746800</v>
      </c>
      <c r="H176" s="115">
        <v>31600</v>
      </c>
      <c r="I176" s="115">
        <v>31595</v>
      </c>
      <c r="J176" s="117">
        <v>31558</v>
      </c>
      <c r="K176" s="115">
        <v>915600</v>
      </c>
      <c r="L176" s="93">
        <f t="shared" si="26"/>
        <v>321145765200</v>
      </c>
      <c r="M176" s="93">
        <f t="shared" si="24"/>
        <v>28894504800</v>
      </c>
      <c r="N176" s="117">
        <v>27150</v>
      </c>
      <c r="O176" s="117">
        <v>31911</v>
      </c>
      <c r="P176" s="117">
        <v>27768</v>
      </c>
      <c r="Q176" s="117">
        <v>31916</v>
      </c>
      <c r="R176" s="115"/>
      <c r="S176" s="115"/>
      <c r="T176" s="115"/>
      <c r="U176" s="115"/>
      <c r="V176" s="117">
        <v>28720</v>
      </c>
      <c r="X176" s="117">
        <v>28580</v>
      </c>
      <c r="Y176" s="117">
        <v>32804</v>
      </c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16"/>
      <c r="AT176" s="116"/>
      <c r="AU176" s="116"/>
      <c r="AV176" s="116"/>
      <c r="AW176" s="116"/>
      <c r="AX176" s="116"/>
      <c r="AY176" s="115"/>
      <c r="AZ176" s="115"/>
      <c r="BA176" s="115"/>
      <c r="BB176" s="115"/>
      <c r="BC176" s="115"/>
      <c r="BE176" s="118"/>
      <c r="BF176" s="118"/>
      <c r="BG176" s="118"/>
      <c r="BH176" s="118"/>
      <c r="BN176" s="14">
        <f t="shared" si="25"/>
        <v>4.5393028274625991</v>
      </c>
    </row>
    <row r="177" spans="1:66" s="117" customFormat="1" ht="21" hidden="1" customHeight="1">
      <c r="A177" s="113"/>
      <c r="B177" s="114" t="s">
        <v>466</v>
      </c>
      <c r="C177" s="115">
        <v>24</v>
      </c>
      <c r="D177" s="116">
        <v>26862</v>
      </c>
      <c r="E177" s="115">
        <v>26874</v>
      </c>
      <c r="F177" s="115">
        <v>26871</v>
      </c>
      <c r="G177" s="115">
        <v>11601300</v>
      </c>
      <c r="H177" s="115">
        <v>31350</v>
      </c>
      <c r="I177" s="115">
        <v>31256</v>
      </c>
      <c r="J177" s="117">
        <v>31234</v>
      </c>
      <c r="K177" s="115">
        <v>1080600</v>
      </c>
      <c r="L177" s="93">
        <f t="shared" si="26"/>
        <v>311738532300</v>
      </c>
      <c r="M177" s="93">
        <f t="shared" si="24"/>
        <v>33751460400</v>
      </c>
      <c r="N177" s="117">
        <v>27143</v>
      </c>
      <c r="O177" s="117">
        <v>31569</v>
      </c>
      <c r="P177" s="117">
        <v>27130</v>
      </c>
      <c r="Q177" s="117">
        <v>31663</v>
      </c>
      <c r="R177" s="115"/>
      <c r="S177" s="115"/>
      <c r="T177" s="115"/>
      <c r="U177" s="115"/>
      <c r="V177" s="117">
        <v>28420</v>
      </c>
      <c r="X177" s="117">
        <v>28190</v>
      </c>
      <c r="Y177" s="117">
        <v>32283</v>
      </c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116"/>
      <c r="AT177" s="116"/>
      <c r="AU177" s="116"/>
      <c r="AV177" s="116"/>
      <c r="AW177" s="116"/>
      <c r="AX177" s="116"/>
      <c r="AY177" s="115"/>
      <c r="AZ177" s="115"/>
      <c r="BA177" s="115"/>
      <c r="BB177" s="115"/>
      <c r="BC177" s="115"/>
      <c r="BE177" s="118"/>
      <c r="BF177" s="118"/>
      <c r="BG177" s="118"/>
      <c r="BH177" s="118"/>
      <c r="BN177" s="14">
        <f t="shared" si="25"/>
        <v>4.9086375646607872</v>
      </c>
    </row>
    <row r="178" spans="1:66" s="117" customFormat="1" ht="21" hidden="1" customHeight="1">
      <c r="A178" s="113"/>
      <c r="B178" s="114" t="s">
        <v>468</v>
      </c>
      <c r="C178" s="115">
        <v>25</v>
      </c>
      <c r="D178" s="116">
        <v>26797</v>
      </c>
      <c r="E178" s="115">
        <v>26635</v>
      </c>
      <c r="F178" s="115">
        <v>26690</v>
      </c>
      <c r="G178" s="115">
        <v>12754500</v>
      </c>
      <c r="H178" s="115">
        <v>31269</v>
      </c>
      <c r="I178" s="115">
        <v>30757</v>
      </c>
      <c r="J178" s="117">
        <v>31087</v>
      </c>
      <c r="K178" s="115">
        <v>902900</v>
      </c>
      <c r="L178" s="93">
        <f t="shared" si="26"/>
        <v>340417605000</v>
      </c>
      <c r="M178" s="93">
        <f t="shared" si="24"/>
        <v>28068452300</v>
      </c>
      <c r="N178" s="117">
        <v>26901</v>
      </c>
      <c r="O178" s="117">
        <v>31064</v>
      </c>
      <c r="P178" s="117">
        <v>27065</v>
      </c>
      <c r="Q178" s="117">
        <v>31582</v>
      </c>
      <c r="R178" s="115"/>
      <c r="S178" s="115"/>
      <c r="T178" s="115"/>
      <c r="U178" s="115"/>
      <c r="V178" s="117">
        <v>28170</v>
      </c>
      <c r="X178" s="117">
        <v>28180</v>
      </c>
      <c r="Y178" s="117">
        <v>32023</v>
      </c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6"/>
      <c r="AT178" s="116"/>
      <c r="AU178" s="116"/>
      <c r="AV178" s="116"/>
      <c r="AW178" s="116"/>
      <c r="AX178" s="116"/>
      <c r="AY178" s="115"/>
      <c r="AZ178" s="115"/>
      <c r="BA178" s="115"/>
      <c r="BB178" s="115"/>
      <c r="BC178" s="115"/>
      <c r="BE178" s="118"/>
      <c r="BF178" s="118"/>
      <c r="BG178" s="118"/>
      <c r="BH178" s="118"/>
      <c r="BN178" s="14">
        <f t="shared" si="25"/>
        <v>5.5826152116897712</v>
      </c>
    </row>
    <row r="179" spans="1:66" s="117" customFormat="1" ht="21" hidden="1" customHeight="1">
      <c r="A179" s="113"/>
      <c r="B179" s="114" t="s">
        <v>470</v>
      </c>
      <c r="C179" s="115">
        <v>26</v>
      </c>
      <c r="D179" s="116">
        <v>26633</v>
      </c>
      <c r="E179" s="115">
        <v>26635</v>
      </c>
      <c r="F179" s="115">
        <v>26626</v>
      </c>
      <c r="G179" s="115">
        <v>9748900</v>
      </c>
      <c r="H179" s="115">
        <v>30627</v>
      </c>
      <c r="I179" s="115">
        <v>30205</v>
      </c>
      <c r="J179" s="117">
        <v>30213</v>
      </c>
      <c r="K179" s="115">
        <v>1327100</v>
      </c>
      <c r="L179" s="93">
        <f t="shared" si="26"/>
        <v>259574211400</v>
      </c>
      <c r="M179" s="93">
        <f t="shared" si="24"/>
        <v>40095672300</v>
      </c>
      <c r="N179" s="117">
        <v>26901</v>
      </c>
      <c r="O179" s="117">
        <v>30507</v>
      </c>
      <c r="P179" s="117">
        <v>26900</v>
      </c>
      <c r="Q179" s="117">
        <v>30933</v>
      </c>
      <c r="R179" s="115"/>
      <c r="S179" s="115"/>
      <c r="T179" s="115"/>
      <c r="U179" s="115"/>
      <c r="V179" s="117">
        <v>28340</v>
      </c>
      <c r="X179" s="117">
        <v>28190</v>
      </c>
      <c r="Y179" s="117">
        <v>32007</v>
      </c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6"/>
      <c r="AT179" s="116"/>
      <c r="AU179" s="116"/>
      <c r="AV179" s="116"/>
      <c r="AW179" s="116"/>
      <c r="AX179" s="116"/>
      <c r="AY179" s="115"/>
      <c r="AZ179" s="115"/>
      <c r="BA179" s="115"/>
      <c r="BB179" s="115"/>
      <c r="BC179" s="115"/>
      <c r="BE179" s="118"/>
      <c r="BF179" s="118"/>
      <c r="BG179" s="118"/>
      <c r="BH179" s="118"/>
      <c r="BN179" s="14">
        <f t="shared" si="25"/>
        <v>5.8739577856230749</v>
      </c>
    </row>
    <row r="180" spans="1:66" s="117" customFormat="1" ht="21" hidden="1" customHeight="1">
      <c r="A180" s="113"/>
      <c r="B180" s="114" t="s">
        <v>472</v>
      </c>
      <c r="C180" s="115">
        <v>27</v>
      </c>
      <c r="D180" s="116">
        <v>26632</v>
      </c>
      <c r="E180" s="115">
        <v>26632</v>
      </c>
      <c r="F180" s="115">
        <v>26620</v>
      </c>
      <c r="G180" s="115">
        <v>8735600</v>
      </c>
      <c r="H180" s="115">
        <v>30205</v>
      </c>
      <c r="I180" s="115">
        <v>30590</v>
      </c>
      <c r="J180" s="117">
        <v>30480</v>
      </c>
      <c r="K180" s="115">
        <v>493800</v>
      </c>
      <c r="L180" s="93">
        <f t="shared" si="26"/>
        <v>232541672000</v>
      </c>
      <c r="M180" s="93">
        <f t="shared" si="24"/>
        <v>15051024000</v>
      </c>
      <c r="N180" s="117">
        <v>26899</v>
      </c>
      <c r="O180" s="117">
        <v>30896</v>
      </c>
      <c r="P180" s="117">
        <v>26898</v>
      </c>
      <c r="Q180" s="117">
        <v>30507</v>
      </c>
      <c r="R180" s="115"/>
      <c r="S180" s="115"/>
      <c r="T180" s="115"/>
      <c r="U180" s="115"/>
      <c r="V180" s="117">
        <v>28210</v>
      </c>
      <c r="X180" s="117">
        <v>28150</v>
      </c>
      <c r="Y180" s="117">
        <v>31964</v>
      </c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16"/>
      <c r="AT180" s="116"/>
      <c r="AU180" s="116"/>
      <c r="AV180" s="116"/>
      <c r="AW180" s="116"/>
      <c r="AX180" s="116"/>
      <c r="AY180" s="115"/>
      <c r="AZ180" s="115"/>
      <c r="BA180" s="115"/>
      <c r="BB180" s="115"/>
      <c r="BC180" s="115"/>
      <c r="BE180" s="118"/>
      <c r="BF180" s="118"/>
      <c r="BG180" s="118"/>
      <c r="BH180" s="118"/>
      <c r="BN180" s="14">
        <f t="shared" si="25"/>
        <v>5.7475582268970697</v>
      </c>
    </row>
    <row r="181" spans="1:66" s="130" customFormat="1" ht="21" hidden="1" customHeight="1">
      <c r="A181" s="126"/>
      <c r="B181" s="127" t="s">
        <v>475</v>
      </c>
      <c r="C181" s="128">
        <v>29</v>
      </c>
      <c r="D181" s="129">
        <v>26630</v>
      </c>
      <c r="E181" s="128">
        <v>26609</v>
      </c>
      <c r="F181" s="128">
        <v>26601</v>
      </c>
      <c r="G181" s="128">
        <v>11727000</v>
      </c>
      <c r="H181" s="128">
        <v>30583</v>
      </c>
      <c r="I181" s="128">
        <v>30350</v>
      </c>
      <c r="J181" s="130">
        <v>30413</v>
      </c>
      <c r="K181" s="128">
        <v>675800</v>
      </c>
      <c r="L181" s="93">
        <f t="shared" si="26"/>
        <v>311949927000</v>
      </c>
      <c r="M181" s="93">
        <f t="shared" si="24"/>
        <v>20553105400</v>
      </c>
      <c r="N181" s="130">
        <v>26875</v>
      </c>
      <c r="O181" s="130">
        <v>30654</v>
      </c>
      <c r="P181" s="130">
        <v>26896</v>
      </c>
      <c r="Q181" s="130">
        <v>30890</v>
      </c>
      <c r="R181" s="128"/>
      <c r="S181" s="128"/>
      <c r="T181" s="128"/>
      <c r="U181" s="128"/>
      <c r="V181" s="130">
        <v>28180</v>
      </c>
      <c r="X181" s="130">
        <v>28180</v>
      </c>
      <c r="Y181" s="130">
        <v>31753</v>
      </c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9"/>
      <c r="AT181" s="129"/>
      <c r="AU181" s="129"/>
      <c r="AV181" s="129"/>
      <c r="AW181" s="129"/>
      <c r="AX181" s="129"/>
      <c r="AY181" s="128"/>
      <c r="AZ181" s="128"/>
      <c r="BA181" s="128"/>
      <c r="BB181" s="128"/>
      <c r="BC181" s="128"/>
      <c r="BE181" s="131"/>
      <c r="BF181" s="131"/>
      <c r="BG181" s="131"/>
      <c r="BH181" s="131"/>
      <c r="BN181" s="14">
        <f t="shared" si="25"/>
        <v>5.9358670726664409</v>
      </c>
    </row>
    <row r="182" spans="1:66" s="130" customFormat="1" ht="21" hidden="1" customHeight="1">
      <c r="A182" s="126"/>
      <c r="B182" s="127" t="s">
        <v>477</v>
      </c>
      <c r="C182" s="128">
        <v>30</v>
      </c>
      <c r="D182" s="129">
        <v>26579</v>
      </c>
      <c r="E182" s="128">
        <v>26600</v>
      </c>
      <c r="F182" s="128">
        <v>26565</v>
      </c>
      <c r="G182" s="128">
        <v>11408500</v>
      </c>
      <c r="H182" s="128">
        <v>30288</v>
      </c>
      <c r="I182" s="128">
        <v>30399</v>
      </c>
      <c r="J182" s="130">
        <v>30341</v>
      </c>
      <c r="K182" s="128">
        <v>908000</v>
      </c>
      <c r="L182" s="99">
        <f t="shared" si="26"/>
        <v>303066802500</v>
      </c>
      <c r="M182" s="99">
        <f t="shared" si="24"/>
        <v>27549628000</v>
      </c>
      <c r="N182" s="130">
        <v>26865</v>
      </c>
      <c r="O182" s="130">
        <v>30703</v>
      </c>
      <c r="P182" s="130">
        <v>26844</v>
      </c>
      <c r="Q182" s="130">
        <v>30591</v>
      </c>
      <c r="R182" s="128"/>
      <c r="S182" s="128"/>
      <c r="T182" s="128"/>
      <c r="U182" s="128"/>
      <c r="V182" s="130">
        <v>28090</v>
      </c>
      <c r="X182" s="130">
        <v>28290</v>
      </c>
      <c r="Y182" s="130">
        <v>31741</v>
      </c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9"/>
      <c r="AT182" s="129"/>
      <c r="AU182" s="129"/>
      <c r="AV182" s="129"/>
      <c r="AW182" s="129"/>
      <c r="AX182" s="129"/>
      <c r="AY182" s="128"/>
      <c r="AZ182" s="128"/>
      <c r="BA182" s="128"/>
      <c r="BB182" s="128"/>
      <c r="BC182" s="128"/>
      <c r="BE182" s="131"/>
      <c r="BF182" s="131"/>
      <c r="BG182" s="131"/>
      <c r="BH182" s="131"/>
      <c r="BN182" s="14">
        <f t="shared" si="25"/>
        <v>6.4935064935064934</v>
      </c>
    </row>
    <row r="183" spans="1:66" s="130" customFormat="1" ht="21" hidden="1" customHeight="1">
      <c r="A183" s="126"/>
      <c r="B183" s="127" t="s">
        <v>484</v>
      </c>
      <c r="C183" s="128">
        <v>1</v>
      </c>
      <c r="D183" s="129">
        <v>26577</v>
      </c>
      <c r="E183" s="128">
        <v>26580</v>
      </c>
      <c r="F183" s="128">
        <v>26574</v>
      </c>
      <c r="G183" s="128">
        <v>12381500</v>
      </c>
      <c r="H183" s="128">
        <v>30211</v>
      </c>
      <c r="I183" s="128">
        <v>30399</v>
      </c>
      <c r="J183" s="130">
        <v>30309</v>
      </c>
      <c r="K183" s="128">
        <v>953300</v>
      </c>
      <c r="L183" s="99">
        <f t="shared" si="26"/>
        <v>329025981000</v>
      </c>
      <c r="M183" s="99">
        <f t="shared" si="24"/>
        <v>28893569700</v>
      </c>
      <c r="N183" s="130">
        <v>26846</v>
      </c>
      <c r="O183" s="130">
        <v>30703</v>
      </c>
      <c r="P183" s="130">
        <v>26843</v>
      </c>
      <c r="Q183" s="130">
        <v>30513</v>
      </c>
      <c r="R183" s="128"/>
      <c r="S183" s="128"/>
      <c r="T183" s="128"/>
      <c r="U183" s="128"/>
      <c r="V183" s="130">
        <v>28350</v>
      </c>
      <c r="X183" s="130">
        <v>28400</v>
      </c>
      <c r="Y183" s="130">
        <v>31874</v>
      </c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9"/>
      <c r="AT183" s="129"/>
      <c r="AU183" s="129"/>
      <c r="AV183" s="129"/>
      <c r="AW183" s="129"/>
      <c r="AX183" s="129"/>
      <c r="AY183" s="128"/>
      <c r="AZ183" s="128"/>
      <c r="BA183" s="128"/>
      <c r="BB183" s="128"/>
      <c r="BC183" s="128"/>
      <c r="BE183" s="131"/>
      <c r="BF183" s="131"/>
      <c r="BG183" s="131"/>
      <c r="BH183" s="131"/>
      <c r="BN183" s="14">
        <f t="shared" si="25"/>
        <v>6.8713780386844281</v>
      </c>
    </row>
    <row r="184" spans="1:66" s="130" customFormat="1" ht="21" hidden="1" customHeight="1">
      <c r="A184" s="126"/>
      <c r="B184" s="127" t="s">
        <v>485</v>
      </c>
      <c r="C184" s="128">
        <v>2</v>
      </c>
      <c r="D184" s="129">
        <v>26578</v>
      </c>
      <c r="E184" s="128">
        <v>26579</v>
      </c>
      <c r="F184" s="128">
        <v>26576</v>
      </c>
      <c r="G184" s="128">
        <v>15697800</v>
      </c>
      <c r="H184" s="128">
        <v>30399</v>
      </c>
      <c r="I184" s="128">
        <v>30399</v>
      </c>
      <c r="J184" s="130">
        <v>30386</v>
      </c>
      <c r="K184" s="128">
        <v>1164500</v>
      </c>
      <c r="L184" s="99">
        <f t="shared" si="26"/>
        <v>417184732800</v>
      </c>
      <c r="M184" s="99">
        <f t="shared" si="24"/>
        <v>35384497000</v>
      </c>
      <c r="N184" s="130">
        <v>26845</v>
      </c>
      <c r="O184" s="130">
        <v>30703</v>
      </c>
      <c r="P184" s="130">
        <v>26844</v>
      </c>
      <c r="Q184" s="130">
        <v>30703</v>
      </c>
      <c r="R184" s="128"/>
      <c r="S184" s="128"/>
      <c r="T184" s="128"/>
      <c r="U184" s="128"/>
      <c r="V184" s="130">
        <v>28550</v>
      </c>
      <c r="X184" s="130">
        <v>28570</v>
      </c>
      <c r="Y184" s="130">
        <v>32223</v>
      </c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9"/>
      <c r="AT184" s="129"/>
      <c r="AU184" s="129"/>
      <c r="AV184" s="129"/>
      <c r="AW184" s="129"/>
      <c r="AX184" s="129"/>
      <c r="AY184" s="128"/>
      <c r="AZ184" s="128"/>
      <c r="BA184" s="128"/>
      <c r="BB184" s="128"/>
      <c r="BC184" s="128"/>
      <c r="BE184" s="131"/>
      <c r="BF184" s="131"/>
      <c r="BG184" s="131"/>
      <c r="BH184" s="131"/>
      <c r="BN184" s="14">
        <f t="shared" si="25"/>
        <v>7.5030102347983139</v>
      </c>
    </row>
    <row r="185" spans="1:66" s="130" customFormat="1" ht="21" hidden="1" customHeight="1">
      <c r="A185" s="126"/>
      <c r="B185" s="127" t="s">
        <v>486</v>
      </c>
      <c r="C185" s="128">
        <v>3</v>
      </c>
      <c r="D185" s="129">
        <v>27064</v>
      </c>
      <c r="E185" s="128">
        <v>27750</v>
      </c>
      <c r="F185" s="128">
        <v>27384</v>
      </c>
      <c r="G185" s="128">
        <v>12359200</v>
      </c>
      <c r="H185" s="128">
        <v>30399</v>
      </c>
      <c r="I185" s="128">
        <v>31492</v>
      </c>
      <c r="J185" s="130">
        <v>31335</v>
      </c>
      <c r="K185" s="128">
        <v>1055500</v>
      </c>
      <c r="L185" s="99">
        <f t="shared" si="26"/>
        <v>338444332800</v>
      </c>
      <c r="M185" s="99">
        <f t="shared" si="24"/>
        <v>33074092500</v>
      </c>
      <c r="N185" s="130">
        <v>28028</v>
      </c>
      <c r="O185" s="130">
        <v>31807</v>
      </c>
      <c r="P185" s="130">
        <v>27335</v>
      </c>
      <c r="Q185" s="130">
        <v>30703</v>
      </c>
      <c r="R185" s="128"/>
      <c r="S185" s="128"/>
      <c r="T185" s="128"/>
      <c r="U185" s="128"/>
      <c r="V185" s="130">
        <v>28850</v>
      </c>
      <c r="X185" s="130">
        <v>29050</v>
      </c>
      <c r="Y185" s="130">
        <v>32426</v>
      </c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9"/>
      <c r="AT185" s="129"/>
      <c r="AU185" s="129"/>
      <c r="AV185" s="129"/>
      <c r="AW185" s="129"/>
      <c r="AX185" s="129"/>
      <c r="AY185" s="128"/>
      <c r="AZ185" s="128"/>
      <c r="BA185" s="128"/>
      <c r="BB185" s="128"/>
      <c r="BC185" s="128"/>
      <c r="BE185" s="131"/>
      <c r="BF185" s="131"/>
      <c r="BG185" s="131"/>
      <c r="BH185" s="131"/>
      <c r="BN185" s="14">
        <f t="shared" si="25"/>
        <v>6.0838445807770958</v>
      </c>
    </row>
    <row r="186" spans="1:66" s="130" customFormat="1" ht="21" hidden="1" customHeight="1">
      <c r="A186" s="126"/>
      <c r="B186" s="127" t="s">
        <v>487</v>
      </c>
      <c r="C186" s="128">
        <v>4</v>
      </c>
      <c r="D186" s="129">
        <v>28042</v>
      </c>
      <c r="E186" s="128">
        <v>27723</v>
      </c>
      <c r="F186" s="128">
        <v>27768</v>
      </c>
      <c r="G186" s="128">
        <v>7533200</v>
      </c>
      <c r="H186" s="128">
        <v>31492</v>
      </c>
      <c r="I186" s="128">
        <v>31765</v>
      </c>
      <c r="J186" s="130">
        <v>31703</v>
      </c>
      <c r="K186" s="128">
        <v>442900</v>
      </c>
      <c r="L186" s="99">
        <f t="shared" si="26"/>
        <v>209181897600</v>
      </c>
      <c r="M186" s="99">
        <f t="shared" si="24"/>
        <v>14041258700</v>
      </c>
      <c r="N186" s="130">
        <v>28001</v>
      </c>
      <c r="O186" s="130">
        <v>32083</v>
      </c>
      <c r="P186" s="130">
        <v>28322</v>
      </c>
      <c r="Q186" s="130">
        <v>31807</v>
      </c>
      <c r="R186" s="128"/>
      <c r="S186" s="128"/>
      <c r="T186" s="128"/>
      <c r="U186" s="128"/>
      <c r="V186" s="130">
        <v>29030</v>
      </c>
      <c r="X186" s="130">
        <v>29050</v>
      </c>
      <c r="Y186" s="130">
        <v>32534</v>
      </c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9"/>
      <c r="AT186" s="129"/>
      <c r="AU186" s="129"/>
      <c r="AV186" s="129"/>
      <c r="AW186" s="129"/>
      <c r="AX186" s="129"/>
      <c r="AY186" s="128"/>
      <c r="AZ186" s="128"/>
      <c r="BA186" s="128"/>
      <c r="BB186" s="128"/>
      <c r="BC186" s="128"/>
      <c r="BE186" s="131"/>
      <c r="BF186" s="131"/>
      <c r="BG186" s="131"/>
      <c r="BH186" s="131"/>
      <c r="BN186" s="14">
        <f t="shared" si="25"/>
        <v>4.6168251224430996</v>
      </c>
    </row>
    <row r="187" spans="1:66" s="117" customFormat="1" ht="21" customHeight="1">
      <c r="A187" s="113"/>
      <c r="B187" s="114" t="s">
        <v>488</v>
      </c>
      <c r="C187" s="115">
        <v>6</v>
      </c>
      <c r="D187" s="116">
        <v>27760</v>
      </c>
      <c r="E187" s="115">
        <v>26482</v>
      </c>
      <c r="F187" s="115">
        <v>27139</v>
      </c>
      <c r="G187" s="115">
        <v>3812700</v>
      </c>
      <c r="H187" s="115">
        <v>31765</v>
      </c>
      <c r="I187" s="115">
        <v>30300</v>
      </c>
      <c r="J187" s="117">
        <v>30744</v>
      </c>
      <c r="K187" s="115">
        <v>280400</v>
      </c>
      <c r="L187" s="93">
        <f t="shared" si="26"/>
        <v>103472865300</v>
      </c>
      <c r="M187" s="93">
        <f t="shared" si="24"/>
        <v>8620617600</v>
      </c>
      <c r="N187" s="117">
        <v>26746</v>
      </c>
      <c r="O187" s="117">
        <v>30603</v>
      </c>
      <c r="P187" s="117">
        <v>28037</v>
      </c>
      <c r="Q187" s="117">
        <v>32083</v>
      </c>
      <c r="R187" s="115"/>
      <c r="S187" s="115"/>
      <c r="T187" s="115"/>
      <c r="U187" s="115"/>
      <c r="V187" s="117">
        <v>29270</v>
      </c>
      <c r="X187" s="117">
        <v>29150</v>
      </c>
      <c r="Y187" s="117">
        <v>33100</v>
      </c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16"/>
      <c r="AT187" s="116"/>
      <c r="AU187" s="116"/>
      <c r="AV187" s="116"/>
      <c r="AW187" s="116"/>
      <c r="AX187" s="116"/>
      <c r="AY187" s="115"/>
      <c r="AZ187" s="115"/>
      <c r="BA187" s="115"/>
      <c r="BB187" s="115"/>
      <c r="BC187" s="115"/>
      <c r="BE187" s="118"/>
      <c r="BF187" s="118"/>
      <c r="BG187" s="118"/>
      <c r="BH187" s="118"/>
      <c r="BN187" s="14">
        <f t="shared" si="25"/>
        <v>7.4100003684734146</v>
      </c>
    </row>
    <row r="188" spans="1:66" s="117" customFormat="1" ht="21" customHeight="1">
      <c r="A188" s="113"/>
      <c r="B188" s="114" t="s">
        <v>490</v>
      </c>
      <c r="C188" s="115">
        <v>7</v>
      </c>
      <c r="D188" s="116">
        <v>26482</v>
      </c>
      <c r="E188" s="115">
        <v>26063</v>
      </c>
      <c r="F188" s="115">
        <v>26151</v>
      </c>
      <c r="G188" s="115">
        <v>3931600</v>
      </c>
      <c r="H188" s="115">
        <v>30300</v>
      </c>
      <c r="I188" s="115">
        <v>30555</v>
      </c>
      <c r="J188" s="117">
        <v>30360</v>
      </c>
      <c r="K188" s="115">
        <v>292500</v>
      </c>
      <c r="L188" s="93">
        <f t="shared" si="26"/>
        <v>102815271600</v>
      </c>
      <c r="M188" s="93">
        <f t="shared" si="24"/>
        <v>8880300000</v>
      </c>
      <c r="N188" s="117">
        <v>26323</v>
      </c>
      <c r="O188" s="117">
        <v>30860</v>
      </c>
      <c r="P188" s="117">
        <v>26746</v>
      </c>
      <c r="Q188" s="117">
        <v>30603</v>
      </c>
      <c r="R188" s="115"/>
      <c r="S188" s="115"/>
      <c r="T188" s="115"/>
      <c r="U188" s="115"/>
      <c r="V188" s="117">
        <v>29080</v>
      </c>
      <c r="X188" s="117">
        <v>29250</v>
      </c>
      <c r="Y188" s="117">
        <v>32986</v>
      </c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16"/>
      <c r="AT188" s="116"/>
      <c r="AU188" s="116"/>
      <c r="AV188" s="116"/>
      <c r="AW188" s="116"/>
      <c r="AX188" s="116"/>
      <c r="AY188" s="115"/>
      <c r="AZ188" s="115"/>
      <c r="BA188" s="115"/>
      <c r="BB188" s="115"/>
      <c r="BC188" s="115"/>
      <c r="BE188" s="118"/>
      <c r="BF188" s="118"/>
      <c r="BG188" s="118"/>
      <c r="BH188" s="118"/>
      <c r="BN188" s="14">
        <f t="shared" si="25"/>
        <v>11.850407250200757</v>
      </c>
    </row>
    <row r="189" spans="1:66" s="117" customFormat="1" ht="21" customHeight="1">
      <c r="A189" s="113"/>
      <c r="B189" s="114" t="s">
        <v>492</v>
      </c>
      <c r="C189" s="115">
        <v>8</v>
      </c>
      <c r="D189" s="116">
        <v>26850</v>
      </c>
      <c r="E189" s="115">
        <v>26196</v>
      </c>
      <c r="F189" s="115">
        <v>26428</v>
      </c>
      <c r="G189" s="115">
        <v>6785800</v>
      </c>
      <c r="H189" s="115">
        <v>30555</v>
      </c>
      <c r="I189" s="115">
        <v>30649</v>
      </c>
      <c r="J189" s="117">
        <v>30420</v>
      </c>
      <c r="K189" s="115">
        <v>469600</v>
      </c>
      <c r="L189" s="93">
        <f t="shared" si="26"/>
        <v>179335122400</v>
      </c>
      <c r="M189" s="93">
        <f t="shared" si="24"/>
        <v>14285232000</v>
      </c>
      <c r="N189" s="117">
        <v>26458</v>
      </c>
      <c r="O189" s="117">
        <v>30955</v>
      </c>
      <c r="P189" s="117">
        <v>27118</v>
      </c>
      <c r="Q189" s="117">
        <v>30860</v>
      </c>
      <c r="R189" s="115"/>
      <c r="S189" s="115"/>
      <c r="T189" s="115"/>
      <c r="U189" s="115"/>
      <c r="V189" s="117">
        <v>29540</v>
      </c>
      <c r="X189" s="117">
        <v>29500</v>
      </c>
      <c r="Y189" s="117">
        <v>33180</v>
      </c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16"/>
      <c r="AT189" s="116"/>
      <c r="AU189" s="116"/>
      <c r="AV189" s="116"/>
      <c r="AW189" s="116"/>
      <c r="AX189" s="116"/>
      <c r="AY189" s="115"/>
      <c r="AZ189" s="115"/>
      <c r="BA189" s="115"/>
      <c r="BB189" s="115"/>
      <c r="BC189" s="115"/>
      <c r="BE189" s="118"/>
      <c r="BF189" s="118"/>
      <c r="BG189" s="118"/>
      <c r="BH189" s="118"/>
      <c r="BN189" s="14">
        <f t="shared" si="25"/>
        <v>11.624035114272742</v>
      </c>
    </row>
    <row r="190" spans="1:66" s="117" customFormat="1" ht="21" customHeight="1">
      <c r="A190" s="113"/>
      <c r="B190" s="114" t="s">
        <v>494</v>
      </c>
      <c r="C190" s="115">
        <v>9</v>
      </c>
      <c r="D190" s="116">
        <v>26196</v>
      </c>
      <c r="E190" s="115">
        <v>26218</v>
      </c>
      <c r="F190" s="115">
        <v>26243</v>
      </c>
      <c r="G190" s="115">
        <v>6483300</v>
      </c>
      <c r="H190" s="115">
        <v>30649</v>
      </c>
      <c r="I190" s="115">
        <v>30582</v>
      </c>
      <c r="J190" s="117">
        <v>30477</v>
      </c>
      <c r="K190" s="115">
        <v>324600</v>
      </c>
      <c r="L190" s="93">
        <f t="shared" si="26"/>
        <v>170141241900</v>
      </c>
      <c r="M190" s="93">
        <f t="shared" si="24"/>
        <v>9892834200</v>
      </c>
      <c r="N190" s="117">
        <v>26480</v>
      </c>
      <c r="O190" s="117">
        <v>30888</v>
      </c>
      <c r="P190" s="117">
        <v>26458</v>
      </c>
      <c r="Q190" s="117">
        <v>30955</v>
      </c>
      <c r="R190" s="115"/>
      <c r="S190" s="115"/>
      <c r="T190" s="115"/>
      <c r="U190" s="115"/>
      <c r="V190" s="117">
        <v>29140</v>
      </c>
      <c r="X190" s="117">
        <v>29110</v>
      </c>
      <c r="Y190" s="117">
        <v>33057</v>
      </c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116"/>
      <c r="AT190" s="116"/>
      <c r="AU190" s="116"/>
      <c r="AV190" s="116"/>
      <c r="AW190" s="116"/>
      <c r="AX190" s="116"/>
      <c r="AY190" s="115"/>
      <c r="AZ190" s="115"/>
      <c r="BA190" s="115"/>
      <c r="BB190" s="115"/>
      <c r="BC190" s="115"/>
      <c r="BE190" s="118"/>
      <c r="BF190" s="118"/>
      <c r="BG190" s="118"/>
      <c r="BH190" s="118"/>
      <c r="BN190" s="14">
        <f t="shared" si="25"/>
        <v>10.92481804671722</v>
      </c>
    </row>
    <row r="191" spans="1:66" s="117" customFormat="1" ht="21" customHeight="1">
      <c r="A191" s="113"/>
      <c r="B191" s="114" t="s">
        <v>496</v>
      </c>
      <c r="C191" s="115">
        <v>10</v>
      </c>
      <c r="D191" s="116">
        <v>26232</v>
      </c>
      <c r="E191" s="115">
        <v>26361</v>
      </c>
      <c r="F191" s="115">
        <v>26418</v>
      </c>
      <c r="G191" s="115">
        <v>8065200</v>
      </c>
      <c r="H191" s="115">
        <v>30582</v>
      </c>
      <c r="I191" s="115">
        <v>30349</v>
      </c>
      <c r="J191" s="117">
        <v>30400</v>
      </c>
      <c r="K191" s="115">
        <v>384900</v>
      </c>
      <c r="L191" s="93"/>
      <c r="M191" s="93"/>
      <c r="N191" s="117">
        <v>26624</v>
      </c>
      <c r="O191" s="117">
        <v>30652</v>
      </c>
      <c r="P191" s="117">
        <v>26494</v>
      </c>
      <c r="Q191" s="117">
        <v>30888</v>
      </c>
      <c r="R191" s="115"/>
      <c r="S191" s="115"/>
      <c r="T191" s="115"/>
      <c r="U191" s="115"/>
      <c r="V191" s="117">
        <v>29220</v>
      </c>
      <c r="X191" s="117">
        <v>29270</v>
      </c>
      <c r="Y191" s="117">
        <v>33055</v>
      </c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116"/>
      <c r="AT191" s="116"/>
      <c r="AU191" s="116"/>
      <c r="AV191" s="116"/>
      <c r="AW191" s="116"/>
      <c r="AX191" s="116"/>
      <c r="AY191" s="115"/>
      <c r="AZ191" s="115"/>
      <c r="BA191" s="115"/>
      <c r="BB191" s="115"/>
      <c r="BC191" s="115"/>
      <c r="BE191" s="118"/>
      <c r="BF191" s="118"/>
      <c r="BG191" s="118"/>
      <c r="BH191" s="118"/>
      <c r="BN191" s="14">
        <f t="shared" si="25"/>
        <v>10.795669619199032</v>
      </c>
    </row>
    <row r="192" spans="1:66" s="117" customFormat="1" ht="21" customHeight="1">
      <c r="A192" s="113"/>
      <c r="B192" s="114" t="s">
        <v>498</v>
      </c>
      <c r="C192" s="115">
        <v>11</v>
      </c>
      <c r="D192" s="116">
        <v>26407</v>
      </c>
      <c r="E192" s="115">
        <v>27059</v>
      </c>
      <c r="F192" s="115">
        <v>26673</v>
      </c>
      <c r="G192" s="115">
        <v>5925100</v>
      </c>
      <c r="H192" s="115">
        <v>30349</v>
      </c>
      <c r="I192" s="115">
        <v>31287</v>
      </c>
      <c r="J192" s="117">
        <v>31272</v>
      </c>
      <c r="K192" s="115">
        <v>177600</v>
      </c>
      <c r="L192" s="93"/>
      <c r="M192" s="93"/>
      <c r="N192" s="117">
        <v>27329</v>
      </c>
      <c r="O192" s="117">
        <v>31599</v>
      </c>
      <c r="P192" s="117">
        <v>26671</v>
      </c>
      <c r="Q192" s="117">
        <v>30652</v>
      </c>
      <c r="R192" s="115"/>
      <c r="S192" s="115"/>
      <c r="T192" s="115"/>
      <c r="U192" s="115"/>
      <c r="V192" s="117">
        <v>29300</v>
      </c>
      <c r="X192" s="117">
        <v>29360</v>
      </c>
      <c r="Y192" s="117">
        <v>33098</v>
      </c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116"/>
      <c r="AT192" s="116"/>
      <c r="AU192" s="116"/>
      <c r="AV192" s="116"/>
      <c r="AW192" s="116"/>
      <c r="AX192" s="116"/>
      <c r="AY192" s="115"/>
      <c r="AZ192" s="115"/>
      <c r="BA192" s="115"/>
      <c r="BB192" s="115"/>
      <c r="BC192" s="115"/>
      <c r="BE192" s="118"/>
      <c r="BF192" s="118"/>
      <c r="BG192" s="118"/>
      <c r="BH192" s="118"/>
      <c r="BN192" s="14">
        <f t="shared" si="25"/>
        <v>10.073857458853523</v>
      </c>
    </row>
    <row r="193" spans="1:66" s="139" customFormat="1" ht="21" customHeight="1">
      <c r="A193" s="135"/>
      <c r="B193" s="136" t="s">
        <v>501</v>
      </c>
      <c r="C193" s="137">
        <v>13</v>
      </c>
      <c r="D193" s="138">
        <v>27796</v>
      </c>
      <c r="E193" s="137">
        <v>27699</v>
      </c>
      <c r="F193" s="137">
        <v>27715</v>
      </c>
      <c r="G193" s="137">
        <v>10546800</v>
      </c>
      <c r="H193" s="137">
        <v>31287</v>
      </c>
      <c r="I193" s="137">
        <v>32270</v>
      </c>
      <c r="J193" s="139">
        <v>31905</v>
      </c>
      <c r="K193" s="137">
        <v>581800</v>
      </c>
      <c r="L193" s="140"/>
      <c r="M193" s="140"/>
      <c r="N193" s="139">
        <v>27976</v>
      </c>
      <c r="O193" s="139">
        <v>32593</v>
      </c>
      <c r="P193" s="139">
        <v>28073</v>
      </c>
      <c r="Q193" s="139">
        <v>31599</v>
      </c>
      <c r="R193" s="137"/>
      <c r="S193" s="137"/>
      <c r="T193" s="137"/>
      <c r="U193" s="137"/>
      <c r="V193" s="139">
        <v>29850</v>
      </c>
      <c r="X193" s="139">
        <v>30180</v>
      </c>
      <c r="Y193" s="139">
        <v>33906</v>
      </c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8"/>
      <c r="AT193" s="138"/>
      <c r="AU193" s="138"/>
      <c r="AV193" s="138"/>
      <c r="AW193" s="138"/>
      <c r="AX193" s="138"/>
      <c r="AY193" s="137"/>
      <c r="AZ193" s="137"/>
      <c r="BA193" s="137"/>
      <c r="BB193" s="137"/>
      <c r="BC193" s="137"/>
      <c r="BE193" s="141"/>
      <c r="BF193" s="141"/>
      <c r="BG193" s="141"/>
      <c r="BH193" s="141"/>
      <c r="BN193" s="14">
        <f t="shared" si="25"/>
        <v>8.8941006675085692</v>
      </c>
    </row>
    <row r="194" spans="1:66" s="139" customFormat="1" ht="21" customHeight="1">
      <c r="A194" s="135"/>
      <c r="B194" s="136" t="s">
        <v>503</v>
      </c>
      <c r="C194" s="137">
        <v>14</v>
      </c>
      <c r="D194" s="138">
        <v>27606</v>
      </c>
      <c r="E194" s="137">
        <v>27521</v>
      </c>
      <c r="F194" s="137">
        <v>27600</v>
      </c>
      <c r="G194" s="137">
        <v>8650200</v>
      </c>
      <c r="H194" s="137">
        <v>31849</v>
      </c>
      <c r="I194" s="137">
        <v>31849</v>
      </c>
      <c r="J194" s="139">
        <v>31779</v>
      </c>
      <c r="K194" s="137">
        <v>753800</v>
      </c>
      <c r="L194" s="140"/>
      <c r="M194" s="140"/>
      <c r="N194" s="139">
        <v>27796</v>
      </c>
      <c r="O194" s="139">
        <v>32167</v>
      </c>
      <c r="P194" s="139">
        <v>27882</v>
      </c>
      <c r="Q194" s="139">
        <v>32168</v>
      </c>
      <c r="R194" s="137"/>
      <c r="S194" s="137"/>
      <c r="T194" s="137"/>
      <c r="U194" s="137"/>
      <c r="V194" s="139">
        <v>30540</v>
      </c>
      <c r="X194" s="139">
        <v>30320</v>
      </c>
      <c r="Y194" s="139">
        <v>34030</v>
      </c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8"/>
      <c r="AT194" s="138"/>
      <c r="AU194" s="138"/>
      <c r="AV194" s="138"/>
      <c r="AW194" s="138"/>
      <c r="AX194" s="138"/>
      <c r="AY194" s="137"/>
      <c r="AZ194" s="137"/>
      <c r="BA194" s="137"/>
      <c r="BB194" s="137"/>
      <c r="BC194" s="137"/>
      <c r="BE194" s="141"/>
      <c r="BF194" s="141"/>
      <c r="BG194" s="141"/>
      <c r="BH194" s="141"/>
      <c r="BN194" s="14">
        <f t="shared" si="25"/>
        <v>9.8550724637681153</v>
      </c>
    </row>
    <row r="195" spans="1:66" s="139" customFormat="1" ht="21" customHeight="1">
      <c r="A195" s="135"/>
      <c r="B195" s="147" t="s">
        <v>505</v>
      </c>
      <c r="C195" s="138">
        <v>15</v>
      </c>
      <c r="D195" s="138">
        <v>27580</v>
      </c>
      <c r="E195" s="138">
        <v>27580</v>
      </c>
      <c r="F195" s="138">
        <v>27569</v>
      </c>
      <c r="G195" s="138">
        <v>9482800</v>
      </c>
      <c r="H195" s="138">
        <v>31747</v>
      </c>
      <c r="I195" s="138">
        <v>31749</v>
      </c>
      <c r="J195" s="139">
        <v>31730</v>
      </c>
      <c r="K195" s="138">
        <v>1007900</v>
      </c>
      <c r="L195" s="148"/>
      <c r="M195" s="148"/>
      <c r="N195" s="139">
        <v>27855</v>
      </c>
      <c r="O195" s="139">
        <v>32066</v>
      </c>
      <c r="P195" s="139">
        <v>27856</v>
      </c>
      <c r="Q195" s="139">
        <v>32065</v>
      </c>
      <c r="R195" s="138"/>
      <c r="S195" s="138"/>
      <c r="T195" s="138"/>
      <c r="U195" s="138"/>
      <c r="V195" s="139">
        <v>30580</v>
      </c>
      <c r="X195" s="139">
        <v>30550</v>
      </c>
      <c r="Y195" s="139">
        <v>34239</v>
      </c>
      <c r="Z195" s="149"/>
      <c r="AA195" s="138"/>
      <c r="AB195" s="149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  <c r="AM195" s="138"/>
      <c r="AN195" s="138"/>
      <c r="AO195" s="138"/>
      <c r="AP195" s="138"/>
      <c r="AQ195" s="138"/>
      <c r="AR195" s="138"/>
      <c r="AS195" s="138"/>
      <c r="AT195" s="138"/>
      <c r="AU195" s="138"/>
      <c r="AV195" s="138"/>
      <c r="AW195" s="138"/>
      <c r="AX195" s="138"/>
      <c r="AY195" s="138"/>
      <c r="AZ195" s="138"/>
      <c r="BA195" s="138"/>
      <c r="BB195" s="138"/>
      <c r="BC195" s="138"/>
      <c r="BE195" s="150"/>
      <c r="BF195" s="150"/>
      <c r="BG195" s="150"/>
      <c r="BH195" s="150"/>
      <c r="BN195" s="151">
        <f t="shared" si="25"/>
        <v>10.812869527367695</v>
      </c>
    </row>
    <row r="196" spans="1:66" s="112" customFormat="1" ht="21" customHeight="1">
      <c r="A196" s="109"/>
      <c r="B196" s="142" t="s">
        <v>508</v>
      </c>
      <c r="C196" s="111">
        <v>16</v>
      </c>
      <c r="D196" s="111">
        <v>27568</v>
      </c>
      <c r="E196" s="111"/>
      <c r="F196" s="111"/>
      <c r="G196" s="111"/>
      <c r="H196" s="111">
        <v>31740</v>
      </c>
      <c r="I196" s="111"/>
      <c r="K196" s="111"/>
      <c r="L196" s="143"/>
      <c r="M196" s="143"/>
      <c r="N196" s="112">
        <v>27839</v>
      </c>
      <c r="O196" s="112">
        <v>32056</v>
      </c>
      <c r="P196" s="112">
        <v>27844</v>
      </c>
      <c r="Q196" s="112">
        <v>32057</v>
      </c>
      <c r="R196" s="111"/>
      <c r="S196" s="111"/>
      <c r="T196" s="111"/>
      <c r="U196" s="111"/>
      <c r="V196" s="112">
        <v>30950</v>
      </c>
      <c r="X196" s="112">
        <v>30920</v>
      </c>
      <c r="Y196" s="112">
        <v>34492</v>
      </c>
      <c r="Z196" s="144"/>
      <c r="AA196" s="111"/>
      <c r="AB196" s="144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E196" s="145"/>
      <c r="BF196" s="145"/>
      <c r="BG196" s="145"/>
      <c r="BH196" s="145"/>
      <c r="BN196" s="146"/>
    </row>
    <row r="197" spans="1:66" ht="18">
      <c r="D197" s="26"/>
      <c r="V197" s="133"/>
      <c r="Z197" s="25"/>
      <c r="AB197" s="25"/>
      <c r="AS197" s="25"/>
      <c r="AW197" s="30"/>
    </row>
    <row r="198" spans="1:66" ht="18">
      <c r="D198" s="26"/>
      <c r="V198" s="133"/>
      <c r="Z198" s="25"/>
      <c r="AS198" s="26"/>
      <c r="AW198" s="30"/>
    </row>
    <row r="199" spans="1:66" ht="18">
      <c r="V199" s="132"/>
      <c r="Z199" s="25"/>
      <c r="AS199" s="26"/>
      <c r="AW199" s="30"/>
    </row>
    <row r="200" spans="1:66" ht="18">
      <c r="T200">
        <f>3.673*7960</f>
        <v>29237.08</v>
      </c>
      <c r="V200" s="25"/>
      <c r="Z200" s="25"/>
      <c r="AS200" s="26"/>
      <c r="AW200" s="30"/>
    </row>
    <row r="201" spans="1:66" ht="18">
      <c r="D201" s="99"/>
      <c r="V201" s="25"/>
      <c r="Z201" s="25"/>
      <c r="AW201" s="30"/>
    </row>
    <row r="202" spans="1:66" ht="17.25" customHeight="1">
      <c r="D202" s="99"/>
      <c r="V202" s="25"/>
      <c r="Z202" s="25"/>
    </row>
    <row r="203" spans="1:66" ht="18">
      <c r="D203" s="99"/>
      <c r="V203" s="25"/>
      <c r="Z203" s="25"/>
    </row>
    <row r="204" spans="1:66" ht="18">
      <c r="D204" s="99"/>
      <c r="V204" s="25"/>
    </row>
    <row r="205" spans="1:66" ht="18">
      <c r="D205" s="99"/>
      <c r="V205" s="25"/>
    </row>
    <row r="206" spans="1:66" ht="18">
      <c r="D206" s="115"/>
    </row>
    <row r="207" spans="1:66" ht="18">
      <c r="D207" s="115"/>
    </row>
    <row r="208" spans="1:66" ht="18">
      <c r="D208" s="121"/>
    </row>
    <row r="209" spans="4:7" ht="18">
      <c r="D209" s="115"/>
      <c r="G209" s="9"/>
    </row>
    <row r="210" spans="4:7" ht="18">
      <c r="D210" s="110"/>
      <c r="G210" s="9"/>
    </row>
    <row r="211" spans="4:7" ht="18">
      <c r="G211" s="9"/>
    </row>
    <row r="212" spans="4:7" ht="18">
      <c r="G212" s="9"/>
    </row>
    <row r="213" spans="4:7" ht="18">
      <c r="G213" s="9"/>
    </row>
  </sheetData>
  <autoFilter ref="BN1:BN213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opLeftCell="A16" zoomScale="70" zoomScaleNormal="70" workbookViewId="0">
      <selection activeCell="A39" sqref="A39"/>
    </sheetView>
  </sheetViews>
  <sheetFormatPr defaultColWidth="8.5703125" defaultRowHeight="15"/>
  <cols>
    <col min="1" max="1" width="20.85546875" customWidth="1"/>
    <col min="2" max="2" width="23.85546875" customWidth="1"/>
    <col min="3" max="3" width="21.42578125" customWidth="1"/>
    <col min="4" max="4" width="22.7109375" customWidth="1"/>
    <col min="5" max="5" width="27.42578125" customWidth="1"/>
    <col min="6" max="6" width="25.28515625" customWidth="1"/>
    <col min="7" max="7" width="26.140625" customWidth="1"/>
    <col min="8" max="8" width="21" customWidth="1"/>
    <col min="9" max="9" width="18.85546875" customWidth="1"/>
    <col min="10" max="10" width="20.28515625" customWidth="1"/>
    <col min="11" max="11" width="19" customWidth="1"/>
  </cols>
  <sheetData>
    <row r="1" spans="1:11"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</row>
    <row r="2" spans="1:11">
      <c r="A2" t="s">
        <v>220</v>
      </c>
      <c r="B2">
        <v>24820</v>
      </c>
      <c r="C2">
        <v>29014</v>
      </c>
      <c r="D2">
        <v>10563600</v>
      </c>
      <c r="E2">
        <v>2640900</v>
      </c>
      <c r="F2">
        <v>4632500</v>
      </c>
      <c r="G2">
        <v>1158125</v>
      </c>
    </row>
    <row r="3" spans="1:11">
      <c r="A3" t="s">
        <v>221</v>
      </c>
      <c r="B3">
        <v>24266</v>
      </c>
      <c r="C3">
        <v>28346</v>
      </c>
      <c r="D3">
        <v>20358899</v>
      </c>
      <c r="E3">
        <v>3393150</v>
      </c>
      <c r="F3">
        <v>7030000</v>
      </c>
      <c r="G3">
        <v>1171667</v>
      </c>
    </row>
    <row r="4" spans="1:11">
      <c r="A4" t="s">
        <v>222</v>
      </c>
      <c r="B4">
        <v>23964</v>
      </c>
      <c r="C4">
        <v>28178</v>
      </c>
      <c r="D4">
        <v>26677400</v>
      </c>
      <c r="E4">
        <v>4446233</v>
      </c>
      <c r="F4">
        <v>13503000</v>
      </c>
      <c r="G4">
        <v>2250500</v>
      </c>
      <c r="H4">
        <v>24185</v>
      </c>
      <c r="I4">
        <v>28425</v>
      </c>
      <c r="J4">
        <v>24910</v>
      </c>
      <c r="K4">
        <v>29729</v>
      </c>
    </row>
    <row r="5" spans="1:11">
      <c r="A5" t="s">
        <v>223</v>
      </c>
      <c r="B5">
        <v>23453</v>
      </c>
      <c r="C5">
        <v>27947</v>
      </c>
      <c r="D5">
        <v>33479500</v>
      </c>
      <c r="E5">
        <v>5579917</v>
      </c>
      <c r="F5">
        <v>8999000</v>
      </c>
      <c r="G5">
        <v>1499833</v>
      </c>
      <c r="H5">
        <v>23589</v>
      </c>
      <c r="I5">
        <v>28173</v>
      </c>
      <c r="J5">
        <v>24175</v>
      </c>
      <c r="K5">
        <v>29185</v>
      </c>
    </row>
    <row r="6" spans="1:11">
      <c r="A6" t="s">
        <v>224</v>
      </c>
      <c r="B6">
        <v>23091</v>
      </c>
      <c r="C6">
        <v>27709</v>
      </c>
      <c r="D6">
        <v>31500800</v>
      </c>
      <c r="E6">
        <f>D6/6</f>
        <v>5250133.333333333</v>
      </c>
      <c r="F6">
        <v>9953300</v>
      </c>
      <c r="G6">
        <f>F6/6</f>
        <v>1658883.3333333333</v>
      </c>
      <c r="H6">
        <v>23301</v>
      </c>
      <c r="I6">
        <v>27942</v>
      </c>
      <c r="J6">
        <v>23685</v>
      </c>
      <c r="K6">
        <v>28702</v>
      </c>
    </row>
    <row r="7" spans="1:11">
      <c r="A7" t="s">
        <v>225</v>
      </c>
      <c r="B7">
        <v>21392</v>
      </c>
      <c r="C7">
        <v>26056</v>
      </c>
      <c r="D7">
        <v>15687400</v>
      </c>
      <c r="E7">
        <f>D7/5</f>
        <v>3137480</v>
      </c>
      <c r="F7">
        <v>822400</v>
      </c>
      <c r="G7">
        <f>F7/5</f>
        <v>164480</v>
      </c>
      <c r="H7">
        <v>21597</v>
      </c>
      <c r="I7">
        <v>26241</v>
      </c>
      <c r="J7">
        <v>21726</v>
      </c>
      <c r="K7">
        <v>26548</v>
      </c>
    </row>
    <row r="8" spans="1:11">
      <c r="A8" t="s">
        <v>226</v>
      </c>
      <c r="B8">
        <v>21011</v>
      </c>
      <c r="C8">
        <v>25663</v>
      </c>
      <c r="D8">
        <v>37562900</v>
      </c>
      <c r="E8">
        <f>D8/5</f>
        <v>7512580</v>
      </c>
      <c r="F8">
        <v>9766800</v>
      </c>
      <c r="G8">
        <f>F8/5</f>
        <v>1953360</v>
      </c>
      <c r="H8">
        <v>21575</v>
      </c>
      <c r="I8">
        <v>25653</v>
      </c>
      <c r="J8">
        <v>21968</v>
      </c>
      <c r="K8">
        <v>26757</v>
      </c>
    </row>
    <row r="9" spans="1:11">
      <c r="A9" t="s">
        <v>227</v>
      </c>
      <c r="B9">
        <v>22086</v>
      </c>
      <c r="C9" s="74">
        <v>26443</v>
      </c>
      <c r="D9">
        <v>31011200</v>
      </c>
      <c r="E9">
        <f>D9/6</f>
        <v>5168533.333333333</v>
      </c>
      <c r="F9">
        <v>13603300</v>
      </c>
      <c r="G9">
        <f>F9/6</f>
        <v>2267216.6666666665</v>
      </c>
      <c r="H9">
        <v>22343</v>
      </c>
      <c r="I9">
        <v>26751</v>
      </c>
      <c r="J9">
        <v>22943</v>
      </c>
      <c r="K9">
        <v>27886</v>
      </c>
    </row>
    <row r="10" spans="1:11">
      <c r="A10" t="s">
        <v>228</v>
      </c>
      <c r="B10">
        <v>22237</v>
      </c>
      <c r="C10">
        <v>27160</v>
      </c>
      <c r="D10">
        <v>46531100</v>
      </c>
      <c r="E10">
        <f>D10/6</f>
        <v>7755183.333333333</v>
      </c>
      <c r="F10">
        <v>3571900</v>
      </c>
      <c r="G10">
        <f>F10/6</f>
        <v>595316.66666666663</v>
      </c>
      <c r="H10">
        <v>22472</v>
      </c>
      <c r="I10">
        <v>27401</v>
      </c>
      <c r="J10">
        <v>23087</v>
      </c>
      <c r="K10">
        <v>28162</v>
      </c>
    </row>
    <row r="11" spans="1:11">
      <c r="A11" t="s">
        <v>229</v>
      </c>
      <c r="B11">
        <v>23280</v>
      </c>
      <c r="C11">
        <v>28146</v>
      </c>
      <c r="D11">
        <v>43533600</v>
      </c>
      <c r="E11">
        <f>D11/6</f>
        <v>7255600</v>
      </c>
      <c r="F11">
        <v>4288200</v>
      </c>
      <c r="G11">
        <f>F11/6</f>
        <v>714700</v>
      </c>
      <c r="H11">
        <v>23429</v>
      </c>
      <c r="I11">
        <v>28409</v>
      </c>
      <c r="J11">
        <v>23985</v>
      </c>
      <c r="K11">
        <v>29322</v>
      </c>
    </row>
    <row r="12" spans="1:11">
      <c r="A12" t="s">
        <v>230</v>
      </c>
      <c r="B12">
        <v>23346</v>
      </c>
      <c r="C12">
        <v>28503</v>
      </c>
      <c r="D12">
        <v>26223300</v>
      </c>
      <c r="E12">
        <f>D12/4</f>
        <v>6555825</v>
      </c>
      <c r="F12">
        <v>803200</v>
      </c>
      <c r="G12">
        <f>F12/4</f>
        <v>200800</v>
      </c>
      <c r="H12">
        <v>23574</v>
      </c>
      <c r="I12">
        <v>28777</v>
      </c>
      <c r="J12">
        <v>24015</v>
      </c>
      <c r="K12">
        <v>29211</v>
      </c>
    </row>
    <row r="13" spans="1:11">
      <c r="A13" t="s">
        <v>231</v>
      </c>
      <c r="B13">
        <v>23325</v>
      </c>
      <c r="C13">
        <v>28179</v>
      </c>
      <c r="D13">
        <v>42730100</v>
      </c>
      <c r="E13">
        <f>D13/6</f>
        <v>7121683.333333333</v>
      </c>
      <c r="F13">
        <v>4671100</v>
      </c>
      <c r="G13">
        <f>F13/6</f>
        <v>778516.66666666663</v>
      </c>
      <c r="H13">
        <v>23554</v>
      </c>
      <c r="I13">
        <v>28505</v>
      </c>
      <c r="J13">
        <v>24003</v>
      </c>
      <c r="K13">
        <v>29004</v>
      </c>
    </row>
    <row r="14" spans="1:11" ht="13.9" customHeight="1">
      <c r="A14" t="s">
        <v>232</v>
      </c>
      <c r="B14">
        <v>24201</v>
      </c>
      <c r="C14">
        <v>28643</v>
      </c>
      <c r="D14">
        <v>33698100</v>
      </c>
      <c r="E14">
        <f>D14/6</f>
        <v>5616350</v>
      </c>
      <c r="F14">
        <v>4949100</v>
      </c>
      <c r="G14">
        <f>F14/6</f>
        <v>824850</v>
      </c>
      <c r="H14">
        <v>24574</v>
      </c>
      <c r="I14">
        <v>29122</v>
      </c>
      <c r="J14">
        <v>24863</v>
      </c>
      <c r="K14">
        <v>29561</v>
      </c>
    </row>
    <row r="15" spans="1:11" ht="13.9" customHeight="1">
      <c r="A15" t="s">
        <v>233</v>
      </c>
      <c r="B15">
        <v>24530</v>
      </c>
      <c r="C15">
        <v>29419</v>
      </c>
      <c r="D15">
        <v>22085300</v>
      </c>
      <c r="E15">
        <f>D15/5</f>
        <v>4417060</v>
      </c>
      <c r="F15">
        <v>741100</v>
      </c>
      <c r="G15">
        <f>F15/5</f>
        <v>148220</v>
      </c>
      <c r="H15">
        <v>24711</v>
      </c>
      <c r="I15">
        <v>29654</v>
      </c>
      <c r="J15">
        <v>25053</v>
      </c>
      <c r="K15">
        <v>29729</v>
      </c>
    </row>
    <row r="16" spans="1:11" ht="13.9" customHeight="1">
      <c r="A16" t="s">
        <v>234</v>
      </c>
      <c r="B16">
        <v>24274</v>
      </c>
      <c r="C16">
        <v>29064</v>
      </c>
      <c r="D16">
        <v>22949000</v>
      </c>
      <c r="E16">
        <f>D16/5</f>
        <v>4589800</v>
      </c>
      <c r="F16">
        <v>679700</v>
      </c>
      <c r="G16">
        <f>F16/5</f>
        <v>135940</v>
      </c>
      <c r="H16">
        <v>24537</v>
      </c>
      <c r="I16">
        <v>29336</v>
      </c>
      <c r="J16">
        <v>24775</v>
      </c>
      <c r="K16">
        <v>29367</v>
      </c>
    </row>
    <row r="17" spans="1:11" ht="13.9" customHeight="1">
      <c r="A17" t="s">
        <v>235</v>
      </c>
      <c r="B17">
        <v>23991</v>
      </c>
      <c r="C17">
        <v>28534</v>
      </c>
      <c r="D17">
        <v>16866500</v>
      </c>
      <c r="E17">
        <f>D17/3</f>
        <v>5622166.666666667</v>
      </c>
      <c r="F17">
        <v>657900</v>
      </c>
      <c r="G17">
        <f>F17/3</f>
        <v>219300</v>
      </c>
      <c r="H17">
        <v>24207</v>
      </c>
      <c r="I17">
        <v>28822</v>
      </c>
      <c r="J17">
        <v>24560</v>
      </c>
      <c r="K17">
        <v>28996</v>
      </c>
    </row>
    <row r="18" spans="1:11" ht="13.9" customHeight="1">
      <c r="A18" t="s">
        <v>236</v>
      </c>
      <c r="B18">
        <v>24264</v>
      </c>
      <c r="C18">
        <v>28463</v>
      </c>
      <c r="D18">
        <v>24768800</v>
      </c>
      <c r="E18">
        <f>D18/3</f>
        <v>8256266.666666667</v>
      </c>
      <c r="F18">
        <v>2277300</v>
      </c>
      <c r="G18">
        <f>F18/3</f>
        <v>759100</v>
      </c>
      <c r="H18">
        <v>24566</v>
      </c>
      <c r="I18">
        <v>28734</v>
      </c>
      <c r="J18">
        <v>25130</v>
      </c>
      <c r="K18">
        <v>29540</v>
      </c>
    </row>
    <row r="19" spans="1:11" ht="13.9" customHeight="1">
      <c r="A19" t="s">
        <v>237</v>
      </c>
      <c r="B19">
        <v>25025</v>
      </c>
      <c r="C19">
        <v>29286</v>
      </c>
      <c r="D19">
        <v>27648300</v>
      </c>
      <c r="E19">
        <f>D19/5</f>
        <v>5529660</v>
      </c>
      <c r="F19">
        <v>6383800</v>
      </c>
      <c r="G19">
        <f>F19/5</f>
        <v>1276760</v>
      </c>
      <c r="H19">
        <v>25236</v>
      </c>
      <c r="I19">
        <v>29694</v>
      </c>
      <c r="J19">
        <v>25644</v>
      </c>
      <c r="K19">
        <v>30411</v>
      </c>
    </row>
    <row r="20" spans="1:11" ht="13.9" customHeight="1">
      <c r="A20" t="s">
        <v>238</v>
      </c>
      <c r="B20">
        <v>25211</v>
      </c>
      <c r="C20">
        <v>29542</v>
      </c>
      <c r="D20">
        <v>39723600</v>
      </c>
      <c r="E20">
        <f>D20/5</f>
        <v>7944720</v>
      </c>
      <c r="F20">
        <v>3044600</v>
      </c>
      <c r="G20">
        <f>F20/5</f>
        <v>608920</v>
      </c>
      <c r="H20">
        <v>25459</v>
      </c>
      <c r="I20">
        <v>29973</v>
      </c>
      <c r="J20">
        <v>25928</v>
      </c>
      <c r="K20">
        <v>30417</v>
      </c>
    </row>
    <row r="21" spans="1:11" ht="13.9" customHeight="1">
      <c r="A21" t="s">
        <v>239</v>
      </c>
      <c r="B21">
        <v>25698</v>
      </c>
      <c r="C21">
        <v>30113</v>
      </c>
      <c r="D21">
        <v>15624000</v>
      </c>
      <c r="E21">
        <f>D21/2</f>
        <v>7812000</v>
      </c>
      <c r="F21">
        <v>2122700</v>
      </c>
      <c r="G21">
        <f>F21/2</f>
        <v>1061350</v>
      </c>
      <c r="H21">
        <v>25963</v>
      </c>
      <c r="I21">
        <v>30500</v>
      </c>
      <c r="J21">
        <v>26620</v>
      </c>
      <c r="K21">
        <v>31126</v>
      </c>
    </row>
    <row r="22" spans="1:11" s="73" customFormat="1" ht="25.15" customHeight="1">
      <c r="A22" s="73" t="s">
        <v>240</v>
      </c>
      <c r="B22" s="73">
        <v>26705</v>
      </c>
      <c r="C22" s="73">
        <v>31498</v>
      </c>
      <c r="D22" s="73">
        <v>41397200</v>
      </c>
      <c r="E22" s="73">
        <f>D22/5</f>
        <v>8279440</v>
      </c>
      <c r="F22" s="73">
        <v>4399000</v>
      </c>
      <c r="G22" s="73">
        <f>F22/5</f>
        <v>879800</v>
      </c>
      <c r="H22" s="73">
        <v>27079</v>
      </c>
      <c r="I22" s="73">
        <v>31815</v>
      </c>
      <c r="J22" s="73">
        <v>27648</v>
      </c>
      <c r="K22" s="73">
        <v>32496</v>
      </c>
    </row>
    <row r="23" spans="1:11" s="28" customFormat="1" ht="25.15" customHeight="1">
      <c r="A23" s="28" t="s">
        <v>241</v>
      </c>
      <c r="B23" s="28">
        <v>26615</v>
      </c>
      <c r="C23" s="28">
        <v>31196</v>
      </c>
      <c r="D23" s="28">
        <v>36636700</v>
      </c>
      <c r="E23" s="28">
        <f>D23/6</f>
        <v>6106116.666666667</v>
      </c>
      <c r="F23" s="28">
        <v>7144800</v>
      </c>
      <c r="G23" s="28">
        <f>F23/6</f>
        <v>1190800</v>
      </c>
      <c r="H23" s="28">
        <v>26810</v>
      </c>
      <c r="I23" s="28">
        <v>31388</v>
      </c>
      <c r="J23" s="28">
        <v>27427</v>
      </c>
      <c r="K23" s="28">
        <v>32582</v>
      </c>
    </row>
    <row r="24" spans="1:11" ht="13.9" customHeight="1">
      <c r="A24" t="s">
        <v>242</v>
      </c>
      <c r="B24">
        <v>26459</v>
      </c>
      <c r="C24">
        <v>31125</v>
      </c>
      <c r="D24">
        <v>42978800</v>
      </c>
      <c r="E24">
        <f>D24/6</f>
        <v>7163133.333333333</v>
      </c>
      <c r="F24">
        <v>6551900</v>
      </c>
      <c r="G24">
        <f>F24/6</f>
        <v>1091983.3333333333</v>
      </c>
      <c r="H24">
        <v>26742</v>
      </c>
      <c r="I24">
        <v>31482</v>
      </c>
      <c r="J24">
        <v>27287</v>
      </c>
      <c r="K24">
        <v>32374</v>
      </c>
    </row>
    <row r="25" spans="1:11" s="73" customFormat="1" ht="13.9" customHeight="1">
      <c r="A25" s="73" t="s">
        <v>243</v>
      </c>
      <c r="B25" s="73">
        <v>26454</v>
      </c>
      <c r="C25" s="73">
        <v>31241</v>
      </c>
      <c r="D25" s="73">
        <v>49009800</v>
      </c>
      <c r="E25" s="73">
        <f>D25/6</f>
        <v>8168300</v>
      </c>
      <c r="F25" s="73">
        <v>5396200</v>
      </c>
      <c r="G25" s="73">
        <f>F25/6</f>
        <v>899366.66666666663</v>
      </c>
      <c r="H25" s="73">
        <v>26771</v>
      </c>
      <c r="I25" s="73">
        <v>31595</v>
      </c>
      <c r="J25" s="73">
        <v>27390</v>
      </c>
      <c r="K25" s="73">
        <v>32329</v>
      </c>
    </row>
    <row r="26" spans="1:11" s="73" customFormat="1" ht="13.9" customHeight="1">
      <c r="A26" s="73" t="s">
        <v>244</v>
      </c>
      <c r="B26" s="73">
        <v>26352</v>
      </c>
      <c r="C26" s="73">
        <v>31168</v>
      </c>
      <c r="D26" s="73">
        <v>51940000</v>
      </c>
      <c r="E26" s="73">
        <f>D26/6</f>
        <v>8656666.666666666</v>
      </c>
      <c r="F26" s="73">
        <v>3588200</v>
      </c>
      <c r="G26" s="73">
        <f>F26/6</f>
        <v>598033.33333333337</v>
      </c>
      <c r="H26" s="73">
        <v>26613</v>
      </c>
      <c r="I26" s="73">
        <v>31493</v>
      </c>
      <c r="J26" s="73">
        <v>27443</v>
      </c>
      <c r="K26" s="73">
        <v>32192</v>
      </c>
    </row>
    <row r="27" spans="1:11" s="73" customFormat="1" ht="13.9" customHeight="1">
      <c r="A27" s="73" t="s">
        <v>245</v>
      </c>
      <c r="B27" s="73">
        <v>27044</v>
      </c>
      <c r="C27" s="73">
        <v>31502</v>
      </c>
      <c r="D27" s="73">
        <v>41694500</v>
      </c>
      <c r="E27" s="73">
        <f>D27/5</f>
        <v>8338900</v>
      </c>
      <c r="F27" s="73">
        <v>4104400</v>
      </c>
      <c r="G27" s="73">
        <f>F27/5</f>
        <v>820880</v>
      </c>
      <c r="H27" s="73">
        <v>27477</v>
      </c>
      <c r="I27" s="73">
        <v>32099</v>
      </c>
      <c r="J27" s="73">
        <v>27956</v>
      </c>
      <c r="K27" s="73">
        <v>32547</v>
      </c>
    </row>
    <row r="28" spans="1:11" s="73" customFormat="1" ht="13.9" customHeight="1">
      <c r="A28" s="73" t="s">
        <v>398</v>
      </c>
      <c r="B28" s="73">
        <v>27336</v>
      </c>
      <c r="C28" s="73">
        <v>31709</v>
      </c>
      <c r="D28" s="73">
        <v>25220200</v>
      </c>
      <c r="E28" s="73">
        <f>D28/4</f>
        <v>6305050</v>
      </c>
      <c r="F28" s="73">
        <v>2603900</v>
      </c>
      <c r="G28" s="73">
        <f>F28/4</f>
        <v>650975</v>
      </c>
      <c r="H28" s="73">
        <v>27595</v>
      </c>
      <c r="I28" s="73">
        <v>31880</v>
      </c>
      <c r="J28" s="73">
        <v>28052</v>
      </c>
      <c r="K28" s="73">
        <v>32567</v>
      </c>
    </row>
    <row r="29" spans="1:11" s="73" customFormat="1" ht="13.9" customHeight="1">
      <c r="A29" s="73" t="s">
        <v>411</v>
      </c>
      <c r="B29" s="73">
        <v>26563</v>
      </c>
      <c r="C29" s="73">
        <v>30553</v>
      </c>
      <c r="D29" s="73">
        <v>43687000</v>
      </c>
      <c r="E29" s="73">
        <f t="shared" ref="E29:E36" si="0">D29/6</f>
        <v>7281166.666666667</v>
      </c>
      <c r="F29" s="73">
        <v>5993000</v>
      </c>
      <c r="G29" s="73">
        <f t="shared" ref="G29:G36" si="1">F29/6</f>
        <v>998833.33333333337</v>
      </c>
      <c r="H29" s="73">
        <v>26765</v>
      </c>
      <c r="I29" s="73">
        <v>30811</v>
      </c>
      <c r="J29" s="73">
        <v>27350</v>
      </c>
      <c r="K29" s="73">
        <v>31679</v>
      </c>
    </row>
    <row r="30" spans="1:11" s="73" customFormat="1" ht="13.9" customHeight="1">
      <c r="A30" s="73" t="s">
        <v>424</v>
      </c>
      <c r="B30" s="73">
        <v>26392</v>
      </c>
      <c r="C30" s="73">
        <v>30372</v>
      </c>
      <c r="D30" s="73">
        <v>52641100</v>
      </c>
      <c r="E30" s="73">
        <f t="shared" si="0"/>
        <v>8773516.666666666</v>
      </c>
      <c r="F30" s="73">
        <v>10549600</v>
      </c>
      <c r="G30" s="73">
        <f t="shared" si="1"/>
        <v>1758266.6666666667</v>
      </c>
      <c r="H30" s="73">
        <v>26689</v>
      </c>
      <c r="I30" s="73">
        <v>30754</v>
      </c>
      <c r="J30" s="73">
        <v>27260</v>
      </c>
      <c r="K30" s="73">
        <v>31685</v>
      </c>
    </row>
    <row r="31" spans="1:11" s="73" customFormat="1" ht="13.9" customHeight="1">
      <c r="A31" s="73" t="s">
        <v>435</v>
      </c>
      <c r="B31" s="73">
        <v>26686</v>
      </c>
      <c r="C31" s="73">
        <v>31031</v>
      </c>
      <c r="D31" s="73">
        <v>47144500</v>
      </c>
      <c r="E31" s="73">
        <f t="shared" si="0"/>
        <v>7857416.666666667</v>
      </c>
      <c r="F31" s="73">
        <v>4771400</v>
      </c>
      <c r="G31" s="73">
        <f t="shared" si="1"/>
        <v>795233.33333333337</v>
      </c>
      <c r="H31" s="73">
        <v>27035</v>
      </c>
      <c r="I31" s="73">
        <v>31317</v>
      </c>
      <c r="J31" s="73">
        <v>27590</v>
      </c>
      <c r="K31" s="73">
        <v>32043</v>
      </c>
    </row>
    <row r="32" spans="1:11" s="73" customFormat="1" ht="13.9" customHeight="1">
      <c r="A32" s="73" t="s">
        <v>448</v>
      </c>
      <c r="B32" s="73">
        <v>26573</v>
      </c>
      <c r="C32" s="73">
        <v>30631</v>
      </c>
      <c r="D32" s="73">
        <v>55803500</v>
      </c>
      <c r="E32" s="73">
        <f t="shared" si="0"/>
        <v>9300583.333333334</v>
      </c>
      <c r="F32" s="73">
        <v>9417800</v>
      </c>
      <c r="G32" s="73">
        <f t="shared" si="1"/>
        <v>1569633.3333333333</v>
      </c>
      <c r="H32" s="73">
        <v>26870</v>
      </c>
      <c r="I32" s="73">
        <v>30980</v>
      </c>
      <c r="J32" s="73">
        <v>27615</v>
      </c>
      <c r="K32" s="73">
        <v>31884</v>
      </c>
    </row>
    <row r="33" spans="1:11" s="73" customFormat="1" ht="13.9" customHeight="1">
      <c r="A33" s="73" t="s">
        <v>461</v>
      </c>
      <c r="B33" s="73">
        <v>27171</v>
      </c>
      <c r="C33" s="73">
        <v>31038</v>
      </c>
      <c r="D33" s="73">
        <v>56667200</v>
      </c>
      <c r="E33" s="73">
        <f t="shared" si="0"/>
        <v>9444533.333333334</v>
      </c>
      <c r="F33" s="73">
        <v>11673200</v>
      </c>
      <c r="G33" s="73">
        <f t="shared" si="1"/>
        <v>1945533.3333333333</v>
      </c>
      <c r="H33" s="73">
        <v>27506</v>
      </c>
      <c r="I33" s="73">
        <v>31501</v>
      </c>
      <c r="J33" s="73">
        <v>28105</v>
      </c>
      <c r="K33" s="73">
        <v>32398</v>
      </c>
    </row>
    <row r="34" spans="1:11" s="73" customFormat="1" ht="13.9" customHeight="1">
      <c r="A34" s="73" t="s">
        <v>474</v>
      </c>
      <c r="B34" s="73">
        <v>27009</v>
      </c>
      <c r="C34" s="73">
        <v>31087</v>
      </c>
      <c r="D34" s="73">
        <v>67639600</v>
      </c>
      <c r="E34" s="73">
        <f t="shared" si="0"/>
        <v>11273266.666666666</v>
      </c>
      <c r="F34" s="73">
        <v>6037900</v>
      </c>
      <c r="G34" s="73">
        <f t="shared" si="1"/>
        <v>1006316.6666666666</v>
      </c>
      <c r="H34" s="73">
        <v>27142</v>
      </c>
      <c r="I34" s="73">
        <v>31335</v>
      </c>
      <c r="J34" s="73">
        <v>28335</v>
      </c>
      <c r="K34" s="73">
        <v>32289</v>
      </c>
    </row>
    <row r="35" spans="1:11" s="73" customFormat="1" ht="13.9" customHeight="1">
      <c r="A35" s="73" t="s">
        <v>483</v>
      </c>
      <c r="B35" s="73">
        <v>26845</v>
      </c>
      <c r="C35" s="73">
        <v>30672</v>
      </c>
      <c r="D35" s="73">
        <v>71107200</v>
      </c>
      <c r="E35" s="73">
        <f t="shared" si="0"/>
        <v>11851200</v>
      </c>
      <c r="F35" s="73">
        <v>5200000</v>
      </c>
      <c r="G35" s="73">
        <f t="shared" si="1"/>
        <v>866666.66666666663</v>
      </c>
      <c r="H35" s="73">
        <v>27243</v>
      </c>
      <c r="I35" s="73">
        <v>31109</v>
      </c>
      <c r="J35" s="73">
        <v>28590</v>
      </c>
      <c r="K35" s="73">
        <v>32092</v>
      </c>
    </row>
    <row r="36" spans="1:11" s="73" customFormat="1" ht="13.9" customHeight="1">
      <c r="A36" s="73" t="s">
        <v>500</v>
      </c>
      <c r="B36" s="73">
        <v>26479</v>
      </c>
      <c r="C36" s="73">
        <v>30542</v>
      </c>
      <c r="D36" s="73">
        <v>35003700</v>
      </c>
      <c r="E36" s="73">
        <f t="shared" si="0"/>
        <v>5833950</v>
      </c>
      <c r="F36" s="73">
        <v>1929600</v>
      </c>
      <c r="G36" s="73">
        <f t="shared" si="1"/>
        <v>321600</v>
      </c>
      <c r="H36" s="73">
        <v>26660</v>
      </c>
      <c r="I36" s="73">
        <v>30926</v>
      </c>
      <c r="J36" s="73">
        <v>29273</v>
      </c>
      <c r="K36" s="73">
        <v>33079</v>
      </c>
    </row>
    <row r="37" spans="1:11" s="73" customFormat="1" ht="13.9" customHeight="1">
      <c r="A37" s="73" t="s">
        <v>507</v>
      </c>
    </row>
    <row r="38" spans="1:11">
      <c r="B38">
        <f>(B2-B8)/B2</f>
        <v>0.15346494762288476</v>
      </c>
      <c r="C38">
        <f>(C2-C8)/C2</f>
        <v>0.1154959674639829</v>
      </c>
      <c r="D38">
        <f>SUM(D2:D16)/15</f>
        <v>29639479.933333334</v>
      </c>
    </row>
    <row r="40" spans="1:11">
      <c r="J40">
        <f>(D36-D35)/D35</f>
        <v>-0.50773339408667473</v>
      </c>
    </row>
    <row r="41" spans="1:11">
      <c r="F41">
        <f>(F36-F35)/F35</f>
        <v>-0.62892307692307692</v>
      </c>
    </row>
    <row r="42" spans="1:11">
      <c r="D42">
        <v>5375132</v>
      </c>
      <c r="E42">
        <f>(E17-D42)/D42</f>
        <v>4.5958809321644006E-2</v>
      </c>
      <c r="G42">
        <f t="shared" ref="G42:G50" si="2">B3-B2</f>
        <v>-554</v>
      </c>
    </row>
    <row r="43" spans="1:11">
      <c r="G43">
        <f t="shared" si="2"/>
        <v>-302</v>
      </c>
    </row>
    <row r="44" spans="1:11">
      <c r="C44">
        <f>(D42-E16)/E16</f>
        <v>0.17110375179746395</v>
      </c>
      <c r="G44">
        <f t="shared" si="2"/>
        <v>-511</v>
      </c>
    </row>
    <row r="45" spans="1:11">
      <c r="G45">
        <f t="shared" si="2"/>
        <v>-362</v>
      </c>
    </row>
    <row r="46" spans="1:11">
      <c r="G46">
        <f t="shared" si="2"/>
        <v>-1699</v>
      </c>
    </row>
    <row r="47" spans="1:11">
      <c r="G47">
        <f t="shared" si="2"/>
        <v>-381</v>
      </c>
    </row>
    <row r="48" spans="1:11">
      <c r="G48">
        <f t="shared" si="2"/>
        <v>1075</v>
      </c>
    </row>
    <row r="49" spans="6:10">
      <c r="F49">
        <f>(F33-F32)/F32</f>
        <v>0.23948268173034043</v>
      </c>
      <c r="G49">
        <f t="shared" si="2"/>
        <v>151</v>
      </c>
      <c r="J49">
        <f>(F34-F35)/F34</f>
        <v>0.13877341459779063</v>
      </c>
    </row>
    <row r="50" spans="6:10">
      <c r="G50">
        <f t="shared" si="2"/>
        <v>1043</v>
      </c>
    </row>
  </sheetData>
  <autoFilter ref="A1:K50"/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1"/>
  <sheetViews>
    <sheetView topLeftCell="A1564" zoomScale="85" zoomScaleNormal="85" workbookViewId="0">
      <selection activeCell="B1584" sqref="B1584"/>
    </sheetView>
  </sheetViews>
  <sheetFormatPr defaultColWidth="8.5703125" defaultRowHeight="15"/>
  <cols>
    <col min="2" max="3" width="19.7109375" customWidth="1"/>
    <col min="4" max="4" width="28.7109375" customWidth="1"/>
    <col min="5" max="5" width="10" customWidth="1"/>
    <col min="6" max="6" width="12.28515625" customWidth="1"/>
    <col min="7" max="7" width="13.42578125" customWidth="1"/>
    <col min="8" max="8" width="15.85546875" customWidth="1"/>
    <col min="9" max="9" width="10.7109375" customWidth="1"/>
  </cols>
  <sheetData>
    <row r="1" spans="1:4" ht="20.100000000000001" customHeight="1">
      <c r="A1" s="152" t="s">
        <v>246</v>
      </c>
      <c r="B1" s="152"/>
      <c r="C1" s="152"/>
      <c r="D1" s="152"/>
    </row>
    <row r="2" spans="1:4" ht="20.100000000000001" customHeight="1">
      <c r="A2" s="10" t="s">
        <v>247</v>
      </c>
      <c r="B2" s="10" t="s">
        <v>248</v>
      </c>
      <c r="C2" s="10" t="s">
        <v>249</v>
      </c>
      <c r="D2" s="10" t="s">
        <v>250</v>
      </c>
    </row>
    <row r="3" spans="1:4" ht="20.100000000000001" customHeight="1">
      <c r="A3" s="75">
        <v>0.45833333333333298</v>
      </c>
      <c r="B3" s="10">
        <v>23870</v>
      </c>
      <c r="C3" s="10">
        <v>6570</v>
      </c>
      <c r="D3" s="10">
        <v>10650000</v>
      </c>
    </row>
    <row r="4" spans="1:4" ht="20.100000000000001" customHeight="1">
      <c r="A4" s="76" t="s">
        <v>251</v>
      </c>
      <c r="B4" s="10">
        <v>23950</v>
      </c>
      <c r="C4" s="10">
        <v>6570</v>
      </c>
      <c r="D4" s="10">
        <v>10650000</v>
      </c>
    </row>
    <row r="5" spans="1:4" ht="20.100000000000001" customHeight="1">
      <c r="A5" s="77" t="s">
        <v>252</v>
      </c>
      <c r="B5" s="10">
        <v>24060</v>
      </c>
      <c r="C5" s="10">
        <v>6600</v>
      </c>
      <c r="D5" s="10">
        <v>10700000</v>
      </c>
    </row>
    <row r="6" spans="1:4" ht="20.100000000000001" customHeight="1">
      <c r="A6" s="75" t="s">
        <v>253</v>
      </c>
      <c r="B6" s="10">
        <v>23970</v>
      </c>
      <c r="C6" s="10">
        <v>6590</v>
      </c>
      <c r="D6" s="10">
        <v>10660000</v>
      </c>
    </row>
    <row r="7" spans="1:4" ht="20.100000000000001" customHeight="1">
      <c r="A7" s="75">
        <v>0.625</v>
      </c>
      <c r="B7" s="10">
        <v>23970</v>
      </c>
      <c r="C7" s="10">
        <v>6580</v>
      </c>
      <c r="D7" s="10">
        <v>10660000</v>
      </c>
    </row>
    <row r="8" spans="1:4" ht="20.100000000000001" customHeight="1">
      <c r="A8" s="76" t="s">
        <v>254</v>
      </c>
      <c r="B8" s="10">
        <v>23970</v>
      </c>
      <c r="C8" s="10">
        <v>6580</v>
      </c>
      <c r="D8" s="10">
        <v>10680000</v>
      </c>
    </row>
    <row r="9" spans="1:4" ht="20.100000000000001" customHeight="1">
      <c r="A9" s="76" t="s">
        <v>255</v>
      </c>
      <c r="B9" s="10">
        <v>23970</v>
      </c>
      <c r="C9" s="10">
        <v>6580</v>
      </c>
      <c r="D9" s="10">
        <v>10680000</v>
      </c>
    </row>
    <row r="10" spans="1:4" ht="20.100000000000001" customHeight="1">
      <c r="A10" s="78"/>
      <c r="B10" s="79"/>
      <c r="C10" s="79"/>
      <c r="D10" s="79"/>
    </row>
    <row r="11" spans="1:4">
      <c r="A11" s="152" t="s">
        <v>256</v>
      </c>
      <c r="B11" s="152"/>
      <c r="C11" s="152"/>
      <c r="D11" s="152"/>
    </row>
    <row r="12" spans="1:4">
      <c r="A12" s="10" t="s">
        <v>247</v>
      </c>
      <c r="B12" s="10" t="s">
        <v>248</v>
      </c>
      <c r="C12" s="10" t="s">
        <v>249</v>
      </c>
      <c r="D12" s="10" t="s">
        <v>250</v>
      </c>
    </row>
    <row r="13" spans="1:4">
      <c r="A13" s="75">
        <v>0.45833333333333298</v>
      </c>
      <c r="B13" s="10">
        <v>24000</v>
      </c>
      <c r="C13" s="10">
        <v>6570</v>
      </c>
      <c r="D13" s="10">
        <v>10660000</v>
      </c>
    </row>
    <row r="14" spans="1:4">
      <c r="A14" s="76" t="s">
        <v>251</v>
      </c>
      <c r="B14" s="10">
        <v>23940</v>
      </c>
      <c r="C14" s="10">
        <v>6570</v>
      </c>
      <c r="D14" s="10">
        <v>10600000</v>
      </c>
    </row>
    <row r="15" spans="1:4">
      <c r="A15" s="77" t="s">
        <v>252</v>
      </c>
      <c r="B15" s="10">
        <v>23950</v>
      </c>
      <c r="C15" s="10">
        <v>6580</v>
      </c>
      <c r="D15" s="10">
        <v>10610000</v>
      </c>
    </row>
    <row r="16" spans="1:4">
      <c r="A16" s="75" t="s">
        <v>253</v>
      </c>
      <c r="B16" s="10">
        <v>23920</v>
      </c>
      <c r="C16" s="10">
        <v>6560</v>
      </c>
      <c r="D16" s="10">
        <v>10600000</v>
      </c>
    </row>
    <row r="17" spans="1:6">
      <c r="A17" s="75">
        <v>0.625</v>
      </c>
      <c r="B17" s="10">
        <v>23920</v>
      </c>
      <c r="C17" s="10">
        <v>6560</v>
      </c>
      <c r="D17" s="10">
        <v>10620000</v>
      </c>
    </row>
    <row r="18" spans="1:6">
      <c r="A18" s="76" t="s">
        <v>254</v>
      </c>
      <c r="B18" s="10">
        <v>23920</v>
      </c>
      <c r="C18" s="10">
        <v>6560</v>
      </c>
      <c r="D18" s="10">
        <v>10610000</v>
      </c>
    </row>
    <row r="19" spans="1:6">
      <c r="A19" s="76" t="s">
        <v>255</v>
      </c>
      <c r="B19" s="10">
        <v>23920</v>
      </c>
      <c r="C19" s="10">
        <v>6560</v>
      </c>
      <c r="D19" s="10">
        <v>10610000</v>
      </c>
    </row>
    <row r="20" spans="1:6">
      <c r="F20" t="s">
        <v>257</v>
      </c>
    </row>
    <row r="21" spans="1:6">
      <c r="A21" s="152" t="s">
        <v>258</v>
      </c>
      <c r="B21" s="152"/>
      <c r="C21" s="152"/>
      <c r="D21" s="152"/>
    </row>
    <row r="22" spans="1:6">
      <c r="A22" s="10" t="s">
        <v>247</v>
      </c>
      <c r="B22" s="10" t="s">
        <v>248</v>
      </c>
      <c r="C22" s="10" t="s">
        <v>249</v>
      </c>
      <c r="D22" s="10" t="s">
        <v>250</v>
      </c>
    </row>
    <row r="23" spans="1:6">
      <c r="A23" s="75">
        <v>0.45833333333333298</v>
      </c>
      <c r="B23" s="10">
        <v>23920</v>
      </c>
      <c r="C23" s="10">
        <v>6590</v>
      </c>
      <c r="D23" s="10">
        <v>10610000</v>
      </c>
    </row>
    <row r="24" spans="1:6">
      <c r="A24" s="76" t="s">
        <v>251</v>
      </c>
      <c r="B24" s="10">
        <v>23960</v>
      </c>
      <c r="C24" s="10">
        <v>6590</v>
      </c>
      <c r="D24" s="10">
        <v>10640000</v>
      </c>
    </row>
    <row r="25" spans="1:6">
      <c r="A25" s="77" t="s">
        <v>252</v>
      </c>
      <c r="B25" s="10">
        <v>24030</v>
      </c>
      <c r="C25" s="10">
        <v>6570</v>
      </c>
      <c r="D25" s="10">
        <v>10670000</v>
      </c>
    </row>
    <row r="26" spans="1:6">
      <c r="A26" s="75" t="s">
        <v>253</v>
      </c>
      <c r="B26" s="10">
        <v>24040</v>
      </c>
      <c r="C26" s="10">
        <v>6590</v>
      </c>
      <c r="D26" s="10">
        <v>10660000</v>
      </c>
    </row>
    <row r="27" spans="1:6">
      <c r="A27" s="75">
        <v>0.625</v>
      </c>
      <c r="B27" s="10">
        <v>24040</v>
      </c>
      <c r="C27" s="10">
        <v>6590</v>
      </c>
      <c r="D27" s="10">
        <v>10670000</v>
      </c>
    </row>
    <row r="28" spans="1:6">
      <c r="A28" s="76" t="s">
        <v>254</v>
      </c>
      <c r="B28" s="10">
        <v>24040</v>
      </c>
      <c r="C28" s="10">
        <v>6590</v>
      </c>
      <c r="D28" s="10">
        <v>10680000</v>
      </c>
    </row>
    <row r="29" spans="1:6">
      <c r="A29" s="76" t="s">
        <v>255</v>
      </c>
      <c r="B29" s="10">
        <v>24040</v>
      </c>
      <c r="C29" s="10">
        <v>6590</v>
      </c>
      <c r="D29" s="10">
        <v>10670000</v>
      </c>
    </row>
    <row r="31" spans="1:6">
      <c r="A31" s="152" t="s">
        <v>259</v>
      </c>
      <c r="B31" s="152"/>
      <c r="C31" s="152"/>
      <c r="D31" s="152"/>
    </row>
    <row r="32" spans="1:6">
      <c r="A32" s="10" t="s">
        <v>247</v>
      </c>
      <c r="B32" s="10" t="s">
        <v>248</v>
      </c>
      <c r="C32" s="10" t="s">
        <v>249</v>
      </c>
      <c r="D32" s="10" t="s">
        <v>250</v>
      </c>
    </row>
    <row r="33" spans="1:4">
      <c r="A33" s="75">
        <v>0.45833333333333298</v>
      </c>
      <c r="B33" s="10">
        <v>23940</v>
      </c>
      <c r="C33" s="10">
        <v>6585</v>
      </c>
      <c r="D33" s="10">
        <v>10640000</v>
      </c>
    </row>
    <row r="34" spans="1:4">
      <c r="A34" s="76" t="s">
        <v>251</v>
      </c>
      <c r="B34" s="10">
        <v>24150</v>
      </c>
      <c r="C34" s="10">
        <v>6600</v>
      </c>
      <c r="D34" s="10">
        <v>10670000</v>
      </c>
    </row>
    <row r="35" spans="1:4">
      <c r="A35" s="77" t="s">
        <v>252</v>
      </c>
      <c r="B35" s="10">
        <v>24110</v>
      </c>
      <c r="C35" s="10">
        <v>6620</v>
      </c>
      <c r="D35" s="10">
        <v>10680000</v>
      </c>
    </row>
    <row r="36" spans="1:4">
      <c r="A36" s="75" t="s">
        <v>253</v>
      </c>
      <c r="B36" s="10">
        <v>24130</v>
      </c>
      <c r="C36" s="10">
        <v>6600</v>
      </c>
      <c r="D36" s="10">
        <v>10710000</v>
      </c>
    </row>
    <row r="37" spans="1:4">
      <c r="A37" s="75">
        <v>0.625</v>
      </c>
      <c r="B37" s="10">
        <v>24090</v>
      </c>
      <c r="C37" s="10">
        <v>6610</v>
      </c>
      <c r="D37" s="10">
        <v>10750000</v>
      </c>
    </row>
    <row r="38" spans="1:4">
      <c r="A38" s="76" t="s">
        <v>254</v>
      </c>
      <c r="B38" s="10">
        <v>24110</v>
      </c>
      <c r="C38" s="10">
        <v>6620</v>
      </c>
      <c r="D38" s="10">
        <v>10770000</v>
      </c>
    </row>
    <row r="39" spans="1:4">
      <c r="A39" s="76" t="s">
        <v>255</v>
      </c>
      <c r="B39" s="10">
        <v>24110</v>
      </c>
      <c r="C39" s="10">
        <v>6620</v>
      </c>
      <c r="D39" s="10">
        <v>10750000</v>
      </c>
    </row>
    <row r="41" spans="1:4">
      <c r="A41" s="152" t="s">
        <v>260</v>
      </c>
      <c r="B41" s="152"/>
      <c r="C41" s="152"/>
      <c r="D41" s="152"/>
    </row>
    <row r="42" spans="1:4">
      <c r="A42" s="10" t="s">
        <v>247</v>
      </c>
      <c r="B42" s="10" t="s">
        <v>248</v>
      </c>
      <c r="C42" s="10" t="s">
        <v>249</v>
      </c>
      <c r="D42" s="10" t="s">
        <v>250</v>
      </c>
    </row>
    <row r="43" spans="1:4">
      <c r="A43" s="75">
        <v>0.45833333333333298</v>
      </c>
      <c r="B43" s="10">
        <v>24220</v>
      </c>
      <c r="C43" s="10">
        <v>6650</v>
      </c>
      <c r="D43" s="10">
        <v>10700000</v>
      </c>
    </row>
    <row r="44" spans="1:4">
      <c r="A44" s="76" t="s">
        <v>251</v>
      </c>
      <c r="B44" s="10">
        <v>24290</v>
      </c>
      <c r="C44" s="10">
        <v>6650</v>
      </c>
      <c r="D44" s="10">
        <v>10720000</v>
      </c>
    </row>
    <row r="45" spans="1:4">
      <c r="A45" s="77" t="s">
        <v>252</v>
      </c>
      <c r="B45" s="10">
        <v>24340</v>
      </c>
      <c r="C45" s="10">
        <v>6685</v>
      </c>
      <c r="D45" s="10">
        <v>10790000</v>
      </c>
    </row>
    <row r="46" spans="1:4">
      <c r="A46" s="75" t="s">
        <v>253</v>
      </c>
      <c r="B46" s="10">
        <v>24340</v>
      </c>
      <c r="C46" s="10">
        <v>6675</v>
      </c>
      <c r="D46" s="10">
        <v>10790000</v>
      </c>
    </row>
    <row r="47" spans="1:4">
      <c r="A47" s="75">
        <v>0.625</v>
      </c>
      <c r="B47" s="10" t="s">
        <v>261</v>
      </c>
      <c r="C47" s="10" t="s">
        <v>261</v>
      </c>
      <c r="D47" s="10" t="s">
        <v>261</v>
      </c>
    </row>
    <row r="48" spans="1:4">
      <c r="A48" s="76" t="s">
        <v>254</v>
      </c>
      <c r="B48" s="10" t="s">
        <v>261</v>
      </c>
      <c r="C48" s="10" t="s">
        <v>261</v>
      </c>
      <c r="D48" s="10" t="s">
        <v>261</v>
      </c>
    </row>
    <row r="49" spans="1:11">
      <c r="A49" s="76" t="s">
        <v>255</v>
      </c>
      <c r="B49" s="10" t="s">
        <v>261</v>
      </c>
      <c r="C49" s="10" t="s">
        <v>261</v>
      </c>
      <c r="D49" s="10" t="s">
        <v>261</v>
      </c>
    </row>
    <row r="51" spans="1:11">
      <c r="A51" s="152" t="s">
        <v>262</v>
      </c>
      <c r="B51" s="152"/>
      <c r="C51" s="152"/>
      <c r="D51" s="152"/>
      <c r="J51">
        <f>D46-D59</f>
        <v>580000</v>
      </c>
      <c r="K51">
        <f>J51/D46</f>
        <v>5.375347544022243E-2</v>
      </c>
    </row>
    <row r="52" spans="1:11">
      <c r="A52" s="10" t="s">
        <v>247</v>
      </c>
      <c r="B52" s="10" t="s">
        <v>248</v>
      </c>
      <c r="C52" s="10" t="s">
        <v>249</v>
      </c>
      <c r="D52" s="10" t="s">
        <v>250</v>
      </c>
    </row>
    <row r="53" spans="1:11">
      <c r="A53" s="75">
        <v>0.45833333333333298</v>
      </c>
      <c r="B53" s="10">
        <v>24430</v>
      </c>
      <c r="C53" s="10">
        <v>6670</v>
      </c>
      <c r="D53" s="10">
        <v>10650000</v>
      </c>
    </row>
    <row r="54" spans="1:11">
      <c r="A54" s="76" t="s">
        <v>251</v>
      </c>
      <c r="B54" s="10">
        <v>24280</v>
      </c>
      <c r="C54" s="10">
        <v>6660</v>
      </c>
      <c r="D54" s="10">
        <v>10600000</v>
      </c>
    </row>
    <row r="55" spans="1:11">
      <c r="A55" s="77" t="s">
        <v>252</v>
      </c>
      <c r="B55" s="10">
        <v>24000</v>
      </c>
      <c r="C55" s="10">
        <v>6610</v>
      </c>
      <c r="D55" s="10">
        <v>10500000</v>
      </c>
    </row>
    <row r="56" spans="1:11">
      <c r="A56" s="75" t="s">
        <v>253</v>
      </c>
      <c r="B56" s="10">
        <v>24000</v>
      </c>
      <c r="C56" s="10">
        <v>6560</v>
      </c>
      <c r="D56" s="10">
        <v>10260000</v>
      </c>
    </row>
    <row r="57" spans="1:11">
      <c r="A57" s="75">
        <v>0.625</v>
      </c>
      <c r="B57" s="10">
        <v>24000</v>
      </c>
      <c r="C57" s="10">
        <v>6550</v>
      </c>
      <c r="D57" s="10">
        <v>10280000</v>
      </c>
    </row>
    <row r="58" spans="1:11">
      <c r="A58" s="76" t="s">
        <v>254</v>
      </c>
      <c r="B58" s="10">
        <v>24000</v>
      </c>
      <c r="C58" s="10">
        <v>6550</v>
      </c>
      <c r="D58" s="10">
        <v>10300000</v>
      </c>
    </row>
    <row r="59" spans="1:11">
      <c r="A59" s="76" t="s">
        <v>255</v>
      </c>
      <c r="B59" s="10">
        <v>24000</v>
      </c>
      <c r="C59" s="10">
        <v>6570</v>
      </c>
      <c r="D59" s="10">
        <v>10210000</v>
      </c>
    </row>
    <row r="61" spans="1:11">
      <c r="A61" s="152" t="s">
        <v>263</v>
      </c>
      <c r="B61" s="152"/>
      <c r="C61" s="152"/>
      <c r="D61" s="152"/>
    </row>
    <row r="62" spans="1:11">
      <c r="A62" s="10" t="s">
        <v>247</v>
      </c>
      <c r="B62" s="10" t="s">
        <v>248</v>
      </c>
      <c r="C62" s="10" t="s">
        <v>249</v>
      </c>
      <c r="D62" s="10" t="s">
        <v>250</v>
      </c>
    </row>
    <row r="63" spans="1:11">
      <c r="A63" s="75">
        <v>0.45833333333333298</v>
      </c>
      <c r="B63" s="10">
        <v>23630</v>
      </c>
      <c r="C63" s="10">
        <v>6550</v>
      </c>
      <c r="D63" s="10">
        <v>10170000</v>
      </c>
    </row>
    <row r="64" spans="1:11">
      <c r="A64" s="76" t="s">
        <v>251</v>
      </c>
      <c r="B64" s="10">
        <v>23630</v>
      </c>
      <c r="C64" s="10">
        <v>6550</v>
      </c>
      <c r="D64" s="10">
        <v>10230000</v>
      </c>
    </row>
    <row r="65" spans="1:4">
      <c r="A65" s="77" t="s">
        <v>252</v>
      </c>
      <c r="B65" s="10">
        <v>23740</v>
      </c>
      <c r="C65" s="10">
        <v>6495</v>
      </c>
      <c r="D65" s="10">
        <v>10240000</v>
      </c>
    </row>
    <row r="66" spans="1:4">
      <c r="A66" s="75" t="s">
        <v>253</v>
      </c>
      <c r="B66" s="10">
        <v>23740</v>
      </c>
      <c r="C66" s="10">
        <v>6530</v>
      </c>
      <c r="D66" s="10">
        <v>10210000</v>
      </c>
    </row>
    <row r="67" spans="1:4">
      <c r="A67" s="75">
        <v>0.625</v>
      </c>
      <c r="B67" s="10">
        <v>23740</v>
      </c>
      <c r="C67" s="10">
        <v>6520</v>
      </c>
      <c r="D67" s="10">
        <v>10260000</v>
      </c>
    </row>
    <row r="68" spans="1:4">
      <c r="A68" s="76" t="s">
        <v>254</v>
      </c>
      <c r="B68" s="10">
        <v>23740</v>
      </c>
      <c r="C68" s="10">
        <v>6520</v>
      </c>
      <c r="D68" s="10">
        <v>10265000</v>
      </c>
    </row>
    <row r="69" spans="1:4">
      <c r="A69" s="76" t="s">
        <v>255</v>
      </c>
      <c r="B69" s="10">
        <v>23740</v>
      </c>
      <c r="C69" s="10">
        <v>6520</v>
      </c>
      <c r="D69" s="10">
        <v>10180000</v>
      </c>
    </row>
    <row r="71" spans="1:4">
      <c r="A71" s="152" t="s">
        <v>264</v>
      </c>
      <c r="B71" s="152"/>
      <c r="C71" s="152"/>
      <c r="D71" s="152"/>
    </row>
    <row r="72" spans="1:4">
      <c r="A72" s="10" t="s">
        <v>247</v>
      </c>
      <c r="B72" s="10" t="s">
        <v>248</v>
      </c>
      <c r="C72" s="10" t="s">
        <v>249</v>
      </c>
      <c r="D72" s="10" t="s">
        <v>250</v>
      </c>
    </row>
    <row r="73" spans="1:4">
      <c r="A73" s="75">
        <v>0.45833333333333298</v>
      </c>
      <c r="B73" s="10">
        <v>23880</v>
      </c>
      <c r="C73" s="10">
        <v>6580</v>
      </c>
      <c r="D73" s="10">
        <v>10280000</v>
      </c>
    </row>
    <row r="74" spans="1:4">
      <c r="A74" s="76" t="s">
        <v>251</v>
      </c>
      <c r="B74" s="10">
        <v>23880</v>
      </c>
      <c r="C74" s="10">
        <v>6580</v>
      </c>
      <c r="D74" s="10">
        <v>10280000</v>
      </c>
    </row>
    <row r="75" spans="1:4">
      <c r="A75" s="77" t="s">
        <v>252</v>
      </c>
      <c r="B75" s="10">
        <v>24000</v>
      </c>
      <c r="C75" s="10">
        <v>6580</v>
      </c>
      <c r="D75" s="10">
        <v>10330000</v>
      </c>
    </row>
    <row r="76" spans="1:4">
      <c r="A76" s="75" t="s">
        <v>253</v>
      </c>
      <c r="B76" s="10">
        <v>23930</v>
      </c>
      <c r="C76" s="10">
        <v>6580</v>
      </c>
      <c r="D76" s="10">
        <v>10290000</v>
      </c>
    </row>
    <row r="77" spans="1:4">
      <c r="A77" s="75">
        <v>0.625</v>
      </c>
      <c r="B77" s="10">
        <v>23930</v>
      </c>
      <c r="C77" s="10">
        <v>6570</v>
      </c>
      <c r="D77" s="10">
        <v>10380000</v>
      </c>
    </row>
    <row r="78" spans="1:4">
      <c r="A78" s="76" t="s">
        <v>254</v>
      </c>
      <c r="B78" s="10">
        <v>23930</v>
      </c>
      <c r="C78" s="10">
        <v>6560</v>
      </c>
      <c r="D78" s="10">
        <v>10360000</v>
      </c>
    </row>
    <row r="79" spans="1:4">
      <c r="A79" s="76" t="s">
        <v>255</v>
      </c>
      <c r="B79" s="10">
        <v>23930</v>
      </c>
      <c r="C79" s="10">
        <v>6560</v>
      </c>
      <c r="D79" s="10">
        <v>10330000</v>
      </c>
    </row>
    <row r="81" spans="1:5">
      <c r="A81" s="152" t="s">
        <v>265</v>
      </c>
      <c r="B81" s="152"/>
      <c r="C81" s="152"/>
      <c r="D81" s="152"/>
    </row>
    <row r="82" spans="1:5">
      <c r="A82" s="10" t="s">
        <v>247</v>
      </c>
      <c r="B82" s="10" t="s">
        <v>248</v>
      </c>
      <c r="C82" s="10" t="s">
        <v>249</v>
      </c>
      <c r="D82" s="10" t="s">
        <v>250</v>
      </c>
    </row>
    <row r="83" spans="1:5">
      <c r="A83" s="75">
        <v>0.45833333333333298</v>
      </c>
      <c r="B83" s="10">
        <v>24150</v>
      </c>
      <c r="C83" s="10">
        <v>6610</v>
      </c>
      <c r="D83" s="10">
        <v>10350000</v>
      </c>
    </row>
    <row r="84" spans="1:5">
      <c r="A84" s="76" t="s">
        <v>251</v>
      </c>
      <c r="B84" s="10">
        <v>24210</v>
      </c>
      <c r="C84" s="10">
        <v>6620</v>
      </c>
      <c r="D84" s="10">
        <v>10390000</v>
      </c>
    </row>
    <row r="85" spans="1:5">
      <c r="A85" s="77" t="s">
        <v>252</v>
      </c>
      <c r="B85" s="10">
        <v>24160</v>
      </c>
      <c r="C85" s="10">
        <v>6615</v>
      </c>
      <c r="D85" s="10">
        <v>10400000</v>
      </c>
    </row>
    <row r="86" spans="1:5">
      <c r="A86" s="75" t="s">
        <v>253</v>
      </c>
      <c r="B86" s="10">
        <v>24220</v>
      </c>
      <c r="C86" s="10">
        <v>6640</v>
      </c>
      <c r="D86" s="10">
        <v>10410000</v>
      </c>
    </row>
    <row r="87" spans="1:5">
      <c r="A87" s="75">
        <v>0.625</v>
      </c>
      <c r="B87" s="10">
        <v>24220</v>
      </c>
      <c r="C87" s="10">
        <v>6640</v>
      </c>
      <c r="D87" s="10">
        <v>10420000</v>
      </c>
    </row>
    <row r="88" spans="1:5">
      <c r="A88" s="76" t="s">
        <v>254</v>
      </c>
      <c r="B88" s="10">
        <v>24220</v>
      </c>
      <c r="C88" s="10">
        <v>6640</v>
      </c>
      <c r="D88" s="10">
        <v>10420000</v>
      </c>
    </row>
    <row r="89" spans="1:5">
      <c r="A89" s="76" t="s">
        <v>255</v>
      </c>
      <c r="B89" s="10">
        <v>24220</v>
      </c>
      <c r="C89" s="10">
        <v>6640</v>
      </c>
      <c r="D89" s="10">
        <v>10410000</v>
      </c>
    </row>
    <row r="90" spans="1:5">
      <c r="C90" t="s">
        <v>266</v>
      </c>
      <c r="D90" t="s">
        <v>267</v>
      </c>
      <c r="E90">
        <v>10310000</v>
      </c>
    </row>
    <row r="91" spans="1:5">
      <c r="C91" t="s">
        <v>268</v>
      </c>
      <c r="D91" t="s">
        <v>267</v>
      </c>
      <c r="E91">
        <v>10375000</v>
      </c>
    </row>
    <row r="93" spans="1:5">
      <c r="A93" s="152" t="s">
        <v>269</v>
      </c>
      <c r="B93" s="152"/>
      <c r="C93" s="152"/>
      <c r="D93" s="152"/>
    </row>
    <row r="94" spans="1:5">
      <c r="A94" s="10" t="s">
        <v>247</v>
      </c>
      <c r="B94" s="10" t="s">
        <v>248</v>
      </c>
      <c r="C94" s="10" t="s">
        <v>249</v>
      </c>
      <c r="D94" s="10" t="s">
        <v>250</v>
      </c>
    </row>
    <row r="95" spans="1:5">
      <c r="A95" s="75">
        <v>0.45833333333333298</v>
      </c>
      <c r="B95" s="10">
        <v>24380</v>
      </c>
      <c r="C95" s="10">
        <v>6680</v>
      </c>
      <c r="D95" s="10">
        <v>10450000</v>
      </c>
    </row>
    <row r="96" spans="1:5">
      <c r="A96" s="76" t="s">
        <v>251</v>
      </c>
      <c r="B96" s="10">
        <v>24370</v>
      </c>
      <c r="C96" s="10">
        <v>6685</v>
      </c>
      <c r="D96" s="10">
        <v>10530000</v>
      </c>
    </row>
    <row r="97" spans="1:6">
      <c r="A97" s="77" t="s">
        <v>252</v>
      </c>
      <c r="B97" s="10">
        <v>24500</v>
      </c>
      <c r="C97" s="10">
        <v>6740</v>
      </c>
      <c r="D97" s="10">
        <v>10520000</v>
      </c>
    </row>
    <row r="98" spans="1:6">
      <c r="A98" s="75" t="s">
        <v>253</v>
      </c>
      <c r="B98" s="10">
        <v>24450</v>
      </c>
      <c r="C98" s="10">
        <v>6710</v>
      </c>
      <c r="D98" s="10">
        <v>10560000</v>
      </c>
    </row>
    <row r="99" spans="1:6">
      <c r="A99" s="75">
        <v>0.625</v>
      </c>
      <c r="B99" s="10">
        <v>24450</v>
      </c>
      <c r="C99" s="10">
        <v>6700</v>
      </c>
      <c r="D99" s="10">
        <v>10550000</v>
      </c>
    </row>
    <row r="100" spans="1:6">
      <c r="A100" s="76" t="s">
        <v>254</v>
      </c>
      <c r="B100" s="10">
        <v>24450</v>
      </c>
      <c r="C100" s="10">
        <v>6710</v>
      </c>
      <c r="D100" s="10">
        <v>10560000</v>
      </c>
    </row>
    <row r="101" spans="1:6">
      <c r="A101" s="76" t="s">
        <v>255</v>
      </c>
      <c r="B101" s="10">
        <v>24450</v>
      </c>
      <c r="C101" s="10">
        <v>6710</v>
      </c>
      <c r="D101" s="10">
        <v>10540000</v>
      </c>
    </row>
    <row r="103" spans="1:6">
      <c r="A103" s="152" t="s">
        <v>270</v>
      </c>
      <c r="B103" s="152"/>
      <c r="C103" s="152"/>
      <c r="D103" s="152"/>
    </row>
    <row r="104" spans="1:6">
      <c r="A104" s="10" t="s">
        <v>247</v>
      </c>
      <c r="B104" s="10" t="s">
        <v>248</v>
      </c>
      <c r="C104" s="10" t="s">
        <v>249</v>
      </c>
      <c r="D104" s="10" t="s">
        <v>250</v>
      </c>
    </row>
    <row r="105" spans="1:6">
      <c r="A105" s="75">
        <v>0.45833333333333298</v>
      </c>
      <c r="B105" s="10">
        <v>24340</v>
      </c>
      <c r="C105" s="10">
        <v>6700</v>
      </c>
      <c r="D105" s="10">
        <v>10450000</v>
      </c>
      <c r="F105" t="s">
        <v>271</v>
      </c>
    </row>
    <row r="106" spans="1:6">
      <c r="A106" s="76" t="s">
        <v>251</v>
      </c>
      <c r="B106" s="10">
        <v>24400</v>
      </c>
      <c r="C106" s="10">
        <v>6685</v>
      </c>
      <c r="D106" s="10">
        <v>10500000</v>
      </c>
    </row>
    <row r="107" spans="1:6">
      <c r="A107" s="77" t="s">
        <v>252</v>
      </c>
      <c r="B107" s="10">
        <v>24340</v>
      </c>
      <c r="C107" s="10">
        <v>6680</v>
      </c>
      <c r="D107" s="10">
        <v>10470000</v>
      </c>
    </row>
    <row r="108" spans="1:6">
      <c r="A108" s="75" t="s">
        <v>253</v>
      </c>
      <c r="B108" s="10">
        <v>24400</v>
      </c>
      <c r="C108" s="10">
        <v>6695</v>
      </c>
      <c r="D108" s="10">
        <v>10510000</v>
      </c>
    </row>
    <row r="109" spans="1:6">
      <c r="A109" s="75">
        <v>0.625</v>
      </c>
      <c r="B109" s="10">
        <v>24400</v>
      </c>
      <c r="C109" s="10">
        <v>6700</v>
      </c>
      <c r="D109" s="10">
        <v>10520000</v>
      </c>
    </row>
    <row r="110" spans="1:6">
      <c r="A110" s="76" t="s">
        <v>254</v>
      </c>
      <c r="B110" s="10">
        <v>24400</v>
      </c>
      <c r="C110" s="10">
        <v>6700</v>
      </c>
      <c r="D110" s="10">
        <v>10500000</v>
      </c>
    </row>
    <row r="111" spans="1:6">
      <c r="A111" s="76" t="s">
        <v>255</v>
      </c>
      <c r="B111" s="10">
        <v>24400</v>
      </c>
      <c r="C111" s="10">
        <v>6700</v>
      </c>
      <c r="D111" s="10">
        <v>10540000</v>
      </c>
    </row>
    <row r="113" spans="1:5">
      <c r="A113" s="152" t="s">
        <v>272</v>
      </c>
      <c r="B113" s="152"/>
      <c r="C113" s="152"/>
      <c r="D113" s="152"/>
    </row>
    <row r="114" spans="1:5">
      <c r="A114" s="10" t="s">
        <v>247</v>
      </c>
      <c r="B114" s="10" t="s">
        <v>248</v>
      </c>
      <c r="C114" s="10" t="s">
        <v>249</v>
      </c>
      <c r="D114" s="10" t="s">
        <v>250</v>
      </c>
    </row>
    <row r="115" spans="1:5">
      <c r="A115" s="75">
        <v>0.45833333333333298</v>
      </c>
      <c r="B115" s="10">
        <v>24670</v>
      </c>
      <c r="C115" s="10">
        <v>6760</v>
      </c>
      <c r="D115" s="10">
        <v>10670000</v>
      </c>
    </row>
    <row r="116" spans="1:5">
      <c r="A116" s="76" t="s">
        <v>251</v>
      </c>
      <c r="B116" s="10">
        <v>24640</v>
      </c>
      <c r="C116" s="10">
        <v>6760</v>
      </c>
      <c r="D116" s="10">
        <v>10660000</v>
      </c>
    </row>
    <row r="117" spans="1:5">
      <c r="A117" s="77" t="s">
        <v>252</v>
      </c>
      <c r="B117" s="10">
        <v>24720</v>
      </c>
      <c r="C117" s="10">
        <v>6785</v>
      </c>
      <c r="D117" s="10">
        <v>10720000</v>
      </c>
    </row>
    <row r="118" spans="1:5">
      <c r="A118" s="75" t="s">
        <v>253</v>
      </c>
      <c r="B118" s="10">
        <v>24760</v>
      </c>
      <c r="C118" s="10">
        <v>6795</v>
      </c>
      <c r="D118" s="10">
        <v>10700000</v>
      </c>
    </row>
    <row r="119" spans="1:5">
      <c r="A119" s="75">
        <v>0.625</v>
      </c>
      <c r="B119" s="10">
        <v>24740</v>
      </c>
      <c r="C119" s="10">
        <v>6800</v>
      </c>
      <c r="D119" s="10">
        <v>10720000</v>
      </c>
    </row>
    <row r="120" spans="1:5">
      <c r="A120" s="76" t="s">
        <v>254</v>
      </c>
      <c r="B120" s="10">
        <v>24740</v>
      </c>
      <c r="C120" s="10">
        <v>6800</v>
      </c>
      <c r="D120" s="10">
        <v>10700000</v>
      </c>
    </row>
    <row r="121" spans="1:5">
      <c r="A121" s="76" t="s">
        <v>255</v>
      </c>
      <c r="B121" s="10">
        <v>24740</v>
      </c>
      <c r="C121" s="10">
        <v>6800</v>
      </c>
      <c r="D121" s="10">
        <v>10690000</v>
      </c>
      <c r="E121">
        <f>B125-B121</f>
        <v>240</v>
      </c>
    </row>
    <row r="123" spans="1:5">
      <c r="A123" s="152" t="s">
        <v>273</v>
      </c>
      <c r="B123" s="152"/>
      <c r="C123" s="152"/>
      <c r="D123" s="152"/>
    </row>
    <row r="124" spans="1:5">
      <c r="A124" s="10" t="s">
        <v>247</v>
      </c>
      <c r="B124" s="10" t="s">
        <v>248</v>
      </c>
      <c r="C124" s="10" t="s">
        <v>249</v>
      </c>
      <c r="D124" s="10" t="s">
        <v>250</v>
      </c>
    </row>
    <row r="125" spans="1:5">
      <c r="A125" s="75">
        <v>0.45833333333333298</v>
      </c>
      <c r="B125" s="10">
        <v>24980</v>
      </c>
      <c r="C125" s="10">
        <v>6850</v>
      </c>
      <c r="D125" s="10">
        <v>10780000</v>
      </c>
    </row>
    <row r="126" spans="1:5">
      <c r="A126" s="76" t="s">
        <v>251</v>
      </c>
      <c r="B126" s="10">
        <v>25000</v>
      </c>
      <c r="C126" s="10">
        <v>6850</v>
      </c>
      <c r="D126" s="10">
        <v>10800000</v>
      </c>
    </row>
    <row r="127" spans="1:5">
      <c r="A127" s="77" t="s">
        <v>252</v>
      </c>
      <c r="B127" s="10">
        <v>25060</v>
      </c>
      <c r="C127" s="10">
        <v>6880</v>
      </c>
      <c r="D127" s="10">
        <v>10830000</v>
      </c>
    </row>
    <row r="128" spans="1:5">
      <c r="A128" s="75" t="s">
        <v>253</v>
      </c>
      <c r="B128" s="10">
        <v>25110</v>
      </c>
      <c r="C128" s="10">
        <v>6920</v>
      </c>
      <c r="D128" s="10">
        <v>10810000</v>
      </c>
    </row>
    <row r="129" spans="1:4">
      <c r="A129" s="75">
        <v>0.625</v>
      </c>
      <c r="B129" s="10">
        <v>25130</v>
      </c>
      <c r="C129" s="10">
        <v>6890</v>
      </c>
      <c r="D129" s="10">
        <v>10800000</v>
      </c>
    </row>
    <row r="130" spans="1:4">
      <c r="A130" s="76" t="s">
        <v>254</v>
      </c>
      <c r="B130" s="10">
        <v>25130</v>
      </c>
      <c r="C130" s="10">
        <v>6885</v>
      </c>
      <c r="D130" s="10">
        <v>10780000</v>
      </c>
    </row>
    <row r="131" spans="1:4">
      <c r="A131" s="76" t="s">
        <v>255</v>
      </c>
      <c r="B131" s="10">
        <v>25130</v>
      </c>
      <c r="C131" s="10">
        <v>6885</v>
      </c>
      <c r="D131" s="10">
        <v>10830000</v>
      </c>
    </row>
    <row r="133" spans="1:4">
      <c r="A133" s="152" t="s">
        <v>274</v>
      </c>
      <c r="B133" s="152"/>
      <c r="C133" s="152"/>
      <c r="D133" s="152"/>
    </row>
    <row r="134" spans="1:4">
      <c r="A134" s="10" t="s">
        <v>247</v>
      </c>
      <c r="B134" s="10" t="s">
        <v>248</v>
      </c>
      <c r="C134" s="10" t="s">
        <v>249</v>
      </c>
      <c r="D134" s="10" t="s">
        <v>250</v>
      </c>
    </row>
    <row r="135" spans="1:4">
      <c r="A135" s="75">
        <v>0.45833333333333298</v>
      </c>
      <c r="B135" s="10">
        <v>25000</v>
      </c>
      <c r="C135" s="10">
        <v>6900</v>
      </c>
      <c r="D135" s="10">
        <v>10750000</v>
      </c>
    </row>
    <row r="136" spans="1:4">
      <c r="A136" s="76" t="s">
        <v>251</v>
      </c>
      <c r="B136" s="10">
        <v>25120</v>
      </c>
      <c r="C136" s="10">
        <v>6900</v>
      </c>
      <c r="D136" s="10">
        <v>10780000</v>
      </c>
    </row>
    <row r="137" spans="1:4">
      <c r="A137" s="77" t="s">
        <v>252</v>
      </c>
      <c r="B137" s="10">
        <v>25230</v>
      </c>
      <c r="C137" s="10">
        <v>6890</v>
      </c>
      <c r="D137" s="10">
        <v>10810000</v>
      </c>
    </row>
    <row r="138" spans="1:4">
      <c r="A138" s="75" t="s">
        <v>253</v>
      </c>
      <c r="B138" s="10">
        <v>25260</v>
      </c>
      <c r="C138" s="10">
        <v>6920</v>
      </c>
      <c r="D138" s="10">
        <v>10840000</v>
      </c>
    </row>
    <row r="139" spans="1:4">
      <c r="A139" s="75">
        <v>0.625</v>
      </c>
      <c r="B139" s="10">
        <v>25270</v>
      </c>
      <c r="C139" s="10">
        <v>6900</v>
      </c>
      <c r="D139" s="10">
        <v>10830000</v>
      </c>
    </row>
    <row r="140" spans="1:4">
      <c r="A140" s="76" t="s">
        <v>254</v>
      </c>
      <c r="B140" s="10">
        <v>25270</v>
      </c>
      <c r="C140" s="10">
        <v>6900</v>
      </c>
      <c r="D140" s="10">
        <v>10840000</v>
      </c>
    </row>
    <row r="141" spans="1:4">
      <c r="A141" s="76" t="s">
        <v>255</v>
      </c>
      <c r="B141" s="10">
        <v>25270</v>
      </c>
      <c r="C141" s="10">
        <v>6900</v>
      </c>
      <c r="D141" s="10">
        <v>10830000</v>
      </c>
    </row>
    <row r="143" spans="1:4">
      <c r="A143" s="152" t="s">
        <v>275</v>
      </c>
      <c r="B143" s="152"/>
      <c r="C143" s="152"/>
      <c r="D143" s="152"/>
    </row>
    <row r="144" spans="1:4">
      <c r="A144" s="10" t="s">
        <v>247</v>
      </c>
      <c r="B144" s="10" t="s">
        <v>248</v>
      </c>
      <c r="C144" s="10" t="s">
        <v>249</v>
      </c>
      <c r="D144" s="10" t="s">
        <v>250</v>
      </c>
    </row>
    <row r="145" spans="1:7">
      <c r="A145" s="75">
        <v>0.45833333333333298</v>
      </c>
      <c r="B145" s="10">
        <v>25220</v>
      </c>
      <c r="C145" s="10">
        <v>6900</v>
      </c>
      <c r="D145" s="10">
        <v>10820000</v>
      </c>
    </row>
    <row r="146" spans="1:7">
      <c r="A146" s="76" t="s">
        <v>251</v>
      </c>
      <c r="B146" s="10">
        <v>25250</v>
      </c>
      <c r="C146" s="10">
        <v>6890</v>
      </c>
      <c r="D146" s="10">
        <v>10810000</v>
      </c>
    </row>
    <row r="147" spans="1:7">
      <c r="A147" s="77" t="s">
        <v>252</v>
      </c>
      <c r="B147" s="10">
        <v>25210</v>
      </c>
      <c r="C147" s="10">
        <v>6890</v>
      </c>
      <c r="D147" s="10">
        <v>10800000</v>
      </c>
    </row>
    <row r="148" spans="1:7">
      <c r="A148" s="75" t="s">
        <v>253</v>
      </c>
      <c r="B148" s="10">
        <v>25190</v>
      </c>
      <c r="C148" s="10">
        <v>6855</v>
      </c>
      <c r="D148" s="10">
        <v>10790000</v>
      </c>
    </row>
    <row r="149" spans="1:7">
      <c r="A149" s="75">
        <v>0.625</v>
      </c>
      <c r="B149" s="10" t="s">
        <v>276</v>
      </c>
      <c r="C149" s="10" t="s">
        <v>276</v>
      </c>
      <c r="D149" s="10" t="s">
        <v>276</v>
      </c>
    </row>
    <row r="150" spans="1:7">
      <c r="A150" s="76" t="s">
        <v>254</v>
      </c>
      <c r="B150" s="10" t="s">
        <v>276</v>
      </c>
      <c r="C150" s="10" t="s">
        <v>276</v>
      </c>
      <c r="D150" s="10" t="s">
        <v>276</v>
      </c>
    </row>
    <row r="151" spans="1:7">
      <c r="A151" s="76" t="s">
        <v>255</v>
      </c>
      <c r="B151" s="10" t="s">
        <v>276</v>
      </c>
      <c r="C151" s="10" t="s">
        <v>276</v>
      </c>
      <c r="D151" s="10" t="s">
        <v>276</v>
      </c>
    </row>
    <row r="153" spans="1:7">
      <c r="A153" s="152" t="s">
        <v>277</v>
      </c>
      <c r="B153" s="152"/>
      <c r="C153" s="152"/>
      <c r="D153" s="152"/>
    </row>
    <row r="154" spans="1:7">
      <c r="A154" s="10" t="s">
        <v>247</v>
      </c>
      <c r="B154" s="10" t="s">
        <v>248</v>
      </c>
      <c r="C154" s="10" t="s">
        <v>249</v>
      </c>
      <c r="D154" s="10" t="s">
        <v>250</v>
      </c>
      <c r="G154">
        <f>(F156-F157)/F157</f>
        <v>6.9863013698630141E-2</v>
      </c>
    </row>
    <row r="155" spans="1:7">
      <c r="A155" s="75">
        <v>0.45833333333333298</v>
      </c>
      <c r="B155" s="10">
        <v>25120</v>
      </c>
      <c r="C155" s="10">
        <v>6880</v>
      </c>
      <c r="D155" s="10">
        <v>10790000</v>
      </c>
    </row>
    <row r="156" spans="1:7">
      <c r="A156" s="76" t="s">
        <v>251</v>
      </c>
      <c r="B156" s="10">
        <v>25130</v>
      </c>
      <c r="C156" s="10">
        <v>6880</v>
      </c>
      <c r="D156" s="10">
        <v>10740000</v>
      </c>
      <c r="F156">
        <v>2343</v>
      </c>
    </row>
    <row r="157" spans="1:7">
      <c r="A157" s="77" t="s">
        <v>252</v>
      </c>
      <c r="B157" s="10">
        <v>25170</v>
      </c>
      <c r="C157" s="10">
        <v>6885</v>
      </c>
      <c r="D157" s="10">
        <v>10780000</v>
      </c>
      <c r="F157">
        <v>2190</v>
      </c>
    </row>
    <row r="158" spans="1:7">
      <c r="A158" s="75" t="s">
        <v>253</v>
      </c>
      <c r="B158" s="10">
        <v>25190</v>
      </c>
      <c r="C158" s="10">
        <v>6890</v>
      </c>
      <c r="D158" s="10">
        <v>10750000</v>
      </c>
    </row>
    <row r="159" spans="1:7">
      <c r="A159" s="75">
        <v>0.625</v>
      </c>
      <c r="B159" s="10">
        <v>25190</v>
      </c>
      <c r="C159" s="10">
        <v>6870</v>
      </c>
      <c r="D159" s="10">
        <v>10740000</v>
      </c>
    </row>
    <row r="160" spans="1:7">
      <c r="A160" s="76" t="s">
        <v>254</v>
      </c>
      <c r="B160" s="10">
        <v>25190</v>
      </c>
      <c r="C160" s="10">
        <v>6870</v>
      </c>
      <c r="D160" s="10">
        <v>10750000</v>
      </c>
    </row>
    <row r="161" spans="1:4">
      <c r="A161" s="76" t="s">
        <v>255</v>
      </c>
      <c r="B161" s="10">
        <v>25190</v>
      </c>
      <c r="C161" s="10">
        <v>6870</v>
      </c>
      <c r="D161" s="10">
        <v>10750000</v>
      </c>
    </row>
    <row r="163" spans="1:4">
      <c r="A163" s="152" t="s">
        <v>278</v>
      </c>
      <c r="B163" s="152"/>
      <c r="C163" s="152"/>
      <c r="D163" s="152"/>
    </row>
    <row r="164" spans="1:4">
      <c r="A164" s="10" t="s">
        <v>247</v>
      </c>
      <c r="B164" s="10" t="s">
        <v>248</v>
      </c>
      <c r="C164" s="10" t="s">
        <v>249</v>
      </c>
      <c r="D164" s="10" t="s">
        <v>250</v>
      </c>
    </row>
    <row r="165" spans="1:4">
      <c r="A165" s="75">
        <v>0.45833333333333298</v>
      </c>
      <c r="B165" s="10">
        <v>25330</v>
      </c>
      <c r="C165" s="10">
        <v>6920</v>
      </c>
      <c r="D165" s="10">
        <v>10810000</v>
      </c>
    </row>
    <row r="166" spans="1:4">
      <c r="A166" s="76" t="s">
        <v>251</v>
      </c>
      <c r="B166" s="10">
        <v>25310</v>
      </c>
      <c r="C166" s="10">
        <v>6920</v>
      </c>
      <c r="D166" s="10">
        <v>10790000</v>
      </c>
    </row>
    <row r="167" spans="1:4">
      <c r="A167" s="77" t="s">
        <v>252</v>
      </c>
      <c r="B167" s="10">
        <v>25260</v>
      </c>
      <c r="C167" s="10">
        <v>6900</v>
      </c>
      <c r="D167" s="10">
        <v>10780000</v>
      </c>
    </row>
    <row r="168" spans="1:4">
      <c r="A168" s="75" t="s">
        <v>253</v>
      </c>
      <c r="B168" s="10">
        <v>25250</v>
      </c>
      <c r="C168" s="10">
        <v>6885</v>
      </c>
      <c r="D168" s="10">
        <v>10750000</v>
      </c>
    </row>
    <row r="169" spans="1:4">
      <c r="A169" s="75">
        <v>0.625</v>
      </c>
      <c r="B169" s="10">
        <v>25180</v>
      </c>
      <c r="C169" s="10">
        <v>6905</v>
      </c>
      <c r="D169" s="10">
        <v>10750000</v>
      </c>
    </row>
    <row r="170" spans="1:4">
      <c r="A170" s="76" t="s">
        <v>254</v>
      </c>
      <c r="B170" s="10">
        <v>25180</v>
      </c>
      <c r="C170" s="10">
        <v>6895</v>
      </c>
      <c r="D170" s="10">
        <v>10760000</v>
      </c>
    </row>
    <row r="171" spans="1:4">
      <c r="A171" s="76" t="s">
        <v>255</v>
      </c>
      <c r="B171" s="10">
        <v>25180</v>
      </c>
      <c r="C171" s="10">
        <v>6895</v>
      </c>
      <c r="D171" s="10">
        <v>10750000</v>
      </c>
    </row>
    <row r="173" spans="1:4">
      <c r="A173" s="152" t="s">
        <v>279</v>
      </c>
      <c r="B173" s="152"/>
      <c r="C173" s="152"/>
      <c r="D173" s="152"/>
    </row>
    <row r="174" spans="1:4">
      <c r="A174" s="10" t="s">
        <v>247</v>
      </c>
      <c r="B174" s="10" t="s">
        <v>248</v>
      </c>
      <c r="C174" s="10" t="s">
        <v>249</v>
      </c>
      <c r="D174" s="10" t="s">
        <v>250</v>
      </c>
    </row>
    <row r="175" spans="1:4">
      <c r="A175" s="75">
        <v>0.45833333333333298</v>
      </c>
      <c r="B175" s="10">
        <v>25080</v>
      </c>
      <c r="C175" s="10">
        <v>6875</v>
      </c>
      <c r="D175" s="10">
        <v>10630000</v>
      </c>
    </row>
    <row r="176" spans="1:4">
      <c r="A176" s="76" t="s">
        <v>251</v>
      </c>
      <c r="B176" s="10">
        <v>25100</v>
      </c>
      <c r="C176" s="10">
        <v>6875</v>
      </c>
      <c r="D176" s="10">
        <v>10660000</v>
      </c>
    </row>
    <row r="177" spans="1:7">
      <c r="A177" s="77" t="s">
        <v>252</v>
      </c>
      <c r="B177" s="10">
        <v>25000</v>
      </c>
      <c r="C177" s="10">
        <v>6860</v>
      </c>
      <c r="D177" s="10">
        <v>10590000</v>
      </c>
    </row>
    <row r="178" spans="1:7">
      <c r="A178" s="75" t="s">
        <v>253</v>
      </c>
      <c r="B178" s="10">
        <v>24970</v>
      </c>
      <c r="C178" s="10">
        <v>6835</v>
      </c>
      <c r="D178" s="10">
        <v>10590000</v>
      </c>
    </row>
    <row r="179" spans="1:7">
      <c r="A179" s="75">
        <v>0.625</v>
      </c>
      <c r="B179" s="10">
        <v>24970</v>
      </c>
      <c r="C179" s="10">
        <v>6835</v>
      </c>
      <c r="D179" s="10">
        <v>10580000</v>
      </c>
      <c r="F179">
        <v>33214</v>
      </c>
      <c r="G179">
        <f>(F179-F180)/F179</f>
        <v>-5.4946709219004033E-2</v>
      </c>
    </row>
    <row r="180" spans="1:7">
      <c r="A180" s="76" t="s">
        <v>254</v>
      </c>
      <c r="B180" s="10">
        <v>24970</v>
      </c>
      <c r="C180" s="10">
        <v>6850</v>
      </c>
      <c r="D180" s="10">
        <v>10610000</v>
      </c>
      <c r="F180">
        <v>35039</v>
      </c>
    </row>
    <row r="181" spans="1:7">
      <c r="A181" s="76" t="s">
        <v>255</v>
      </c>
      <c r="B181" s="10">
        <v>24970</v>
      </c>
      <c r="C181" s="10">
        <v>6850</v>
      </c>
      <c r="D181" s="10">
        <v>10600000</v>
      </c>
    </row>
    <row r="182" spans="1:7">
      <c r="F182">
        <v>2163</v>
      </c>
      <c r="G182">
        <f>(F182-F183)/F182</f>
        <v>-8.4604715672676842E-2</v>
      </c>
    </row>
    <row r="183" spans="1:7">
      <c r="A183" s="152" t="s">
        <v>280</v>
      </c>
      <c r="B183" s="152"/>
      <c r="C183" s="152"/>
      <c r="D183" s="152"/>
      <c r="F183">
        <v>2346</v>
      </c>
    </row>
    <row r="184" spans="1:7">
      <c r="A184" s="10" t="s">
        <v>247</v>
      </c>
      <c r="B184" s="10" t="s">
        <v>248</v>
      </c>
      <c r="C184" s="10" t="s">
        <v>249</v>
      </c>
      <c r="D184" s="10" t="s">
        <v>250</v>
      </c>
    </row>
    <row r="185" spans="1:7">
      <c r="A185" s="75">
        <v>0.45833333333333298</v>
      </c>
      <c r="B185" s="10">
        <v>25060</v>
      </c>
      <c r="C185" s="10">
        <v>6860</v>
      </c>
      <c r="D185" s="10">
        <v>10700000</v>
      </c>
    </row>
    <row r="186" spans="1:7">
      <c r="A186" s="76" t="s">
        <v>251</v>
      </c>
      <c r="B186" s="10">
        <v>25110</v>
      </c>
      <c r="C186" s="10">
        <v>6860</v>
      </c>
      <c r="D186" s="10">
        <v>10720000</v>
      </c>
    </row>
    <row r="187" spans="1:7">
      <c r="A187" s="77" t="s">
        <v>252</v>
      </c>
      <c r="B187" s="10">
        <v>25070</v>
      </c>
      <c r="C187" s="10">
        <v>6860</v>
      </c>
      <c r="D187" s="10">
        <v>10700000</v>
      </c>
    </row>
    <row r="188" spans="1:7">
      <c r="A188" s="75" t="s">
        <v>253</v>
      </c>
      <c r="B188" s="10">
        <v>25110</v>
      </c>
      <c r="C188" s="10">
        <v>6870</v>
      </c>
      <c r="D188" s="10">
        <v>10720000</v>
      </c>
    </row>
    <row r="189" spans="1:7">
      <c r="A189" s="75">
        <v>0.625</v>
      </c>
      <c r="B189" s="10">
        <v>25110</v>
      </c>
      <c r="C189" s="10">
        <v>6880</v>
      </c>
      <c r="D189" s="10">
        <v>10720000</v>
      </c>
    </row>
    <row r="190" spans="1:7">
      <c r="A190" s="76" t="s">
        <v>254</v>
      </c>
      <c r="B190" s="10">
        <v>25110</v>
      </c>
      <c r="C190" s="10">
        <v>6880</v>
      </c>
      <c r="D190" s="10">
        <v>10730000</v>
      </c>
      <c r="G190">
        <f>B195-B191</f>
        <v>-80</v>
      </c>
    </row>
    <row r="191" spans="1:7">
      <c r="A191" s="76" t="s">
        <v>255</v>
      </c>
      <c r="B191" s="10">
        <v>25110</v>
      </c>
      <c r="C191" s="10">
        <v>6880</v>
      </c>
      <c r="D191" s="10">
        <v>10720000</v>
      </c>
    </row>
    <row r="193" spans="1:4">
      <c r="A193" s="152" t="s">
        <v>281</v>
      </c>
      <c r="B193" s="152"/>
      <c r="C193" s="152"/>
      <c r="D193" s="152"/>
    </row>
    <row r="194" spans="1:4">
      <c r="A194" s="10" t="s">
        <v>247</v>
      </c>
      <c r="B194" s="10" t="s">
        <v>248</v>
      </c>
      <c r="C194" s="10" t="s">
        <v>249</v>
      </c>
      <c r="D194" s="10" t="s">
        <v>250</v>
      </c>
    </row>
    <row r="195" spans="1:4">
      <c r="A195" s="75">
        <v>0.45833333333333298</v>
      </c>
      <c r="B195" s="10">
        <v>25030</v>
      </c>
      <c r="C195" s="10">
        <v>6840</v>
      </c>
      <c r="D195" s="10">
        <v>10640000</v>
      </c>
    </row>
    <row r="196" spans="1:4">
      <c r="A196" s="76" t="s">
        <v>251</v>
      </c>
      <c r="B196" s="10">
        <v>24980</v>
      </c>
      <c r="C196" s="10">
        <v>6840</v>
      </c>
      <c r="D196" s="10">
        <v>10640000</v>
      </c>
    </row>
    <row r="197" spans="1:4">
      <c r="A197" s="77" t="s">
        <v>252</v>
      </c>
      <c r="B197" s="10">
        <v>24940</v>
      </c>
      <c r="C197" s="10">
        <v>6840</v>
      </c>
      <c r="D197" s="10">
        <v>10650000</v>
      </c>
    </row>
    <row r="198" spans="1:4">
      <c r="A198" s="75" t="s">
        <v>253</v>
      </c>
      <c r="B198" s="10">
        <v>24900</v>
      </c>
      <c r="C198" s="10">
        <v>6840</v>
      </c>
      <c r="D198" s="10">
        <v>10650000</v>
      </c>
    </row>
    <row r="199" spans="1:4">
      <c r="A199" s="75">
        <v>0.625</v>
      </c>
      <c r="B199" s="10">
        <v>24900</v>
      </c>
      <c r="C199" s="10">
        <v>6840</v>
      </c>
      <c r="D199" s="10">
        <v>10670000</v>
      </c>
    </row>
    <row r="200" spans="1:4">
      <c r="A200" s="76" t="s">
        <v>254</v>
      </c>
      <c r="B200" s="10">
        <v>24900</v>
      </c>
      <c r="C200" s="10">
        <v>6840</v>
      </c>
      <c r="D200" s="10">
        <v>10650000</v>
      </c>
    </row>
    <row r="201" spans="1:4">
      <c r="A201" s="76" t="s">
        <v>255</v>
      </c>
      <c r="B201" s="10">
        <v>24900</v>
      </c>
      <c r="C201" s="10">
        <v>6840</v>
      </c>
      <c r="D201" s="10">
        <v>10660000</v>
      </c>
    </row>
    <row r="203" spans="1:4">
      <c r="A203" s="152" t="s">
        <v>282</v>
      </c>
      <c r="B203" s="152"/>
      <c r="C203" s="152"/>
      <c r="D203" s="152"/>
    </row>
    <row r="204" spans="1:4">
      <c r="A204" s="10" t="s">
        <v>247</v>
      </c>
      <c r="B204" s="10" t="s">
        <v>248</v>
      </c>
      <c r="C204" s="10" t="s">
        <v>249</v>
      </c>
      <c r="D204" s="10" t="s">
        <v>250</v>
      </c>
    </row>
    <row r="205" spans="1:4">
      <c r="A205" s="75">
        <v>0.45833333333333298</v>
      </c>
      <c r="B205" s="10">
        <v>25020</v>
      </c>
      <c r="C205" s="10">
        <v>6840</v>
      </c>
      <c r="D205" s="10">
        <v>10680000</v>
      </c>
    </row>
    <row r="206" spans="1:4">
      <c r="A206" s="76" t="s">
        <v>251</v>
      </c>
      <c r="B206" s="10">
        <v>25000</v>
      </c>
      <c r="C206" s="10">
        <v>6830</v>
      </c>
      <c r="D206" s="10">
        <v>10690000</v>
      </c>
    </row>
    <row r="207" spans="1:4">
      <c r="A207" s="77" t="s">
        <v>252</v>
      </c>
      <c r="B207" s="10">
        <v>24970</v>
      </c>
      <c r="C207" s="10">
        <v>6830</v>
      </c>
      <c r="D207" s="10">
        <v>10710000</v>
      </c>
    </row>
    <row r="208" spans="1:4">
      <c r="A208" s="75" t="s">
        <v>253</v>
      </c>
      <c r="B208" s="10">
        <v>24970</v>
      </c>
      <c r="C208" s="10">
        <v>6820</v>
      </c>
      <c r="D208" s="10">
        <v>10720000</v>
      </c>
    </row>
    <row r="209" spans="1:4">
      <c r="A209" s="75">
        <v>0.625</v>
      </c>
      <c r="B209" s="10" t="s">
        <v>276</v>
      </c>
      <c r="C209" s="10" t="s">
        <v>276</v>
      </c>
      <c r="D209" s="10" t="s">
        <v>276</v>
      </c>
    </row>
    <row r="210" spans="1:4">
      <c r="A210" s="76" t="s">
        <v>254</v>
      </c>
      <c r="B210" s="10" t="s">
        <v>276</v>
      </c>
      <c r="C210" s="10" t="s">
        <v>276</v>
      </c>
      <c r="D210" s="10" t="s">
        <v>276</v>
      </c>
    </row>
    <row r="211" spans="1:4">
      <c r="A211" s="76" t="s">
        <v>255</v>
      </c>
      <c r="B211" s="10" t="s">
        <v>276</v>
      </c>
      <c r="C211" s="10" t="s">
        <v>276</v>
      </c>
      <c r="D211" s="10" t="s">
        <v>276</v>
      </c>
    </row>
    <row r="213" spans="1:4">
      <c r="A213" s="152" t="s">
        <v>283</v>
      </c>
      <c r="B213" s="152"/>
      <c r="C213" s="152"/>
      <c r="D213" s="152"/>
    </row>
    <row r="214" spans="1:4">
      <c r="A214" s="10" t="s">
        <v>247</v>
      </c>
      <c r="B214" s="10" t="s">
        <v>248</v>
      </c>
      <c r="C214" s="10" t="s">
        <v>249</v>
      </c>
      <c r="D214" s="10" t="s">
        <v>250</v>
      </c>
    </row>
    <row r="215" spans="1:4">
      <c r="A215" s="75">
        <v>0.45833333333333298</v>
      </c>
      <c r="B215" s="10">
        <v>24920</v>
      </c>
      <c r="C215" s="10">
        <v>6840</v>
      </c>
      <c r="D215" s="10">
        <v>10680000</v>
      </c>
    </row>
    <row r="216" spans="1:4">
      <c r="A216" s="76" t="s">
        <v>251</v>
      </c>
      <c r="B216" s="10">
        <v>24900</v>
      </c>
      <c r="C216" s="10">
        <v>6840</v>
      </c>
      <c r="D216" s="10">
        <v>10690000</v>
      </c>
    </row>
    <row r="217" spans="1:4">
      <c r="A217" s="77" t="s">
        <v>252</v>
      </c>
      <c r="B217" s="10">
        <v>24930</v>
      </c>
      <c r="C217" s="10">
        <v>6820</v>
      </c>
      <c r="D217" s="10">
        <v>10670000</v>
      </c>
    </row>
    <row r="218" spans="1:4">
      <c r="A218" s="75" t="s">
        <v>253</v>
      </c>
      <c r="B218" s="10">
        <v>24880</v>
      </c>
      <c r="C218" s="10">
        <v>6825</v>
      </c>
      <c r="D218" s="10">
        <v>10670000</v>
      </c>
    </row>
    <row r="219" spans="1:4">
      <c r="A219" s="75">
        <v>0.625</v>
      </c>
      <c r="B219" s="10">
        <v>24880</v>
      </c>
      <c r="C219" s="10">
        <v>6820</v>
      </c>
      <c r="D219" s="10">
        <v>10660000</v>
      </c>
    </row>
    <row r="220" spans="1:4">
      <c r="A220" s="76" t="s">
        <v>254</v>
      </c>
      <c r="B220" s="10">
        <v>24880</v>
      </c>
      <c r="C220" s="10">
        <v>6820</v>
      </c>
      <c r="D220" s="10">
        <v>10670000</v>
      </c>
    </row>
    <row r="221" spans="1:4">
      <c r="A221" s="76" t="s">
        <v>255</v>
      </c>
      <c r="B221" s="10">
        <v>24880</v>
      </c>
      <c r="C221" s="10">
        <v>6820</v>
      </c>
      <c r="D221" s="10">
        <v>10670000</v>
      </c>
    </row>
    <row r="223" spans="1:4">
      <c r="A223" s="152" t="s">
        <v>284</v>
      </c>
      <c r="B223" s="152"/>
      <c r="C223" s="152"/>
      <c r="D223" s="152"/>
    </row>
    <row r="224" spans="1:4">
      <c r="A224" s="10" t="s">
        <v>247</v>
      </c>
      <c r="B224" s="10" t="s">
        <v>248</v>
      </c>
      <c r="C224" s="10" t="s">
        <v>249</v>
      </c>
      <c r="D224" s="10" t="s">
        <v>250</v>
      </c>
    </row>
    <row r="225" spans="1:5">
      <c r="A225" s="75">
        <v>0.45833333333333298</v>
      </c>
      <c r="B225" s="10">
        <v>24900</v>
      </c>
      <c r="C225" s="10">
        <v>6820</v>
      </c>
      <c r="D225" s="10">
        <v>10630000</v>
      </c>
    </row>
    <row r="226" spans="1:5">
      <c r="A226" s="76" t="s">
        <v>251</v>
      </c>
      <c r="B226" s="10">
        <v>24890</v>
      </c>
      <c r="C226" s="10">
        <v>6820</v>
      </c>
      <c r="D226" s="10">
        <v>10650000</v>
      </c>
    </row>
    <row r="227" spans="1:5">
      <c r="A227" s="77" t="s">
        <v>252</v>
      </c>
      <c r="B227" s="10">
        <v>24880</v>
      </c>
      <c r="C227" s="10">
        <v>6820</v>
      </c>
      <c r="D227" s="10">
        <v>10640000</v>
      </c>
    </row>
    <row r="228" spans="1:5">
      <c r="A228" s="75" t="s">
        <v>253</v>
      </c>
      <c r="B228" s="10">
        <v>24880</v>
      </c>
      <c r="C228" s="10">
        <v>6825</v>
      </c>
      <c r="D228" s="10">
        <v>10650000</v>
      </c>
    </row>
    <row r="229" spans="1:5">
      <c r="A229" s="75">
        <v>0.625</v>
      </c>
      <c r="B229" s="10">
        <v>24880</v>
      </c>
      <c r="C229" s="10">
        <v>6825</v>
      </c>
      <c r="D229" s="10">
        <v>10690000</v>
      </c>
    </row>
    <row r="230" spans="1:5">
      <c r="A230" s="76" t="s">
        <v>254</v>
      </c>
      <c r="B230" s="10">
        <v>24880</v>
      </c>
      <c r="C230" s="10">
        <v>6825</v>
      </c>
      <c r="D230" s="10">
        <v>10700000</v>
      </c>
    </row>
    <row r="231" spans="1:5">
      <c r="A231" s="76" t="s">
        <v>255</v>
      </c>
      <c r="B231" s="10">
        <v>24880</v>
      </c>
      <c r="C231" s="10">
        <v>6825</v>
      </c>
      <c r="D231" s="10">
        <v>10700000</v>
      </c>
    </row>
    <row r="233" spans="1:5">
      <c r="A233" s="152" t="s">
        <v>285</v>
      </c>
      <c r="B233" s="152"/>
      <c r="C233" s="152"/>
      <c r="D233" s="152"/>
    </row>
    <row r="234" spans="1:5">
      <c r="A234" s="10" t="s">
        <v>247</v>
      </c>
      <c r="B234" s="10" t="s">
        <v>248</v>
      </c>
      <c r="C234" s="10" t="s">
        <v>249</v>
      </c>
      <c r="D234" s="10" t="s">
        <v>250</v>
      </c>
    </row>
    <row r="235" spans="1:5">
      <c r="A235" s="75">
        <v>0.45833333333333298</v>
      </c>
      <c r="B235" s="10">
        <v>24890</v>
      </c>
      <c r="C235" s="10">
        <v>6850</v>
      </c>
      <c r="D235" s="10">
        <v>10680000</v>
      </c>
      <c r="E235" s="80"/>
    </row>
    <row r="236" spans="1:5">
      <c r="A236" s="76" t="s">
        <v>251</v>
      </c>
      <c r="B236" s="10">
        <v>24880</v>
      </c>
      <c r="C236" s="10">
        <v>6850</v>
      </c>
      <c r="D236" s="10">
        <v>10680000</v>
      </c>
    </row>
    <row r="237" spans="1:5">
      <c r="A237" s="77" t="s">
        <v>252</v>
      </c>
      <c r="B237" s="10">
        <v>24910</v>
      </c>
      <c r="C237" s="10">
        <v>6825</v>
      </c>
      <c r="D237" s="10">
        <v>10670000</v>
      </c>
    </row>
    <row r="238" spans="1:5">
      <c r="A238" s="75" t="s">
        <v>253</v>
      </c>
      <c r="B238" s="10">
        <v>24920</v>
      </c>
      <c r="C238" s="10">
        <v>6820</v>
      </c>
      <c r="D238" s="10">
        <v>10670000</v>
      </c>
    </row>
    <row r="239" spans="1:5">
      <c r="A239" s="75">
        <v>0.625</v>
      </c>
      <c r="B239" s="10">
        <v>24920</v>
      </c>
      <c r="C239" s="10">
        <v>6820</v>
      </c>
      <c r="D239" s="10">
        <v>10680000</v>
      </c>
    </row>
    <row r="240" spans="1:5">
      <c r="A240" s="76" t="s">
        <v>254</v>
      </c>
      <c r="B240" s="10">
        <v>24920</v>
      </c>
      <c r="C240" s="10">
        <v>6820</v>
      </c>
      <c r="D240" s="10">
        <v>10680000</v>
      </c>
    </row>
    <row r="241" spans="1:4">
      <c r="A241" s="76" t="s">
        <v>255</v>
      </c>
      <c r="B241" s="10">
        <v>24920</v>
      </c>
      <c r="C241" s="10">
        <v>6820</v>
      </c>
      <c r="D241" s="10">
        <v>10680000</v>
      </c>
    </row>
    <row r="243" spans="1:4">
      <c r="A243" s="152" t="s">
        <v>286</v>
      </c>
      <c r="B243" s="152"/>
      <c r="C243" s="152"/>
      <c r="D243" s="152"/>
    </row>
    <row r="244" spans="1:4">
      <c r="A244" s="10" t="s">
        <v>247</v>
      </c>
      <c r="B244" s="10" t="s">
        <v>248</v>
      </c>
      <c r="C244" s="10" t="s">
        <v>249</v>
      </c>
      <c r="D244" s="10" t="s">
        <v>250</v>
      </c>
    </row>
    <row r="245" spans="1:4">
      <c r="A245" s="75">
        <v>0.45833333333333298</v>
      </c>
      <c r="B245" s="10">
        <v>24850</v>
      </c>
      <c r="C245" s="10">
        <v>6790</v>
      </c>
      <c r="D245" s="10">
        <v>10650000</v>
      </c>
    </row>
    <row r="246" spans="1:4">
      <c r="A246" s="76" t="s">
        <v>251</v>
      </c>
      <c r="B246" s="10">
        <v>24830</v>
      </c>
      <c r="C246" s="10">
        <v>6790</v>
      </c>
      <c r="D246" s="10">
        <v>10620000</v>
      </c>
    </row>
    <row r="247" spans="1:4">
      <c r="A247" s="77" t="s">
        <v>252</v>
      </c>
      <c r="B247" s="10">
        <v>24740</v>
      </c>
      <c r="C247" s="10">
        <v>6770</v>
      </c>
      <c r="D247" s="10">
        <v>10590000</v>
      </c>
    </row>
    <row r="248" spans="1:4">
      <c r="A248" s="75" t="s">
        <v>253</v>
      </c>
      <c r="B248" s="10">
        <v>24720</v>
      </c>
      <c r="C248" s="10">
        <v>6770</v>
      </c>
      <c r="D248" s="10">
        <v>10610000</v>
      </c>
    </row>
    <row r="249" spans="1:4">
      <c r="A249" s="75">
        <v>0.625</v>
      </c>
      <c r="B249" s="10">
        <v>24750</v>
      </c>
      <c r="C249" s="10">
        <v>6765</v>
      </c>
      <c r="D249" s="10">
        <v>10600000</v>
      </c>
    </row>
    <row r="250" spans="1:4">
      <c r="A250" s="76" t="s">
        <v>254</v>
      </c>
      <c r="B250" s="10">
        <v>24750</v>
      </c>
      <c r="C250" s="10">
        <v>6765</v>
      </c>
      <c r="D250" s="10">
        <v>10590000</v>
      </c>
    </row>
    <row r="251" spans="1:4">
      <c r="A251" s="76" t="s">
        <v>255</v>
      </c>
      <c r="B251" s="10">
        <v>24750</v>
      </c>
      <c r="C251" s="10">
        <v>6765</v>
      </c>
      <c r="D251" s="10">
        <v>10610000</v>
      </c>
    </row>
    <row r="252" spans="1:4">
      <c r="D252" s="80"/>
    </row>
    <row r="253" spans="1:4">
      <c r="A253" s="152" t="s">
        <v>287</v>
      </c>
      <c r="B253" s="152"/>
      <c r="C253" s="152"/>
      <c r="D253" s="152"/>
    </row>
    <row r="254" spans="1:4">
      <c r="A254" s="10" t="s">
        <v>247</v>
      </c>
      <c r="B254" s="10" t="s">
        <v>248</v>
      </c>
      <c r="C254" s="10" t="s">
        <v>249</v>
      </c>
      <c r="D254" s="10" t="s">
        <v>250</v>
      </c>
    </row>
    <row r="255" spans="1:4">
      <c r="A255" s="75">
        <v>0.45833333333333298</v>
      </c>
      <c r="B255" s="10">
        <v>24450</v>
      </c>
      <c r="C255" s="10">
        <v>6700</v>
      </c>
      <c r="D255" s="10">
        <v>10450000</v>
      </c>
    </row>
    <row r="256" spans="1:4">
      <c r="A256" s="76" t="s">
        <v>251</v>
      </c>
      <c r="B256" s="10">
        <v>24440</v>
      </c>
      <c r="C256" s="10">
        <v>6700</v>
      </c>
      <c r="D256" s="10">
        <v>10480000</v>
      </c>
    </row>
    <row r="257" spans="1:4">
      <c r="A257" s="77" t="s">
        <v>252</v>
      </c>
      <c r="B257" s="10">
        <v>24470</v>
      </c>
      <c r="C257" s="10">
        <v>6735</v>
      </c>
      <c r="D257" s="10">
        <v>10500000</v>
      </c>
    </row>
    <row r="258" spans="1:4">
      <c r="A258" s="75" t="s">
        <v>253</v>
      </c>
      <c r="B258" s="10">
        <v>24520</v>
      </c>
      <c r="C258" s="10">
        <v>6730</v>
      </c>
      <c r="D258" s="10">
        <v>10490000</v>
      </c>
    </row>
    <row r="259" spans="1:4">
      <c r="A259" s="75">
        <v>0.625</v>
      </c>
      <c r="B259" s="10">
        <v>24520</v>
      </c>
      <c r="C259" s="10">
        <v>6725</v>
      </c>
      <c r="D259" s="10">
        <v>10470000</v>
      </c>
    </row>
    <row r="260" spans="1:4">
      <c r="A260" s="76" t="s">
        <v>254</v>
      </c>
      <c r="B260" s="10">
        <v>24520</v>
      </c>
      <c r="C260" s="10">
        <v>6725</v>
      </c>
      <c r="D260" s="10">
        <v>10480000</v>
      </c>
    </row>
    <row r="261" spans="1:4">
      <c r="A261" s="76" t="s">
        <v>255</v>
      </c>
      <c r="B261" s="10">
        <v>24520</v>
      </c>
      <c r="C261" s="10">
        <v>6725</v>
      </c>
      <c r="D261" s="10">
        <v>10500000</v>
      </c>
    </row>
    <row r="263" spans="1:4">
      <c r="A263" s="152" t="s">
        <v>288</v>
      </c>
      <c r="B263" s="152"/>
      <c r="C263" s="152"/>
      <c r="D263" s="152"/>
    </row>
    <row r="264" spans="1:4">
      <c r="A264" s="10" t="s">
        <v>247</v>
      </c>
      <c r="B264" s="10" t="s">
        <v>248</v>
      </c>
      <c r="C264" s="10" t="s">
        <v>249</v>
      </c>
      <c r="D264" s="10" t="s">
        <v>250</v>
      </c>
    </row>
    <row r="265" spans="1:4">
      <c r="A265" s="75">
        <v>0.45833333333333298</v>
      </c>
      <c r="B265" s="10">
        <v>24750</v>
      </c>
      <c r="C265" s="10">
        <v>6770</v>
      </c>
      <c r="D265" s="10">
        <v>10620000</v>
      </c>
    </row>
    <row r="266" spans="1:4">
      <c r="A266" s="76" t="s">
        <v>251</v>
      </c>
      <c r="B266" s="10">
        <v>24740</v>
      </c>
      <c r="C266" s="10">
        <v>6780</v>
      </c>
      <c r="D266" s="10">
        <v>10610000</v>
      </c>
    </row>
    <row r="267" spans="1:4">
      <c r="A267" s="77" t="s">
        <v>252</v>
      </c>
      <c r="B267" s="10">
        <v>24720</v>
      </c>
      <c r="C267" s="10">
        <v>6770</v>
      </c>
      <c r="D267" s="10">
        <v>10610000</v>
      </c>
    </row>
    <row r="268" spans="1:4">
      <c r="A268" s="75" t="s">
        <v>253</v>
      </c>
      <c r="B268" s="10">
        <v>24700</v>
      </c>
      <c r="C268" s="10">
        <v>6760</v>
      </c>
      <c r="D268" s="10">
        <v>10600000</v>
      </c>
    </row>
    <row r="269" spans="1:4">
      <c r="A269" s="75">
        <v>0.625</v>
      </c>
      <c r="B269" s="10" t="s">
        <v>276</v>
      </c>
      <c r="C269" s="10" t="s">
        <v>276</v>
      </c>
      <c r="D269" s="10" t="s">
        <v>276</v>
      </c>
    </row>
    <row r="270" spans="1:4">
      <c r="A270" s="76" t="s">
        <v>254</v>
      </c>
      <c r="B270" s="10" t="s">
        <v>276</v>
      </c>
      <c r="C270" s="10" t="s">
        <v>276</v>
      </c>
      <c r="D270" s="10" t="s">
        <v>276</v>
      </c>
    </row>
    <row r="271" spans="1:4">
      <c r="A271" s="76" t="s">
        <v>255</v>
      </c>
      <c r="B271" s="10" t="s">
        <v>276</v>
      </c>
      <c r="C271" s="10" t="s">
        <v>276</v>
      </c>
      <c r="D271" s="10" t="s">
        <v>276</v>
      </c>
    </row>
    <row r="273" spans="1:4">
      <c r="A273" s="152" t="s">
        <v>289</v>
      </c>
      <c r="B273" s="152"/>
      <c r="C273" s="152"/>
      <c r="D273" s="152"/>
    </row>
    <row r="274" spans="1:4">
      <c r="A274" s="10" t="s">
        <v>247</v>
      </c>
      <c r="B274" s="10" t="s">
        <v>248</v>
      </c>
      <c r="C274" s="10" t="s">
        <v>249</v>
      </c>
      <c r="D274" s="10" t="s">
        <v>250</v>
      </c>
    </row>
    <row r="275" spans="1:4">
      <c r="A275" s="75">
        <v>0.45833333333333298</v>
      </c>
      <c r="B275" s="10">
        <v>24770</v>
      </c>
      <c r="C275" s="10">
        <v>6780</v>
      </c>
      <c r="D275" s="10">
        <v>10590000</v>
      </c>
    </row>
    <row r="276" spans="1:4">
      <c r="A276" s="76" t="s">
        <v>251</v>
      </c>
      <c r="B276" s="10">
        <v>24700</v>
      </c>
      <c r="C276" s="10">
        <v>6760</v>
      </c>
      <c r="D276" s="10">
        <v>10580000</v>
      </c>
    </row>
    <row r="277" spans="1:4">
      <c r="A277" s="77" t="s">
        <v>252</v>
      </c>
      <c r="B277" s="10">
        <v>24720</v>
      </c>
      <c r="C277" s="10">
        <v>6755</v>
      </c>
      <c r="D277" s="10">
        <v>10540000</v>
      </c>
    </row>
    <row r="278" spans="1:4">
      <c r="A278" s="75" t="s">
        <v>253</v>
      </c>
      <c r="B278" s="10">
        <v>24670</v>
      </c>
      <c r="C278" s="10">
        <v>6755</v>
      </c>
      <c r="D278" s="10">
        <v>10550000</v>
      </c>
    </row>
    <row r="279" spans="1:4">
      <c r="A279" s="75">
        <v>0.625</v>
      </c>
      <c r="B279" s="10">
        <v>24670</v>
      </c>
      <c r="C279" s="10">
        <v>6775</v>
      </c>
      <c r="D279" s="10">
        <v>10540000</v>
      </c>
    </row>
    <row r="280" spans="1:4">
      <c r="A280" s="76" t="s">
        <v>254</v>
      </c>
      <c r="B280" s="10">
        <v>24670</v>
      </c>
      <c r="C280" s="10">
        <v>6765</v>
      </c>
      <c r="D280" s="10">
        <v>10530000</v>
      </c>
    </row>
    <row r="281" spans="1:4">
      <c r="A281" s="76" t="s">
        <v>255</v>
      </c>
      <c r="B281" s="10">
        <v>24670</v>
      </c>
      <c r="C281" s="10">
        <v>6765</v>
      </c>
      <c r="D281" s="10">
        <v>10540000</v>
      </c>
    </row>
    <row r="283" spans="1:4">
      <c r="A283" s="152" t="s">
        <v>290</v>
      </c>
      <c r="B283" s="152"/>
      <c r="C283" s="152"/>
      <c r="D283" s="152"/>
    </row>
    <row r="284" spans="1:4">
      <c r="A284" s="10" t="s">
        <v>247</v>
      </c>
      <c r="B284" s="10" t="s">
        <v>248</v>
      </c>
      <c r="C284" s="10" t="s">
        <v>249</v>
      </c>
      <c r="D284" s="10" t="s">
        <v>250</v>
      </c>
    </row>
    <row r="285" spans="1:4">
      <c r="A285" s="75">
        <v>0.45833333333333298</v>
      </c>
      <c r="B285" s="10">
        <v>24720</v>
      </c>
      <c r="C285" s="10">
        <v>6740</v>
      </c>
      <c r="D285" s="10">
        <v>10520000</v>
      </c>
    </row>
    <row r="286" spans="1:4">
      <c r="A286" s="76" t="s">
        <v>251</v>
      </c>
      <c r="B286" s="10">
        <v>24700</v>
      </c>
      <c r="C286" s="10">
        <v>6740</v>
      </c>
      <c r="D286" s="10">
        <v>10510000</v>
      </c>
    </row>
    <row r="287" spans="1:4">
      <c r="A287" s="77" t="s">
        <v>252</v>
      </c>
      <c r="B287" s="10">
        <v>24650</v>
      </c>
      <c r="C287" s="10">
        <v>6730</v>
      </c>
      <c r="D287" s="10">
        <v>10500000</v>
      </c>
    </row>
    <row r="288" spans="1:4">
      <c r="A288" s="75" t="s">
        <v>253</v>
      </c>
      <c r="B288" s="10">
        <v>24650</v>
      </c>
      <c r="C288" s="10">
        <v>6730</v>
      </c>
      <c r="D288" s="10">
        <v>10500000</v>
      </c>
    </row>
    <row r="289" spans="1:6">
      <c r="A289" s="75">
        <v>0.625</v>
      </c>
      <c r="B289" s="10">
        <v>24650</v>
      </c>
      <c r="C289" s="10">
        <v>6720</v>
      </c>
      <c r="D289" s="10">
        <v>10510000</v>
      </c>
    </row>
    <row r="290" spans="1:6">
      <c r="A290" s="76" t="s">
        <v>254</v>
      </c>
      <c r="B290" s="10">
        <v>24650</v>
      </c>
      <c r="C290" s="10">
        <v>6730</v>
      </c>
      <c r="D290" s="10">
        <v>10530000</v>
      </c>
    </row>
    <row r="291" spans="1:6">
      <c r="A291" s="76" t="s">
        <v>255</v>
      </c>
      <c r="B291" s="10">
        <v>24650</v>
      </c>
      <c r="C291" s="10">
        <v>6730</v>
      </c>
      <c r="D291" s="10">
        <v>10520000</v>
      </c>
    </row>
    <row r="293" spans="1:6">
      <c r="A293" s="152" t="s">
        <v>291</v>
      </c>
      <c r="B293" s="152"/>
      <c r="C293" s="152"/>
      <c r="D293" s="152"/>
    </row>
    <row r="294" spans="1:6">
      <c r="A294" s="10" t="s">
        <v>247</v>
      </c>
      <c r="B294" s="10" t="s">
        <v>248</v>
      </c>
      <c r="C294" s="10" t="s">
        <v>249</v>
      </c>
      <c r="D294" s="10" t="s">
        <v>250</v>
      </c>
    </row>
    <row r="295" spans="1:6">
      <c r="A295" s="75">
        <v>0.45833333333333298</v>
      </c>
      <c r="B295" s="10">
        <v>24500</v>
      </c>
      <c r="C295" s="10">
        <v>6700</v>
      </c>
      <c r="D295" s="10">
        <v>10490000</v>
      </c>
    </row>
    <row r="296" spans="1:6">
      <c r="A296" s="76" t="s">
        <v>251</v>
      </c>
      <c r="B296" s="10">
        <v>24470</v>
      </c>
      <c r="C296" s="10">
        <v>6700</v>
      </c>
      <c r="D296" s="10">
        <v>10490000</v>
      </c>
    </row>
    <row r="297" spans="1:6">
      <c r="A297" s="77" t="s">
        <v>252</v>
      </c>
      <c r="B297" s="10">
        <v>24400</v>
      </c>
      <c r="C297" s="10">
        <v>6700</v>
      </c>
      <c r="D297" s="10">
        <v>10510000</v>
      </c>
    </row>
    <row r="298" spans="1:6">
      <c r="A298" s="75" t="s">
        <v>253</v>
      </c>
      <c r="B298" s="10">
        <v>24390</v>
      </c>
      <c r="C298" s="10">
        <v>6700</v>
      </c>
      <c r="D298" s="10">
        <v>10500000</v>
      </c>
    </row>
    <row r="299" spans="1:6">
      <c r="A299" s="75">
        <v>0.625</v>
      </c>
      <c r="B299" s="10">
        <v>24400</v>
      </c>
      <c r="C299" s="10">
        <v>6700</v>
      </c>
      <c r="D299" s="10">
        <v>10510000</v>
      </c>
      <c r="E299" s="80"/>
    </row>
    <row r="300" spans="1:6">
      <c r="A300" s="76" t="s">
        <v>254</v>
      </c>
      <c r="B300" s="10">
        <v>24400</v>
      </c>
      <c r="C300" s="10">
        <v>6700</v>
      </c>
      <c r="D300" s="10">
        <v>10500000</v>
      </c>
      <c r="E300" s="81"/>
    </row>
    <row r="301" spans="1:6">
      <c r="A301" s="76" t="s">
        <v>255</v>
      </c>
      <c r="B301" s="10">
        <v>24400</v>
      </c>
      <c r="C301" s="10">
        <v>6700</v>
      </c>
      <c r="D301" s="10">
        <v>10510000</v>
      </c>
      <c r="E301" s="81"/>
      <c r="F301" s="81"/>
    </row>
    <row r="303" spans="1:6">
      <c r="A303" s="152" t="s">
        <v>292</v>
      </c>
      <c r="B303" s="152"/>
      <c r="C303" s="152"/>
      <c r="D303" s="152"/>
    </row>
    <row r="304" spans="1:6">
      <c r="A304" s="10" t="s">
        <v>247</v>
      </c>
      <c r="B304" s="10" t="s">
        <v>248</v>
      </c>
      <c r="C304" s="10" t="s">
        <v>249</v>
      </c>
      <c r="D304" s="10" t="s">
        <v>250</v>
      </c>
    </row>
    <row r="305" spans="1:6">
      <c r="A305" s="75">
        <v>0.45833333333333298</v>
      </c>
      <c r="B305" s="10" t="s">
        <v>293</v>
      </c>
      <c r="C305" s="10"/>
      <c r="D305" s="10">
        <v>10560000</v>
      </c>
    </row>
    <row r="306" spans="1:6">
      <c r="A306" s="76" t="s">
        <v>251</v>
      </c>
      <c r="B306" s="10" t="s">
        <v>294</v>
      </c>
      <c r="C306" s="10"/>
      <c r="D306" s="10">
        <v>10550000</v>
      </c>
    </row>
    <row r="307" spans="1:6">
      <c r="A307" s="77" t="s">
        <v>252</v>
      </c>
      <c r="B307" s="10" t="s">
        <v>295</v>
      </c>
      <c r="C307" s="10"/>
      <c r="D307" s="10">
        <v>10560000</v>
      </c>
    </row>
    <row r="308" spans="1:6">
      <c r="A308" s="75" t="s">
        <v>253</v>
      </c>
      <c r="B308" s="10"/>
      <c r="C308" s="10"/>
      <c r="D308" s="10"/>
    </row>
    <row r="309" spans="1:6">
      <c r="A309" s="75">
        <v>0.625</v>
      </c>
      <c r="B309" s="10"/>
      <c r="C309" s="10"/>
      <c r="D309" s="10"/>
    </row>
    <row r="310" spans="1:6">
      <c r="A310" s="76" t="s">
        <v>254</v>
      </c>
      <c r="B310" s="10"/>
      <c r="C310" s="10"/>
      <c r="D310" s="10"/>
    </row>
    <row r="311" spans="1:6">
      <c r="A311" s="76" t="s">
        <v>255</v>
      </c>
      <c r="B311" s="10"/>
      <c r="C311" s="10"/>
      <c r="D311" s="10"/>
    </row>
    <row r="313" spans="1:6">
      <c r="A313" s="152" t="s">
        <v>296</v>
      </c>
      <c r="B313" s="152"/>
      <c r="C313" s="152"/>
      <c r="D313" s="152"/>
    </row>
    <row r="314" spans="1:6">
      <c r="A314" s="10" t="s">
        <v>247</v>
      </c>
      <c r="B314" s="10" t="s">
        <v>248</v>
      </c>
      <c r="C314" s="10" t="s">
        <v>249</v>
      </c>
      <c r="D314" s="10" t="s">
        <v>250</v>
      </c>
    </row>
    <row r="315" spans="1:6">
      <c r="A315" s="75">
        <v>0.45833333333333298</v>
      </c>
      <c r="B315" s="10">
        <v>24680</v>
      </c>
      <c r="C315" s="10"/>
      <c r="D315" s="10"/>
      <c r="E315">
        <v>10580000</v>
      </c>
      <c r="F315" t="s">
        <v>297</v>
      </c>
    </row>
    <row r="316" spans="1:6">
      <c r="A316" s="76" t="s">
        <v>251</v>
      </c>
      <c r="B316" s="10"/>
      <c r="C316" s="10"/>
      <c r="D316" s="10"/>
      <c r="E316">
        <v>10590000</v>
      </c>
      <c r="F316" t="s">
        <v>298</v>
      </c>
    </row>
    <row r="317" spans="1:6">
      <c r="A317" s="77" t="s">
        <v>252</v>
      </c>
      <c r="B317" s="10"/>
      <c r="C317" s="10"/>
      <c r="D317" s="10"/>
      <c r="E317">
        <v>10550000</v>
      </c>
      <c r="F317" t="s">
        <v>299</v>
      </c>
    </row>
    <row r="318" spans="1:6">
      <c r="A318" s="75" t="s">
        <v>253</v>
      </c>
      <c r="B318" s="10"/>
      <c r="C318" s="10"/>
      <c r="D318" s="10"/>
    </row>
    <row r="319" spans="1:6">
      <c r="A319" s="75">
        <v>0.625</v>
      </c>
      <c r="B319" s="10"/>
      <c r="C319" s="10"/>
      <c r="D319" s="10"/>
    </row>
    <row r="320" spans="1:6">
      <c r="A320" s="76" t="s">
        <v>254</v>
      </c>
      <c r="B320" s="10"/>
      <c r="C320" s="10"/>
      <c r="D320" s="10"/>
    </row>
    <row r="321" spans="1:6">
      <c r="A321" s="76" t="s">
        <v>255</v>
      </c>
      <c r="B321" s="10"/>
      <c r="C321" s="10"/>
      <c r="D321" s="10"/>
    </row>
    <row r="324" spans="1:6">
      <c r="A324" s="152" t="s">
        <v>300</v>
      </c>
      <c r="B324" s="152"/>
      <c r="C324" s="152"/>
      <c r="D324" s="152"/>
    </row>
    <row r="325" spans="1:6">
      <c r="A325" s="10" t="s">
        <v>247</v>
      </c>
      <c r="B325" s="10" t="s">
        <v>248</v>
      </c>
      <c r="C325" s="10" t="s">
        <v>249</v>
      </c>
      <c r="D325" s="10" t="s">
        <v>250</v>
      </c>
    </row>
    <row r="326" spans="1:6">
      <c r="A326" s="75">
        <v>0.45833333333333298</v>
      </c>
      <c r="B326" s="10"/>
      <c r="C326" s="10"/>
      <c r="D326" s="10"/>
      <c r="E326">
        <v>10660000</v>
      </c>
      <c r="F326" t="s">
        <v>301</v>
      </c>
    </row>
    <row r="327" spans="1:6">
      <c r="A327" s="76" t="s">
        <v>251</v>
      </c>
      <c r="B327" s="10"/>
      <c r="C327" s="10"/>
      <c r="D327" s="10"/>
      <c r="E327">
        <v>10710000</v>
      </c>
      <c r="F327" t="s">
        <v>302</v>
      </c>
    </row>
    <row r="328" spans="1:6">
      <c r="A328" s="77" t="s">
        <v>252</v>
      </c>
      <c r="B328" s="10"/>
      <c r="C328" s="10"/>
      <c r="D328" s="10"/>
    </row>
    <row r="329" spans="1:6">
      <c r="A329" s="75" t="s">
        <v>253</v>
      </c>
      <c r="B329" s="10"/>
      <c r="C329" s="10"/>
      <c r="D329" s="10"/>
    </row>
    <row r="330" spans="1:6">
      <c r="A330" s="75">
        <v>0.625</v>
      </c>
      <c r="B330" s="10"/>
      <c r="C330" s="10"/>
      <c r="D330" s="10"/>
    </row>
    <row r="331" spans="1:6">
      <c r="A331" s="76" t="s">
        <v>254</v>
      </c>
      <c r="B331" s="10"/>
      <c r="C331" s="10"/>
      <c r="D331" s="10"/>
    </row>
    <row r="332" spans="1:6">
      <c r="A332" s="76" t="s">
        <v>255</v>
      </c>
      <c r="B332" s="10"/>
      <c r="C332" s="10"/>
      <c r="D332" s="10"/>
    </row>
    <row r="335" spans="1:6">
      <c r="A335" s="152" t="s">
        <v>303</v>
      </c>
      <c r="B335" s="152"/>
      <c r="C335" s="152"/>
      <c r="D335" s="152"/>
    </row>
    <row r="336" spans="1:6">
      <c r="A336" s="10" t="s">
        <v>247</v>
      </c>
      <c r="B336" s="10" t="s">
        <v>248</v>
      </c>
      <c r="C336" s="10" t="s">
        <v>249</v>
      </c>
      <c r="D336" s="10" t="s">
        <v>250</v>
      </c>
    </row>
    <row r="337" spans="1:4">
      <c r="A337" s="75">
        <v>0.45833333333333298</v>
      </c>
      <c r="B337" s="10">
        <v>24830</v>
      </c>
      <c r="C337" s="10">
        <v>6820</v>
      </c>
      <c r="D337" s="10">
        <v>10710000</v>
      </c>
    </row>
    <row r="338" spans="1:4">
      <c r="A338" s="76" t="s">
        <v>251</v>
      </c>
      <c r="B338" s="10">
        <v>24780</v>
      </c>
      <c r="C338" s="10">
        <v>6820</v>
      </c>
      <c r="D338" s="10">
        <v>10730000</v>
      </c>
    </row>
    <row r="339" spans="1:4">
      <c r="A339" s="77" t="s">
        <v>252</v>
      </c>
      <c r="B339" s="10">
        <v>24890</v>
      </c>
      <c r="C339" s="10">
        <v>6815</v>
      </c>
      <c r="D339" s="10">
        <v>10790000</v>
      </c>
    </row>
    <row r="340" spans="1:4">
      <c r="A340" s="75" t="s">
        <v>253</v>
      </c>
      <c r="B340" s="10">
        <v>24980</v>
      </c>
      <c r="C340" s="10">
        <v>6830</v>
      </c>
      <c r="D340" s="10">
        <v>10800000</v>
      </c>
    </row>
    <row r="341" spans="1:4">
      <c r="A341" s="75">
        <v>0.625</v>
      </c>
      <c r="B341" s="10">
        <v>24980</v>
      </c>
      <c r="C341" s="10">
        <v>6840</v>
      </c>
      <c r="D341" s="10">
        <v>10880000</v>
      </c>
    </row>
    <row r="342" spans="1:4">
      <c r="A342" s="76" t="s">
        <v>254</v>
      </c>
      <c r="B342" s="10">
        <v>24980</v>
      </c>
      <c r="C342" s="10">
        <v>6840</v>
      </c>
      <c r="D342" s="10">
        <v>10890000</v>
      </c>
    </row>
    <row r="343" spans="1:4">
      <c r="A343" s="76" t="s">
        <v>255</v>
      </c>
      <c r="B343" s="10">
        <v>24980</v>
      </c>
      <c r="C343" s="10">
        <v>6840</v>
      </c>
      <c r="D343" s="10">
        <v>10930000</v>
      </c>
    </row>
    <row r="346" spans="1:4">
      <c r="A346" s="152" t="s">
        <v>304</v>
      </c>
      <c r="B346" s="152"/>
      <c r="C346" s="152"/>
      <c r="D346" s="152"/>
    </row>
    <row r="347" spans="1:4">
      <c r="A347" s="10" t="s">
        <v>247</v>
      </c>
      <c r="B347" s="10" t="s">
        <v>248</v>
      </c>
      <c r="C347" s="10" t="s">
        <v>249</v>
      </c>
      <c r="D347" s="10" t="s">
        <v>250</v>
      </c>
    </row>
    <row r="348" spans="1:4">
      <c r="A348" s="75">
        <v>0.45833333333333298</v>
      </c>
      <c r="B348" s="10">
        <v>25110</v>
      </c>
      <c r="C348" s="10">
        <v>6880</v>
      </c>
      <c r="D348" s="10">
        <v>10980000</v>
      </c>
    </row>
    <row r="349" spans="1:4">
      <c r="A349" s="76" t="s">
        <v>251</v>
      </c>
      <c r="B349" s="10">
        <v>25140</v>
      </c>
      <c r="C349" s="10">
        <v>6870</v>
      </c>
      <c r="D349" s="10">
        <v>11030000</v>
      </c>
    </row>
    <row r="350" spans="1:4">
      <c r="A350" s="77" t="s">
        <v>252</v>
      </c>
      <c r="B350" s="10">
        <v>25120</v>
      </c>
      <c r="C350" s="10">
        <v>6890</v>
      </c>
      <c r="D350" s="10">
        <v>10950000</v>
      </c>
    </row>
    <row r="351" spans="1:4">
      <c r="A351" s="75" t="s">
        <v>253</v>
      </c>
      <c r="B351" s="10">
        <v>25120</v>
      </c>
      <c r="C351" s="10">
        <v>6890</v>
      </c>
      <c r="D351" s="10">
        <v>10990000</v>
      </c>
    </row>
    <row r="352" spans="1:4">
      <c r="A352" s="75">
        <v>0.625</v>
      </c>
      <c r="B352" s="10">
        <v>25120</v>
      </c>
      <c r="C352" s="10">
        <v>6890</v>
      </c>
      <c r="D352" s="10">
        <v>10970000</v>
      </c>
    </row>
    <row r="353" spans="1:4">
      <c r="A353" s="76" t="s">
        <v>254</v>
      </c>
      <c r="B353" s="10">
        <v>25120</v>
      </c>
      <c r="C353" s="10">
        <v>6890</v>
      </c>
      <c r="D353" s="10">
        <v>10970000</v>
      </c>
    </row>
    <row r="354" spans="1:4">
      <c r="A354" s="76" t="s">
        <v>255</v>
      </c>
      <c r="B354" s="10">
        <v>25120</v>
      </c>
      <c r="C354" s="10">
        <v>6890</v>
      </c>
      <c r="D354" s="10">
        <v>11000000</v>
      </c>
    </row>
    <row r="357" spans="1:4">
      <c r="A357" s="152" t="s">
        <v>305</v>
      </c>
      <c r="B357" s="152"/>
      <c r="C357" s="152"/>
      <c r="D357" s="152"/>
    </row>
    <row r="358" spans="1:4">
      <c r="A358" s="10" t="s">
        <v>247</v>
      </c>
      <c r="B358" s="10" t="s">
        <v>248</v>
      </c>
      <c r="C358" s="10" t="s">
        <v>249</v>
      </c>
      <c r="D358" s="10" t="s">
        <v>250</v>
      </c>
    </row>
    <row r="359" spans="1:4">
      <c r="A359" s="75">
        <v>0.45833333333333298</v>
      </c>
      <c r="B359" s="10">
        <v>25240</v>
      </c>
      <c r="C359" s="10">
        <v>6930</v>
      </c>
      <c r="D359" s="10">
        <v>11120000</v>
      </c>
    </row>
    <row r="360" spans="1:4">
      <c r="A360" s="76" t="s">
        <v>251</v>
      </c>
      <c r="B360" s="10">
        <v>25250</v>
      </c>
      <c r="C360" s="10">
        <v>6930</v>
      </c>
      <c r="D360" s="10">
        <v>11100000</v>
      </c>
    </row>
    <row r="361" spans="1:4">
      <c r="A361" s="77" t="s">
        <v>252</v>
      </c>
      <c r="B361" s="10">
        <v>25300</v>
      </c>
      <c r="C361" s="10">
        <v>6945</v>
      </c>
      <c r="D361" s="10">
        <v>11110000</v>
      </c>
    </row>
    <row r="362" spans="1:4">
      <c r="A362" s="75" t="s">
        <v>253</v>
      </c>
      <c r="B362" s="10">
        <v>25290</v>
      </c>
      <c r="C362" s="10">
        <v>6930</v>
      </c>
      <c r="D362" s="10">
        <v>11170000</v>
      </c>
    </row>
    <row r="363" spans="1:4">
      <c r="A363" s="75">
        <v>0.625</v>
      </c>
      <c r="B363" s="10">
        <v>25290</v>
      </c>
      <c r="C363" s="10">
        <v>6930</v>
      </c>
      <c r="D363" s="10">
        <v>11200000</v>
      </c>
    </row>
    <row r="364" spans="1:4">
      <c r="A364" s="76" t="s">
        <v>254</v>
      </c>
      <c r="B364" s="10">
        <v>25290</v>
      </c>
      <c r="C364" s="10">
        <v>6930</v>
      </c>
      <c r="D364" s="10">
        <v>11200000</v>
      </c>
    </row>
    <row r="365" spans="1:4">
      <c r="A365" s="76" t="s">
        <v>255</v>
      </c>
      <c r="B365" s="10">
        <v>25290</v>
      </c>
      <c r="C365" s="10">
        <v>6930</v>
      </c>
      <c r="D365" s="10">
        <v>11190000</v>
      </c>
    </row>
    <row r="368" spans="1:4">
      <c r="A368" s="152" t="s">
        <v>306</v>
      </c>
      <c r="B368" s="152"/>
      <c r="C368" s="152"/>
      <c r="D368" s="152"/>
    </row>
    <row r="369" spans="1:7">
      <c r="A369" s="10" t="s">
        <v>247</v>
      </c>
      <c r="B369" s="10" t="s">
        <v>248</v>
      </c>
      <c r="C369" s="10" t="s">
        <v>249</v>
      </c>
      <c r="D369" s="10" t="s">
        <v>250</v>
      </c>
    </row>
    <row r="370" spans="1:7">
      <c r="A370" s="75">
        <v>0.45833333333333298</v>
      </c>
      <c r="B370" s="10">
        <v>25720</v>
      </c>
      <c r="C370" s="10">
        <v>7050</v>
      </c>
      <c r="D370" s="10">
        <v>11350000</v>
      </c>
    </row>
    <row r="371" spans="1:7">
      <c r="A371" s="76" t="s">
        <v>251</v>
      </c>
      <c r="B371" s="10">
        <v>25680</v>
      </c>
      <c r="C371" s="10">
        <v>7040</v>
      </c>
      <c r="D371" s="10">
        <v>11370000</v>
      </c>
    </row>
    <row r="372" spans="1:7">
      <c r="A372" s="77" t="s">
        <v>252</v>
      </c>
      <c r="B372" s="10">
        <v>25710</v>
      </c>
      <c r="C372" s="10">
        <v>7100</v>
      </c>
      <c r="D372" s="10">
        <v>11510000</v>
      </c>
    </row>
    <row r="373" spans="1:7">
      <c r="A373" s="75" t="s">
        <v>253</v>
      </c>
      <c r="B373" s="10">
        <v>25980</v>
      </c>
      <c r="C373" s="10">
        <v>7095</v>
      </c>
      <c r="D373" s="10">
        <v>15700000</v>
      </c>
    </row>
    <row r="374" spans="1:7">
      <c r="A374" s="75">
        <v>0.625</v>
      </c>
      <c r="B374" s="10">
        <v>25980</v>
      </c>
      <c r="C374" s="10">
        <v>7070</v>
      </c>
      <c r="D374" s="10">
        <v>11560000</v>
      </c>
    </row>
    <row r="375" spans="1:7">
      <c r="A375" s="76" t="s">
        <v>254</v>
      </c>
      <c r="B375" s="10">
        <v>25980</v>
      </c>
      <c r="C375" s="10">
        <v>7060</v>
      </c>
      <c r="D375" s="10">
        <v>11550000</v>
      </c>
      <c r="G375" t="e">
        <f>(D373-E386)/E386</f>
        <v>#DIV/0!</v>
      </c>
    </row>
    <row r="376" spans="1:7">
      <c r="A376" s="76" t="s">
        <v>255</v>
      </c>
      <c r="B376" s="10">
        <v>25980</v>
      </c>
      <c r="C376" s="10">
        <v>7060</v>
      </c>
      <c r="D376" s="10">
        <v>11430000</v>
      </c>
    </row>
    <row r="379" spans="1:7">
      <c r="A379" s="152" t="s">
        <v>307</v>
      </c>
      <c r="B379" s="152"/>
      <c r="C379" s="152"/>
      <c r="D379" s="152"/>
    </row>
    <row r="380" spans="1:7">
      <c r="A380" s="10" t="s">
        <v>247</v>
      </c>
      <c r="B380" s="10" t="s">
        <v>248</v>
      </c>
      <c r="C380" s="10" t="s">
        <v>249</v>
      </c>
      <c r="D380" s="10" t="s">
        <v>250</v>
      </c>
    </row>
    <row r="381" spans="1:7">
      <c r="A381" s="75">
        <v>0.45833333333333298</v>
      </c>
      <c r="B381" s="10">
        <v>25780</v>
      </c>
      <c r="C381" s="10">
        <v>7060</v>
      </c>
      <c r="D381" s="10">
        <v>11450000</v>
      </c>
    </row>
    <row r="382" spans="1:7">
      <c r="A382" s="76" t="s">
        <v>251</v>
      </c>
      <c r="B382" s="10">
        <v>25750</v>
      </c>
      <c r="C382" s="10">
        <v>7060</v>
      </c>
      <c r="D382" s="10">
        <v>11380000</v>
      </c>
    </row>
    <row r="383" spans="1:7">
      <c r="A383" s="77" t="s">
        <v>252</v>
      </c>
      <c r="B383" s="10">
        <v>25700</v>
      </c>
      <c r="C383" s="10">
        <v>7015</v>
      </c>
      <c r="D383" s="10">
        <v>11300000</v>
      </c>
    </row>
    <row r="384" spans="1:7">
      <c r="A384" s="75" t="s">
        <v>253</v>
      </c>
      <c r="B384" s="10">
        <v>25620</v>
      </c>
      <c r="C384" s="10">
        <v>7005</v>
      </c>
      <c r="D384" s="10">
        <v>11190000</v>
      </c>
    </row>
    <row r="385" spans="1:4">
      <c r="A385" s="75">
        <v>0.625</v>
      </c>
      <c r="B385" s="10">
        <v>25620</v>
      </c>
      <c r="C385" s="10">
        <v>6970</v>
      </c>
      <c r="D385" s="10">
        <v>11200000</v>
      </c>
    </row>
    <row r="386" spans="1:4">
      <c r="A386" s="76" t="s">
        <v>254</v>
      </c>
      <c r="B386" s="10">
        <v>25620</v>
      </c>
      <c r="C386" s="10">
        <v>6965</v>
      </c>
      <c r="D386" s="10">
        <v>11230000</v>
      </c>
    </row>
    <row r="387" spans="1:4">
      <c r="A387" s="76" t="s">
        <v>255</v>
      </c>
      <c r="B387" s="10">
        <v>25620</v>
      </c>
      <c r="C387" s="10">
        <v>6965</v>
      </c>
      <c r="D387" s="10">
        <v>11240000</v>
      </c>
    </row>
    <row r="390" spans="1:4">
      <c r="A390" s="152" t="s">
        <v>308</v>
      </c>
      <c r="B390" s="152"/>
      <c r="C390" s="152"/>
      <c r="D390" s="152"/>
    </row>
    <row r="391" spans="1:4">
      <c r="A391" s="10" t="s">
        <v>247</v>
      </c>
      <c r="B391" s="10" t="s">
        <v>248</v>
      </c>
      <c r="C391" s="10" t="s">
        <v>249</v>
      </c>
      <c r="D391" s="10" t="s">
        <v>250</v>
      </c>
    </row>
    <row r="392" spans="1:4">
      <c r="A392" s="75">
        <v>0.45833333333333298</v>
      </c>
      <c r="B392" s="10">
        <v>25560</v>
      </c>
      <c r="C392" s="10">
        <v>6990</v>
      </c>
      <c r="D392" s="10">
        <v>11300000</v>
      </c>
    </row>
    <row r="393" spans="1:4">
      <c r="A393" s="76" t="s">
        <v>251</v>
      </c>
      <c r="B393" s="10">
        <v>25550</v>
      </c>
      <c r="C393" s="10">
        <v>6985</v>
      </c>
      <c r="D393" s="10">
        <v>11250000</v>
      </c>
    </row>
    <row r="394" spans="1:4">
      <c r="A394" s="77" t="s">
        <v>252</v>
      </c>
      <c r="B394" s="10">
        <v>25500</v>
      </c>
      <c r="C394" s="10">
        <v>6970</v>
      </c>
      <c r="D394" s="10">
        <v>11260000</v>
      </c>
    </row>
    <row r="395" spans="1:4">
      <c r="A395" s="75" t="s">
        <v>253</v>
      </c>
      <c r="B395" s="10">
        <v>25480</v>
      </c>
      <c r="C395" s="10">
        <v>6975</v>
      </c>
      <c r="D395" s="10">
        <v>11200000</v>
      </c>
    </row>
    <row r="396" spans="1:4">
      <c r="A396" s="75">
        <v>0.625</v>
      </c>
      <c r="B396" s="10">
        <v>25480</v>
      </c>
      <c r="C396" s="10">
        <v>6965</v>
      </c>
      <c r="D396" s="10">
        <v>11220000</v>
      </c>
    </row>
    <row r="397" spans="1:4">
      <c r="A397" s="76" t="s">
        <v>254</v>
      </c>
      <c r="B397" s="10">
        <v>25480</v>
      </c>
      <c r="C397" s="10">
        <v>6965</v>
      </c>
      <c r="D397" s="10">
        <v>11200000</v>
      </c>
    </row>
    <row r="398" spans="1:4">
      <c r="A398" s="76" t="s">
        <v>255</v>
      </c>
      <c r="B398" s="10">
        <v>25480</v>
      </c>
      <c r="C398" s="10">
        <v>6965</v>
      </c>
      <c r="D398" s="10">
        <v>11180000</v>
      </c>
    </row>
    <row r="401" spans="1:4">
      <c r="A401" s="152" t="s">
        <v>309</v>
      </c>
      <c r="B401" s="152"/>
      <c r="C401" s="152"/>
      <c r="D401" s="152"/>
    </row>
    <row r="402" spans="1:4">
      <c r="A402" s="10" t="s">
        <v>247</v>
      </c>
      <c r="B402" s="10" t="s">
        <v>248</v>
      </c>
      <c r="C402" s="10" t="s">
        <v>249</v>
      </c>
      <c r="D402" s="10" t="s">
        <v>250</v>
      </c>
    </row>
    <row r="403" spans="1:4">
      <c r="A403" s="75">
        <v>0.45833333333333298</v>
      </c>
      <c r="B403" s="10">
        <v>25500</v>
      </c>
      <c r="C403" s="10">
        <v>7000</v>
      </c>
      <c r="D403" s="10">
        <v>11230000</v>
      </c>
    </row>
    <row r="404" spans="1:4">
      <c r="A404" s="76" t="s">
        <v>251</v>
      </c>
      <c r="B404" s="10">
        <v>25580</v>
      </c>
      <c r="C404" s="10">
        <v>7000</v>
      </c>
      <c r="D404" s="10">
        <v>11370000</v>
      </c>
    </row>
    <row r="405" spans="1:4">
      <c r="A405" s="77" t="s">
        <v>252</v>
      </c>
      <c r="B405" s="10">
        <v>25700</v>
      </c>
      <c r="C405" s="10">
        <v>7010</v>
      </c>
      <c r="D405" s="10">
        <v>11310000</v>
      </c>
    </row>
    <row r="406" spans="1:4">
      <c r="A406" s="75" t="s">
        <v>253</v>
      </c>
      <c r="B406" s="10">
        <v>25630</v>
      </c>
      <c r="C406" s="10">
        <v>7005</v>
      </c>
      <c r="D406" s="10">
        <v>11330000</v>
      </c>
    </row>
    <row r="407" spans="1:4">
      <c r="A407" s="75">
        <v>0.625</v>
      </c>
      <c r="B407" s="10">
        <v>25630</v>
      </c>
      <c r="C407" s="10">
        <v>7000</v>
      </c>
      <c r="D407" s="10">
        <v>11390000</v>
      </c>
    </row>
    <row r="408" spans="1:4">
      <c r="A408" s="76" t="s">
        <v>254</v>
      </c>
      <c r="B408" s="10">
        <v>25630</v>
      </c>
      <c r="C408" s="10">
        <v>7000</v>
      </c>
      <c r="D408" s="10">
        <v>11360000</v>
      </c>
    </row>
    <row r="409" spans="1:4">
      <c r="A409" s="76" t="s">
        <v>255</v>
      </c>
      <c r="B409" s="10">
        <v>25630</v>
      </c>
      <c r="C409" s="10">
        <v>7000</v>
      </c>
      <c r="D409" s="10">
        <v>11380000</v>
      </c>
    </row>
    <row r="412" spans="1:4">
      <c r="A412" s="152" t="s">
        <v>310</v>
      </c>
      <c r="B412" s="152"/>
      <c r="C412" s="152"/>
      <c r="D412" s="152"/>
    </row>
    <row r="413" spans="1:4">
      <c r="A413" s="10" t="s">
        <v>247</v>
      </c>
      <c r="B413" s="10" t="s">
        <v>248</v>
      </c>
      <c r="C413" s="10" t="s">
        <v>249</v>
      </c>
      <c r="D413" s="10" t="s">
        <v>250</v>
      </c>
    </row>
    <row r="414" spans="1:4">
      <c r="A414" s="75">
        <v>0.45833333333333298</v>
      </c>
      <c r="B414" s="10">
        <v>25500</v>
      </c>
      <c r="C414" s="10">
        <v>6990</v>
      </c>
      <c r="D414" s="10">
        <v>11220000</v>
      </c>
    </row>
    <row r="415" spans="1:4">
      <c r="A415" s="76" t="s">
        <v>251</v>
      </c>
      <c r="B415" s="10">
        <v>25500</v>
      </c>
      <c r="C415" s="10">
        <v>6980</v>
      </c>
      <c r="D415" s="10">
        <v>11230000</v>
      </c>
    </row>
    <row r="416" spans="1:4">
      <c r="A416" s="77" t="s">
        <v>252</v>
      </c>
      <c r="B416" s="10">
        <v>25460</v>
      </c>
      <c r="C416" s="10">
        <v>6975</v>
      </c>
      <c r="D416" s="10">
        <v>11220000</v>
      </c>
    </row>
    <row r="417" spans="1:6">
      <c r="A417" s="75" t="s">
        <v>253</v>
      </c>
      <c r="B417" s="10">
        <v>25510</v>
      </c>
      <c r="C417" s="10">
        <v>6990</v>
      </c>
      <c r="D417" s="10">
        <v>11270000</v>
      </c>
    </row>
    <row r="418" spans="1:6">
      <c r="A418" s="75">
        <v>0.625</v>
      </c>
      <c r="B418" s="10">
        <v>25510</v>
      </c>
      <c r="C418" s="10">
        <v>6980</v>
      </c>
      <c r="D418" s="10">
        <v>11260000</v>
      </c>
    </row>
    <row r="419" spans="1:6">
      <c r="A419" s="76" t="s">
        <v>254</v>
      </c>
      <c r="B419" s="10">
        <v>25510</v>
      </c>
      <c r="C419" s="10">
        <v>6980</v>
      </c>
      <c r="D419" s="10">
        <v>11260000</v>
      </c>
    </row>
    <row r="420" spans="1:6">
      <c r="A420" s="76" t="s">
        <v>255</v>
      </c>
      <c r="B420" s="10">
        <v>25510</v>
      </c>
      <c r="C420" s="10">
        <v>6980</v>
      </c>
      <c r="D420" s="10">
        <v>11300000</v>
      </c>
    </row>
    <row r="423" spans="1:6">
      <c r="A423" s="152" t="s">
        <v>311</v>
      </c>
      <c r="B423" s="152"/>
      <c r="C423" s="152"/>
      <c r="D423" s="152"/>
    </row>
    <row r="424" spans="1:6">
      <c r="A424" s="10" t="s">
        <v>247</v>
      </c>
      <c r="B424" s="10" t="s">
        <v>248</v>
      </c>
      <c r="C424" s="10" t="s">
        <v>249</v>
      </c>
      <c r="D424" s="10" t="s">
        <v>250</v>
      </c>
    </row>
    <row r="425" spans="1:6">
      <c r="A425" s="75">
        <v>0.45833333333333298</v>
      </c>
      <c r="B425" s="10"/>
      <c r="C425" s="10"/>
      <c r="D425" s="10"/>
      <c r="E425">
        <v>11360000</v>
      </c>
      <c r="F425" t="s">
        <v>312</v>
      </c>
    </row>
    <row r="426" spans="1:6">
      <c r="A426" s="76" t="s">
        <v>251</v>
      </c>
      <c r="B426" s="10"/>
      <c r="C426" s="10"/>
      <c r="D426" s="10"/>
      <c r="E426">
        <v>11330000</v>
      </c>
      <c r="F426" t="s">
        <v>313</v>
      </c>
    </row>
    <row r="427" spans="1:6">
      <c r="A427" s="77" t="s">
        <v>252</v>
      </c>
      <c r="B427" s="10"/>
      <c r="C427" s="10"/>
      <c r="D427" s="10"/>
      <c r="E427">
        <v>11350000</v>
      </c>
      <c r="F427" t="s">
        <v>314</v>
      </c>
    </row>
    <row r="428" spans="1:6">
      <c r="A428" s="75" t="s">
        <v>253</v>
      </c>
      <c r="B428" s="10"/>
      <c r="C428" s="10"/>
      <c r="D428" s="10"/>
    </row>
    <row r="429" spans="1:6">
      <c r="A429" s="75">
        <v>0.625</v>
      </c>
      <c r="B429" s="10"/>
      <c r="C429" s="10"/>
      <c r="D429" s="10"/>
    </row>
    <row r="430" spans="1:6">
      <c r="A430" s="76" t="s">
        <v>254</v>
      </c>
      <c r="B430" s="10"/>
      <c r="C430" s="10"/>
      <c r="D430" s="10"/>
    </row>
    <row r="431" spans="1:6">
      <c r="A431" s="76" t="s">
        <v>255</v>
      </c>
      <c r="B431" s="10"/>
      <c r="C431" s="10"/>
      <c r="D431" s="10"/>
    </row>
    <row r="434" spans="1:4">
      <c r="A434" s="152" t="s">
        <v>315</v>
      </c>
      <c r="B434" s="152"/>
      <c r="C434" s="152"/>
      <c r="D434" s="152"/>
    </row>
    <row r="435" spans="1:4">
      <c r="A435" s="10" t="s">
        <v>247</v>
      </c>
      <c r="B435" s="10" t="s">
        <v>248</v>
      </c>
      <c r="C435" s="10" t="s">
        <v>249</v>
      </c>
      <c r="D435" s="10" t="s">
        <v>250</v>
      </c>
    </row>
    <row r="436" spans="1:4">
      <c r="A436" s="75">
        <v>0.45833333333333298</v>
      </c>
      <c r="B436" s="10">
        <v>25420</v>
      </c>
      <c r="C436" s="10">
        <v>6950</v>
      </c>
      <c r="D436" s="10">
        <v>11000000</v>
      </c>
    </row>
    <row r="437" spans="1:4">
      <c r="A437" s="76" t="s">
        <v>251</v>
      </c>
      <c r="B437" s="10">
        <v>25380</v>
      </c>
      <c r="C437" s="10">
        <v>6950</v>
      </c>
      <c r="D437" s="10">
        <v>11050000</v>
      </c>
    </row>
    <row r="438" spans="1:4">
      <c r="A438" s="77" t="s">
        <v>252</v>
      </c>
      <c r="B438" s="10">
        <v>25500</v>
      </c>
      <c r="C438" s="10">
        <v>6970</v>
      </c>
      <c r="D438" s="10">
        <v>11070000</v>
      </c>
    </row>
    <row r="439" spans="1:4">
      <c r="A439" s="75" t="s">
        <v>253</v>
      </c>
      <c r="B439" s="10">
        <v>25550</v>
      </c>
      <c r="C439" s="10">
        <v>7000</v>
      </c>
      <c r="D439" s="10">
        <v>11130000</v>
      </c>
    </row>
    <row r="440" spans="1:4">
      <c r="A440" s="75">
        <v>0.625</v>
      </c>
      <c r="B440" s="10">
        <v>25550</v>
      </c>
      <c r="C440" s="10">
        <v>6995</v>
      </c>
      <c r="D440" s="10">
        <v>11160000</v>
      </c>
    </row>
    <row r="441" spans="1:4">
      <c r="A441" s="76" t="s">
        <v>254</v>
      </c>
      <c r="B441" s="10">
        <v>25550</v>
      </c>
      <c r="C441" s="10">
        <v>6995</v>
      </c>
      <c r="D441" s="10">
        <v>11170000</v>
      </c>
    </row>
    <row r="442" spans="1:4">
      <c r="A442" s="76" t="s">
        <v>255</v>
      </c>
      <c r="B442" s="10">
        <v>25550</v>
      </c>
      <c r="C442" s="10">
        <v>6995</v>
      </c>
      <c r="D442" s="10">
        <v>11180000</v>
      </c>
    </row>
    <row r="445" spans="1:4">
      <c r="A445" s="152" t="s">
        <v>316</v>
      </c>
      <c r="B445" s="152"/>
      <c r="C445" s="152"/>
      <c r="D445" s="152"/>
    </row>
    <row r="446" spans="1:4">
      <c r="A446" s="10" t="s">
        <v>247</v>
      </c>
      <c r="B446" s="10" t="s">
        <v>248</v>
      </c>
      <c r="C446" s="10" t="s">
        <v>249</v>
      </c>
      <c r="D446" s="10" t="s">
        <v>250</v>
      </c>
    </row>
    <row r="447" spans="1:4">
      <c r="A447" s="75">
        <v>0.45833333333333298</v>
      </c>
      <c r="B447" s="10">
        <v>25680</v>
      </c>
      <c r="C447" s="10">
        <v>7010</v>
      </c>
      <c r="D447" s="10">
        <v>11250000</v>
      </c>
    </row>
    <row r="448" spans="1:4">
      <c r="A448" s="76" t="s">
        <v>251</v>
      </c>
      <c r="B448" s="10">
        <v>25720</v>
      </c>
      <c r="C448" s="10">
        <v>7010</v>
      </c>
      <c r="D448" s="10">
        <v>11200000</v>
      </c>
    </row>
    <row r="449" spans="1:4">
      <c r="A449" s="77" t="s">
        <v>252</v>
      </c>
      <c r="B449" s="10">
        <v>25650</v>
      </c>
      <c r="C449" s="10">
        <v>7020</v>
      </c>
      <c r="D449" s="10">
        <v>11210000</v>
      </c>
    </row>
    <row r="450" spans="1:4">
      <c r="A450" s="75" t="s">
        <v>253</v>
      </c>
      <c r="B450" s="10">
        <v>25720</v>
      </c>
      <c r="C450" s="10">
        <v>7030</v>
      </c>
      <c r="D450" s="10">
        <v>11240000</v>
      </c>
    </row>
    <row r="451" spans="1:4">
      <c r="A451" s="75">
        <v>0.625</v>
      </c>
      <c r="B451" s="10">
        <v>25720</v>
      </c>
      <c r="C451" s="10">
        <v>7025</v>
      </c>
      <c r="D451" s="10">
        <v>11240000</v>
      </c>
    </row>
    <row r="452" spans="1:4">
      <c r="A452" s="76" t="s">
        <v>254</v>
      </c>
      <c r="B452" s="10">
        <v>25720</v>
      </c>
      <c r="C452" s="10">
        <v>7020</v>
      </c>
      <c r="D452" s="10">
        <v>11220000</v>
      </c>
    </row>
    <row r="453" spans="1:4">
      <c r="A453" s="76" t="s">
        <v>255</v>
      </c>
      <c r="B453" s="10">
        <v>25720</v>
      </c>
      <c r="C453" s="10">
        <v>7015</v>
      </c>
      <c r="D453" s="10">
        <v>11260000</v>
      </c>
    </row>
    <row r="456" spans="1:4">
      <c r="A456" s="152" t="s">
        <v>317</v>
      </c>
      <c r="B456" s="152"/>
      <c r="C456" s="152"/>
      <c r="D456" s="152"/>
    </row>
    <row r="457" spans="1:4">
      <c r="A457" s="10" t="s">
        <v>247</v>
      </c>
      <c r="B457" s="10" t="s">
        <v>248</v>
      </c>
      <c r="C457" s="10" t="s">
        <v>249</v>
      </c>
      <c r="D457" s="10" t="s">
        <v>250</v>
      </c>
    </row>
    <row r="458" spans="1:4">
      <c r="A458" s="75">
        <v>0.45833333333333298</v>
      </c>
      <c r="B458" s="10">
        <v>25660</v>
      </c>
      <c r="C458" s="10">
        <v>7025</v>
      </c>
      <c r="D458" s="10">
        <v>11150000</v>
      </c>
    </row>
    <row r="459" spans="1:4">
      <c r="A459" s="76" t="s">
        <v>251</v>
      </c>
      <c r="B459" s="10">
        <v>25720</v>
      </c>
      <c r="C459" s="10">
        <v>7025</v>
      </c>
      <c r="D459" s="10">
        <v>11160000</v>
      </c>
    </row>
    <row r="460" spans="1:4">
      <c r="A460" s="77" t="s">
        <v>252</v>
      </c>
      <c r="B460" s="10">
        <v>25750</v>
      </c>
      <c r="C460" s="10">
        <v>7040</v>
      </c>
      <c r="D460" s="10">
        <v>11190000</v>
      </c>
    </row>
    <row r="461" spans="1:4">
      <c r="A461" s="75" t="s">
        <v>253</v>
      </c>
      <c r="B461" s="10">
        <v>25780</v>
      </c>
      <c r="C461" s="10">
        <v>7070</v>
      </c>
      <c r="D461" s="10">
        <v>11170000</v>
      </c>
    </row>
    <row r="462" spans="1:4">
      <c r="A462" s="75">
        <v>0.625</v>
      </c>
      <c r="B462" s="10">
        <v>25780</v>
      </c>
      <c r="C462" s="10">
        <v>7070</v>
      </c>
      <c r="D462" s="10">
        <v>11190000</v>
      </c>
    </row>
    <row r="463" spans="1:4">
      <c r="A463" s="76" t="s">
        <v>254</v>
      </c>
      <c r="B463" s="10">
        <v>25780</v>
      </c>
      <c r="C463" s="10">
        <v>7070</v>
      </c>
      <c r="D463" s="10">
        <v>11230000</v>
      </c>
    </row>
    <row r="464" spans="1:4">
      <c r="A464" s="76" t="s">
        <v>255</v>
      </c>
      <c r="B464" s="10">
        <v>25780</v>
      </c>
      <c r="C464" s="10">
        <v>7070</v>
      </c>
      <c r="D464" s="10">
        <v>11290000</v>
      </c>
    </row>
    <row r="467" spans="1:4">
      <c r="A467" s="152" t="s">
        <v>318</v>
      </c>
      <c r="B467" s="152"/>
      <c r="C467" s="152"/>
      <c r="D467" s="152"/>
    </row>
    <row r="468" spans="1:4">
      <c r="A468" s="10" t="s">
        <v>247</v>
      </c>
      <c r="B468" s="10" t="s">
        <v>248</v>
      </c>
      <c r="C468" s="10" t="s">
        <v>249</v>
      </c>
      <c r="D468" s="10" t="s">
        <v>250</v>
      </c>
    </row>
    <row r="469" spans="1:4">
      <c r="A469" s="75">
        <v>0.45833333333333298</v>
      </c>
      <c r="B469" s="10">
        <v>25960</v>
      </c>
      <c r="C469" s="10">
        <v>7100</v>
      </c>
      <c r="D469" s="10">
        <v>11300000</v>
      </c>
    </row>
    <row r="470" spans="1:4">
      <c r="A470" s="76" t="s">
        <v>251</v>
      </c>
      <c r="B470" s="10">
        <v>26000</v>
      </c>
      <c r="C470" s="10">
        <v>7120</v>
      </c>
      <c r="D470" s="10">
        <v>11280000</v>
      </c>
    </row>
    <row r="471" spans="1:4">
      <c r="A471" s="77" t="s">
        <v>252</v>
      </c>
      <c r="B471" s="10">
        <v>26100</v>
      </c>
      <c r="C471" s="10">
        <v>7180</v>
      </c>
      <c r="D471" s="10">
        <v>11290000</v>
      </c>
    </row>
    <row r="472" spans="1:4">
      <c r="A472" s="75" t="s">
        <v>253</v>
      </c>
      <c r="B472" s="10">
        <v>26120</v>
      </c>
      <c r="C472" s="10">
        <v>7150</v>
      </c>
      <c r="D472" s="10">
        <v>11280000</v>
      </c>
    </row>
    <row r="473" spans="1:4">
      <c r="A473" s="75">
        <v>0.625</v>
      </c>
      <c r="B473" s="10">
        <v>26070</v>
      </c>
      <c r="C473" s="10">
        <v>7160</v>
      </c>
      <c r="D473" s="10">
        <v>11290000</v>
      </c>
    </row>
    <row r="474" spans="1:4">
      <c r="A474" s="76" t="s">
        <v>254</v>
      </c>
      <c r="B474" s="10">
        <v>26070</v>
      </c>
      <c r="C474" s="10">
        <v>7165</v>
      </c>
      <c r="D474" s="10">
        <v>11290000</v>
      </c>
    </row>
    <row r="475" spans="1:4">
      <c r="A475" s="76" t="s">
        <v>255</v>
      </c>
      <c r="B475" s="10">
        <v>26070</v>
      </c>
      <c r="C475" s="10">
        <v>7165</v>
      </c>
      <c r="D475" s="10">
        <v>11400000</v>
      </c>
    </row>
    <row r="478" spans="1:4">
      <c r="A478" s="152" t="s">
        <v>319</v>
      </c>
      <c r="B478" s="152"/>
      <c r="C478" s="152"/>
      <c r="D478" s="152"/>
    </row>
    <row r="479" spans="1:4">
      <c r="A479" s="10" t="s">
        <v>247</v>
      </c>
      <c r="B479" s="10" t="s">
        <v>248</v>
      </c>
      <c r="C479" s="10" t="s">
        <v>249</v>
      </c>
      <c r="D479" s="10" t="s">
        <v>250</v>
      </c>
    </row>
    <row r="480" spans="1:4">
      <c r="A480" s="75">
        <v>0.45833333333333298</v>
      </c>
      <c r="B480" s="10">
        <v>26470</v>
      </c>
      <c r="C480" s="10">
        <v>7275</v>
      </c>
      <c r="D480" s="10">
        <v>11520000</v>
      </c>
    </row>
    <row r="481" spans="1:6">
      <c r="A481" s="76" t="s">
        <v>251</v>
      </c>
      <c r="B481" s="10">
        <v>26420</v>
      </c>
      <c r="C481" s="10">
        <v>7275</v>
      </c>
      <c r="D481" s="10">
        <v>11510000</v>
      </c>
    </row>
    <row r="482" spans="1:6">
      <c r="A482" s="77" t="s">
        <v>252</v>
      </c>
      <c r="B482" s="10">
        <v>26520</v>
      </c>
      <c r="C482" s="10">
        <v>7265</v>
      </c>
      <c r="D482" s="10">
        <v>11530000</v>
      </c>
    </row>
    <row r="483" spans="1:6">
      <c r="A483" s="75" t="s">
        <v>253</v>
      </c>
      <c r="B483" s="10">
        <v>26520</v>
      </c>
      <c r="C483" s="10">
        <v>7325</v>
      </c>
      <c r="D483" s="10">
        <v>11610000</v>
      </c>
    </row>
    <row r="484" spans="1:6">
      <c r="A484" s="75">
        <v>0.625</v>
      </c>
      <c r="B484" s="10">
        <v>26520</v>
      </c>
      <c r="C484" s="10">
        <v>7320</v>
      </c>
      <c r="D484" s="10">
        <v>11560000</v>
      </c>
    </row>
    <row r="485" spans="1:6">
      <c r="A485" s="76" t="s">
        <v>254</v>
      </c>
      <c r="B485" s="10">
        <v>26520</v>
      </c>
      <c r="C485" s="10">
        <v>7320</v>
      </c>
      <c r="D485" s="10">
        <v>11590000</v>
      </c>
    </row>
    <row r="486" spans="1:6">
      <c r="A486" s="76" t="s">
        <v>255</v>
      </c>
      <c r="B486" s="10">
        <v>26520</v>
      </c>
      <c r="C486" s="10">
        <v>7320</v>
      </c>
      <c r="D486" s="10">
        <v>11630000</v>
      </c>
    </row>
    <row r="489" spans="1:6">
      <c r="A489" s="152" t="s">
        <v>320</v>
      </c>
      <c r="B489" s="152"/>
      <c r="C489" s="152"/>
      <c r="D489" s="152"/>
    </row>
    <row r="490" spans="1:6">
      <c r="A490" s="10" t="s">
        <v>247</v>
      </c>
      <c r="B490" s="10" t="s">
        <v>248</v>
      </c>
      <c r="C490" s="10" t="s">
        <v>249</v>
      </c>
      <c r="D490" s="10" t="s">
        <v>250</v>
      </c>
    </row>
    <row r="491" spans="1:6">
      <c r="A491" s="75">
        <v>0.45833333333333298</v>
      </c>
      <c r="B491" s="10"/>
      <c r="C491" s="10"/>
      <c r="D491" s="10"/>
      <c r="E491">
        <v>11580111</v>
      </c>
      <c r="F491" t="s">
        <v>321</v>
      </c>
    </row>
    <row r="492" spans="1:6">
      <c r="A492" s="76" t="s">
        <v>251</v>
      </c>
      <c r="B492" s="10"/>
      <c r="C492" s="10"/>
      <c r="D492" s="10"/>
      <c r="E492">
        <v>11600000</v>
      </c>
      <c r="F492" t="s">
        <v>322</v>
      </c>
    </row>
    <row r="493" spans="1:6">
      <c r="A493" s="77" t="s">
        <v>252</v>
      </c>
      <c r="B493" s="10"/>
      <c r="C493" s="10"/>
      <c r="D493" s="10"/>
    </row>
    <row r="494" spans="1:6">
      <c r="A494" s="75" t="s">
        <v>253</v>
      </c>
      <c r="B494" s="10"/>
      <c r="C494" s="10"/>
      <c r="D494" s="10"/>
    </row>
    <row r="495" spans="1:6">
      <c r="A495" s="75">
        <v>0.625</v>
      </c>
      <c r="B495" s="10"/>
      <c r="C495" s="10"/>
      <c r="D495" s="10"/>
    </row>
    <row r="496" spans="1:6">
      <c r="A496" s="76" t="s">
        <v>254</v>
      </c>
      <c r="B496" s="10"/>
      <c r="C496" s="10"/>
      <c r="D496" s="10"/>
    </row>
    <row r="497" spans="1:4">
      <c r="A497" s="76" t="s">
        <v>255</v>
      </c>
      <c r="B497" s="10"/>
      <c r="C497" s="10"/>
      <c r="D497" s="10"/>
    </row>
    <row r="500" spans="1:4">
      <c r="A500" s="152" t="s">
        <v>323</v>
      </c>
      <c r="B500" s="152"/>
      <c r="C500" s="152"/>
      <c r="D500" s="152"/>
    </row>
    <row r="501" spans="1:4">
      <c r="A501" s="10" t="s">
        <v>247</v>
      </c>
      <c r="B501" s="10" t="s">
        <v>248</v>
      </c>
      <c r="C501" s="10" t="s">
        <v>249</v>
      </c>
      <c r="D501" s="10" t="s">
        <v>250</v>
      </c>
    </row>
    <row r="502" spans="1:4">
      <c r="A502" s="75">
        <v>0.45833333333333298</v>
      </c>
      <c r="B502" s="10">
        <v>26370</v>
      </c>
      <c r="C502" s="10">
        <v>7300</v>
      </c>
      <c r="D502" s="10">
        <v>11720000</v>
      </c>
    </row>
    <row r="503" spans="1:4">
      <c r="A503" s="76" t="s">
        <v>251</v>
      </c>
      <c r="B503" s="10">
        <v>26530</v>
      </c>
      <c r="C503" s="10">
        <v>7310</v>
      </c>
      <c r="D503" s="10">
        <v>11790000</v>
      </c>
    </row>
    <row r="504" spans="1:4">
      <c r="A504" s="77" t="s">
        <v>252</v>
      </c>
      <c r="B504" s="10">
        <v>26550</v>
      </c>
      <c r="C504" s="10">
        <v>7300</v>
      </c>
      <c r="D504" s="10">
        <v>11770000</v>
      </c>
    </row>
    <row r="505" spans="1:4">
      <c r="A505" s="75" t="s">
        <v>253</v>
      </c>
      <c r="B505" s="10">
        <v>26620</v>
      </c>
      <c r="C505" s="10">
        <v>7285</v>
      </c>
      <c r="D505" s="10">
        <v>11710000</v>
      </c>
    </row>
    <row r="506" spans="1:4">
      <c r="A506" s="75">
        <v>0.625</v>
      </c>
      <c r="B506" s="10">
        <v>26580</v>
      </c>
      <c r="C506" s="10">
        <v>7285</v>
      </c>
      <c r="D506" s="10">
        <v>11730000</v>
      </c>
    </row>
    <row r="507" spans="1:4">
      <c r="A507" s="76" t="s">
        <v>254</v>
      </c>
      <c r="B507" s="10">
        <v>26580</v>
      </c>
      <c r="C507" s="10">
        <v>7285</v>
      </c>
      <c r="D507" s="10">
        <v>11700000</v>
      </c>
    </row>
    <row r="508" spans="1:4">
      <c r="A508" s="76" t="s">
        <v>255</v>
      </c>
      <c r="B508" s="10">
        <v>26580</v>
      </c>
      <c r="C508" s="10">
        <v>7285</v>
      </c>
      <c r="D508" s="10">
        <v>11690000</v>
      </c>
    </row>
    <row r="511" spans="1:4">
      <c r="A511" s="152" t="s">
        <v>324</v>
      </c>
      <c r="B511" s="152"/>
      <c r="C511" s="152"/>
      <c r="D511" s="152"/>
    </row>
    <row r="512" spans="1:4">
      <c r="A512" s="10" t="s">
        <v>247</v>
      </c>
      <c r="B512" s="10" t="s">
        <v>248</v>
      </c>
      <c r="C512" s="10" t="s">
        <v>249</v>
      </c>
      <c r="D512" s="10" t="s">
        <v>250</v>
      </c>
    </row>
    <row r="513" spans="1:4">
      <c r="A513" s="75">
        <v>0.45833333333333298</v>
      </c>
      <c r="B513" s="10">
        <v>26500</v>
      </c>
      <c r="C513" s="10">
        <v>7320</v>
      </c>
      <c r="D513" s="10">
        <v>11770000</v>
      </c>
    </row>
    <row r="514" spans="1:4">
      <c r="A514" s="76" t="s">
        <v>251</v>
      </c>
      <c r="B514" s="10">
        <v>26650</v>
      </c>
      <c r="C514" s="10">
        <v>7320</v>
      </c>
      <c r="D514" s="10">
        <v>11830000</v>
      </c>
    </row>
    <row r="515" spans="1:4">
      <c r="A515" s="77" t="s">
        <v>252</v>
      </c>
      <c r="B515" s="10">
        <v>26620</v>
      </c>
      <c r="C515" s="10">
        <v>7320</v>
      </c>
      <c r="D515" s="10">
        <v>11820000</v>
      </c>
    </row>
    <row r="516" spans="1:4">
      <c r="A516" s="75" t="s">
        <v>253</v>
      </c>
      <c r="B516" s="10">
        <v>26660</v>
      </c>
      <c r="C516" s="10">
        <v>7320</v>
      </c>
      <c r="D516" s="10">
        <v>11820000</v>
      </c>
    </row>
    <row r="517" spans="1:4">
      <c r="A517" s="75">
        <v>0.625</v>
      </c>
      <c r="B517" s="10">
        <v>26660</v>
      </c>
      <c r="C517" s="10">
        <v>7320</v>
      </c>
      <c r="D517" s="10">
        <v>11850000</v>
      </c>
    </row>
    <row r="518" spans="1:4">
      <c r="A518" s="76" t="s">
        <v>254</v>
      </c>
      <c r="B518" s="10">
        <v>26660</v>
      </c>
      <c r="C518" s="10">
        <v>7320</v>
      </c>
      <c r="D518" s="10">
        <v>11950000</v>
      </c>
    </row>
    <row r="519" spans="1:4">
      <c r="A519" s="76" t="s">
        <v>255</v>
      </c>
      <c r="B519" s="10">
        <v>26660</v>
      </c>
      <c r="C519" s="10">
        <v>7320</v>
      </c>
      <c r="D519" s="10">
        <v>11920000</v>
      </c>
    </row>
    <row r="522" spans="1:4">
      <c r="A522" s="152" t="s">
        <v>325</v>
      </c>
      <c r="B522" s="152"/>
      <c r="C522" s="152"/>
      <c r="D522" s="152"/>
    </row>
    <row r="523" spans="1:4">
      <c r="A523" s="10" t="s">
        <v>247</v>
      </c>
      <c r="B523" s="10" t="s">
        <v>248</v>
      </c>
      <c r="C523" s="10" t="s">
        <v>249</v>
      </c>
      <c r="D523" s="10" t="s">
        <v>250</v>
      </c>
    </row>
    <row r="524" spans="1:4">
      <c r="A524" s="75">
        <v>0.45833333333333298</v>
      </c>
      <c r="B524" s="10">
        <v>27380</v>
      </c>
      <c r="C524" s="10">
        <v>7510</v>
      </c>
      <c r="D524" s="10">
        <v>12080000</v>
      </c>
    </row>
    <row r="525" spans="1:4">
      <c r="A525" s="76" t="s">
        <v>251</v>
      </c>
      <c r="B525" s="10">
        <v>27500</v>
      </c>
      <c r="C525" s="10">
        <v>7560</v>
      </c>
      <c r="D525" s="10">
        <v>12100000</v>
      </c>
    </row>
    <row r="526" spans="1:4">
      <c r="A526" s="77" t="s">
        <v>252</v>
      </c>
      <c r="B526" s="10">
        <v>27400</v>
      </c>
      <c r="C526" s="10">
        <v>7505</v>
      </c>
      <c r="D526" s="10">
        <v>12120000</v>
      </c>
    </row>
    <row r="527" spans="1:4">
      <c r="A527" s="75" t="s">
        <v>253</v>
      </c>
      <c r="B527" s="10">
        <v>27390</v>
      </c>
      <c r="C527" s="10">
        <v>7485</v>
      </c>
      <c r="D527" s="10">
        <v>12070000</v>
      </c>
    </row>
    <row r="528" spans="1:4">
      <c r="A528" s="75">
        <v>0.625</v>
      </c>
      <c r="B528" s="10">
        <v>27390</v>
      </c>
      <c r="C528" s="10">
        <v>7500</v>
      </c>
      <c r="D528" s="10">
        <v>12030000</v>
      </c>
    </row>
    <row r="529" spans="1:4">
      <c r="A529" s="76" t="s">
        <v>254</v>
      </c>
      <c r="B529" s="10">
        <v>27390</v>
      </c>
      <c r="C529" s="10">
        <v>7500</v>
      </c>
      <c r="D529" s="10">
        <v>12020000</v>
      </c>
    </row>
    <row r="530" spans="1:4">
      <c r="A530" s="76" t="s">
        <v>255</v>
      </c>
      <c r="B530" s="10">
        <v>27390</v>
      </c>
      <c r="C530" s="10">
        <v>7500</v>
      </c>
      <c r="D530" s="10">
        <v>11970000</v>
      </c>
    </row>
    <row r="533" spans="1:4">
      <c r="A533" s="152" t="s">
        <v>326</v>
      </c>
      <c r="B533" s="152"/>
      <c r="C533" s="152"/>
      <c r="D533" s="152"/>
    </row>
    <row r="534" spans="1:4">
      <c r="A534" s="10" t="s">
        <v>247</v>
      </c>
      <c r="B534" s="10" t="s">
        <v>248</v>
      </c>
      <c r="C534" s="10" t="s">
        <v>249</v>
      </c>
      <c r="D534" s="10" t="s">
        <v>250</v>
      </c>
    </row>
    <row r="535" spans="1:4">
      <c r="A535" s="75">
        <v>0.45833333333333298</v>
      </c>
      <c r="B535" s="10">
        <v>27400</v>
      </c>
      <c r="C535" s="10">
        <v>7500</v>
      </c>
      <c r="D535" s="10">
        <v>11950000</v>
      </c>
    </row>
    <row r="536" spans="1:4">
      <c r="A536" s="76" t="s">
        <v>251</v>
      </c>
      <c r="B536" s="10">
        <v>27360</v>
      </c>
      <c r="C536" s="10">
        <v>7500</v>
      </c>
      <c r="D536" s="10">
        <v>11960000</v>
      </c>
    </row>
    <row r="537" spans="1:4">
      <c r="A537" s="77" t="s">
        <v>252</v>
      </c>
      <c r="B537" s="10">
        <v>27410</v>
      </c>
      <c r="C537" s="10">
        <v>7490</v>
      </c>
      <c r="D537" s="10">
        <v>12030000</v>
      </c>
    </row>
    <row r="538" spans="1:4">
      <c r="A538" s="75" t="s">
        <v>253</v>
      </c>
      <c r="B538" s="10">
        <v>27460</v>
      </c>
      <c r="C538" s="10">
        <v>7530</v>
      </c>
      <c r="D538" s="10">
        <v>12090000</v>
      </c>
    </row>
    <row r="539" spans="1:4">
      <c r="A539" s="75">
        <v>0.625</v>
      </c>
      <c r="B539" s="10">
        <v>27460</v>
      </c>
      <c r="C539" s="10">
        <v>7520</v>
      </c>
      <c r="D539" s="10">
        <v>12180000</v>
      </c>
    </row>
    <row r="540" spans="1:4">
      <c r="A540" s="76" t="s">
        <v>254</v>
      </c>
      <c r="B540" s="10">
        <v>27460</v>
      </c>
      <c r="C540" s="10">
        <v>7520</v>
      </c>
      <c r="D540" s="10">
        <v>12180000</v>
      </c>
    </row>
    <row r="541" spans="1:4">
      <c r="A541" s="76" t="s">
        <v>255</v>
      </c>
      <c r="B541" s="10">
        <v>27460</v>
      </c>
      <c r="C541" s="10">
        <v>7520</v>
      </c>
      <c r="D541" s="10">
        <v>12160000</v>
      </c>
    </row>
    <row r="544" spans="1:4">
      <c r="A544" s="152" t="s">
        <v>327</v>
      </c>
      <c r="B544" s="152"/>
      <c r="C544" s="152"/>
      <c r="D544" s="152"/>
    </row>
    <row r="545" spans="1:6">
      <c r="A545" s="10" t="s">
        <v>247</v>
      </c>
      <c r="B545" s="10" t="s">
        <v>248</v>
      </c>
      <c r="C545" s="10" t="s">
        <v>249</v>
      </c>
      <c r="D545" s="10" t="s">
        <v>250</v>
      </c>
    </row>
    <row r="546" spans="1:6">
      <c r="A546" s="75">
        <v>0.45833333333333298</v>
      </c>
      <c r="B546" s="10">
        <v>27850</v>
      </c>
      <c r="C546" s="10">
        <v>7580</v>
      </c>
      <c r="D546" s="10">
        <v>12280000</v>
      </c>
    </row>
    <row r="547" spans="1:6">
      <c r="A547" s="76" t="s">
        <v>251</v>
      </c>
      <c r="B547" s="10">
        <v>27750</v>
      </c>
      <c r="C547" s="10">
        <v>7580</v>
      </c>
      <c r="D547" s="10">
        <v>12240000</v>
      </c>
    </row>
    <row r="548" spans="1:6">
      <c r="A548" s="77" t="s">
        <v>252</v>
      </c>
      <c r="B548" s="10">
        <v>27730</v>
      </c>
      <c r="C548" s="10">
        <v>7590</v>
      </c>
      <c r="D548" s="10">
        <v>12250000</v>
      </c>
    </row>
    <row r="549" spans="1:6">
      <c r="A549" s="75" t="s">
        <v>253</v>
      </c>
      <c r="B549" s="10">
        <v>27730</v>
      </c>
      <c r="C549" s="10">
        <v>7570</v>
      </c>
      <c r="D549" s="10">
        <v>12240000</v>
      </c>
    </row>
    <row r="550" spans="1:6">
      <c r="A550" s="75">
        <v>0.625</v>
      </c>
      <c r="B550" s="10">
        <v>27730</v>
      </c>
      <c r="C550" s="10">
        <v>7570</v>
      </c>
      <c r="D550" s="10">
        <v>12150000</v>
      </c>
    </row>
    <row r="551" spans="1:6">
      <c r="A551" s="76" t="s">
        <v>254</v>
      </c>
      <c r="B551" s="10">
        <v>27730</v>
      </c>
      <c r="C551" s="10">
        <v>7570</v>
      </c>
      <c r="D551" s="10">
        <v>12160000</v>
      </c>
    </row>
    <row r="552" spans="1:6">
      <c r="A552" s="76" t="s">
        <v>255</v>
      </c>
      <c r="B552" s="10">
        <v>27730</v>
      </c>
      <c r="C552" s="10">
        <v>7570</v>
      </c>
      <c r="D552" s="10">
        <v>12100000</v>
      </c>
    </row>
    <row r="555" spans="1:6">
      <c r="A555" s="152" t="s">
        <v>328</v>
      </c>
      <c r="B555" s="152"/>
      <c r="C555" s="152"/>
      <c r="D555" s="152"/>
    </row>
    <row r="556" spans="1:6">
      <c r="A556" s="10" t="s">
        <v>247</v>
      </c>
      <c r="B556" s="10" t="s">
        <v>248</v>
      </c>
      <c r="C556" s="10" t="s">
        <v>249</v>
      </c>
      <c r="D556" s="10" t="s">
        <v>250</v>
      </c>
    </row>
    <row r="557" spans="1:6">
      <c r="A557" s="75">
        <v>0.45833333333333298</v>
      </c>
      <c r="B557" s="10">
        <v>27650</v>
      </c>
      <c r="C557" s="10">
        <v>7560</v>
      </c>
      <c r="D557" s="10">
        <v>12110000</v>
      </c>
      <c r="E557">
        <v>12110000</v>
      </c>
      <c r="F557">
        <v>1055</v>
      </c>
    </row>
    <row r="558" spans="1:6">
      <c r="A558" s="76" t="s">
        <v>251</v>
      </c>
      <c r="B558" s="10">
        <v>27720</v>
      </c>
      <c r="C558" s="10">
        <v>7560</v>
      </c>
      <c r="D558" s="10">
        <v>12140000</v>
      </c>
      <c r="E558">
        <v>12140000</v>
      </c>
      <c r="F558">
        <v>1120</v>
      </c>
    </row>
    <row r="559" spans="1:6">
      <c r="A559" s="77" t="s">
        <v>252</v>
      </c>
      <c r="B559" s="10">
        <v>27830</v>
      </c>
      <c r="C559" s="10">
        <v>7580</v>
      </c>
      <c r="D559" s="10">
        <v>12150000</v>
      </c>
      <c r="E559">
        <v>12150000</v>
      </c>
      <c r="F559">
        <v>1310</v>
      </c>
    </row>
    <row r="560" spans="1:6">
      <c r="A560" s="75" t="s">
        <v>253</v>
      </c>
      <c r="B560" s="10">
        <v>27790</v>
      </c>
      <c r="C560" s="10">
        <v>7590</v>
      </c>
      <c r="D560" s="10">
        <v>12130000</v>
      </c>
      <c r="E560">
        <v>12130000</v>
      </c>
      <c r="F560">
        <v>1430</v>
      </c>
    </row>
    <row r="561" spans="1:6">
      <c r="A561" s="75">
        <v>0.625</v>
      </c>
      <c r="B561" s="10">
        <v>27740</v>
      </c>
      <c r="C561" s="10">
        <v>7610</v>
      </c>
      <c r="D561" s="10">
        <v>12160000</v>
      </c>
      <c r="E561">
        <v>12160000</v>
      </c>
      <c r="F561">
        <v>1555</v>
      </c>
    </row>
    <row r="562" spans="1:6">
      <c r="A562" s="76" t="s">
        <v>254</v>
      </c>
      <c r="B562" s="10">
        <v>27740</v>
      </c>
      <c r="C562" s="10">
        <v>7610</v>
      </c>
      <c r="D562" s="10">
        <v>12240000</v>
      </c>
      <c r="E562">
        <v>12240000</v>
      </c>
      <c r="F562" t="s">
        <v>329</v>
      </c>
    </row>
    <row r="563" spans="1:6">
      <c r="A563" s="76" t="s">
        <v>255</v>
      </c>
      <c r="B563" s="10">
        <v>27740</v>
      </c>
      <c r="C563" s="10">
        <v>7610</v>
      </c>
      <c r="D563" s="10">
        <v>12230000</v>
      </c>
      <c r="E563">
        <v>12230000</v>
      </c>
      <c r="F563" t="s">
        <v>330</v>
      </c>
    </row>
    <row r="567" spans="1:6">
      <c r="A567" s="152" t="s">
        <v>328</v>
      </c>
      <c r="B567" s="152"/>
      <c r="C567" s="152"/>
      <c r="D567" s="152"/>
    </row>
    <row r="568" spans="1:6">
      <c r="A568" s="10" t="s">
        <v>247</v>
      </c>
      <c r="B568" s="10" t="s">
        <v>248</v>
      </c>
      <c r="C568" s="10" t="s">
        <v>249</v>
      </c>
      <c r="D568" s="10" t="s">
        <v>250</v>
      </c>
    </row>
    <row r="569" spans="1:6">
      <c r="A569" s="75">
        <v>0.45833333333333298</v>
      </c>
      <c r="B569" s="10">
        <v>27920</v>
      </c>
      <c r="C569" s="10"/>
      <c r="D569" s="10"/>
      <c r="E569" s="80">
        <v>12000000</v>
      </c>
      <c r="F569" s="80">
        <v>1100</v>
      </c>
    </row>
    <row r="570" spans="1:6">
      <c r="A570" s="76" t="s">
        <v>251</v>
      </c>
      <c r="B570" s="10">
        <v>27920</v>
      </c>
      <c r="C570" s="10"/>
      <c r="D570" s="10"/>
      <c r="E570" s="80">
        <v>12020000</v>
      </c>
      <c r="F570" t="s">
        <v>331</v>
      </c>
    </row>
    <row r="571" spans="1:6">
      <c r="A571" s="77" t="s">
        <v>252</v>
      </c>
      <c r="B571" s="10"/>
      <c r="C571" s="10"/>
      <c r="D571" s="10"/>
      <c r="E571">
        <v>11970000</v>
      </c>
      <c r="F571" t="s">
        <v>332</v>
      </c>
    </row>
    <row r="572" spans="1:6">
      <c r="A572" s="75" t="s">
        <v>253</v>
      </c>
      <c r="B572" s="10"/>
      <c r="C572" s="10"/>
      <c r="D572" s="10"/>
    </row>
    <row r="573" spans="1:6">
      <c r="A573" s="75">
        <v>0.625</v>
      </c>
      <c r="B573" s="10"/>
      <c r="C573" s="10"/>
      <c r="D573" s="10"/>
      <c r="E573">
        <f>230000/E563</f>
        <v>1.8806214227309895E-2</v>
      </c>
    </row>
    <row r="574" spans="1:6">
      <c r="A574" s="76" t="s">
        <v>254</v>
      </c>
      <c r="B574" s="10"/>
      <c r="C574" s="10"/>
      <c r="D574" s="10"/>
    </row>
    <row r="575" spans="1:6">
      <c r="A575" s="76" t="s">
        <v>255</v>
      </c>
      <c r="B575" s="10"/>
      <c r="C575" s="10"/>
      <c r="D575" s="10"/>
    </row>
    <row r="579" spans="1:5">
      <c r="A579" s="152" t="s">
        <v>333</v>
      </c>
      <c r="B579" s="152"/>
      <c r="C579" s="152"/>
      <c r="D579" s="152"/>
    </row>
    <row r="580" spans="1:5">
      <c r="A580" s="10" t="s">
        <v>247</v>
      </c>
      <c r="B580" s="10" t="s">
        <v>248</v>
      </c>
      <c r="C580" s="10" t="s">
        <v>249</v>
      </c>
      <c r="D580" s="10" t="s">
        <v>250</v>
      </c>
    </row>
    <row r="581" spans="1:5">
      <c r="A581" s="75">
        <v>0.45833333333333298</v>
      </c>
      <c r="B581" s="10">
        <v>28270</v>
      </c>
      <c r="C581" s="10">
        <v>7750</v>
      </c>
      <c r="D581" s="10">
        <v>12300000</v>
      </c>
    </row>
    <row r="582" spans="1:5">
      <c r="A582" s="76" t="s">
        <v>251</v>
      </c>
      <c r="B582" s="10">
        <v>28320</v>
      </c>
      <c r="C582" s="10">
        <v>7720</v>
      </c>
      <c r="D582" s="10">
        <v>12330000</v>
      </c>
    </row>
    <row r="583" spans="1:5">
      <c r="A583" s="77" t="s">
        <v>252</v>
      </c>
      <c r="B583" s="10">
        <v>28170</v>
      </c>
      <c r="C583" s="10">
        <v>7670</v>
      </c>
      <c r="D583" s="10">
        <v>12220000</v>
      </c>
    </row>
    <row r="584" spans="1:5">
      <c r="A584" s="75" t="s">
        <v>253</v>
      </c>
      <c r="B584" s="10">
        <v>28260</v>
      </c>
      <c r="C584" s="10">
        <v>7700</v>
      </c>
      <c r="D584" s="10">
        <v>12220000</v>
      </c>
    </row>
    <row r="585" spans="1:5">
      <c r="A585" s="75">
        <v>0.625</v>
      </c>
      <c r="B585" s="10">
        <v>28260</v>
      </c>
      <c r="C585" s="10">
        <v>7685</v>
      </c>
      <c r="D585" s="10">
        <v>12190000</v>
      </c>
      <c r="E585" s="80"/>
    </row>
    <row r="586" spans="1:5">
      <c r="A586" s="76" t="s">
        <v>254</v>
      </c>
      <c r="B586" s="10">
        <v>28260</v>
      </c>
      <c r="C586" s="10">
        <v>7685</v>
      </c>
      <c r="D586" s="10">
        <v>12200000</v>
      </c>
      <c r="E586" s="81"/>
    </row>
    <row r="587" spans="1:5">
      <c r="A587" s="76" t="s">
        <v>255</v>
      </c>
      <c r="B587" s="10">
        <v>28260</v>
      </c>
      <c r="C587" s="10">
        <v>7685</v>
      </c>
      <c r="D587" s="10">
        <v>12210000</v>
      </c>
    </row>
    <row r="590" spans="1:5">
      <c r="A590" s="152" t="s">
        <v>334</v>
      </c>
      <c r="B590" s="152"/>
      <c r="C590" s="152"/>
      <c r="D590" s="152"/>
    </row>
    <row r="591" spans="1:5">
      <c r="A591" s="10" t="s">
        <v>247</v>
      </c>
      <c r="B591" s="10" t="s">
        <v>248</v>
      </c>
      <c r="C591" s="10" t="s">
        <v>249</v>
      </c>
      <c r="D591" s="10" t="s">
        <v>250</v>
      </c>
    </row>
    <row r="592" spans="1:5">
      <c r="A592" s="75">
        <v>0.45833333333333298</v>
      </c>
      <c r="B592" s="10">
        <v>28080</v>
      </c>
      <c r="C592" s="10">
        <v>7635</v>
      </c>
      <c r="D592" s="10">
        <v>12120000</v>
      </c>
    </row>
    <row r="593" spans="1:5">
      <c r="A593" s="76" t="s">
        <v>251</v>
      </c>
      <c r="B593" s="10">
        <v>27980</v>
      </c>
      <c r="C593" s="10">
        <v>7635</v>
      </c>
      <c r="D593" s="10">
        <v>12040000</v>
      </c>
    </row>
    <row r="594" spans="1:5">
      <c r="A594" s="77" t="s">
        <v>252</v>
      </c>
      <c r="B594" s="10">
        <v>27850</v>
      </c>
      <c r="C594" s="10">
        <v>7600</v>
      </c>
      <c r="D594" s="10">
        <v>12060000</v>
      </c>
    </row>
    <row r="595" spans="1:5">
      <c r="A595" s="75" t="s">
        <v>253</v>
      </c>
      <c r="B595" s="10">
        <v>27830</v>
      </c>
      <c r="C595" s="10">
        <v>7600</v>
      </c>
      <c r="D595" s="10">
        <v>12030000</v>
      </c>
    </row>
    <row r="596" spans="1:5">
      <c r="A596" s="75">
        <v>0.625</v>
      </c>
      <c r="B596" s="10">
        <v>27830</v>
      </c>
      <c r="C596" s="10">
        <v>7540</v>
      </c>
      <c r="D596" s="10">
        <v>12000000</v>
      </c>
      <c r="E596" s="80"/>
    </row>
    <row r="597" spans="1:5">
      <c r="A597" s="76" t="s">
        <v>254</v>
      </c>
      <c r="B597" s="10">
        <v>27830</v>
      </c>
      <c r="C597" s="10">
        <v>7540</v>
      </c>
      <c r="D597" s="10">
        <v>12000000</v>
      </c>
      <c r="E597" s="81"/>
    </row>
    <row r="598" spans="1:5">
      <c r="A598" s="76" t="s">
        <v>255</v>
      </c>
      <c r="B598" s="10">
        <v>27830</v>
      </c>
      <c r="C598" s="10">
        <v>7540</v>
      </c>
      <c r="D598" s="10">
        <v>12020000</v>
      </c>
    </row>
    <row r="601" spans="1:5">
      <c r="A601" s="152" t="s">
        <v>335</v>
      </c>
      <c r="B601" s="152"/>
      <c r="C601" s="152"/>
      <c r="D601" s="152"/>
    </row>
    <row r="602" spans="1:5">
      <c r="A602" s="10" t="s">
        <v>247</v>
      </c>
      <c r="B602" s="10" t="s">
        <v>248</v>
      </c>
      <c r="C602" s="10" t="s">
        <v>249</v>
      </c>
      <c r="D602" s="10" t="s">
        <v>250</v>
      </c>
    </row>
    <row r="603" spans="1:5">
      <c r="A603" s="75">
        <v>0.45833333333333298</v>
      </c>
      <c r="B603" s="10">
        <v>27230</v>
      </c>
      <c r="C603" s="10">
        <v>7440</v>
      </c>
      <c r="D603">
        <v>11830000</v>
      </c>
    </row>
    <row r="604" spans="1:5">
      <c r="A604" s="76" t="s">
        <v>251</v>
      </c>
      <c r="B604" s="10">
        <v>27150</v>
      </c>
      <c r="C604" s="10">
        <v>7435</v>
      </c>
      <c r="D604">
        <v>11850000</v>
      </c>
    </row>
    <row r="605" spans="1:5">
      <c r="A605" s="77" t="s">
        <v>252</v>
      </c>
      <c r="B605" s="10">
        <v>26900</v>
      </c>
      <c r="C605" s="10">
        <v>7380</v>
      </c>
      <c r="D605">
        <v>11780000</v>
      </c>
    </row>
    <row r="606" spans="1:5">
      <c r="A606" s="75" t="s">
        <v>253</v>
      </c>
      <c r="B606" s="10">
        <v>26900</v>
      </c>
      <c r="C606" s="10">
        <v>7420</v>
      </c>
      <c r="D606">
        <v>11800000</v>
      </c>
    </row>
    <row r="607" spans="1:5">
      <c r="A607" s="75">
        <v>0.625</v>
      </c>
      <c r="B607" s="10">
        <v>26900</v>
      </c>
      <c r="C607" s="10">
        <v>7420</v>
      </c>
      <c r="D607">
        <v>11850000</v>
      </c>
    </row>
    <row r="608" spans="1:5">
      <c r="A608" s="76" t="s">
        <v>254</v>
      </c>
      <c r="B608" s="10">
        <v>26900</v>
      </c>
      <c r="C608" s="10">
        <v>7420</v>
      </c>
      <c r="D608">
        <v>11820000</v>
      </c>
    </row>
    <row r="609" spans="1:4">
      <c r="A609" s="76" t="s">
        <v>255</v>
      </c>
      <c r="B609" s="10">
        <v>26900</v>
      </c>
      <c r="C609" s="10">
        <v>7420</v>
      </c>
      <c r="D609">
        <v>11850000</v>
      </c>
    </row>
    <row r="612" spans="1:4">
      <c r="A612" s="152" t="s">
        <v>336</v>
      </c>
      <c r="B612" s="152"/>
      <c r="C612" s="152"/>
      <c r="D612" s="152"/>
    </row>
    <row r="613" spans="1:4">
      <c r="A613" s="10" t="s">
        <v>247</v>
      </c>
      <c r="B613" s="10" t="s">
        <v>248</v>
      </c>
      <c r="C613" s="10" t="s">
        <v>249</v>
      </c>
      <c r="D613" s="10" t="s">
        <v>250</v>
      </c>
    </row>
    <row r="614" spans="1:4">
      <c r="A614" s="75">
        <v>0.45833333333333298</v>
      </c>
      <c r="B614" s="10">
        <v>27370</v>
      </c>
      <c r="C614" s="10">
        <v>7500</v>
      </c>
      <c r="D614">
        <v>11850000</v>
      </c>
    </row>
    <row r="615" spans="1:4">
      <c r="A615" s="76" t="s">
        <v>251</v>
      </c>
      <c r="B615" s="10">
        <v>27310</v>
      </c>
      <c r="C615" s="10">
        <v>7490</v>
      </c>
      <c r="D615">
        <v>12010000</v>
      </c>
    </row>
    <row r="616" spans="1:4">
      <c r="A616" s="77" t="s">
        <v>252</v>
      </c>
      <c r="B616" s="10">
        <v>27260</v>
      </c>
      <c r="C616" s="10">
        <v>7445</v>
      </c>
      <c r="D616">
        <v>11990000</v>
      </c>
    </row>
    <row r="617" spans="1:4">
      <c r="A617" s="75" t="s">
        <v>253</v>
      </c>
      <c r="B617" s="10">
        <v>27250</v>
      </c>
      <c r="C617" s="10">
        <v>7440</v>
      </c>
      <c r="D617">
        <v>11980000</v>
      </c>
    </row>
    <row r="618" spans="1:4">
      <c r="A618" s="75">
        <v>0.625</v>
      </c>
      <c r="B618" s="10">
        <v>27250</v>
      </c>
      <c r="C618" s="10">
        <v>7440</v>
      </c>
      <c r="D618">
        <v>11960000</v>
      </c>
    </row>
    <row r="619" spans="1:4">
      <c r="A619" s="76" t="s">
        <v>254</v>
      </c>
      <c r="B619" s="10">
        <v>27250</v>
      </c>
      <c r="C619" s="10">
        <v>7440</v>
      </c>
      <c r="D619">
        <v>11980000</v>
      </c>
    </row>
    <row r="620" spans="1:4">
      <c r="A620" s="76" t="s">
        <v>255</v>
      </c>
      <c r="B620" s="10">
        <v>27250</v>
      </c>
      <c r="C620" s="10">
        <v>7440</v>
      </c>
      <c r="D620">
        <v>11990000</v>
      </c>
    </row>
    <row r="623" spans="1:4">
      <c r="A623" s="152" t="s">
        <v>337</v>
      </c>
      <c r="B623" s="152"/>
      <c r="C623" s="152"/>
      <c r="D623" s="152"/>
    </row>
    <row r="624" spans="1:4">
      <c r="A624" s="10" t="s">
        <v>247</v>
      </c>
      <c r="B624" s="10" t="s">
        <v>248</v>
      </c>
      <c r="C624" s="10" t="s">
        <v>249</v>
      </c>
      <c r="D624" s="10" t="s">
        <v>250</v>
      </c>
    </row>
    <row r="625" spans="1:6">
      <c r="A625" s="75">
        <v>0.45833333333333298</v>
      </c>
      <c r="B625" s="10">
        <v>27320</v>
      </c>
      <c r="C625" s="10">
        <v>7410</v>
      </c>
      <c r="D625">
        <v>12020000</v>
      </c>
    </row>
    <row r="626" spans="1:6">
      <c r="A626" s="76" t="s">
        <v>251</v>
      </c>
      <c r="B626" s="10">
        <v>27240</v>
      </c>
      <c r="C626" s="10">
        <v>7410</v>
      </c>
      <c r="D626">
        <v>11970000</v>
      </c>
    </row>
    <row r="627" spans="1:6">
      <c r="A627" s="77" t="s">
        <v>252</v>
      </c>
      <c r="B627" s="10">
        <v>27170</v>
      </c>
      <c r="C627" s="10">
        <v>7410</v>
      </c>
      <c r="D627">
        <v>11930000</v>
      </c>
    </row>
    <row r="628" spans="1:6">
      <c r="A628" s="75" t="s">
        <v>253</v>
      </c>
      <c r="B628" s="10">
        <v>27130</v>
      </c>
      <c r="C628" s="10">
        <v>7400</v>
      </c>
      <c r="D628">
        <v>11880000</v>
      </c>
    </row>
    <row r="629" spans="1:6">
      <c r="A629" s="75">
        <v>0.625</v>
      </c>
      <c r="B629" s="10">
        <v>27130</v>
      </c>
      <c r="C629" s="10">
        <v>7375</v>
      </c>
      <c r="D629">
        <v>11890000</v>
      </c>
    </row>
    <row r="630" spans="1:6">
      <c r="A630" s="76" t="s">
        <v>254</v>
      </c>
      <c r="B630" s="10">
        <v>27130</v>
      </c>
      <c r="C630" s="10">
        <v>7375</v>
      </c>
      <c r="D630">
        <v>11890000</v>
      </c>
    </row>
    <row r="631" spans="1:6">
      <c r="A631" s="76" t="s">
        <v>255</v>
      </c>
      <c r="B631" s="10">
        <v>27130</v>
      </c>
      <c r="C631" s="10">
        <v>7375</v>
      </c>
      <c r="D631">
        <v>11890000</v>
      </c>
    </row>
    <row r="635" spans="1:6">
      <c r="A635" s="152" t="s">
        <v>338</v>
      </c>
      <c r="B635" s="152"/>
      <c r="C635" s="152"/>
      <c r="D635" s="152"/>
    </row>
    <row r="636" spans="1:6">
      <c r="A636" s="10" t="s">
        <v>247</v>
      </c>
      <c r="B636" s="10" t="s">
        <v>248</v>
      </c>
      <c r="C636" s="10" t="s">
        <v>249</v>
      </c>
      <c r="D636" s="10" t="s">
        <v>250</v>
      </c>
    </row>
    <row r="637" spans="1:6">
      <c r="A637" s="75">
        <v>0.45833333333333298</v>
      </c>
      <c r="B637" s="10">
        <v>27200</v>
      </c>
      <c r="C637" s="10"/>
      <c r="E637">
        <v>12000000</v>
      </c>
      <c r="F637" t="s">
        <v>339</v>
      </c>
    </row>
    <row r="638" spans="1:6">
      <c r="A638" s="76" t="s">
        <v>251</v>
      </c>
      <c r="B638" s="10">
        <v>27190</v>
      </c>
      <c r="C638" s="10"/>
    </row>
    <row r="639" spans="1:6">
      <c r="A639" s="77" t="s">
        <v>252</v>
      </c>
      <c r="B639" s="10"/>
      <c r="C639" s="10"/>
    </row>
    <row r="640" spans="1:6">
      <c r="A640" s="75" t="s">
        <v>253</v>
      </c>
      <c r="B640" s="10"/>
      <c r="C640" s="10"/>
    </row>
    <row r="641" spans="1:4">
      <c r="A641" s="75">
        <v>0.625</v>
      </c>
      <c r="B641" s="10"/>
      <c r="C641" s="10"/>
    </row>
    <row r="642" spans="1:4">
      <c r="A642" s="76" t="s">
        <v>254</v>
      </c>
      <c r="B642" s="10"/>
      <c r="C642" s="10"/>
    </row>
    <row r="643" spans="1:4">
      <c r="A643" s="76" t="s">
        <v>255</v>
      </c>
      <c r="B643" s="10"/>
      <c r="C643" s="10"/>
    </row>
    <row r="647" spans="1:4">
      <c r="A647" s="152" t="s">
        <v>340</v>
      </c>
      <c r="B647" s="152"/>
      <c r="C647" s="152"/>
      <c r="D647" s="152"/>
    </row>
    <row r="648" spans="1:4">
      <c r="A648" s="10" t="s">
        <v>247</v>
      </c>
      <c r="B648" s="10" t="s">
        <v>248</v>
      </c>
      <c r="C648" s="10" t="s">
        <v>249</v>
      </c>
      <c r="D648" s="10" t="s">
        <v>250</v>
      </c>
    </row>
    <row r="649" spans="1:4">
      <c r="A649" s="75">
        <v>0.45833333333333298</v>
      </c>
      <c r="B649" s="10">
        <v>27170</v>
      </c>
      <c r="C649" s="10">
        <v>7420</v>
      </c>
      <c r="D649">
        <v>11960000</v>
      </c>
    </row>
    <row r="650" spans="1:4">
      <c r="A650" s="76" t="s">
        <v>251</v>
      </c>
      <c r="B650" s="10">
        <v>27150</v>
      </c>
      <c r="C650" s="10">
        <v>7420</v>
      </c>
      <c r="D650">
        <v>11930000</v>
      </c>
    </row>
    <row r="651" spans="1:4">
      <c r="A651" s="77" t="s">
        <v>252</v>
      </c>
      <c r="B651" s="10">
        <v>27180</v>
      </c>
      <c r="C651" s="10">
        <v>7410</v>
      </c>
      <c r="D651">
        <v>11990000</v>
      </c>
    </row>
    <row r="652" spans="1:4">
      <c r="A652" s="75" t="s">
        <v>253</v>
      </c>
      <c r="B652" s="10">
        <v>27050</v>
      </c>
      <c r="C652" s="10">
        <v>7405</v>
      </c>
      <c r="D652">
        <v>12010000</v>
      </c>
    </row>
    <row r="653" spans="1:4">
      <c r="A653" s="75">
        <v>0.625</v>
      </c>
      <c r="B653" s="10">
        <v>27050</v>
      </c>
      <c r="C653" s="10">
        <v>7390</v>
      </c>
      <c r="D653">
        <v>11900000</v>
      </c>
    </row>
    <row r="654" spans="1:4">
      <c r="A654" s="76" t="s">
        <v>254</v>
      </c>
      <c r="B654" s="10">
        <v>27050</v>
      </c>
      <c r="C654" s="10">
        <v>7390</v>
      </c>
      <c r="D654">
        <v>11980000</v>
      </c>
    </row>
    <row r="655" spans="1:4">
      <c r="A655" s="76" t="s">
        <v>255</v>
      </c>
      <c r="B655" s="10">
        <v>27050</v>
      </c>
      <c r="C655" s="10">
        <v>7390</v>
      </c>
      <c r="D655">
        <v>11990000</v>
      </c>
    </row>
    <row r="658" spans="1:4">
      <c r="A658" s="152" t="s">
        <v>341</v>
      </c>
      <c r="B658" s="152"/>
      <c r="C658" s="152"/>
      <c r="D658" s="152"/>
    </row>
    <row r="659" spans="1:4">
      <c r="A659" s="10" t="s">
        <v>247</v>
      </c>
      <c r="B659" s="10" t="s">
        <v>248</v>
      </c>
      <c r="C659" s="10" t="s">
        <v>249</v>
      </c>
      <c r="D659" s="10" t="s">
        <v>250</v>
      </c>
    </row>
    <row r="660" spans="1:4">
      <c r="A660" s="75">
        <v>0.45833333333333298</v>
      </c>
      <c r="B660" s="10">
        <v>27170</v>
      </c>
      <c r="C660" s="10">
        <v>7400</v>
      </c>
      <c r="D660">
        <v>12090000</v>
      </c>
    </row>
    <row r="661" spans="1:4">
      <c r="A661" s="76" t="s">
        <v>251</v>
      </c>
      <c r="B661" s="10">
        <v>27210</v>
      </c>
      <c r="C661" s="10">
        <v>7400</v>
      </c>
      <c r="D661">
        <v>12090000</v>
      </c>
    </row>
    <row r="662" spans="1:4">
      <c r="A662" s="77" t="s">
        <v>252</v>
      </c>
      <c r="B662" s="10">
        <v>27220</v>
      </c>
      <c r="C662" s="10">
        <v>7420</v>
      </c>
      <c r="D662">
        <v>12150000</v>
      </c>
    </row>
    <row r="663" spans="1:4">
      <c r="A663" s="75" t="s">
        <v>253</v>
      </c>
      <c r="B663" s="10">
        <v>27190</v>
      </c>
      <c r="C663" s="10">
        <v>7410</v>
      </c>
      <c r="D663">
        <v>12140000</v>
      </c>
    </row>
    <row r="664" spans="1:4">
      <c r="A664" s="75">
        <v>0.625</v>
      </c>
      <c r="B664" s="10">
        <v>27190</v>
      </c>
      <c r="C664" s="10">
        <v>7410</v>
      </c>
      <c r="D664">
        <v>12110000</v>
      </c>
    </row>
    <row r="665" spans="1:4">
      <c r="A665" s="76" t="s">
        <v>254</v>
      </c>
      <c r="B665" s="10">
        <v>27190</v>
      </c>
      <c r="C665" s="10">
        <v>7410</v>
      </c>
      <c r="D665">
        <v>12090000</v>
      </c>
    </row>
    <row r="666" spans="1:4">
      <c r="A666" s="76" t="s">
        <v>255</v>
      </c>
      <c r="B666" s="10">
        <v>27190</v>
      </c>
      <c r="C666" s="10">
        <v>7410</v>
      </c>
      <c r="D666">
        <v>12130000</v>
      </c>
    </row>
    <row r="670" spans="1:4">
      <c r="A670" s="152" t="s">
        <v>342</v>
      </c>
      <c r="B670" s="152"/>
      <c r="C670" s="152"/>
      <c r="D670" s="152"/>
    </row>
    <row r="671" spans="1:4">
      <c r="A671" s="10" t="s">
        <v>247</v>
      </c>
      <c r="B671" s="10" t="s">
        <v>248</v>
      </c>
      <c r="C671" s="10" t="s">
        <v>249</v>
      </c>
      <c r="D671" s="10" t="s">
        <v>250</v>
      </c>
    </row>
    <row r="672" spans="1:4">
      <c r="A672" s="75">
        <v>0.45833333333333298</v>
      </c>
      <c r="B672" s="10">
        <v>27070</v>
      </c>
      <c r="C672" s="10">
        <v>7400</v>
      </c>
      <c r="D672">
        <v>12080000</v>
      </c>
    </row>
    <row r="673" spans="1:4">
      <c r="A673" s="76" t="s">
        <v>251</v>
      </c>
      <c r="B673" s="10">
        <v>27050</v>
      </c>
      <c r="C673" s="10">
        <v>7400</v>
      </c>
      <c r="D673">
        <v>12070000</v>
      </c>
    </row>
    <row r="674" spans="1:4">
      <c r="A674" s="77" t="s">
        <v>252</v>
      </c>
      <c r="B674" s="10">
        <v>27000</v>
      </c>
      <c r="C674" s="10">
        <v>7370</v>
      </c>
      <c r="D674">
        <v>12040000</v>
      </c>
    </row>
    <row r="675" spans="1:4">
      <c r="A675" s="75" t="s">
        <v>253</v>
      </c>
      <c r="B675" s="10">
        <v>27020</v>
      </c>
      <c r="C675" s="10">
        <v>7390</v>
      </c>
      <c r="D675">
        <v>12030000</v>
      </c>
    </row>
    <row r="676" spans="1:4">
      <c r="A676" s="75">
        <v>0.625</v>
      </c>
      <c r="B676" s="10">
        <v>27010</v>
      </c>
      <c r="C676" s="10">
        <v>7385</v>
      </c>
      <c r="D676">
        <v>12060000</v>
      </c>
    </row>
    <row r="677" spans="1:4">
      <c r="A677" s="76" t="s">
        <v>254</v>
      </c>
      <c r="B677" s="10">
        <v>27010</v>
      </c>
      <c r="C677" s="10">
        <v>7385</v>
      </c>
      <c r="D677">
        <v>12030000</v>
      </c>
    </row>
    <row r="678" spans="1:4">
      <c r="A678" s="76" t="s">
        <v>255</v>
      </c>
      <c r="B678" s="10">
        <v>27010</v>
      </c>
      <c r="C678" s="10">
        <v>7385</v>
      </c>
      <c r="D678">
        <v>12050000</v>
      </c>
    </row>
    <row r="681" spans="1:4">
      <c r="A681" s="152" t="s">
        <v>343</v>
      </c>
      <c r="B681" s="152"/>
      <c r="C681" s="152"/>
      <c r="D681" s="152"/>
    </row>
    <row r="682" spans="1:4">
      <c r="A682" s="10" t="s">
        <v>247</v>
      </c>
      <c r="B682" s="10" t="s">
        <v>248</v>
      </c>
      <c r="C682" s="10" t="s">
        <v>249</v>
      </c>
      <c r="D682" s="10" t="s">
        <v>250</v>
      </c>
    </row>
    <row r="683" spans="1:4">
      <c r="A683" s="75">
        <v>0.45833333333333298</v>
      </c>
      <c r="B683" s="10">
        <v>27180</v>
      </c>
      <c r="C683" s="10">
        <v>7410</v>
      </c>
      <c r="D683">
        <v>12100000</v>
      </c>
    </row>
    <row r="684" spans="1:4">
      <c r="A684" s="76" t="s">
        <v>251</v>
      </c>
      <c r="B684" s="10">
        <v>27170</v>
      </c>
      <c r="C684" s="10">
        <v>7405</v>
      </c>
      <c r="D684">
        <v>12110000</v>
      </c>
    </row>
    <row r="685" spans="1:4">
      <c r="A685" s="77" t="s">
        <v>252</v>
      </c>
      <c r="B685" s="10">
        <v>27080</v>
      </c>
      <c r="C685" s="10">
        <v>7420</v>
      </c>
      <c r="D685">
        <v>12080000</v>
      </c>
    </row>
    <row r="686" spans="1:4">
      <c r="A686" s="75" t="s">
        <v>253</v>
      </c>
      <c r="B686" s="10">
        <v>27120</v>
      </c>
      <c r="C686" s="10">
        <v>7410</v>
      </c>
      <c r="D686">
        <v>12080000</v>
      </c>
    </row>
    <row r="687" spans="1:4">
      <c r="A687" s="75">
        <v>0.625</v>
      </c>
      <c r="B687" s="10">
        <v>27120</v>
      </c>
      <c r="C687" s="10">
        <v>7410</v>
      </c>
      <c r="D687">
        <v>12080000</v>
      </c>
    </row>
    <row r="688" spans="1:4">
      <c r="A688" s="76" t="s">
        <v>254</v>
      </c>
      <c r="B688" s="10">
        <v>27120</v>
      </c>
      <c r="C688" s="10">
        <v>7410</v>
      </c>
      <c r="D688">
        <v>12110000</v>
      </c>
    </row>
    <row r="689" spans="1:4">
      <c r="A689" s="76" t="s">
        <v>255</v>
      </c>
      <c r="B689" s="10">
        <v>27120</v>
      </c>
      <c r="C689" s="10">
        <v>7410</v>
      </c>
      <c r="D689">
        <v>12140000</v>
      </c>
    </row>
    <row r="692" spans="1:4">
      <c r="A692" s="152" t="s">
        <v>344</v>
      </c>
      <c r="B692" s="152"/>
      <c r="C692" s="152"/>
      <c r="D692" s="152"/>
    </row>
    <row r="693" spans="1:4">
      <c r="A693" s="10" t="s">
        <v>247</v>
      </c>
      <c r="B693" s="10" t="s">
        <v>248</v>
      </c>
      <c r="C693" s="10" t="s">
        <v>249</v>
      </c>
      <c r="D693" s="10" t="s">
        <v>250</v>
      </c>
    </row>
    <row r="694" spans="1:4">
      <c r="A694" s="75">
        <v>0.45833333333333298</v>
      </c>
      <c r="B694" s="10">
        <v>27570</v>
      </c>
      <c r="C694" s="10">
        <v>7530</v>
      </c>
      <c r="D694">
        <v>12190000</v>
      </c>
    </row>
    <row r="695" spans="1:4">
      <c r="A695" s="76" t="s">
        <v>251</v>
      </c>
      <c r="B695" s="10">
        <v>27510</v>
      </c>
      <c r="C695" s="10">
        <v>7530</v>
      </c>
      <c r="D695">
        <v>12160000</v>
      </c>
    </row>
    <row r="696" spans="1:4">
      <c r="A696" s="77" t="s">
        <v>252</v>
      </c>
      <c r="B696" s="10">
        <v>27560</v>
      </c>
      <c r="C696" s="10">
        <v>7540</v>
      </c>
      <c r="D696">
        <v>12190000</v>
      </c>
    </row>
    <row r="697" spans="1:4">
      <c r="A697" s="75" t="s">
        <v>253</v>
      </c>
      <c r="B697" s="10">
        <v>27530</v>
      </c>
      <c r="C697" s="10">
        <v>7545</v>
      </c>
      <c r="D697">
        <v>12180000</v>
      </c>
    </row>
    <row r="698" spans="1:4">
      <c r="A698" s="75">
        <v>0.625</v>
      </c>
      <c r="B698" s="10">
        <v>27530</v>
      </c>
      <c r="C698" s="10">
        <v>7550</v>
      </c>
      <c r="D698">
        <v>12190000</v>
      </c>
    </row>
    <row r="699" spans="1:4">
      <c r="A699" s="76" t="s">
        <v>254</v>
      </c>
      <c r="B699" s="10">
        <v>27530</v>
      </c>
      <c r="C699" s="10">
        <v>7570</v>
      </c>
      <c r="D699">
        <v>12210000</v>
      </c>
    </row>
    <row r="700" spans="1:4">
      <c r="A700" s="76" t="s">
        <v>255</v>
      </c>
      <c r="B700" s="10">
        <v>27530</v>
      </c>
      <c r="C700" s="10">
        <v>7570</v>
      </c>
      <c r="D700">
        <v>12200000</v>
      </c>
    </row>
    <row r="703" spans="1:4">
      <c r="A703" s="152" t="s">
        <v>345</v>
      </c>
      <c r="B703" s="152"/>
      <c r="C703" s="152"/>
      <c r="D703" s="152"/>
    </row>
    <row r="704" spans="1:4">
      <c r="A704" s="10" t="s">
        <v>247</v>
      </c>
      <c r="B704" s="10" t="s">
        <v>248</v>
      </c>
      <c r="C704" s="10" t="s">
        <v>249</v>
      </c>
      <c r="D704" s="10" t="s">
        <v>250</v>
      </c>
    </row>
    <row r="705" spans="1:6">
      <c r="A705" s="75">
        <v>0.45833333333333298</v>
      </c>
      <c r="B705" s="10">
        <v>27660</v>
      </c>
      <c r="C705" s="10"/>
      <c r="E705">
        <v>12050000</v>
      </c>
      <c r="F705" t="s">
        <v>346</v>
      </c>
    </row>
    <row r="706" spans="1:6">
      <c r="A706" s="76" t="s">
        <v>251</v>
      </c>
      <c r="B706" s="10">
        <v>27670</v>
      </c>
      <c r="C706" s="10"/>
      <c r="E706">
        <v>12060000</v>
      </c>
      <c r="F706" t="s">
        <v>347</v>
      </c>
    </row>
    <row r="707" spans="1:6">
      <c r="A707" s="77" t="s">
        <v>252</v>
      </c>
      <c r="B707" s="10">
        <v>27620</v>
      </c>
      <c r="C707" s="10"/>
    </row>
    <row r="708" spans="1:6">
      <c r="A708" s="75" t="s">
        <v>253</v>
      </c>
      <c r="B708" s="10">
        <v>27820</v>
      </c>
      <c r="C708" s="10"/>
    </row>
    <row r="709" spans="1:6">
      <c r="A709" s="75">
        <v>0.625</v>
      </c>
      <c r="B709" s="10"/>
      <c r="C709" s="10"/>
    </row>
    <row r="710" spans="1:6">
      <c r="A710" s="76" t="s">
        <v>254</v>
      </c>
      <c r="B710" s="10"/>
      <c r="C710" s="10"/>
    </row>
    <row r="711" spans="1:6">
      <c r="A711" s="76" t="s">
        <v>255</v>
      </c>
      <c r="B711" s="10"/>
      <c r="C711" s="10"/>
    </row>
    <row r="715" spans="1:6">
      <c r="A715" s="152" t="s">
        <v>348</v>
      </c>
      <c r="B715" s="152"/>
      <c r="C715" s="152"/>
      <c r="D715" s="152"/>
    </row>
    <row r="716" spans="1:6">
      <c r="A716" s="10" t="s">
        <v>247</v>
      </c>
      <c r="B716" s="10" t="s">
        <v>248</v>
      </c>
      <c r="C716" s="10" t="s">
        <v>249</v>
      </c>
      <c r="D716" s="10" t="s">
        <v>250</v>
      </c>
    </row>
    <row r="717" spans="1:6">
      <c r="A717" s="75">
        <v>0.45833333333333298</v>
      </c>
      <c r="B717" s="10">
        <v>27800</v>
      </c>
      <c r="C717" s="10">
        <v>7600</v>
      </c>
      <c r="D717">
        <v>12040000</v>
      </c>
    </row>
    <row r="718" spans="1:6">
      <c r="A718" s="76" t="s">
        <v>251</v>
      </c>
      <c r="B718" s="10">
        <v>27780</v>
      </c>
      <c r="C718" s="10">
        <v>7595</v>
      </c>
      <c r="D718">
        <v>12040000</v>
      </c>
    </row>
    <row r="719" spans="1:6">
      <c r="A719" s="77" t="s">
        <v>252</v>
      </c>
      <c r="B719" s="10">
        <v>27750</v>
      </c>
      <c r="C719" s="10">
        <v>7585</v>
      </c>
      <c r="D719">
        <v>12070000</v>
      </c>
    </row>
    <row r="720" spans="1:6">
      <c r="A720" s="75" t="s">
        <v>253</v>
      </c>
      <c r="B720" s="10">
        <v>27830</v>
      </c>
      <c r="C720" s="10">
        <v>7595</v>
      </c>
      <c r="D720">
        <v>12050000</v>
      </c>
    </row>
    <row r="721" spans="1:4">
      <c r="A721" s="75">
        <v>0.625</v>
      </c>
      <c r="B721" s="10">
        <v>27830</v>
      </c>
      <c r="C721" s="10">
        <v>7590</v>
      </c>
      <c r="D721">
        <v>12080000</v>
      </c>
    </row>
    <row r="722" spans="1:4">
      <c r="A722" s="76" t="s">
        <v>254</v>
      </c>
      <c r="B722" s="10">
        <v>27830</v>
      </c>
      <c r="C722" s="10">
        <v>7590</v>
      </c>
      <c r="D722">
        <v>12080000</v>
      </c>
    </row>
    <row r="723" spans="1:4">
      <c r="A723" s="76" t="s">
        <v>255</v>
      </c>
      <c r="B723" s="10">
        <v>27830</v>
      </c>
      <c r="C723" s="10">
        <v>7590</v>
      </c>
      <c r="D723">
        <v>12020000</v>
      </c>
    </row>
    <row r="726" spans="1:4">
      <c r="A726" s="152" t="s">
        <v>349</v>
      </c>
      <c r="B726" s="152"/>
      <c r="C726" s="152"/>
      <c r="D726" s="152"/>
    </row>
    <row r="727" spans="1:4">
      <c r="A727" s="10" t="s">
        <v>247</v>
      </c>
      <c r="B727" s="10" t="s">
        <v>248</v>
      </c>
      <c r="C727" s="10" t="s">
        <v>249</v>
      </c>
      <c r="D727" s="10" t="s">
        <v>250</v>
      </c>
    </row>
    <row r="728" spans="1:4">
      <c r="A728" s="75">
        <v>0.45833333333333298</v>
      </c>
      <c r="B728" s="10">
        <v>27630</v>
      </c>
      <c r="C728" s="10">
        <v>7560</v>
      </c>
      <c r="D728">
        <v>11960000</v>
      </c>
    </row>
    <row r="729" spans="1:4">
      <c r="A729" s="76" t="s">
        <v>251</v>
      </c>
      <c r="B729" s="10">
        <v>27550</v>
      </c>
      <c r="C729" s="10">
        <v>7550</v>
      </c>
      <c r="D729">
        <v>11990000</v>
      </c>
    </row>
    <row r="730" spans="1:4">
      <c r="A730" s="77" t="s">
        <v>252</v>
      </c>
      <c r="B730" s="10">
        <v>27560</v>
      </c>
      <c r="C730" s="10">
        <v>7545</v>
      </c>
      <c r="D730">
        <v>12010000</v>
      </c>
    </row>
    <row r="731" spans="1:4">
      <c r="A731" s="75" t="s">
        <v>253</v>
      </c>
      <c r="B731" s="10">
        <v>27500</v>
      </c>
      <c r="C731" s="10">
        <v>7525</v>
      </c>
      <c r="D731">
        <v>11990000</v>
      </c>
    </row>
    <row r="732" spans="1:4">
      <c r="A732" s="75">
        <v>0.625</v>
      </c>
      <c r="B732" s="10">
        <v>27500</v>
      </c>
      <c r="C732" s="10">
        <v>7530</v>
      </c>
      <c r="D732">
        <v>12020000</v>
      </c>
    </row>
    <row r="733" spans="1:4">
      <c r="A733" s="76" t="s">
        <v>254</v>
      </c>
      <c r="B733" s="10">
        <v>27500</v>
      </c>
      <c r="C733" s="10">
        <v>7535</v>
      </c>
      <c r="D733">
        <v>12000000</v>
      </c>
    </row>
    <row r="734" spans="1:4">
      <c r="A734" s="76" t="s">
        <v>255</v>
      </c>
      <c r="B734" s="10">
        <v>27500</v>
      </c>
      <c r="C734" s="10">
        <v>7535</v>
      </c>
      <c r="D734">
        <v>11990000</v>
      </c>
    </row>
    <row r="738" spans="1:4">
      <c r="A738" s="152" t="s">
        <v>350</v>
      </c>
      <c r="B738" s="152"/>
      <c r="C738" s="152"/>
      <c r="D738" s="152"/>
    </row>
    <row r="739" spans="1:4">
      <c r="A739" s="10" t="s">
        <v>247</v>
      </c>
      <c r="B739" s="10" t="s">
        <v>248</v>
      </c>
      <c r="C739" s="10" t="s">
        <v>249</v>
      </c>
      <c r="D739" s="10" t="s">
        <v>250</v>
      </c>
    </row>
    <row r="740" spans="1:4">
      <c r="A740" s="75">
        <v>0.45833333333333298</v>
      </c>
      <c r="B740" s="10">
        <v>26970</v>
      </c>
      <c r="C740" s="10">
        <v>7400</v>
      </c>
      <c r="D740">
        <v>11770000</v>
      </c>
    </row>
    <row r="741" spans="1:4">
      <c r="A741" s="76" t="s">
        <v>251</v>
      </c>
      <c r="B741" s="10">
        <v>26900</v>
      </c>
      <c r="C741" s="10">
        <v>7390</v>
      </c>
      <c r="D741">
        <v>11780000</v>
      </c>
    </row>
    <row r="742" spans="1:4">
      <c r="A742" s="77" t="s">
        <v>252</v>
      </c>
      <c r="B742" s="10">
        <v>26990</v>
      </c>
      <c r="C742" s="10">
        <v>7430</v>
      </c>
      <c r="D742">
        <v>11790000</v>
      </c>
    </row>
    <row r="743" spans="1:4">
      <c r="A743" s="75" t="s">
        <v>253</v>
      </c>
      <c r="B743" s="10">
        <v>27100</v>
      </c>
      <c r="C743" s="10">
        <v>7430</v>
      </c>
      <c r="D743">
        <v>11810000</v>
      </c>
    </row>
    <row r="744" spans="1:4">
      <c r="A744" s="75">
        <v>0.625</v>
      </c>
      <c r="B744" s="10">
        <v>27100</v>
      </c>
      <c r="C744" s="10">
        <v>7450</v>
      </c>
      <c r="D744">
        <v>11840000</v>
      </c>
    </row>
    <row r="745" spans="1:4">
      <c r="A745" s="76" t="s">
        <v>254</v>
      </c>
      <c r="B745" s="10">
        <v>27100</v>
      </c>
      <c r="C745" s="10">
        <v>7450</v>
      </c>
      <c r="D745">
        <v>11840000</v>
      </c>
    </row>
    <row r="746" spans="1:4">
      <c r="A746" s="76" t="s">
        <v>255</v>
      </c>
      <c r="B746" s="10">
        <v>27100</v>
      </c>
      <c r="C746" s="10">
        <v>7450</v>
      </c>
      <c r="D746">
        <v>11850000</v>
      </c>
    </row>
    <row r="749" spans="1:4">
      <c r="A749" s="152" t="s">
        <v>351</v>
      </c>
      <c r="B749" s="152"/>
      <c r="C749" s="152"/>
      <c r="D749" s="152"/>
    </row>
    <row r="750" spans="1:4">
      <c r="A750" s="10" t="s">
        <v>247</v>
      </c>
      <c r="B750" s="10" t="s">
        <v>248</v>
      </c>
      <c r="C750" s="10" t="s">
        <v>249</v>
      </c>
      <c r="D750" s="10" t="s">
        <v>250</v>
      </c>
    </row>
    <row r="751" spans="1:4">
      <c r="A751" s="75">
        <v>0.45833333333333298</v>
      </c>
      <c r="B751" s="10">
        <v>27410</v>
      </c>
      <c r="C751" s="10">
        <v>7520</v>
      </c>
      <c r="D751">
        <v>11890000</v>
      </c>
    </row>
    <row r="752" spans="1:4">
      <c r="A752" s="76" t="s">
        <v>251</v>
      </c>
      <c r="B752" s="10">
        <v>27390</v>
      </c>
      <c r="C752" s="10">
        <v>7520</v>
      </c>
      <c r="D752">
        <v>11880000</v>
      </c>
    </row>
    <row r="753" spans="1:4">
      <c r="A753" s="77" t="s">
        <v>252</v>
      </c>
      <c r="B753" s="10">
        <v>27420</v>
      </c>
      <c r="C753" s="10">
        <v>7500</v>
      </c>
      <c r="D753">
        <v>11870000</v>
      </c>
    </row>
    <row r="754" spans="1:4">
      <c r="A754" s="75" t="s">
        <v>253</v>
      </c>
      <c r="B754" s="10">
        <v>27370</v>
      </c>
      <c r="C754" s="10">
        <v>7510</v>
      </c>
      <c r="D754">
        <v>11830000</v>
      </c>
    </row>
    <row r="755" spans="1:4">
      <c r="A755" s="75">
        <v>0.625</v>
      </c>
      <c r="B755" s="10">
        <v>27370</v>
      </c>
      <c r="C755" s="10">
        <v>7520</v>
      </c>
      <c r="D755">
        <v>11840000</v>
      </c>
    </row>
    <row r="756" spans="1:4">
      <c r="A756" s="76" t="s">
        <v>254</v>
      </c>
      <c r="B756" s="10">
        <v>27370</v>
      </c>
      <c r="C756" s="10">
        <v>7535</v>
      </c>
      <c r="D756">
        <v>11940000</v>
      </c>
    </row>
    <row r="757" spans="1:4">
      <c r="A757" s="76" t="s">
        <v>255</v>
      </c>
      <c r="B757" s="10">
        <v>27370</v>
      </c>
      <c r="C757" s="10">
        <v>7535</v>
      </c>
      <c r="D757">
        <v>11930000</v>
      </c>
    </row>
    <row r="760" spans="1:4">
      <c r="A760" s="152" t="s">
        <v>352</v>
      </c>
      <c r="B760" s="152"/>
      <c r="C760" s="152"/>
      <c r="D760" s="152"/>
    </row>
    <row r="761" spans="1:4">
      <c r="A761" s="10" t="s">
        <v>247</v>
      </c>
      <c r="B761" s="10" t="s">
        <v>248</v>
      </c>
      <c r="C761" s="10" t="s">
        <v>249</v>
      </c>
      <c r="D761" s="10" t="s">
        <v>250</v>
      </c>
    </row>
    <row r="762" spans="1:4">
      <c r="A762" s="75">
        <v>0.45833333333333298</v>
      </c>
      <c r="B762" s="10">
        <v>27250</v>
      </c>
      <c r="C762" s="10">
        <v>7540</v>
      </c>
      <c r="D762">
        <v>11900000</v>
      </c>
    </row>
    <row r="763" spans="1:4">
      <c r="A763" s="76" t="s">
        <v>251</v>
      </c>
      <c r="B763" s="10">
        <v>27380</v>
      </c>
      <c r="C763" s="10">
        <v>7520</v>
      </c>
      <c r="D763">
        <v>11880000</v>
      </c>
    </row>
    <row r="764" spans="1:4">
      <c r="A764" s="77" t="s">
        <v>252</v>
      </c>
      <c r="B764" s="10">
        <v>27350</v>
      </c>
      <c r="C764" s="10">
        <v>7495</v>
      </c>
      <c r="D764">
        <v>11890000</v>
      </c>
    </row>
    <row r="765" spans="1:4">
      <c r="A765" s="75" t="s">
        <v>253</v>
      </c>
      <c r="B765" s="10">
        <v>27320</v>
      </c>
      <c r="C765" s="10">
        <v>7485</v>
      </c>
      <c r="D765">
        <v>11840000</v>
      </c>
    </row>
    <row r="766" spans="1:4">
      <c r="A766" s="75">
        <v>0.625</v>
      </c>
      <c r="B766" s="10">
        <v>27320</v>
      </c>
      <c r="C766" s="10">
        <v>7485</v>
      </c>
      <c r="D766">
        <v>11830000</v>
      </c>
    </row>
    <row r="767" spans="1:4">
      <c r="A767" s="76" t="s">
        <v>254</v>
      </c>
      <c r="B767" s="10">
        <v>27320</v>
      </c>
      <c r="C767" s="10">
        <v>7485</v>
      </c>
      <c r="D767">
        <v>11840000</v>
      </c>
    </row>
    <row r="768" spans="1:4">
      <c r="A768" s="76" t="s">
        <v>255</v>
      </c>
      <c r="B768" s="10">
        <v>27320</v>
      </c>
      <c r="C768" s="10">
        <v>7485</v>
      </c>
      <c r="D768">
        <v>11840000</v>
      </c>
    </row>
    <row r="772" spans="1:6">
      <c r="A772" s="152" t="s">
        <v>353</v>
      </c>
      <c r="B772" s="152"/>
      <c r="C772" s="152"/>
      <c r="D772" s="152"/>
    </row>
    <row r="773" spans="1:6">
      <c r="A773" s="10" t="s">
        <v>247</v>
      </c>
      <c r="B773" s="10" t="s">
        <v>248</v>
      </c>
      <c r="C773" s="10" t="s">
        <v>249</v>
      </c>
      <c r="D773" s="10" t="s">
        <v>250</v>
      </c>
    </row>
    <row r="774" spans="1:6">
      <c r="A774" s="75">
        <v>0.45833333333333298</v>
      </c>
      <c r="B774" s="10"/>
      <c r="C774" s="10"/>
      <c r="E774">
        <v>11720000</v>
      </c>
      <c r="F774">
        <v>1047</v>
      </c>
    </row>
    <row r="775" spans="1:6">
      <c r="A775" s="76" t="s">
        <v>251</v>
      </c>
      <c r="B775" s="10"/>
      <c r="C775" s="10"/>
      <c r="E775">
        <v>11730000</v>
      </c>
      <c r="F775">
        <v>1202</v>
      </c>
    </row>
    <row r="776" spans="1:6">
      <c r="A776" s="77" t="s">
        <v>252</v>
      </c>
      <c r="B776" s="10"/>
      <c r="C776" s="10"/>
      <c r="E776">
        <v>11710000</v>
      </c>
      <c r="F776" t="s">
        <v>354</v>
      </c>
    </row>
    <row r="777" spans="1:6">
      <c r="A777" s="75" t="s">
        <v>253</v>
      </c>
      <c r="B777" s="10"/>
      <c r="C777" s="10"/>
    </row>
    <row r="778" spans="1:6">
      <c r="A778" s="75">
        <v>0.625</v>
      </c>
      <c r="B778" s="10"/>
      <c r="C778" s="10"/>
    </row>
    <row r="779" spans="1:6">
      <c r="A779" s="76" t="s">
        <v>254</v>
      </c>
      <c r="B779" s="10"/>
      <c r="C779" s="10"/>
    </row>
    <row r="780" spans="1:6">
      <c r="A780" s="76" t="s">
        <v>255</v>
      </c>
      <c r="B780" s="10"/>
      <c r="C780" s="10"/>
    </row>
    <row r="784" spans="1:6">
      <c r="A784" s="152" t="s">
        <v>355</v>
      </c>
      <c r="B784" s="152"/>
      <c r="C784" s="152"/>
      <c r="D784" s="152"/>
    </row>
    <row r="785" spans="1:5">
      <c r="A785" s="10" t="s">
        <v>247</v>
      </c>
      <c r="B785" s="10" t="s">
        <v>248</v>
      </c>
      <c r="C785" s="10" t="s">
        <v>249</v>
      </c>
      <c r="D785" s="10" t="s">
        <v>250</v>
      </c>
    </row>
    <row r="786" spans="1:5">
      <c r="A786" s="75">
        <v>0.45833333333333298</v>
      </c>
      <c r="B786" s="10">
        <v>27470</v>
      </c>
      <c r="C786" s="10">
        <v>7520</v>
      </c>
      <c r="D786">
        <v>11700000</v>
      </c>
      <c r="E786">
        <v>11700000</v>
      </c>
    </row>
    <row r="787" spans="1:5">
      <c r="A787" s="76" t="s">
        <v>251</v>
      </c>
      <c r="B787" s="10">
        <v>27530</v>
      </c>
      <c r="C787" s="10">
        <v>7520</v>
      </c>
      <c r="D787">
        <v>11710000</v>
      </c>
      <c r="E787">
        <v>11710000</v>
      </c>
    </row>
    <row r="788" spans="1:5">
      <c r="A788" s="77" t="s">
        <v>252</v>
      </c>
      <c r="B788" s="10">
        <v>27610</v>
      </c>
      <c r="C788" s="10">
        <v>7515</v>
      </c>
      <c r="D788">
        <v>11740000</v>
      </c>
      <c r="E788">
        <v>11740000</v>
      </c>
    </row>
    <row r="789" spans="1:5">
      <c r="A789" s="75" t="s">
        <v>253</v>
      </c>
      <c r="B789" s="10">
        <v>27600</v>
      </c>
      <c r="C789" s="10">
        <v>7525</v>
      </c>
      <c r="D789">
        <v>11750000</v>
      </c>
      <c r="E789">
        <v>11750000</v>
      </c>
    </row>
    <row r="790" spans="1:5">
      <c r="A790" s="75">
        <v>0.625</v>
      </c>
      <c r="B790" s="10">
        <v>27620</v>
      </c>
      <c r="C790" s="10">
        <v>7500</v>
      </c>
      <c r="D790">
        <v>11770000</v>
      </c>
      <c r="E790">
        <v>11770000</v>
      </c>
    </row>
    <row r="791" spans="1:5">
      <c r="A791" s="76" t="s">
        <v>254</v>
      </c>
      <c r="B791" s="10">
        <v>27600</v>
      </c>
      <c r="C791" s="10">
        <v>7495</v>
      </c>
      <c r="D791">
        <v>11730000</v>
      </c>
      <c r="E791">
        <v>11730000</v>
      </c>
    </row>
    <row r="792" spans="1:5">
      <c r="A792" s="76" t="s">
        <v>255</v>
      </c>
      <c r="B792" s="10">
        <v>27600</v>
      </c>
      <c r="C792" s="10">
        <v>7495</v>
      </c>
      <c r="D792">
        <v>11710000</v>
      </c>
      <c r="E792">
        <v>11710000</v>
      </c>
    </row>
    <row r="796" spans="1:5">
      <c r="A796" s="152" t="s">
        <v>356</v>
      </c>
      <c r="B796" s="152"/>
      <c r="C796" s="152"/>
      <c r="D796" s="152"/>
    </row>
    <row r="797" spans="1:5">
      <c r="A797" s="10" t="s">
        <v>247</v>
      </c>
      <c r="B797" s="10" t="s">
        <v>248</v>
      </c>
      <c r="C797" s="10" t="s">
        <v>249</v>
      </c>
      <c r="D797" s="10" t="s">
        <v>250</v>
      </c>
    </row>
    <row r="798" spans="1:5">
      <c r="A798" s="75">
        <v>0.45833333333333298</v>
      </c>
      <c r="B798" s="10">
        <v>27300</v>
      </c>
      <c r="C798" s="10">
        <v>7500</v>
      </c>
      <c r="D798">
        <v>11620000</v>
      </c>
    </row>
    <row r="799" spans="1:5">
      <c r="A799" s="76" t="s">
        <v>251</v>
      </c>
      <c r="B799" s="10">
        <v>27340</v>
      </c>
      <c r="C799" s="10">
        <v>7490</v>
      </c>
      <c r="D799">
        <v>11670000</v>
      </c>
    </row>
    <row r="800" spans="1:5">
      <c r="A800" s="77" t="s">
        <v>252</v>
      </c>
      <c r="B800" s="10">
        <v>27280</v>
      </c>
      <c r="C800" s="10">
        <v>7475</v>
      </c>
      <c r="D800">
        <v>11650000</v>
      </c>
    </row>
    <row r="801" spans="1:8">
      <c r="A801" s="75" t="s">
        <v>253</v>
      </c>
      <c r="B801" s="10">
        <v>27350</v>
      </c>
      <c r="C801" s="10">
        <v>7485</v>
      </c>
      <c r="D801">
        <v>11710000</v>
      </c>
      <c r="H801">
        <f>H805*C804</f>
        <v>27510.77</v>
      </c>
    </row>
    <row r="802" spans="1:8">
      <c r="A802" s="75">
        <v>0.625</v>
      </c>
      <c r="B802" s="10">
        <v>27340</v>
      </c>
      <c r="C802" s="10">
        <v>7490</v>
      </c>
      <c r="D802">
        <v>11710000</v>
      </c>
      <c r="E802" s="82"/>
    </row>
    <row r="803" spans="1:8">
      <c r="A803" s="76" t="s">
        <v>254</v>
      </c>
      <c r="B803" s="10">
        <v>27340</v>
      </c>
      <c r="C803" s="10">
        <v>7490</v>
      </c>
      <c r="D803" s="82">
        <v>11720000</v>
      </c>
      <c r="E803" s="82"/>
    </row>
    <row r="804" spans="1:8">
      <c r="A804" s="76" t="s">
        <v>255</v>
      </c>
      <c r="B804" s="10">
        <v>27340</v>
      </c>
      <c r="C804" s="10">
        <v>7490</v>
      </c>
      <c r="D804" s="82">
        <v>11720000</v>
      </c>
    </row>
    <row r="805" spans="1:8">
      <c r="E805">
        <f>7470*3.673</f>
        <v>27437.31</v>
      </c>
      <c r="H805">
        <v>3.673</v>
      </c>
    </row>
    <row r="809" spans="1:8">
      <c r="A809" s="152" t="s">
        <v>357</v>
      </c>
      <c r="B809" s="152"/>
      <c r="C809" s="152"/>
      <c r="D809" s="152"/>
    </row>
    <row r="810" spans="1:8">
      <c r="A810" s="10" t="s">
        <v>247</v>
      </c>
      <c r="B810" s="10" t="s">
        <v>248</v>
      </c>
      <c r="C810" s="10" t="s">
        <v>249</v>
      </c>
      <c r="D810" s="10" t="s">
        <v>250</v>
      </c>
    </row>
    <row r="811" spans="1:8">
      <c r="A811" s="75">
        <v>0.45833333333333298</v>
      </c>
      <c r="B811" s="10">
        <v>27400</v>
      </c>
      <c r="C811" s="10">
        <v>7480</v>
      </c>
      <c r="D811">
        <v>11730000</v>
      </c>
    </row>
    <row r="812" spans="1:8">
      <c r="A812" s="76" t="s">
        <v>251</v>
      </c>
      <c r="B812" s="10">
        <v>27380</v>
      </c>
      <c r="C812" s="10">
        <v>7475</v>
      </c>
      <c r="D812">
        <v>11720000</v>
      </c>
    </row>
    <row r="813" spans="1:8">
      <c r="A813" s="77" t="s">
        <v>252</v>
      </c>
      <c r="B813" s="10">
        <v>27370</v>
      </c>
      <c r="C813" s="10">
        <v>7470</v>
      </c>
      <c r="D813">
        <v>11730000</v>
      </c>
    </row>
    <row r="814" spans="1:8">
      <c r="A814" s="75" t="s">
        <v>253</v>
      </c>
      <c r="B814" s="10">
        <v>27380</v>
      </c>
      <c r="C814" s="10">
        <v>7480</v>
      </c>
      <c r="D814">
        <v>11720000</v>
      </c>
    </row>
    <row r="815" spans="1:8">
      <c r="A815" s="75">
        <v>0.625</v>
      </c>
      <c r="B815" s="10">
        <v>27380</v>
      </c>
      <c r="C815" s="10">
        <v>7465</v>
      </c>
      <c r="D815" s="82">
        <v>11720000</v>
      </c>
      <c r="E815" s="82"/>
    </row>
    <row r="816" spans="1:8">
      <c r="A816" s="76" t="s">
        <v>254</v>
      </c>
      <c r="B816" s="10">
        <v>27380</v>
      </c>
      <c r="C816" s="10">
        <v>7465</v>
      </c>
      <c r="D816" s="82">
        <v>11610000</v>
      </c>
      <c r="E816" s="82"/>
    </row>
    <row r="817" spans="1:5">
      <c r="A817" s="76" t="s">
        <v>255</v>
      </c>
      <c r="B817" s="10">
        <v>27380</v>
      </c>
      <c r="C817" s="10">
        <v>7465</v>
      </c>
      <c r="D817" s="82">
        <v>11630000</v>
      </c>
      <c r="E817" s="82"/>
    </row>
    <row r="820" spans="1:5">
      <c r="A820" s="152" t="s">
        <v>358</v>
      </c>
      <c r="B820" s="152"/>
      <c r="C820" s="152"/>
      <c r="D820" s="152"/>
    </row>
    <row r="821" spans="1:5">
      <c r="A821" s="10" t="s">
        <v>247</v>
      </c>
      <c r="B821" s="10" t="s">
        <v>248</v>
      </c>
      <c r="C821" s="10" t="s">
        <v>249</v>
      </c>
      <c r="D821" s="10" t="s">
        <v>250</v>
      </c>
    </row>
    <row r="822" spans="1:5">
      <c r="A822" s="75">
        <v>0.45833333333333298</v>
      </c>
      <c r="B822" s="10">
        <v>27400</v>
      </c>
      <c r="C822" s="10">
        <v>7510</v>
      </c>
      <c r="D822">
        <v>11650000</v>
      </c>
    </row>
    <row r="823" spans="1:5">
      <c r="A823" s="76" t="s">
        <v>251</v>
      </c>
      <c r="B823" s="10">
        <v>27540</v>
      </c>
      <c r="C823" s="10">
        <v>7500</v>
      </c>
      <c r="D823">
        <v>11650000</v>
      </c>
    </row>
    <row r="824" spans="1:5">
      <c r="A824" s="77" t="s">
        <v>252</v>
      </c>
      <c r="B824" s="10">
        <v>27550</v>
      </c>
      <c r="C824" s="10">
        <v>7510</v>
      </c>
      <c r="D824">
        <v>11700000</v>
      </c>
    </row>
    <row r="825" spans="1:5">
      <c r="A825" s="75" t="s">
        <v>253</v>
      </c>
      <c r="B825" s="10">
        <v>27540</v>
      </c>
      <c r="C825" s="10">
        <v>7520</v>
      </c>
      <c r="D825" s="82">
        <v>11700000</v>
      </c>
    </row>
    <row r="826" spans="1:5">
      <c r="A826" s="75">
        <v>0.625</v>
      </c>
      <c r="B826" s="10">
        <v>27540</v>
      </c>
      <c r="C826" s="10">
        <v>7510</v>
      </c>
      <c r="D826" s="82">
        <v>11700000</v>
      </c>
    </row>
    <row r="827" spans="1:5">
      <c r="A827" s="76" t="s">
        <v>254</v>
      </c>
      <c r="B827" s="10">
        <v>27540</v>
      </c>
      <c r="C827" s="10">
        <v>7510</v>
      </c>
      <c r="D827" s="82">
        <v>11650000</v>
      </c>
    </row>
    <row r="828" spans="1:5">
      <c r="A828" s="76" t="s">
        <v>255</v>
      </c>
      <c r="B828" s="10">
        <v>27350</v>
      </c>
      <c r="C828" s="10">
        <v>7510</v>
      </c>
      <c r="D828" s="82">
        <v>11650000</v>
      </c>
    </row>
    <row r="831" spans="1:5">
      <c r="A831" s="152" t="s">
        <v>359</v>
      </c>
      <c r="B831" s="152"/>
      <c r="C831" s="152"/>
      <c r="D831" s="152"/>
    </row>
    <row r="832" spans="1:5">
      <c r="A832" s="10" t="s">
        <v>247</v>
      </c>
      <c r="B832" s="10" t="s">
        <v>248</v>
      </c>
      <c r="C832" s="10" t="s">
        <v>249</v>
      </c>
      <c r="D832" s="10" t="s">
        <v>250</v>
      </c>
    </row>
    <row r="833" spans="1:6">
      <c r="A833" s="75">
        <v>0.45833333333333298</v>
      </c>
      <c r="B833" s="10">
        <v>27500</v>
      </c>
      <c r="C833" s="10">
        <v>7520</v>
      </c>
      <c r="D833">
        <v>11700000</v>
      </c>
    </row>
    <row r="834" spans="1:6">
      <c r="A834" s="76" t="s">
        <v>251</v>
      </c>
      <c r="B834" s="10">
        <v>27550</v>
      </c>
      <c r="C834" s="10">
        <v>7515</v>
      </c>
      <c r="D834">
        <v>11730000</v>
      </c>
    </row>
    <row r="835" spans="1:6">
      <c r="A835" s="77" t="s">
        <v>252</v>
      </c>
      <c r="B835" s="10">
        <v>27520</v>
      </c>
      <c r="C835" s="10">
        <v>7515</v>
      </c>
      <c r="D835">
        <v>11750000</v>
      </c>
    </row>
    <row r="836" spans="1:6">
      <c r="A836" s="75" t="s">
        <v>253</v>
      </c>
      <c r="B836" s="10">
        <v>27520</v>
      </c>
      <c r="C836" s="10">
        <v>7510</v>
      </c>
      <c r="D836">
        <v>11750000</v>
      </c>
    </row>
    <row r="837" spans="1:6">
      <c r="A837" s="75">
        <v>0.625</v>
      </c>
      <c r="B837" s="10">
        <v>27520</v>
      </c>
      <c r="C837" s="10">
        <v>7505</v>
      </c>
      <c r="D837" s="82">
        <v>11750000</v>
      </c>
    </row>
    <row r="838" spans="1:6">
      <c r="A838" s="76" t="s">
        <v>254</v>
      </c>
      <c r="B838" s="10">
        <v>27520</v>
      </c>
      <c r="C838" s="10">
        <v>7505</v>
      </c>
      <c r="D838" s="82">
        <v>11730000</v>
      </c>
    </row>
    <row r="839" spans="1:6">
      <c r="A839" s="76" t="s">
        <v>255</v>
      </c>
      <c r="B839" s="10">
        <v>27520</v>
      </c>
      <c r="C839" s="10">
        <v>7505</v>
      </c>
      <c r="D839" s="82">
        <v>11730000</v>
      </c>
    </row>
    <row r="842" spans="1:6">
      <c r="A842" s="152" t="s">
        <v>360</v>
      </c>
      <c r="B842" s="152"/>
      <c r="C842" s="152"/>
      <c r="D842" s="152"/>
    </row>
    <row r="843" spans="1:6">
      <c r="A843" s="10" t="s">
        <v>247</v>
      </c>
      <c r="B843" s="10" t="s">
        <v>248</v>
      </c>
      <c r="C843" s="10" t="s">
        <v>249</v>
      </c>
      <c r="D843" s="10" t="s">
        <v>250</v>
      </c>
    </row>
    <row r="844" spans="1:6">
      <c r="A844" s="75">
        <v>0.45833333333333298</v>
      </c>
      <c r="B844" s="10"/>
      <c r="C844" s="10"/>
      <c r="E844">
        <v>11750000</v>
      </c>
      <c r="F844" t="s">
        <v>299</v>
      </c>
    </row>
    <row r="845" spans="1:6">
      <c r="A845" s="76" t="s">
        <v>251</v>
      </c>
      <c r="B845" s="10"/>
      <c r="C845" s="10"/>
    </row>
    <row r="846" spans="1:6">
      <c r="A846" s="77" t="s">
        <v>252</v>
      </c>
      <c r="B846" s="10"/>
      <c r="C846" s="10"/>
    </row>
    <row r="847" spans="1:6">
      <c r="A847" s="75" t="s">
        <v>253</v>
      </c>
      <c r="B847" s="10"/>
      <c r="C847" s="10"/>
    </row>
    <row r="848" spans="1:6">
      <c r="A848" s="75">
        <v>0.625</v>
      </c>
      <c r="B848" s="10"/>
      <c r="C848" s="10"/>
      <c r="D848" s="82"/>
    </row>
    <row r="849" spans="1:7">
      <c r="A849" s="76" t="s">
        <v>254</v>
      </c>
      <c r="B849" s="10"/>
      <c r="C849" s="10"/>
      <c r="D849" s="82"/>
    </row>
    <row r="850" spans="1:7">
      <c r="A850" s="76" t="s">
        <v>255</v>
      </c>
      <c r="B850" s="10"/>
      <c r="C850" s="10"/>
      <c r="D850" s="82"/>
    </row>
    <row r="851" spans="1:7">
      <c r="E851">
        <v>3.673</v>
      </c>
    </row>
    <row r="852" spans="1:7">
      <c r="E852" t="e">
        <f>E851*#REF!</f>
        <v>#REF!</v>
      </c>
    </row>
    <row r="854" spans="1:7">
      <c r="A854" s="152" t="s">
        <v>361</v>
      </c>
      <c r="B854" s="152"/>
      <c r="C854" s="152"/>
      <c r="D854" s="152"/>
    </row>
    <row r="855" spans="1:7">
      <c r="A855" s="10" t="s">
        <v>247</v>
      </c>
      <c r="B855" s="10" t="s">
        <v>248</v>
      </c>
      <c r="C855" s="10" t="s">
        <v>249</v>
      </c>
      <c r="D855" s="10" t="s">
        <v>362</v>
      </c>
    </row>
    <row r="856" spans="1:7">
      <c r="A856" s="75">
        <v>0.45833333333333298</v>
      </c>
      <c r="B856" s="10">
        <v>27680</v>
      </c>
      <c r="C856" s="10">
        <v>7560</v>
      </c>
      <c r="D856">
        <v>11760000</v>
      </c>
      <c r="G856">
        <v>11867000</v>
      </c>
    </row>
    <row r="857" spans="1:7">
      <c r="A857" s="76" t="s">
        <v>251</v>
      </c>
      <c r="B857" s="10">
        <v>27600</v>
      </c>
      <c r="C857" s="10">
        <v>7550</v>
      </c>
      <c r="D857">
        <v>11760000</v>
      </c>
    </row>
    <row r="858" spans="1:7">
      <c r="A858" s="77" t="s">
        <v>252</v>
      </c>
      <c r="B858" s="10">
        <v>27540</v>
      </c>
      <c r="C858" s="10">
        <v>7545</v>
      </c>
      <c r="D858">
        <v>11720000</v>
      </c>
    </row>
    <row r="859" spans="1:7">
      <c r="A859" s="75" t="s">
        <v>253</v>
      </c>
      <c r="B859" s="10">
        <v>27540</v>
      </c>
      <c r="C859" s="10">
        <v>7535</v>
      </c>
      <c r="D859">
        <v>11700000</v>
      </c>
    </row>
    <row r="860" spans="1:7">
      <c r="A860" s="75">
        <v>0.625</v>
      </c>
      <c r="B860" s="10">
        <v>27540</v>
      </c>
      <c r="C860" s="10">
        <v>7535</v>
      </c>
      <c r="D860">
        <v>11750000</v>
      </c>
    </row>
    <row r="861" spans="1:7">
      <c r="A861" s="76" t="s">
        <v>254</v>
      </c>
      <c r="B861" s="10">
        <v>27540</v>
      </c>
      <c r="C861" s="10">
        <v>7535</v>
      </c>
      <c r="D861">
        <v>11750000</v>
      </c>
    </row>
    <row r="865" spans="1:7">
      <c r="A865" s="152" t="s">
        <v>363</v>
      </c>
      <c r="B865" s="152"/>
      <c r="C865" s="152"/>
      <c r="D865" s="152"/>
    </row>
    <row r="866" spans="1:7">
      <c r="A866" s="10" t="s">
        <v>247</v>
      </c>
      <c r="B866" s="10" t="s">
        <v>248</v>
      </c>
      <c r="C866" s="10" t="s">
        <v>249</v>
      </c>
      <c r="D866" s="10" t="s">
        <v>250</v>
      </c>
    </row>
    <row r="867" spans="1:7">
      <c r="A867" s="75">
        <v>0.45833333333333298</v>
      </c>
      <c r="B867" s="10">
        <v>27600</v>
      </c>
      <c r="C867" s="10">
        <v>7560</v>
      </c>
      <c r="D867">
        <v>11750000</v>
      </c>
    </row>
    <row r="868" spans="1:7">
      <c r="A868" s="76" t="s">
        <v>251</v>
      </c>
      <c r="B868" s="10">
        <v>27470</v>
      </c>
      <c r="C868" s="10">
        <v>7550</v>
      </c>
      <c r="D868">
        <v>11760000</v>
      </c>
    </row>
    <row r="869" spans="1:7">
      <c r="A869" s="77" t="s">
        <v>252</v>
      </c>
      <c r="B869" s="10">
        <v>27620</v>
      </c>
      <c r="C869" s="10">
        <v>7560</v>
      </c>
      <c r="D869">
        <v>11760000</v>
      </c>
    </row>
    <row r="870" spans="1:7">
      <c r="A870" s="75" t="s">
        <v>253</v>
      </c>
      <c r="B870" s="10">
        <v>27650</v>
      </c>
      <c r="C870" s="10">
        <v>7560</v>
      </c>
      <c r="D870">
        <v>11770000</v>
      </c>
    </row>
    <row r="871" spans="1:7">
      <c r="A871" s="75">
        <v>0.625</v>
      </c>
      <c r="B871" s="10">
        <v>27650</v>
      </c>
      <c r="C871" s="10">
        <v>7560</v>
      </c>
      <c r="D871" s="82">
        <v>11770000</v>
      </c>
      <c r="E871" s="82"/>
    </row>
    <row r="872" spans="1:7">
      <c r="A872" s="76" t="s">
        <v>254</v>
      </c>
      <c r="B872" s="10">
        <v>27650</v>
      </c>
      <c r="C872" s="10">
        <v>7560</v>
      </c>
      <c r="D872" s="82">
        <v>11770000</v>
      </c>
      <c r="E872" s="82"/>
    </row>
    <row r="873" spans="1:7">
      <c r="D873" s="82">
        <v>11800000</v>
      </c>
    </row>
    <row r="876" spans="1:7">
      <c r="A876" s="152" t="s">
        <v>364</v>
      </c>
      <c r="B876" s="152"/>
      <c r="C876" s="152"/>
      <c r="D876" s="152"/>
      <c r="G876">
        <v>11888000</v>
      </c>
    </row>
    <row r="877" spans="1:7">
      <c r="A877" s="10" t="s">
        <v>247</v>
      </c>
      <c r="B877" s="10" t="s">
        <v>248</v>
      </c>
      <c r="C877" s="10" t="s">
        <v>249</v>
      </c>
      <c r="D877" s="10" t="s">
        <v>250</v>
      </c>
    </row>
    <row r="878" spans="1:7">
      <c r="A878" s="75">
        <v>0.45833333333333298</v>
      </c>
      <c r="B878" s="10">
        <v>27850</v>
      </c>
      <c r="C878" s="10">
        <v>7620</v>
      </c>
      <c r="D878" s="10"/>
      <c r="E878">
        <v>11800000</v>
      </c>
      <c r="F878" t="s">
        <v>365</v>
      </c>
      <c r="G878">
        <v>11970000</v>
      </c>
    </row>
    <row r="879" spans="1:7">
      <c r="A879" s="76" t="s">
        <v>251</v>
      </c>
      <c r="B879" s="10">
        <v>27850</v>
      </c>
      <c r="C879" s="10">
        <v>7620</v>
      </c>
      <c r="D879" s="10"/>
      <c r="E879">
        <v>11820000</v>
      </c>
      <c r="F879" t="s">
        <v>366</v>
      </c>
      <c r="G879">
        <v>11965000</v>
      </c>
    </row>
    <row r="880" spans="1:7">
      <c r="A880" s="77" t="s">
        <v>252</v>
      </c>
      <c r="B880" s="10">
        <v>27900</v>
      </c>
      <c r="C880" s="10">
        <v>7620</v>
      </c>
      <c r="D880" s="10"/>
      <c r="E880">
        <v>11790000</v>
      </c>
      <c r="F880" t="s">
        <v>354</v>
      </c>
      <c r="G880">
        <v>11960000</v>
      </c>
    </row>
    <row r="881" spans="1:4">
      <c r="A881" s="75" t="s">
        <v>253</v>
      </c>
      <c r="B881" s="10">
        <v>27900</v>
      </c>
      <c r="C881" s="10">
        <v>7650</v>
      </c>
      <c r="D881" s="10"/>
    </row>
    <row r="882" spans="1:4">
      <c r="A882" s="83">
        <v>0.625</v>
      </c>
      <c r="B882" s="84">
        <v>27900</v>
      </c>
      <c r="C882" s="84">
        <v>7620</v>
      </c>
      <c r="D882" s="85"/>
    </row>
    <row r="883" spans="1:4">
      <c r="A883" s="76" t="s">
        <v>254</v>
      </c>
      <c r="B883" s="10">
        <v>27900</v>
      </c>
      <c r="C883" s="10">
        <v>7620</v>
      </c>
      <c r="D883" s="85"/>
    </row>
    <row r="884" spans="1:4">
      <c r="A884" s="86">
        <v>0.70833333333333304</v>
      </c>
      <c r="B884" s="10">
        <v>27900</v>
      </c>
      <c r="C884" s="10">
        <v>7620</v>
      </c>
      <c r="D884" s="10"/>
    </row>
    <row r="888" spans="1:4">
      <c r="A888" s="152" t="s">
        <v>367</v>
      </c>
      <c r="B888" s="152"/>
      <c r="C888" s="152"/>
      <c r="D888" s="152"/>
    </row>
    <row r="889" spans="1:4">
      <c r="A889" s="10" t="s">
        <v>247</v>
      </c>
      <c r="B889" s="10" t="s">
        <v>248</v>
      </c>
      <c r="C889" s="10" t="s">
        <v>249</v>
      </c>
      <c r="D889" s="10" t="s">
        <v>250</v>
      </c>
    </row>
    <row r="890" spans="1:4">
      <c r="A890" s="75">
        <v>0.45833333333333298</v>
      </c>
      <c r="B890" s="10">
        <v>28180</v>
      </c>
      <c r="C890" s="10">
        <v>7720</v>
      </c>
      <c r="D890" s="10">
        <v>12000000</v>
      </c>
    </row>
    <row r="891" spans="1:4">
      <c r="A891" s="76" t="s">
        <v>251</v>
      </c>
      <c r="B891" s="10">
        <v>28160</v>
      </c>
      <c r="C891" s="10">
        <v>7690</v>
      </c>
      <c r="D891" s="10">
        <v>11990000</v>
      </c>
    </row>
    <row r="892" spans="1:4">
      <c r="A892" s="77" t="s">
        <v>252</v>
      </c>
      <c r="B892" s="10">
        <v>28230</v>
      </c>
      <c r="C892" s="10">
        <v>7710</v>
      </c>
      <c r="D892" s="10">
        <v>12040000</v>
      </c>
    </row>
    <row r="893" spans="1:4">
      <c r="A893" s="75" t="s">
        <v>253</v>
      </c>
      <c r="B893" s="10">
        <v>28300</v>
      </c>
      <c r="C893" s="10">
        <v>7720</v>
      </c>
      <c r="D893" s="10">
        <v>12030000</v>
      </c>
    </row>
    <row r="894" spans="1:4">
      <c r="A894" s="83">
        <v>0.625</v>
      </c>
      <c r="B894" s="10">
        <v>28300</v>
      </c>
      <c r="C894" s="10">
        <v>7720</v>
      </c>
      <c r="D894" s="85">
        <v>12030000</v>
      </c>
    </row>
    <row r="895" spans="1:4">
      <c r="A895" s="76" t="s">
        <v>254</v>
      </c>
      <c r="B895" s="10">
        <v>28300</v>
      </c>
      <c r="C895" s="10">
        <v>7720</v>
      </c>
      <c r="D895" s="85">
        <v>12045000</v>
      </c>
    </row>
    <row r="896" spans="1:4">
      <c r="A896" s="86">
        <v>0.70833333333333304</v>
      </c>
      <c r="B896" s="10">
        <v>28300</v>
      </c>
      <c r="C896" s="10">
        <v>7720</v>
      </c>
      <c r="D896" s="10">
        <v>12045000</v>
      </c>
    </row>
    <row r="901" spans="1:5">
      <c r="A901" s="152" t="s">
        <v>368</v>
      </c>
      <c r="B901" s="152"/>
      <c r="C901" s="152"/>
      <c r="D901" s="152"/>
    </row>
    <row r="902" spans="1:5">
      <c r="A902" s="10" t="s">
        <v>247</v>
      </c>
      <c r="B902" s="10" t="s">
        <v>248</v>
      </c>
      <c r="C902" s="10" t="s">
        <v>249</v>
      </c>
      <c r="D902" s="10" t="s">
        <v>250</v>
      </c>
    </row>
    <row r="903" spans="1:5">
      <c r="A903" s="75">
        <v>0.45833333333333298</v>
      </c>
      <c r="B903" s="10"/>
      <c r="C903" s="10"/>
      <c r="D903" s="10"/>
      <c r="E903">
        <v>12065000</v>
      </c>
    </row>
    <row r="904" spans="1:5">
      <c r="A904" s="76" t="s">
        <v>251</v>
      </c>
      <c r="B904" s="10"/>
      <c r="C904" s="10"/>
      <c r="D904" s="10"/>
    </row>
    <row r="905" spans="1:5">
      <c r="A905" s="77" t="s">
        <v>252</v>
      </c>
      <c r="B905" s="10"/>
      <c r="C905" s="10"/>
      <c r="D905" s="10"/>
    </row>
    <row r="906" spans="1:5">
      <c r="A906" s="75" t="s">
        <v>253</v>
      </c>
      <c r="B906" s="10"/>
      <c r="C906" s="10"/>
      <c r="D906" s="10"/>
    </row>
    <row r="907" spans="1:5">
      <c r="A907" s="83">
        <v>0.625</v>
      </c>
      <c r="B907" s="10"/>
      <c r="C907" s="10"/>
      <c r="D907" s="85"/>
    </row>
    <row r="908" spans="1:5">
      <c r="A908" s="76" t="s">
        <v>254</v>
      </c>
      <c r="B908" s="10"/>
      <c r="C908" s="10"/>
      <c r="D908" s="85"/>
    </row>
    <row r="909" spans="1:5">
      <c r="A909" s="86">
        <v>0.70833333333333304</v>
      </c>
      <c r="B909" s="10"/>
      <c r="C909" s="10"/>
      <c r="D909" s="10"/>
    </row>
    <row r="913" spans="1:4">
      <c r="A913" s="152" t="s">
        <v>369</v>
      </c>
      <c r="B913" s="152"/>
      <c r="C913" s="152"/>
      <c r="D913" s="152"/>
    </row>
    <row r="914" spans="1:4">
      <c r="A914" s="10" t="s">
        <v>247</v>
      </c>
      <c r="B914" s="10" t="s">
        <v>248</v>
      </c>
      <c r="C914" s="10" t="s">
        <v>249</v>
      </c>
      <c r="D914" s="10" t="s">
        <v>250</v>
      </c>
    </row>
    <row r="915" spans="1:4">
      <c r="A915" s="75">
        <v>0.45833333333333298</v>
      </c>
      <c r="B915" s="10">
        <v>28270</v>
      </c>
      <c r="C915" s="10">
        <v>7720</v>
      </c>
      <c r="D915" s="10">
        <v>12055000</v>
      </c>
    </row>
    <row r="916" spans="1:4">
      <c r="A916" s="76" t="s">
        <v>251</v>
      </c>
      <c r="B916" s="10">
        <v>28240</v>
      </c>
      <c r="C916" s="10">
        <v>7700</v>
      </c>
      <c r="D916" s="10">
        <v>12030000</v>
      </c>
    </row>
    <row r="917" spans="1:4">
      <c r="A917" s="77" t="s">
        <v>252</v>
      </c>
      <c r="B917" s="10">
        <v>28180</v>
      </c>
      <c r="C917" s="10">
        <v>7700</v>
      </c>
      <c r="D917" s="10">
        <v>12015000</v>
      </c>
    </row>
    <row r="918" spans="1:4">
      <c r="A918" s="75" t="s">
        <v>253</v>
      </c>
      <c r="B918" s="10">
        <v>28140</v>
      </c>
      <c r="C918" s="10">
        <v>7680</v>
      </c>
      <c r="D918" s="10">
        <v>12010000</v>
      </c>
    </row>
    <row r="919" spans="1:4">
      <c r="A919" s="83">
        <v>0.625</v>
      </c>
      <c r="B919" s="10">
        <v>28100</v>
      </c>
      <c r="C919" s="10">
        <v>7680</v>
      </c>
      <c r="D919" s="85">
        <v>12030000</v>
      </c>
    </row>
    <row r="920" spans="1:4">
      <c r="A920" s="76" t="s">
        <v>254</v>
      </c>
      <c r="B920" s="10">
        <v>28100</v>
      </c>
      <c r="C920" s="10">
        <v>7680</v>
      </c>
      <c r="D920" s="85">
        <v>12030000</v>
      </c>
    </row>
    <row r="921" spans="1:4">
      <c r="A921" s="86">
        <v>0.70833333333333304</v>
      </c>
      <c r="B921" s="10">
        <v>28100</v>
      </c>
      <c r="C921" s="10">
        <v>7680</v>
      </c>
      <c r="D921" s="10">
        <v>12025000</v>
      </c>
    </row>
    <row r="922" spans="1:4">
      <c r="C922" s="87"/>
    </row>
    <row r="925" spans="1:4">
      <c r="A925" s="152" t="s">
        <v>370</v>
      </c>
      <c r="B925" s="152"/>
      <c r="C925" s="152"/>
      <c r="D925" s="152"/>
    </row>
    <row r="926" spans="1:4">
      <c r="A926" s="10" t="s">
        <v>247</v>
      </c>
      <c r="B926" s="10" t="s">
        <v>248</v>
      </c>
      <c r="C926" s="10" t="s">
        <v>249</v>
      </c>
      <c r="D926" s="10" t="s">
        <v>250</v>
      </c>
    </row>
    <row r="927" spans="1:4">
      <c r="A927" s="75">
        <v>0.45833333333333298</v>
      </c>
      <c r="B927" s="10">
        <v>28110</v>
      </c>
      <c r="C927" s="10">
        <v>7660</v>
      </c>
      <c r="D927" s="10">
        <v>11990000</v>
      </c>
    </row>
    <row r="928" spans="1:4">
      <c r="A928" s="76" t="s">
        <v>251</v>
      </c>
      <c r="B928" s="10">
        <v>28030</v>
      </c>
      <c r="C928" s="10">
        <v>7640</v>
      </c>
      <c r="D928" s="10">
        <v>11970000</v>
      </c>
    </row>
    <row r="929" spans="1:4">
      <c r="A929" s="77" t="s">
        <v>252</v>
      </c>
      <c r="B929" s="10">
        <v>28020</v>
      </c>
      <c r="C929" s="10">
        <v>7640</v>
      </c>
      <c r="D929" s="10">
        <v>11965000</v>
      </c>
    </row>
    <row r="930" spans="1:4">
      <c r="A930" s="75" t="s">
        <v>253</v>
      </c>
      <c r="B930" s="10">
        <v>28020</v>
      </c>
      <c r="C930" s="10">
        <v>7660</v>
      </c>
      <c r="D930" s="10">
        <v>11965000</v>
      </c>
    </row>
    <row r="931" spans="1:4">
      <c r="A931" s="83">
        <v>0.625</v>
      </c>
      <c r="B931" s="10">
        <v>28020</v>
      </c>
      <c r="C931" s="10">
        <v>7660</v>
      </c>
      <c r="D931" s="85">
        <v>11985000</v>
      </c>
    </row>
    <row r="932" spans="1:4">
      <c r="A932" s="76" t="s">
        <v>254</v>
      </c>
      <c r="B932" s="10">
        <v>28020</v>
      </c>
      <c r="C932" s="10">
        <v>7680</v>
      </c>
      <c r="D932" s="85">
        <v>11995000</v>
      </c>
    </row>
    <row r="933" spans="1:4">
      <c r="A933" s="86">
        <v>0.70833333333333304</v>
      </c>
      <c r="B933" s="10">
        <v>28020</v>
      </c>
      <c r="C933" s="10">
        <v>7680</v>
      </c>
      <c r="D933" s="10">
        <v>11995000</v>
      </c>
    </row>
    <row r="937" spans="1:4">
      <c r="A937" s="152" t="s">
        <v>371</v>
      </c>
      <c r="B937" s="152"/>
      <c r="C937" s="152"/>
      <c r="D937" s="152"/>
    </row>
    <row r="938" spans="1:4">
      <c r="A938" s="10" t="s">
        <v>247</v>
      </c>
      <c r="B938" s="10" t="s">
        <v>248</v>
      </c>
      <c r="C938" s="10" t="s">
        <v>249</v>
      </c>
      <c r="D938" s="10" t="s">
        <v>250</v>
      </c>
    </row>
    <row r="939" spans="1:4">
      <c r="A939" s="75">
        <v>0.45833333333333298</v>
      </c>
      <c r="B939" s="10">
        <v>28050</v>
      </c>
      <c r="C939" s="10">
        <v>7650</v>
      </c>
      <c r="D939" s="10">
        <v>11975000</v>
      </c>
    </row>
    <row r="940" spans="1:4">
      <c r="A940" s="76" t="s">
        <v>251</v>
      </c>
      <c r="B940" s="10">
        <v>28040</v>
      </c>
      <c r="C940" s="10">
        <v>7660</v>
      </c>
      <c r="D940" s="10">
        <v>11980000</v>
      </c>
    </row>
    <row r="941" spans="1:4">
      <c r="A941" s="77" t="s">
        <v>252</v>
      </c>
      <c r="B941" s="10">
        <v>28030</v>
      </c>
      <c r="C941" s="10">
        <v>7670</v>
      </c>
      <c r="D941" s="10">
        <v>11995000</v>
      </c>
    </row>
    <row r="942" spans="1:4">
      <c r="A942" s="75" t="s">
        <v>253</v>
      </c>
      <c r="B942" s="10">
        <v>28110</v>
      </c>
      <c r="C942" s="10">
        <v>7700</v>
      </c>
      <c r="D942" s="10">
        <v>12010000</v>
      </c>
    </row>
    <row r="943" spans="1:4">
      <c r="A943" s="83">
        <v>0.625</v>
      </c>
      <c r="B943" s="10">
        <v>28110</v>
      </c>
      <c r="C943" s="10">
        <v>7720</v>
      </c>
      <c r="D943" s="85">
        <v>12005000</v>
      </c>
    </row>
    <row r="944" spans="1:4">
      <c r="A944" s="76" t="s">
        <v>254</v>
      </c>
      <c r="B944" s="10">
        <v>28110</v>
      </c>
      <c r="C944" s="10">
        <v>7720</v>
      </c>
      <c r="D944" s="85">
        <v>12005000</v>
      </c>
    </row>
    <row r="945" spans="1:4">
      <c r="A945" s="86">
        <v>0.70833333333333304</v>
      </c>
      <c r="B945" s="10">
        <v>28110</v>
      </c>
      <c r="C945" s="10">
        <v>7720</v>
      </c>
      <c r="D945" s="10">
        <v>12005000</v>
      </c>
    </row>
    <row r="949" spans="1:4">
      <c r="A949" s="152" t="s">
        <v>372</v>
      </c>
      <c r="B949" s="152"/>
      <c r="C949" s="152"/>
      <c r="D949" s="152"/>
    </row>
    <row r="950" spans="1:4">
      <c r="A950" s="10" t="s">
        <v>247</v>
      </c>
      <c r="B950" s="10" t="s">
        <v>248</v>
      </c>
      <c r="C950" s="10" t="s">
        <v>249</v>
      </c>
      <c r="D950" s="10" t="s">
        <v>250</v>
      </c>
    </row>
    <row r="951" spans="1:4">
      <c r="A951" s="75">
        <v>0.45833333333333298</v>
      </c>
      <c r="B951" s="10">
        <v>28150</v>
      </c>
      <c r="C951" s="10">
        <v>7680</v>
      </c>
      <c r="D951">
        <v>11930000</v>
      </c>
    </row>
    <row r="952" spans="1:4">
      <c r="A952" s="76" t="s">
        <v>251</v>
      </c>
      <c r="B952" s="10">
        <v>28080</v>
      </c>
      <c r="C952" s="10">
        <v>7665</v>
      </c>
      <c r="D952">
        <v>11940000</v>
      </c>
    </row>
    <row r="953" spans="1:4">
      <c r="A953" s="77" t="s">
        <v>252</v>
      </c>
      <c r="B953" s="10">
        <v>28000</v>
      </c>
      <c r="C953" s="10">
        <v>7660</v>
      </c>
      <c r="D953">
        <v>11980000</v>
      </c>
    </row>
    <row r="954" spans="1:4">
      <c r="A954" s="75" t="s">
        <v>253</v>
      </c>
      <c r="B954" s="10">
        <v>27950</v>
      </c>
      <c r="C954" s="10">
        <v>7650</v>
      </c>
      <c r="D954">
        <v>11910000</v>
      </c>
    </row>
    <row r="955" spans="1:4">
      <c r="A955" s="83">
        <v>0.625</v>
      </c>
      <c r="B955" s="10">
        <v>27980</v>
      </c>
      <c r="C955" s="10">
        <v>7650</v>
      </c>
      <c r="D955" s="85">
        <v>11900000</v>
      </c>
    </row>
    <row r="956" spans="1:4">
      <c r="A956" s="76" t="s">
        <v>254</v>
      </c>
      <c r="B956" s="10">
        <v>27980</v>
      </c>
      <c r="C956" s="10">
        <v>7640</v>
      </c>
      <c r="D956" s="85">
        <v>11920000</v>
      </c>
    </row>
    <row r="957" spans="1:4">
      <c r="A957" s="86">
        <v>0.70833333333333304</v>
      </c>
      <c r="B957" s="10">
        <v>27980</v>
      </c>
      <c r="C957" s="10">
        <v>7640</v>
      </c>
      <c r="D957" s="10">
        <v>11920000</v>
      </c>
    </row>
    <row r="961" spans="1:4">
      <c r="A961" s="152" t="s">
        <v>400</v>
      </c>
      <c r="B961" s="152"/>
      <c r="C961" s="152"/>
      <c r="D961" s="152"/>
    </row>
    <row r="962" spans="1:4">
      <c r="A962" s="85" t="s">
        <v>247</v>
      </c>
      <c r="B962" s="85" t="s">
        <v>248</v>
      </c>
      <c r="C962" s="85" t="s">
        <v>249</v>
      </c>
      <c r="D962" s="85" t="s">
        <v>250</v>
      </c>
    </row>
    <row r="963" spans="1:4">
      <c r="A963" s="75">
        <v>0.45833333333333298</v>
      </c>
      <c r="B963" s="85">
        <v>27880</v>
      </c>
      <c r="C963" s="85">
        <v>7600</v>
      </c>
      <c r="D963">
        <v>11820000</v>
      </c>
    </row>
    <row r="964" spans="1:4">
      <c r="A964" s="76" t="s">
        <v>251</v>
      </c>
      <c r="B964" s="85">
        <v>27830</v>
      </c>
      <c r="C964" s="85">
        <v>7600</v>
      </c>
      <c r="D964">
        <v>11810000</v>
      </c>
    </row>
    <row r="965" spans="1:4">
      <c r="A965" s="77" t="s">
        <v>252</v>
      </c>
      <c r="B965" s="85">
        <v>27750</v>
      </c>
      <c r="C965" s="85">
        <v>7590</v>
      </c>
      <c r="D965">
        <v>11810000</v>
      </c>
    </row>
    <row r="966" spans="1:4">
      <c r="A966" s="75" t="s">
        <v>253</v>
      </c>
      <c r="B966" s="85">
        <v>27750</v>
      </c>
      <c r="C966" s="85">
        <v>7590</v>
      </c>
      <c r="D966">
        <v>11815000</v>
      </c>
    </row>
    <row r="967" spans="1:4">
      <c r="A967" s="83">
        <v>0.625</v>
      </c>
      <c r="B967" s="85">
        <v>27750</v>
      </c>
      <c r="C967" s="85">
        <v>7580</v>
      </c>
      <c r="D967" s="85">
        <v>11810000</v>
      </c>
    </row>
    <row r="968" spans="1:4">
      <c r="A968" s="76" t="s">
        <v>254</v>
      </c>
      <c r="B968" s="85">
        <v>27750</v>
      </c>
      <c r="C968" s="85">
        <v>7570</v>
      </c>
      <c r="D968" s="85">
        <v>11790000</v>
      </c>
    </row>
    <row r="969" spans="1:4">
      <c r="A969" s="86">
        <v>0.70833333333333304</v>
      </c>
      <c r="B969" s="85">
        <v>27750</v>
      </c>
      <c r="C969" s="85">
        <v>7570</v>
      </c>
      <c r="D969" s="85">
        <v>11790000</v>
      </c>
    </row>
    <row r="974" spans="1:4">
      <c r="A974" s="152" t="s">
        <v>402</v>
      </c>
      <c r="B974" s="152"/>
      <c r="C974" s="152"/>
      <c r="D974" s="152"/>
    </row>
    <row r="975" spans="1:4">
      <c r="A975" s="85" t="s">
        <v>247</v>
      </c>
      <c r="B975" s="85" t="s">
        <v>248</v>
      </c>
      <c r="C975" s="85" t="s">
        <v>249</v>
      </c>
      <c r="D975" s="85" t="s">
        <v>250</v>
      </c>
    </row>
    <row r="976" spans="1:4">
      <c r="A976" s="75">
        <v>0.45833333333333298</v>
      </c>
      <c r="B976" s="85">
        <v>27550</v>
      </c>
      <c r="C976" s="85">
        <v>7535</v>
      </c>
      <c r="D976">
        <v>11760000</v>
      </c>
    </row>
    <row r="977" spans="1:4">
      <c r="A977" s="76" t="s">
        <v>251</v>
      </c>
      <c r="B977" s="85">
        <v>27570</v>
      </c>
      <c r="C977" s="85">
        <v>7510</v>
      </c>
      <c r="D977">
        <v>11815000</v>
      </c>
    </row>
    <row r="978" spans="1:4">
      <c r="A978" s="77" t="s">
        <v>252</v>
      </c>
      <c r="B978" s="85">
        <v>27540</v>
      </c>
      <c r="C978" s="85">
        <v>7490</v>
      </c>
      <c r="D978">
        <v>11800000</v>
      </c>
    </row>
    <row r="979" spans="1:4">
      <c r="A979" s="75" t="s">
        <v>253</v>
      </c>
      <c r="B979" s="85">
        <v>27550</v>
      </c>
      <c r="C979" s="85">
        <v>7485</v>
      </c>
      <c r="D979">
        <v>11760000</v>
      </c>
    </row>
    <row r="980" spans="1:4">
      <c r="A980" s="83">
        <v>0.625</v>
      </c>
      <c r="B980" s="85">
        <v>27550</v>
      </c>
      <c r="C980" s="85">
        <v>7485</v>
      </c>
      <c r="D980" s="85">
        <v>11780000</v>
      </c>
    </row>
    <row r="981" spans="1:4">
      <c r="A981" s="76" t="s">
        <v>254</v>
      </c>
      <c r="B981" s="85">
        <v>27550</v>
      </c>
      <c r="C981" s="85">
        <v>7485</v>
      </c>
      <c r="D981" s="85">
        <v>11790000</v>
      </c>
    </row>
    <row r="982" spans="1:4">
      <c r="A982" s="86">
        <v>0.70833333333333304</v>
      </c>
      <c r="B982" s="85">
        <v>27550</v>
      </c>
      <c r="C982" s="85">
        <v>7480</v>
      </c>
      <c r="D982" s="85">
        <v>11790000</v>
      </c>
    </row>
    <row r="987" spans="1:4">
      <c r="A987" s="152" t="s">
        <v>404</v>
      </c>
      <c r="B987" s="152"/>
      <c r="C987" s="152"/>
      <c r="D987" s="152"/>
    </row>
    <row r="988" spans="1:4">
      <c r="A988" s="85" t="s">
        <v>247</v>
      </c>
      <c r="B988" s="85" t="s">
        <v>248</v>
      </c>
      <c r="C988" s="85" t="s">
        <v>249</v>
      </c>
      <c r="D988" s="85" t="s">
        <v>250</v>
      </c>
    </row>
    <row r="989" spans="1:4">
      <c r="A989" s="75">
        <v>0.45833333333333298</v>
      </c>
      <c r="B989" s="85">
        <v>27610</v>
      </c>
      <c r="C989" s="85">
        <v>7530</v>
      </c>
      <c r="D989">
        <v>11830000</v>
      </c>
    </row>
    <row r="990" spans="1:4">
      <c r="A990" s="76" t="s">
        <v>251</v>
      </c>
      <c r="B990" s="85">
        <v>27560</v>
      </c>
      <c r="C990" s="85">
        <v>7520</v>
      </c>
      <c r="D990">
        <v>11825000</v>
      </c>
    </row>
    <row r="991" spans="1:4">
      <c r="A991" s="77" t="s">
        <v>252</v>
      </c>
      <c r="B991" s="85">
        <v>27480</v>
      </c>
      <c r="C991" s="85">
        <v>7510</v>
      </c>
      <c r="D991">
        <v>11790000</v>
      </c>
    </row>
    <row r="992" spans="1:4">
      <c r="A992" s="75" t="s">
        <v>253</v>
      </c>
      <c r="B992" s="85">
        <v>27470</v>
      </c>
      <c r="C992" s="85">
        <v>7490</v>
      </c>
      <c r="D992">
        <v>11750000</v>
      </c>
    </row>
    <row r="993" spans="1:4">
      <c r="A993" s="83">
        <v>0.625</v>
      </c>
      <c r="B993" s="85">
        <v>27470</v>
      </c>
      <c r="C993" s="85">
        <v>7480</v>
      </c>
      <c r="D993" s="85">
        <v>11725000</v>
      </c>
    </row>
    <row r="994" spans="1:4">
      <c r="A994" s="76" t="s">
        <v>254</v>
      </c>
      <c r="B994" s="85">
        <v>27470</v>
      </c>
      <c r="C994" s="85">
        <v>7480</v>
      </c>
      <c r="D994" s="85">
        <v>11720000</v>
      </c>
    </row>
    <row r="995" spans="1:4">
      <c r="A995" s="86">
        <v>0.70833333333333304</v>
      </c>
      <c r="B995" s="85">
        <v>27470</v>
      </c>
      <c r="C995" s="85">
        <v>7480</v>
      </c>
      <c r="D995" s="85">
        <v>11720000</v>
      </c>
    </row>
    <row r="1000" spans="1:4">
      <c r="A1000" s="152" t="s">
        <v>405</v>
      </c>
      <c r="B1000" s="152"/>
      <c r="C1000" s="152"/>
      <c r="D1000" s="152"/>
    </row>
    <row r="1001" spans="1:4">
      <c r="A1001" s="85" t="s">
        <v>247</v>
      </c>
      <c r="B1001" s="85" t="s">
        <v>248</v>
      </c>
      <c r="C1001" s="85" t="s">
        <v>249</v>
      </c>
      <c r="D1001" s="85" t="s">
        <v>250</v>
      </c>
    </row>
    <row r="1002" spans="1:4">
      <c r="A1002" s="75">
        <v>0.45833333333333298</v>
      </c>
      <c r="B1002" s="85">
        <v>27350</v>
      </c>
      <c r="C1002" s="85">
        <v>7450</v>
      </c>
      <c r="D1002">
        <v>11690000</v>
      </c>
    </row>
    <row r="1003" spans="1:4">
      <c r="A1003" s="76" t="s">
        <v>251</v>
      </c>
      <c r="B1003" s="85">
        <v>27240</v>
      </c>
      <c r="C1003" s="85">
        <v>7440</v>
      </c>
      <c r="D1003">
        <v>11640000</v>
      </c>
    </row>
    <row r="1004" spans="1:4">
      <c r="A1004" s="77" t="s">
        <v>252</v>
      </c>
      <c r="B1004" s="85">
        <v>27070</v>
      </c>
      <c r="C1004" s="85">
        <v>7430</v>
      </c>
      <c r="D1004">
        <v>11620000</v>
      </c>
    </row>
    <row r="1005" spans="1:4">
      <c r="A1005" s="75" t="s">
        <v>253</v>
      </c>
      <c r="B1005" s="85">
        <v>27020</v>
      </c>
      <c r="C1005" s="85">
        <v>7420</v>
      </c>
      <c r="D1005">
        <v>11680000</v>
      </c>
    </row>
    <row r="1006" spans="1:4">
      <c r="A1006" s="83">
        <v>0.625</v>
      </c>
      <c r="B1006" s="85">
        <v>27020</v>
      </c>
      <c r="C1006" s="85">
        <v>7410</v>
      </c>
      <c r="D1006" s="85">
        <v>11680000</v>
      </c>
    </row>
    <row r="1007" spans="1:4">
      <c r="A1007" s="76" t="s">
        <v>254</v>
      </c>
      <c r="B1007" s="85">
        <v>27020</v>
      </c>
      <c r="C1007" s="85">
        <v>7410</v>
      </c>
      <c r="D1007" s="85">
        <v>11680000</v>
      </c>
    </row>
    <row r="1008" spans="1:4">
      <c r="A1008" s="86">
        <v>0.70833333333333304</v>
      </c>
      <c r="B1008" s="85">
        <v>27020</v>
      </c>
      <c r="C1008" s="85">
        <v>7410</v>
      </c>
      <c r="D1008" s="85">
        <v>11680000</v>
      </c>
    </row>
    <row r="1009" spans="1:4">
      <c r="D1009" s="85"/>
    </row>
    <row r="1012" spans="1:4">
      <c r="A1012" s="152" t="s">
        <v>408</v>
      </c>
      <c r="B1012" s="152"/>
      <c r="C1012" s="152"/>
      <c r="D1012" s="152"/>
    </row>
    <row r="1013" spans="1:4">
      <c r="A1013" s="85" t="s">
        <v>247</v>
      </c>
      <c r="B1013" s="85" t="s">
        <v>248</v>
      </c>
      <c r="C1013" s="85" t="s">
        <v>249</v>
      </c>
      <c r="D1013" s="85" t="s">
        <v>250</v>
      </c>
    </row>
    <row r="1014" spans="1:4">
      <c r="A1014" s="75">
        <v>0.45833333333333298</v>
      </c>
      <c r="B1014" s="85">
        <v>26980</v>
      </c>
      <c r="C1014" s="85">
        <v>7370</v>
      </c>
      <c r="D1014">
        <v>11650000</v>
      </c>
    </row>
    <row r="1015" spans="1:4">
      <c r="A1015" s="76" t="s">
        <v>251</v>
      </c>
      <c r="B1015" s="85">
        <v>27050</v>
      </c>
      <c r="C1015" s="85">
        <v>7370</v>
      </c>
      <c r="D1015">
        <v>11660000</v>
      </c>
    </row>
    <row r="1016" spans="1:4">
      <c r="A1016" s="77" t="s">
        <v>252</v>
      </c>
      <c r="B1016" s="85">
        <v>27140</v>
      </c>
      <c r="C1016" s="85">
        <v>7380</v>
      </c>
      <c r="D1016">
        <v>11695000</v>
      </c>
    </row>
    <row r="1017" spans="1:4">
      <c r="A1017" s="75" t="s">
        <v>253</v>
      </c>
      <c r="B1017" s="85">
        <v>27250</v>
      </c>
      <c r="C1017" s="85">
        <v>7390</v>
      </c>
      <c r="D1017">
        <v>11725000</v>
      </c>
    </row>
    <row r="1018" spans="1:4">
      <c r="A1018" s="83">
        <v>0.625</v>
      </c>
      <c r="B1018" s="85">
        <v>27210</v>
      </c>
      <c r="C1018" s="85">
        <v>7400</v>
      </c>
      <c r="D1018" s="85">
        <v>11735000</v>
      </c>
    </row>
    <row r="1019" spans="1:4">
      <c r="A1019" s="76" t="s">
        <v>254</v>
      </c>
      <c r="B1019" s="85">
        <v>27210</v>
      </c>
      <c r="C1019" s="85">
        <v>7400</v>
      </c>
      <c r="D1019" s="85">
        <v>11735000</v>
      </c>
    </row>
    <row r="1020" spans="1:4">
      <c r="A1020" s="86">
        <v>0.70833333333333304</v>
      </c>
      <c r="B1020" s="85">
        <v>27210</v>
      </c>
      <c r="C1020" s="85">
        <v>7400</v>
      </c>
      <c r="D1020" s="85">
        <v>11735000</v>
      </c>
    </row>
    <row r="1025" spans="1:5">
      <c r="A1025" s="152" t="s">
        <v>410</v>
      </c>
      <c r="B1025" s="152"/>
      <c r="C1025" s="152"/>
      <c r="D1025" s="152"/>
    </row>
    <row r="1026" spans="1:5">
      <c r="A1026" s="85" t="s">
        <v>247</v>
      </c>
      <c r="B1026" s="85" t="s">
        <v>248</v>
      </c>
      <c r="C1026" s="85" t="s">
        <v>249</v>
      </c>
      <c r="D1026" s="85" t="s">
        <v>250</v>
      </c>
    </row>
    <row r="1027" spans="1:5">
      <c r="A1027" s="75">
        <v>0.45833333333333298</v>
      </c>
      <c r="B1027" s="85"/>
      <c r="C1027" s="85"/>
      <c r="E1027">
        <v>11770000</v>
      </c>
    </row>
    <row r="1028" spans="1:5">
      <c r="A1028" s="76" t="s">
        <v>251</v>
      </c>
      <c r="B1028" s="85"/>
      <c r="C1028" s="85"/>
      <c r="E1028">
        <v>11730000</v>
      </c>
    </row>
    <row r="1029" spans="1:5">
      <c r="A1029" s="77" t="s">
        <v>252</v>
      </c>
      <c r="B1029" s="85"/>
      <c r="C1029" s="85"/>
    </row>
    <row r="1030" spans="1:5">
      <c r="A1030" s="75" t="s">
        <v>253</v>
      </c>
      <c r="B1030" s="85"/>
      <c r="C1030" s="85"/>
    </row>
    <row r="1031" spans="1:5">
      <c r="A1031" s="83">
        <v>0.625</v>
      </c>
      <c r="B1031" s="85"/>
      <c r="C1031" s="85"/>
      <c r="D1031" s="85"/>
    </row>
    <row r="1032" spans="1:5">
      <c r="A1032" s="76" t="s">
        <v>254</v>
      </c>
      <c r="B1032" s="85"/>
      <c r="C1032" s="85"/>
      <c r="D1032" s="85"/>
    </row>
    <row r="1033" spans="1:5">
      <c r="A1033" s="86">
        <v>0.70833333333333304</v>
      </c>
      <c r="B1033" s="85"/>
      <c r="C1033" s="85"/>
      <c r="D1033" s="85"/>
    </row>
    <row r="1037" spans="1:5">
      <c r="A1037" s="152" t="s">
        <v>413</v>
      </c>
      <c r="B1037" s="152"/>
      <c r="C1037" s="152"/>
      <c r="D1037" s="152"/>
    </row>
    <row r="1038" spans="1:5">
      <c r="A1038" s="85" t="s">
        <v>247</v>
      </c>
      <c r="B1038" s="85" t="s">
        <v>248</v>
      </c>
      <c r="C1038" s="85" t="s">
        <v>249</v>
      </c>
      <c r="D1038" s="85" t="s">
        <v>250</v>
      </c>
    </row>
    <row r="1039" spans="1:5">
      <c r="A1039" s="75">
        <v>0.45833333333333298</v>
      </c>
      <c r="B1039" s="85">
        <v>27330</v>
      </c>
      <c r="C1039" s="85">
        <v>7440</v>
      </c>
      <c r="D1039">
        <v>11730000</v>
      </c>
    </row>
    <row r="1040" spans="1:5">
      <c r="A1040" s="76" t="s">
        <v>251</v>
      </c>
      <c r="B1040" s="85">
        <v>27240</v>
      </c>
      <c r="C1040" s="85">
        <v>7420</v>
      </c>
      <c r="D1040">
        <v>11745000</v>
      </c>
    </row>
    <row r="1041" spans="1:4">
      <c r="A1041" s="77" t="s">
        <v>252</v>
      </c>
      <c r="B1041" s="85">
        <v>27250</v>
      </c>
      <c r="C1041" s="85">
        <v>7430</v>
      </c>
      <c r="D1041">
        <v>11780000</v>
      </c>
    </row>
    <row r="1042" spans="1:4">
      <c r="A1042" s="75" t="s">
        <v>253</v>
      </c>
      <c r="B1042" s="85">
        <v>27250</v>
      </c>
      <c r="C1042" s="85">
        <v>7440</v>
      </c>
      <c r="D1042">
        <v>11770000</v>
      </c>
    </row>
    <row r="1043" spans="1:4">
      <c r="A1043" s="83">
        <v>0.625</v>
      </c>
      <c r="B1043" s="85">
        <v>27250</v>
      </c>
      <c r="C1043" s="85">
        <v>7450</v>
      </c>
      <c r="D1043" s="85">
        <v>11805000</v>
      </c>
    </row>
    <row r="1044" spans="1:4">
      <c r="A1044" s="76" t="s">
        <v>254</v>
      </c>
      <c r="B1044" s="85">
        <v>27250</v>
      </c>
      <c r="C1044" s="85">
        <v>7440</v>
      </c>
      <c r="D1044" s="85">
        <v>11805000</v>
      </c>
    </row>
    <row r="1045" spans="1:4">
      <c r="A1045" s="86">
        <v>0.70833333333333304</v>
      </c>
      <c r="B1045" s="85">
        <v>27250</v>
      </c>
      <c r="C1045" s="85">
        <v>7440</v>
      </c>
      <c r="D1045" s="85">
        <v>11805000</v>
      </c>
    </row>
    <row r="1049" spans="1:4">
      <c r="A1049" s="152" t="s">
        <v>415</v>
      </c>
      <c r="B1049" s="152"/>
      <c r="C1049" s="152"/>
      <c r="D1049" s="152"/>
    </row>
    <row r="1050" spans="1:4">
      <c r="A1050" s="85" t="s">
        <v>247</v>
      </c>
      <c r="B1050" s="85" t="s">
        <v>248</v>
      </c>
      <c r="C1050" s="85" t="s">
        <v>249</v>
      </c>
      <c r="D1050" s="85" t="s">
        <v>250</v>
      </c>
    </row>
    <row r="1051" spans="1:4">
      <c r="A1051" s="75">
        <v>0.45833333333333298</v>
      </c>
      <c r="B1051" s="85">
        <v>27240</v>
      </c>
      <c r="C1051" s="85">
        <v>7440</v>
      </c>
      <c r="D1051">
        <v>11785000</v>
      </c>
    </row>
    <row r="1052" spans="1:4">
      <c r="A1052" s="76" t="s">
        <v>251</v>
      </c>
      <c r="B1052" s="85">
        <v>27250</v>
      </c>
      <c r="C1052" s="85">
        <v>7430</v>
      </c>
      <c r="D1052">
        <v>11805000</v>
      </c>
    </row>
    <row r="1053" spans="1:4">
      <c r="A1053" s="77" t="s">
        <v>252</v>
      </c>
      <c r="B1053" s="85">
        <v>27170</v>
      </c>
      <c r="C1053" s="85">
        <v>7440</v>
      </c>
      <c r="D1053">
        <v>11790000</v>
      </c>
    </row>
    <row r="1054" spans="1:4">
      <c r="A1054" s="75" t="s">
        <v>253</v>
      </c>
      <c r="B1054" s="85">
        <v>27150</v>
      </c>
      <c r="C1054" s="85">
        <v>7450</v>
      </c>
      <c r="D1054">
        <v>11775000</v>
      </c>
    </row>
    <row r="1055" spans="1:4">
      <c r="A1055" s="83">
        <v>0.625</v>
      </c>
      <c r="B1055" s="85">
        <v>27150</v>
      </c>
      <c r="C1055" s="85">
        <v>7440</v>
      </c>
      <c r="D1055" s="85">
        <v>11760000</v>
      </c>
    </row>
    <row r="1056" spans="1:4">
      <c r="A1056" s="76" t="s">
        <v>254</v>
      </c>
      <c r="B1056" s="85">
        <v>27150</v>
      </c>
      <c r="C1056" s="85">
        <v>7440</v>
      </c>
      <c r="D1056" s="85">
        <v>11740000</v>
      </c>
    </row>
    <row r="1057" spans="1:5">
      <c r="A1057" s="86">
        <v>0.70833333333333304</v>
      </c>
      <c r="B1057" s="85">
        <v>27150</v>
      </c>
      <c r="C1057" s="85">
        <v>7440</v>
      </c>
      <c r="D1057" s="85">
        <v>11740000</v>
      </c>
    </row>
    <row r="1061" spans="1:5">
      <c r="A1061" s="152" t="s">
        <v>417</v>
      </c>
      <c r="B1061" s="152"/>
      <c r="C1061" s="152"/>
      <c r="D1061" s="152"/>
    </row>
    <row r="1062" spans="1:5">
      <c r="A1062" s="85" t="s">
        <v>247</v>
      </c>
      <c r="B1062" s="85" t="s">
        <v>248</v>
      </c>
      <c r="C1062" s="85" t="s">
        <v>249</v>
      </c>
      <c r="D1062" s="85" t="s">
        <v>250</v>
      </c>
    </row>
    <row r="1063" spans="1:5">
      <c r="A1063" s="75">
        <v>0.45833333333333298</v>
      </c>
      <c r="B1063" s="85">
        <v>27070</v>
      </c>
      <c r="C1063" s="85">
        <v>7400</v>
      </c>
      <c r="D1063">
        <v>11635000</v>
      </c>
      <c r="E1063">
        <v>11635000</v>
      </c>
    </row>
    <row r="1064" spans="1:5">
      <c r="A1064" s="76" t="s">
        <v>251</v>
      </c>
      <c r="B1064" s="85">
        <v>27080</v>
      </c>
      <c r="C1064" s="85">
        <v>7390</v>
      </c>
      <c r="D1064">
        <v>11650000</v>
      </c>
      <c r="E1064">
        <v>11640000</v>
      </c>
    </row>
    <row r="1065" spans="1:5">
      <c r="A1065" s="77" t="s">
        <v>252</v>
      </c>
      <c r="B1065" s="85">
        <v>27070</v>
      </c>
      <c r="C1065" s="85">
        <v>7390</v>
      </c>
      <c r="D1065">
        <v>11665000</v>
      </c>
      <c r="E1065">
        <v>11630000</v>
      </c>
    </row>
    <row r="1066" spans="1:5">
      <c r="A1066" s="75" t="s">
        <v>253</v>
      </c>
      <c r="B1066" s="85">
        <v>27080</v>
      </c>
      <c r="C1066" s="85">
        <v>7400</v>
      </c>
      <c r="D1066">
        <v>11650000</v>
      </c>
    </row>
    <row r="1067" spans="1:5">
      <c r="A1067" s="83">
        <v>0.625</v>
      </c>
      <c r="B1067" s="85">
        <v>27080</v>
      </c>
      <c r="C1067" s="85">
        <v>7410</v>
      </c>
      <c r="D1067" s="85">
        <v>11655000</v>
      </c>
    </row>
    <row r="1068" spans="1:5">
      <c r="A1068" s="76" t="s">
        <v>254</v>
      </c>
      <c r="B1068" s="85">
        <v>27080</v>
      </c>
      <c r="C1068" s="85">
        <v>7420</v>
      </c>
      <c r="D1068" s="85">
        <v>11655000</v>
      </c>
    </row>
    <row r="1069" spans="1:5">
      <c r="A1069" s="86">
        <v>0.70833333333333304</v>
      </c>
      <c r="B1069" s="85">
        <v>27080</v>
      </c>
      <c r="C1069" s="85">
        <v>7420</v>
      </c>
      <c r="D1069" s="85">
        <v>11655000</v>
      </c>
    </row>
    <row r="1073" spans="1:4">
      <c r="A1073" s="152" t="s">
        <v>419</v>
      </c>
      <c r="B1073" s="152"/>
      <c r="C1073" s="152"/>
      <c r="D1073" s="152"/>
    </row>
    <row r="1074" spans="1:4">
      <c r="A1074" s="85" t="s">
        <v>247</v>
      </c>
      <c r="B1074" s="85" t="s">
        <v>248</v>
      </c>
      <c r="C1074" s="85" t="s">
        <v>249</v>
      </c>
      <c r="D1074" s="85" t="s">
        <v>250</v>
      </c>
    </row>
    <row r="1075" spans="1:4">
      <c r="A1075" s="75">
        <v>0.45833333333333298</v>
      </c>
      <c r="B1075" s="85">
        <v>27380</v>
      </c>
      <c r="C1075" s="85">
        <v>7455</v>
      </c>
      <c r="D1075">
        <v>11735000</v>
      </c>
    </row>
    <row r="1076" spans="1:4">
      <c r="A1076" s="76" t="s">
        <v>251</v>
      </c>
      <c r="B1076" s="85">
        <v>27370</v>
      </c>
      <c r="C1076" s="85">
        <v>7455</v>
      </c>
      <c r="D1076">
        <v>11745000</v>
      </c>
    </row>
    <row r="1077" spans="1:4">
      <c r="A1077" s="77" t="s">
        <v>252</v>
      </c>
      <c r="B1077" s="85">
        <v>27380</v>
      </c>
      <c r="C1077" s="85">
        <v>7470</v>
      </c>
      <c r="D1077">
        <v>11750000</v>
      </c>
    </row>
    <row r="1078" spans="1:4">
      <c r="A1078" s="75" t="s">
        <v>253</v>
      </c>
      <c r="B1078" s="85">
        <v>27370</v>
      </c>
      <c r="C1078" s="85">
        <v>7470</v>
      </c>
      <c r="D1078">
        <v>11760000</v>
      </c>
    </row>
    <row r="1079" spans="1:4">
      <c r="A1079" s="83">
        <v>0.625</v>
      </c>
      <c r="B1079" s="85">
        <v>27380</v>
      </c>
      <c r="C1079" s="85">
        <v>7470</v>
      </c>
      <c r="D1079" s="85">
        <v>11755000</v>
      </c>
    </row>
    <row r="1080" spans="1:4">
      <c r="A1080" s="76" t="s">
        <v>254</v>
      </c>
      <c r="B1080" s="85">
        <v>27380</v>
      </c>
      <c r="C1080" s="85">
        <v>7480</v>
      </c>
      <c r="D1080" s="85">
        <v>11750000</v>
      </c>
    </row>
    <row r="1081" spans="1:4">
      <c r="A1081" s="86">
        <v>0.70833333333333304</v>
      </c>
      <c r="B1081" s="85">
        <v>27380</v>
      </c>
      <c r="C1081" s="85">
        <v>7480</v>
      </c>
      <c r="D1081" s="85">
        <v>11750000</v>
      </c>
    </row>
    <row r="1085" spans="1:4">
      <c r="A1085" s="152" t="s">
        <v>421</v>
      </c>
      <c r="B1085" s="152"/>
      <c r="C1085" s="152"/>
      <c r="D1085" s="152"/>
    </row>
    <row r="1086" spans="1:4">
      <c r="A1086" s="85" t="s">
        <v>247</v>
      </c>
      <c r="B1086" s="85" t="s">
        <v>248</v>
      </c>
      <c r="C1086" s="85" t="s">
        <v>249</v>
      </c>
      <c r="D1086" s="85" t="s">
        <v>250</v>
      </c>
    </row>
    <row r="1087" spans="1:4">
      <c r="A1087" s="75">
        <v>0.45833333333333298</v>
      </c>
      <c r="B1087" s="85">
        <v>27390</v>
      </c>
      <c r="C1087" s="85">
        <v>7460</v>
      </c>
      <c r="D1087">
        <v>11760000</v>
      </c>
    </row>
    <row r="1088" spans="1:4">
      <c r="A1088" s="76" t="s">
        <v>251</v>
      </c>
      <c r="B1088" s="85">
        <v>27360</v>
      </c>
      <c r="C1088" s="85">
        <v>7450</v>
      </c>
      <c r="D1088">
        <v>11730000</v>
      </c>
    </row>
    <row r="1089" spans="1:5">
      <c r="A1089" s="77" t="s">
        <v>252</v>
      </c>
      <c r="B1089" s="85">
        <v>27340</v>
      </c>
      <c r="C1089" s="85">
        <v>7440</v>
      </c>
      <c r="D1089">
        <v>11735000</v>
      </c>
    </row>
    <row r="1090" spans="1:5">
      <c r="A1090" s="75" t="s">
        <v>253</v>
      </c>
      <c r="B1090" s="85">
        <v>27320</v>
      </c>
      <c r="C1090" s="85">
        <v>7430</v>
      </c>
      <c r="D1090">
        <v>11745000</v>
      </c>
    </row>
    <row r="1091" spans="1:5">
      <c r="A1091" s="83">
        <v>0.625</v>
      </c>
      <c r="B1091" s="85">
        <v>27320</v>
      </c>
      <c r="C1091" s="85">
        <v>7430</v>
      </c>
      <c r="D1091" s="85">
        <v>11720000</v>
      </c>
    </row>
    <row r="1092" spans="1:5">
      <c r="A1092" s="76" t="s">
        <v>254</v>
      </c>
      <c r="B1092" s="85">
        <v>27320</v>
      </c>
      <c r="C1092" s="85">
        <v>7440</v>
      </c>
      <c r="D1092" s="85">
        <v>11725000</v>
      </c>
    </row>
    <row r="1093" spans="1:5">
      <c r="A1093" s="86">
        <v>0.70833333333333304</v>
      </c>
      <c r="B1093" s="85">
        <v>27320</v>
      </c>
      <c r="C1093" s="85">
        <v>7430</v>
      </c>
      <c r="D1093" s="85">
        <v>11725000</v>
      </c>
    </row>
    <row r="1098" spans="1:5">
      <c r="A1098" s="152" t="s">
        <v>423</v>
      </c>
      <c r="B1098" s="152"/>
      <c r="C1098" s="152"/>
      <c r="D1098" s="152"/>
    </row>
    <row r="1099" spans="1:5">
      <c r="A1099" s="85" t="s">
        <v>247</v>
      </c>
      <c r="B1099" s="85" t="s">
        <v>248</v>
      </c>
      <c r="C1099" s="85" t="s">
        <v>249</v>
      </c>
      <c r="D1099" s="85" t="s">
        <v>250</v>
      </c>
    </row>
    <row r="1100" spans="1:5">
      <c r="A1100" s="75">
        <v>0.45833333333333298</v>
      </c>
      <c r="B1100" s="85"/>
      <c r="C1100" s="85"/>
      <c r="E1100">
        <v>11780000</v>
      </c>
    </row>
    <row r="1101" spans="1:5">
      <c r="A1101" s="76" t="s">
        <v>251</v>
      </c>
      <c r="B1101" s="85"/>
      <c r="C1101" s="85"/>
      <c r="E1101">
        <v>11815000</v>
      </c>
    </row>
    <row r="1102" spans="1:5">
      <c r="A1102" s="77" t="s">
        <v>252</v>
      </c>
      <c r="B1102" s="85"/>
      <c r="C1102" s="85"/>
    </row>
    <row r="1103" spans="1:5">
      <c r="A1103" s="75" t="s">
        <v>253</v>
      </c>
      <c r="B1103" s="85"/>
      <c r="C1103" s="85"/>
    </row>
    <row r="1104" spans="1:5">
      <c r="A1104" s="83">
        <v>0.625</v>
      </c>
      <c r="B1104" s="85"/>
      <c r="C1104" s="85"/>
      <c r="D1104" s="85"/>
    </row>
    <row r="1105" spans="1:4">
      <c r="A1105" s="76" t="s">
        <v>254</v>
      </c>
      <c r="B1105" s="85"/>
      <c r="C1105" s="85"/>
      <c r="D1105" s="85"/>
    </row>
    <row r="1106" spans="1:4">
      <c r="A1106" s="86">
        <v>0.70833333333333304</v>
      </c>
      <c r="B1106" s="85"/>
      <c r="C1106" s="85"/>
      <c r="D1106" s="85"/>
    </row>
    <row r="1110" spans="1:4">
      <c r="A1110" s="152" t="s">
        <v>426</v>
      </c>
      <c r="B1110" s="152"/>
      <c r="C1110" s="152"/>
      <c r="D1110" s="152"/>
    </row>
    <row r="1111" spans="1:4">
      <c r="A1111" s="85" t="s">
        <v>247</v>
      </c>
      <c r="B1111" s="85" t="s">
        <v>248</v>
      </c>
      <c r="C1111" s="85" t="s">
        <v>249</v>
      </c>
      <c r="D1111" s="85" t="s">
        <v>250</v>
      </c>
    </row>
    <row r="1112" spans="1:4">
      <c r="A1112" s="75">
        <v>0.45833333333333298</v>
      </c>
      <c r="B1112" s="85">
        <v>27470</v>
      </c>
      <c r="C1112" s="85">
        <v>7470</v>
      </c>
      <c r="D1112">
        <v>11890000</v>
      </c>
    </row>
    <row r="1113" spans="1:4">
      <c r="A1113" s="76" t="s">
        <v>251</v>
      </c>
      <c r="B1113" s="85">
        <v>27500</v>
      </c>
      <c r="C1113" s="85">
        <v>7510</v>
      </c>
      <c r="D1113">
        <v>11915000</v>
      </c>
    </row>
    <row r="1114" spans="1:4">
      <c r="A1114" s="77" t="s">
        <v>252</v>
      </c>
      <c r="B1114" s="85">
        <v>27520</v>
      </c>
      <c r="C1114" s="85">
        <v>7530</v>
      </c>
      <c r="D1114">
        <v>11935000</v>
      </c>
    </row>
    <row r="1115" spans="1:4">
      <c r="A1115" s="75" t="s">
        <v>253</v>
      </c>
      <c r="B1115" s="85">
        <v>27530</v>
      </c>
      <c r="C1115" s="85">
        <v>7530</v>
      </c>
      <c r="D1115">
        <v>11920000</v>
      </c>
    </row>
    <row r="1116" spans="1:4">
      <c r="A1116" s="83">
        <v>0.625</v>
      </c>
      <c r="B1116" s="85">
        <v>27540</v>
      </c>
      <c r="C1116" s="85">
        <v>7530</v>
      </c>
      <c r="D1116" s="85">
        <v>11920000</v>
      </c>
    </row>
    <row r="1117" spans="1:4">
      <c r="A1117" s="76" t="s">
        <v>254</v>
      </c>
      <c r="B1117" s="85">
        <v>27560</v>
      </c>
      <c r="C1117" s="85">
        <v>7530</v>
      </c>
      <c r="D1117" s="85">
        <v>11920000</v>
      </c>
    </row>
    <row r="1118" spans="1:4">
      <c r="A1118" s="86">
        <v>0.70833333333333304</v>
      </c>
      <c r="B1118" s="85">
        <v>27580</v>
      </c>
      <c r="C1118" s="85">
        <v>7530</v>
      </c>
      <c r="D1118" s="85">
        <v>11920000</v>
      </c>
    </row>
    <row r="1123" spans="1:4">
      <c r="A1123" s="152" t="s">
        <v>428</v>
      </c>
      <c r="B1123" s="152"/>
      <c r="C1123" s="152"/>
      <c r="D1123" s="152"/>
    </row>
    <row r="1124" spans="1:4">
      <c r="A1124" s="85" t="s">
        <v>247</v>
      </c>
      <c r="B1124" s="85" t="s">
        <v>248</v>
      </c>
      <c r="C1124" s="85" t="s">
        <v>249</v>
      </c>
      <c r="D1124" s="85" t="s">
        <v>250</v>
      </c>
    </row>
    <row r="1125" spans="1:4">
      <c r="A1125" s="75">
        <v>0.45833333333333298</v>
      </c>
      <c r="B1125" s="85">
        <v>27670</v>
      </c>
      <c r="C1125" s="85">
        <v>7530</v>
      </c>
      <c r="D1125">
        <v>11905000</v>
      </c>
    </row>
    <row r="1126" spans="1:4">
      <c r="A1126" s="76" t="s">
        <v>251</v>
      </c>
      <c r="B1126" s="85">
        <v>27640</v>
      </c>
      <c r="C1126" s="85">
        <v>7520</v>
      </c>
      <c r="D1126">
        <v>11930000</v>
      </c>
    </row>
    <row r="1127" spans="1:4">
      <c r="A1127" s="77" t="s">
        <v>252</v>
      </c>
      <c r="B1127" s="85">
        <v>27640</v>
      </c>
      <c r="C1127" s="85">
        <v>7510</v>
      </c>
      <c r="D1127">
        <v>11920000</v>
      </c>
    </row>
    <row r="1128" spans="1:4">
      <c r="A1128" s="75" t="s">
        <v>253</v>
      </c>
      <c r="B1128" s="85">
        <v>27620</v>
      </c>
      <c r="C1128" s="85">
        <v>7510</v>
      </c>
      <c r="D1128">
        <v>11900000</v>
      </c>
    </row>
    <row r="1129" spans="1:4">
      <c r="A1129" s="83">
        <v>0.625</v>
      </c>
      <c r="B1129" s="85">
        <v>27620</v>
      </c>
      <c r="C1129" s="85">
        <v>7510</v>
      </c>
      <c r="D1129" s="85">
        <v>11890000</v>
      </c>
    </row>
    <row r="1130" spans="1:4">
      <c r="A1130" s="76" t="s">
        <v>254</v>
      </c>
      <c r="B1130" s="85">
        <v>27620</v>
      </c>
      <c r="C1130" s="85">
        <v>7510</v>
      </c>
      <c r="D1130" s="85">
        <v>11890000</v>
      </c>
    </row>
    <row r="1131" spans="1:4">
      <c r="A1131" s="86">
        <v>0.70833333333333304</v>
      </c>
      <c r="B1131" s="85">
        <v>27620</v>
      </c>
      <c r="C1131" s="85">
        <v>7510</v>
      </c>
      <c r="D1131" s="85">
        <v>11890000</v>
      </c>
    </row>
    <row r="1136" spans="1:4">
      <c r="A1136" s="152" t="s">
        <v>430</v>
      </c>
      <c r="B1136" s="152"/>
      <c r="C1136" s="152"/>
      <c r="D1136" s="152"/>
    </row>
    <row r="1137" spans="1:4">
      <c r="A1137" s="85" t="s">
        <v>247</v>
      </c>
      <c r="B1137" s="85" t="s">
        <v>248</v>
      </c>
      <c r="C1137" s="85" t="s">
        <v>249</v>
      </c>
      <c r="D1137" s="85" t="s">
        <v>250</v>
      </c>
    </row>
    <row r="1138" spans="1:4">
      <c r="A1138" s="75">
        <v>0.45833333333333298</v>
      </c>
      <c r="B1138" s="85">
        <v>27540</v>
      </c>
      <c r="C1138" s="85">
        <v>7480</v>
      </c>
      <c r="D1138">
        <v>11860000</v>
      </c>
    </row>
    <row r="1139" spans="1:4">
      <c r="A1139" s="76" t="s">
        <v>251</v>
      </c>
      <c r="B1139" s="85">
        <v>27470</v>
      </c>
      <c r="C1139" s="85">
        <v>7470</v>
      </c>
      <c r="D1139">
        <v>11845000</v>
      </c>
    </row>
    <row r="1140" spans="1:4">
      <c r="A1140" s="77" t="s">
        <v>252</v>
      </c>
      <c r="B1140" s="85">
        <v>27420</v>
      </c>
      <c r="C1140" s="85">
        <v>7470</v>
      </c>
      <c r="D1140">
        <v>11840000</v>
      </c>
    </row>
    <row r="1141" spans="1:4">
      <c r="A1141" s="75" t="s">
        <v>253</v>
      </c>
      <c r="B1141" s="85">
        <v>27440</v>
      </c>
      <c r="C1141" s="85">
        <v>7470</v>
      </c>
      <c r="D1141">
        <v>11835000</v>
      </c>
    </row>
    <row r="1142" spans="1:4">
      <c r="A1142" s="83">
        <v>0.625</v>
      </c>
      <c r="B1142" s="85">
        <v>27440</v>
      </c>
      <c r="C1142" s="85">
        <v>7470</v>
      </c>
      <c r="D1142" s="85">
        <v>11865000</v>
      </c>
    </row>
    <row r="1143" spans="1:4">
      <c r="A1143" s="76" t="s">
        <v>254</v>
      </c>
      <c r="B1143" s="85">
        <v>27440</v>
      </c>
      <c r="C1143" s="85">
        <v>7470</v>
      </c>
      <c r="D1143" s="85">
        <v>11870000</v>
      </c>
    </row>
    <row r="1144" spans="1:4">
      <c r="A1144" s="86">
        <v>0.70833333333333304</v>
      </c>
      <c r="B1144" s="85">
        <v>27440</v>
      </c>
      <c r="C1144" s="85">
        <v>7470</v>
      </c>
      <c r="D1144" s="85">
        <v>11870000</v>
      </c>
    </row>
    <row r="1149" spans="1:4">
      <c r="A1149" s="152" t="s">
        <v>432</v>
      </c>
      <c r="B1149" s="152"/>
      <c r="C1149" s="152"/>
      <c r="D1149" s="152"/>
    </row>
    <row r="1150" spans="1:4">
      <c r="A1150" s="85" t="s">
        <v>247</v>
      </c>
      <c r="B1150" s="85" t="s">
        <v>248</v>
      </c>
      <c r="C1150" s="85" t="s">
        <v>249</v>
      </c>
      <c r="D1150" s="85" t="s">
        <v>250</v>
      </c>
    </row>
    <row r="1151" spans="1:4">
      <c r="A1151" s="75">
        <v>0.45833333333333298</v>
      </c>
      <c r="B1151" s="85">
        <v>27560</v>
      </c>
      <c r="C1151" s="85">
        <v>7520</v>
      </c>
      <c r="D1151">
        <v>11870000</v>
      </c>
    </row>
    <row r="1152" spans="1:4">
      <c r="A1152" s="76" t="s">
        <v>251</v>
      </c>
      <c r="B1152" s="85">
        <v>27580</v>
      </c>
      <c r="C1152" s="85">
        <v>7530</v>
      </c>
      <c r="D1152">
        <v>11880000</v>
      </c>
    </row>
    <row r="1153" spans="1:5">
      <c r="A1153" s="77" t="s">
        <v>252</v>
      </c>
      <c r="B1153" s="85">
        <v>27650</v>
      </c>
      <c r="C1153" s="85">
        <v>7540</v>
      </c>
      <c r="D1153">
        <v>11910000</v>
      </c>
    </row>
    <row r="1154" spans="1:5">
      <c r="A1154" s="75" t="s">
        <v>253</v>
      </c>
      <c r="B1154" s="85">
        <v>27680</v>
      </c>
      <c r="C1154" s="85">
        <v>7540</v>
      </c>
      <c r="D1154">
        <v>11925000</v>
      </c>
    </row>
    <row r="1155" spans="1:5">
      <c r="A1155" s="83">
        <v>0.625</v>
      </c>
      <c r="B1155" s="85">
        <v>27680</v>
      </c>
      <c r="C1155" s="85">
        <v>7550</v>
      </c>
      <c r="D1155" s="85">
        <v>11920000</v>
      </c>
    </row>
    <row r="1156" spans="1:5">
      <c r="A1156" s="76" t="s">
        <v>254</v>
      </c>
      <c r="B1156" s="85">
        <v>27680</v>
      </c>
      <c r="C1156" s="85">
        <v>7550</v>
      </c>
      <c r="D1156" s="85">
        <v>11935000</v>
      </c>
    </row>
    <row r="1157" spans="1:5">
      <c r="A1157" s="86">
        <v>0.70833333333333304</v>
      </c>
      <c r="B1157" s="85">
        <v>27680</v>
      </c>
      <c r="C1157" s="85">
        <v>7550</v>
      </c>
      <c r="D1157" s="85">
        <v>11935000</v>
      </c>
    </row>
    <row r="1162" spans="1:5">
      <c r="A1162" s="152" t="s">
        <v>434</v>
      </c>
      <c r="B1162" s="152"/>
      <c r="C1162" s="152"/>
      <c r="D1162" s="152"/>
    </row>
    <row r="1163" spans="1:5">
      <c r="A1163" s="85" t="s">
        <v>247</v>
      </c>
      <c r="B1163" s="85" t="s">
        <v>248</v>
      </c>
      <c r="C1163" s="85" t="s">
        <v>249</v>
      </c>
      <c r="D1163" s="85" t="s">
        <v>250</v>
      </c>
    </row>
    <row r="1164" spans="1:5">
      <c r="A1164" s="75">
        <v>0.45833333333333298</v>
      </c>
      <c r="B1164" s="85"/>
      <c r="C1164" s="85"/>
      <c r="E1164">
        <v>11910000</v>
      </c>
    </row>
    <row r="1165" spans="1:5">
      <c r="A1165" s="76" t="s">
        <v>251</v>
      </c>
      <c r="B1165" s="85"/>
      <c r="C1165" s="85"/>
      <c r="E1165">
        <v>11905000</v>
      </c>
    </row>
    <row r="1166" spans="1:5">
      <c r="A1166" s="77" t="s">
        <v>252</v>
      </c>
      <c r="B1166" s="85"/>
      <c r="C1166" s="85"/>
      <c r="E1166">
        <v>11895000</v>
      </c>
    </row>
    <row r="1167" spans="1:5">
      <c r="A1167" s="75" t="s">
        <v>253</v>
      </c>
      <c r="B1167" s="85"/>
      <c r="C1167" s="85"/>
      <c r="E1167">
        <v>11900000</v>
      </c>
    </row>
    <row r="1168" spans="1:5">
      <c r="A1168" s="83">
        <v>0.625</v>
      </c>
      <c r="B1168" s="85"/>
      <c r="C1168" s="85"/>
      <c r="D1168" s="85"/>
      <c r="E1168">
        <v>11865000</v>
      </c>
    </row>
    <row r="1169" spans="1:4">
      <c r="A1169" s="76" t="s">
        <v>254</v>
      </c>
      <c r="B1169" s="85"/>
      <c r="C1169" s="85"/>
      <c r="D1169" s="85"/>
    </row>
    <row r="1170" spans="1:4">
      <c r="A1170" s="86">
        <v>0.70833333333333304</v>
      </c>
      <c r="B1170" s="85"/>
      <c r="C1170" s="85"/>
      <c r="D1170" s="85"/>
    </row>
    <row r="1173" spans="1:4">
      <c r="A1173" s="152" t="s">
        <v>437</v>
      </c>
      <c r="B1173" s="152"/>
      <c r="C1173" s="152"/>
      <c r="D1173" s="152"/>
    </row>
    <row r="1174" spans="1:4">
      <c r="A1174" s="85" t="s">
        <v>247</v>
      </c>
      <c r="B1174" s="85" t="s">
        <v>248</v>
      </c>
      <c r="C1174" s="85" t="s">
        <v>249</v>
      </c>
      <c r="D1174" s="85" t="s">
        <v>250</v>
      </c>
    </row>
    <row r="1175" spans="1:4">
      <c r="A1175" s="75">
        <v>0.45833333333333298</v>
      </c>
      <c r="B1175" s="85">
        <v>27570</v>
      </c>
      <c r="C1175" s="85">
        <v>7510</v>
      </c>
      <c r="D1175">
        <v>11830000</v>
      </c>
    </row>
    <row r="1176" spans="1:4">
      <c r="A1176" s="76" t="s">
        <v>251</v>
      </c>
      <c r="B1176" s="85">
        <v>27540</v>
      </c>
      <c r="C1176" s="85">
        <v>7500</v>
      </c>
      <c r="D1176">
        <v>11825000</v>
      </c>
    </row>
    <row r="1177" spans="1:4">
      <c r="A1177" s="77" t="s">
        <v>252</v>
      </c>
      <c r="B1177" s="85">
        <v>27520</v>
      </c>
      <c r="C1177" s="85">
        <v>7500</v>
      </c>
      <c r="D1177">
        <v>11830000</v>
      </c>
    </row>
    <row r="1178" spans="1:4">
      <c r="A1178" s="75" t="s">
        <v>253</v>
      </c>
      <c r="B1178" s="85">
        <v>27510</v>
      </c>
      <c r="C1178" s="85">
        <v>7500</v>
      </c>
      <c r="D1178">
        <v>11815000</v>
      </c>
    </row>
    <row r="1179" spans="1:4">
      <c r="A1179" s="83">
        <v>0.625</v>
      </c>
      <c r="B1179" s="85">
        <v>27480</v>
      </c>
      <c r="C1179" s="85">
        <v>7500</v>
      </c>
      <c r="D1179" s="85">
        <v>11870000</v>
      </c>
    </row>
    <row r="1180" spans="1:4">
      <c r="A1180" s="76" t="s">
        <v>254</v>
      </c>
      <c r="B1180" s="85">
        <v>27480</v>
      </c>
      <c r="C1180" s="85">
        <v>7500</v>
      </c>
      <c r="D1180" s="85">
        <v>11865000</v>
      </c>
    </row>
    <row r="1181" spans="1:4">
      <c r="A1181" s="86">
        <v>0.70833333333333304</v>
      </c>
      <c r="B1181" s="85">
        <v>27480</v>
      </c>
      <c r="C1181" s="85">
        <v>7500</v>
      </c>
      <c r="D1181" s="85">
        <v>11870000</v>
      </c>
    </row>
    <row r="1185" spans="1:4">
      <c r="A1185" s="152" t="s">
        <v>439</v>
      </c>
      <c r="B1185" s="152"/>
      <c r="C1185" s="152"/>
      <c r="D1185" s="152"/>
    </row>
    <row r="1186" spans="1:4">
      <c r="A1186" s="85" t="s">
        <v>247</v>
      </c>
      <c r="B1186" s="85" t="s">
        <v>248</v>
      </c>
      <c r="C1186" s="85" t="s">
        <v>249</v>
      </c>
      <c r="D1186" s="85" t="s">
        <v>250</v>
      </c>
    </row>
    <row r="1187" spans="1:4">
      <c r="A1187" s="75">
        <v>0.45833333333333298</v>
      </c>
      <c r="B1187" s="85">
        <v>27480</v>
      </c>
      <c r="C1187" s="85">
        <v>7470</v>
      </c>
      <c r="D1187">
        <v>11830000</v>
      </c>
    </row>
    <row r="1188" spans="1:4">
      <c r="A1188" s="76" t="s">
        <v>251</v>
      </c>
      <c r="B1188" s="85">
        <v>27440</v>
      </c>
      <c r="C1188" s="85">
        <v>7480</v>
      </c>
      <c r="D1188">
        <v>11810000</v>
      </c>
    </row>
    <row r="1189" spans="1:4">
      <c r="A1189" s="77" t="s">
        <v>252</v>
      </c>
      <c r="B1189" s="85">
        <v>27480</v>
      </c>
      <c r="C1189" s="85">
        <v>7490</v>
      </c>
      <c r="D1189">
        <v>11785000</v>
      </c>
    </row>
    <row r="1190" spans="1:4">
      <c r="A1190" s="75" t="s">
        <v>253</v>
      </c>
      <c r="B1190" s="85">
        <v>27500</v>
      </c>
      <c r="C1190" s="85">
        <v>7500</v>
      </c>
      <c r="D1190">
        <v>11810000</v>
      </c>
    </row>
    <row r="1191" spans="1:4">
      <c r="A1191" s="83">
        <v>0.625</v>
      </c>
      <c r="B1191" s="85">
        <v>27540</v>
      </c>
      <c r="C1191" s="85">
        <v>7510</v>
      </c>
      <c r="D1191" s="85">
        <v>11825000</v>
      </c>
    </row>
    <row r="1192" spans="1:4">
      <c r="A1192" s="76" t="s">
        <v>254</v>
      </c>
      <c r="B1192" s="85">
        <v>27540</v>
      </c>
      <c r="C1192" s="85">
        <v>7500</v>
      </c>
      <c r="D1192" s="85">
        <v>11815000</v>
      </c>
    </row>
    <row r="1193" spans="1:4">
      <c r="A1193" s="86">
        <v>0.70833333333333304</v>
      </c>
      <c r="B1193" s="85">
        <v>27540</v>
      </c>
      <c r="C1193" s="85">
        <v>7500</v>
      </c>
      <c r="D1193" s="85">
        <v>11815000</v>
      </c>
    </row>
    <row r="1197" spans="1:4">
      <c r="A1197" s="152" t="s">
        <v>441</v>
      </c>
      <c r="B1197" s="152"/>
      <c r="C1197" s="152"/>
      <c r="D1197" s="152"/>
    </row>
    <row r="1198" spans="1:4">
      <c r="A1198" s="85" t="s">
        <v>247</v>
      </c>
      <c r="B1198" s="85" t="s">
        <v>248</v>
      </c>
      <c r="C1198" s="85" t="s">
        <v>249</v>
      </c>
      <c r="D1198" s="85" t="s">
        <v>250</v>
      </c>
    </row>
    <row r="1199" spans="1:4">
      <c r="A1199" s="75">
        <v>0.45833333333333298</v>
      </c>
      <c r="B1199" s="85">
        <v>27570</v>
      </c>
      <c r="C1199" s="85">
        <v>7510</v>
      </c>
      <c r="D1199">
        <v>11840000</v>
      </c>
    </row>
    <row r="1200" spans="1:4">
      <c r="A1200" s="76" t="s">
        <v>251</v>
      </c>
      <c r="B1200" s="85">
        <v>27580</v>
      </c>
      <c r="C1200" s="85">
        <v>7520</v>
      </c>
      <c r="D1200">
        <v>11870000</v>
      </c>
    </row>
    <row r="1201" spans="1:4">
      <c r="A1201" s="77" t="s">
        <v>252</v>
      </c>
      <c r="B1201" s="85">
        <v>27600</v>
      </c>
      <c r="C1201" s="85">
        <v>7530</v>
      </c>
      <c r="D1201">
        <v>11865000</v>
      </c>
    </row>
    <row r="1202" spans="1:4">
      <c r="A1202" s="75" t="s">
        <v>253</v>
      </c>
      <c r="B1202" s="85">
        <v>27600</v>
      </c>
      <c r="C1202" s="85">
        <v>7520</v>
      </c>
      <c r="D1202">
        <v>11860000</v>
      </c>
    </row>
    <row r="1203" spans="1:4">
      <c r="A1203" s="83">
        <v>0.625</v>
      </c>
      <c r="B1203" s="85">
        <v>27580</v>
      </c>
      <c r="C1203" s="85">
        <v>7510</v>
      </c>
      <c r="D1203" s="85">
        <v>11855000</v>
      </c>
    </row>
    <row r="1204" spans="1:4">
      <c r="A1204" s="76" t="s">
        <v>254</v>
      </c>
      <c r="B1204" s="85">
        <v>27580</v>
      </c>
      <c r="C1204" s="85">
        <v>7530</v>
      </c>
      <c r="D1204" s="85">
        <v>11840000</v>
      </c>
    </row>
    <row r="1205" spans="1:4">
      <c r="A1205" s="86">
        <v>0.70833333333333304</v>
      </c>
      <c r="B1205" s="85">
        <v>27580</v>
      </c>
      <c r="C1205" s="85">
        <v>7530</v>
      </c>
      <c r="D1205" s="85">
        <v>11840000</v>
      </c>
    </row>
    <row r="1209" spans="1:4">
      <c r="A1209" s="152" t="s">
        <v>443</v>
      </c>
      <c r="B1209" s="152"/>
      <c r="C1209" s="152"/>
      <c r="D1209" s="152"/>
    </row>
    <row r="1210" spans="1:4">
      <c r="A1210" s="85" t="s">
        <v>247</v>
      </c>
      <c r="B1210" s="85" t="s">
        <v>248</v>
      </c>
      <c r="C1210" s="85" t="s">
        <v>249</v>
      </c>
      <c r="D1210" s="85" t="s">
        <v>250</v>
      </c>
    </row>
    <row r="1211" spans="1:4">
      <c r="A1211" s="75">
        <v>0.45833333333333298</v>
      </c>
      <c r="B1211" s="85">
        <v>27550</v>
      </c>
      <c r="C1211" s="85">
        <v>7510</v>
      </c>
      <c r="D1211">
        <v>11815000</v>
      </c>
    </row>
    <row r="1212" spans="1:4">
      <c r="A1212" s="76" t="s">
        <v>251</v>
      </c>
      <c r="B1212" s="85">
        <v>27540</v>
      </c>
      <c r="C1212" s="85">
        <v>7520</v>
      </c>
      <c r="D1212">
        <v>11795000</v>
      </c>
    </row>
    <row r="1213" spans="1:4">
      <c r="A1213" s="77" t="s">
        <v>252</v>
      </c>
      <c r="B1213" s="85">
        <v>27540</v>
      </c>
      <c r="C1213" s="85">
        <v>7530</v>
      </c>
      <c r="D1213">
        <v>11810000</v>
      </c>
    </row>
    <row r="1214" spans="1:4">
      <c r="A1214" s="75" t="s">
        <v>253</v>
      </c>
      <c r="B1214" s="85">
        <v>27540</v>
      </c>
      <c r="C1214" s="85">
        <v>7530</v>
      </c>
      <c r="D1214">
        <v>11805000</v>
      </c>
    </row>
    <row r="1215" spans="1:4">
      <c r="A1215" s="83">
        <v>0.625</v>
      </c>
      <c r="B1215" s="85">
        <v>27540</v>
      </c>
      <c r="C1215" s="85">
        <v>7530</v>
      </c>
      <c r="D1215" s="85">
        <v>11805000</v>
      </c>
    </row>
    <row r="1216" spans="1:4">
      <c r="A1216" s="76" t="s">
        <v>254</v>
      </c>
      <c r="B1216" s="85">
        <v>27540</v>
      </c>
      <c r="C1216" s="85">
        <v>7530</v>
      </c>
      <c r="D1216" s="85">
        <v>11805000</v>
      </c>
    </row>
    <row r="1217" spans="1:5">
      <c r="A1217" s="86">
        <v>0.70833333333333304</v>
      </c>
      <c r="B1217" s="85">
        <v>27540</v>
      </c>
      <c r="C1217" s="85">
        <v>7520</v>
      </c>
      <c r="D1217" s="85">
        <v>11805000</v>
      </c>
    </row>
    <row r="1222" spans="1:5">
      <c r="A1222" s="152" t="s">
        <v>445</v>
      </c>
      <c r="B1222" s="152"/>
      <c r="C1222" s="152"/>
      <c r="D1222" s="152"/>
    </row>
    <row r="1223" spans="1:5">
      <c r="A1223" s="85" t="s">
        <v>247</v>
      </c>
      <c r="B1223" s="85" t="s">
        <v>248</v>
      </c>
      <c r="C1223" s="85" t="s">
        <v>249</v>
      </c>
      <c r="D1223" s="85" t="s">
        <v>250</v>
      </c>
    </row>
    <row r="1224" spans="1:5">
      <c r="A1224" s="75">
        <v>0.45833333333333298</v>
      </c>
      <c r="B1224" s="85">
        <v>27620</v>
      </c>
      <c r="C1224" s="85">
        <v>7530</v>
      </c>
      <c r="D1224">
        <v>11825000</v>
      </c>
      <c r="E1224">
        <v>11825000</v>
      </c>
    </row>
    <row r="1225" spans="1:5">
      <c r="A1225" s="76" t="s">
        <v>251</v>
      </c>
      <c r="B1225" s="85">
        <v>27620</v>
      </c>
      <c r="C1225" s="85">
        <v>7540</v>
      </c>
      <c r="D1225">
        <v>11835000</v>
      </c>
      <c r="E1225">
        <v>11865000</v>
      </c>
    </row>
    <row r="1226" spans="1:5">
      <c r="A1226" s="77" t="s">
        <v>252</v>
      </c>
      <c r="B1226" s="85">
        <v>27630</v>
      </c>
      <c r="C1226" s="85">
        <v>7550</v>
      </c>
      <c r="D1226">
        <v>11850000</v>
      </c>
      <c r="E1226">
        <v>11855000</v>
      </c>
    </row>
    <row r="1227" spans="1:5">
      <c r="A1227" s="75" t="s">
        <v>253</v>
      </c>
      <c r="B1227" s="85">
        <v>27670</v>
      </c>
      <c r="C1227" s="85">
        <v>7570</v>
      </c>
      <c r="D1227">
        <v>11870000</v>
      </c>
    </row>
    <row r="1228" spans="1:5">
      <c r="A1228" s="83">
        <v>0.625</v>
      </c>
      <c r="B1228" s="85">
        <v>27770</v>
      </c>
      <c r="C1228" s="85">
        <v>7590</v>
      </c>
      <c r="D1228" s="85">
        <v>11870000</v>
      </c>
    </row>
    <row r="1229" spans="1:5">
      <c r="A1229" s="76" t="s">
        <v>254</v>
      </c>
      <c r="B1229" s="85">
        <v>27820</v>
      </c>
      <c r="C1229" s="85">
        <v>7590</v>
      </c>
      <c r="D1229" s="85">
        <v>11865000</v>
      </c>
    </row>
    <row r="1230" spans="1:5">
      <c r="A1230" s="86">
        <v>0.70833333333333304</v>
      </c>
      <c r="B1230" s="85">
        <v>27800</v>
      </c>
      <c r="C1230" s="85">
        <v>7580</v>
      </c>
      <c r="D1230" s="85">
        <v>11865000</v>
      </c>
    </row>
    <row r="1234" spans="1:5">
      <c r="A1234" s="152" t="s">
        <v>447</v>
      </c>
      <c r="B1234" s="152"/>
      <c r="C1234" s="152"/>
      <c r="D1234" s="152"/>
    </row>
    <row r="1235" spans="1:5">
      <c r="A1235" s="85" t="s">
        <v>247</v>
      </c>
      <c r="B1235" s="85" t="s">
        <v>248</v>
      </c>
      <c r="C1235" s="85" t="s">
        <v>249</v>
      </c>
      <c r="D1235" s="85" t="s">
        <v>250</v>
      </c>
    </row>
    <row r="1236" spans="1:5">
      <c r="A1236" s="75">
        <v>0.45833333333333298</v>
      </c>
      <c r="B1236" s="85"/>
      <c r="C1236" s="85"/>
      <c r="E1236">
        <v>11830000</v>
      </c>
    </row>
    <row r="1237" spans="1:5">
      <c r="A1237" s="76" t="s">
        <v>251</v>
      </c>
      <c r="B1237" s="85"/>
      <c r="C1237" s="85"/>
      <c r="E1237">
        <v>11835000</v>
      </c>
    </row>
    <row r="1238" spans="1:5">
      <c r="A1238" s="77" t="s">
        <v>252</v>
      </c>
      <c r="B1238" s="85"/>
      <c r="C1238" s="85"/>
      <c r="E1238">
        <v>11815000</v>
      </c>
    </row>
    <row r="1239" spans="1:5">
      <c r="A1239" s="75" t="s">
        <v>253</v>
      </c>
      <c r="B1239" s="85"/>
      <c r="C1239" s="85"/>
    </row>
    <row r="1240" spans="1:5">
      <c r="A1240" s="83">
        <v>0.625</v>
      </c>
      <c r="B1240" s="85"/>
      <c r="C1240" s="85"/>
      <c r="D1240" s="85"/>
    </row>
    <row r="1241" spans="1:5">
      <c r="A1241" s="76" t="s">
        <v>254</v>
      </c>
      <c r="B1241" s="85"/>
      <c r="C1241" s="85"/>
      <c r="D1241" s="85"/>
    </row>
    <row r="1242" spans="1:5">
      <c r="A1242" s="86">
        <v>0.70833333333333304</v>
      </c>
      <c r="B1242" s="85"/>
      <c r="C1242" s="85"/>
      <c r="D1242" s="85"/>
    </row>
    <row r="1246" spans="1:5">
      <c r="A1246" s="152" t="s">
        <v>449</v>
      </c>
      <c r="B1246" s="152"/>
      <c r="C1246" s="152"/>
      <c r="D1246" s="152"/>
    </row>
    <row r="1247" spans="1:5">
      <c r="A1247" s="85" t="s">
        <v>247</v>
      </c>
      <c r="B1247" s="85" t="s">
        <v>248</v>
      </c>
      <c r="C1247" s="85" t="s">
        <v>249</v>
      </c>
      <c r="D1247" s="85" t="s">
        <v>250</v>
      </c>
    </row>
    <row r="1248" spans="1:5">
      <c r="A1248" s="75">
        <v>0.45833333333333298</v>
      </c>
      <c r="B1248" s="85">
        <v>27810</v>
      </c>
      <c r="C1248" s="85">
        <v>7570</v>
      </c>
      <c r="D1248">
        <v>11950000</v>
      </c>
    </row>
    <row r="1249" spans="1:4">
      <c r="A1249" s="76" t="s">
        <v>251</v>
      </c>
      <c r="B1249" s="85">
        <v>27800</v>
      </c>
      <c r="C1249" s="85">
        <v>7570</v>
      </c>
      <c r="D1249">
        <v>11960000</v>
      </c>
    </row>
    <row r="1250" spans="1:4">
      <c r="A1250" s="77" t="s">
        <v>252</v>
      </c>
      <c r="B1250" s="85">
        <v>27790</v>
      </c>
      <c r="C1250" s="85">
        <v>7560</v>
      </c>
      <c r="D1250">
        <v>11970000</v>
      </c>
    </row>
    <row r="1251" spans="1:4">
      <c r="A1251" s="75" t="s">
        <v>253</v>
      </c>
      <c r="B1251" s="85">
        <v>27820</v>
      </c>
      <c r="C1251" s="85">
        <v>7570</v>
      </c>
      <c r="D1251">
        <v>11975000</v>
      </c>
    </row>
    <row r="1252" spans="1:4">
      <c r="A1252" s="83">
        <v>0.625</v>
      </c>
      <c r="B1252" s="85">
        <v>27870</v>
      </c>
      <c r="C1252" s="85">
        <v>7580</v>
      </c>
      <c r="D1252" s="85">
        <v>11985000</v>
      </c>
    </row>
    <row r="1253" spans="1:4">
      <c r="A1253" s="76" t="s">
        <v>254</v>
      </c>
      <c r="B1253" s="85">
        <v>27870</v>
      </c>
      <c r="C1253" s="85">
        <v>7580</v>
      </c>
      <c r="D1253" s="85">
        <v>11980000</v>
      </c>
    </row>
    <row r="1254" spans="1:4">
      <c r="A1254" s="86">
        <v>0.70833333333333304</v>
      </c>
      <c r="B1254" s="85">
        <v>27870</v>
      </c>
      <c r="C1254" s="85">
        <v>7580</v>
      </c>
      <c r="D1254" s="85">
        <v>11980000</v>
      </c>
    </row>
    <row r="1258" spans="1:4">
      <c r="A1258" s="152" t="s">
        <v>452</v>
      </c>
      <c r="B1258" s="152"/>
      <c r="C1258" s="152"/>
      <c r="D1258" s="152"/>
    </row>
    <row r="1259" spans="1:4">
      <c r="A1259" s="85" t="s">
        <v>247</v>
      </c>
      <c r="B1259" s="85" t="s">
        <v>248</v>
      </c>
      <c r="C1259" s="85" t="s">
        <v>249</v>
      </c>
      <c r="D1259" s="85" t="s">
        <v>250</v>
      </c>
    </row>
    <row r="1260" spans="1:4">
      <c r="A1260" s="75">
        <v>0.45833333333333298</v>
      </c>
      <c r="B1260" s="85">
        <v>27830</v>
      </c>
      <c r="C1260" s="85">
        <v>7570</v>
      </c>
      <c r="D1260">
        <v>12040000</v>
      </c>
    </row>
    <row r="1261" spans="1:4">
      <c r="A1261" s="76" t="s">
        <v>251</v>
      </c>
      <c r="B1261" s="85">
        <v>27800</v>
      </c>
      <c r="C1261" s="85">
        <v>7580</v>
      </c>
      <c r="D1261">
        <v>12065000</v>
      </c>
    </row>
    <row r="1262" spans="1:4">
      <c r="A1262" s="77" t="s">
        <v>252</v>
      </c>
      <c r="B1262" s="85">
        <v>27900</v>
      </c>
      <c r="C1262" s="85">
        <v>7580</v>
      </c>
      <c r="D1262">
        <v>12050000</v>
      </c>
    </row>
    <row r="1263" spans="1:4">
      <c r="A1263" s="75" t="s">
        <v>253</v>
      </c>
      <c r="B1263" s="85">
        <v>27900</v>
      </c>
      <c r="C1263" s="85">
        <v>7580</v>
      </c>
      <c r="D1263">
        <v>12140000</v>
      </c>
    </row>
    <row r="1264" spans="1:4">
      <c r="A1264" s="83">
        <v>0.625</v>
      </c>
      <c r="B1264" s="85">
        <v>27900</v>
      </c>
      <c r="C1264" s="85">
        <v>7590</v>
      </c>
      <c r="D1264" s="85">
        <v>12130000</v>
      </c>
    </row>
    <row r="1265" spans="1:4">
      <c r="A1265" s="76" t="s">
        <v>254</v>
      </c>
      <c r="B1265" s="85">
        <v>27900</v>
      </c>
      <c r="C1265" s="85">
        <v>7600</v>
      </c>
      <c r="D1265" s="85">
        <v>12150000</v>
      </c>
    </row>
    <row r="1266" spans="1:4">
      <c r="A1266" s="86">
        <v>0.70833333333333304</v>
      </c>
      <c r="B1266" s="85">
        <v>27900</v>
      </c>
      <c r="C1266" s="85">
        <v>7600</v>
      </c>
      <c r="D1266" s="85">
        <v>12150000</v>
      </c>
    </row>
    <row r="1267" spans="1:4">
      <c r="B1267" s="85"/>
    </row>
    <row r="1270" spans="1:4">
      <c r="A1270" s="152" t="s">
        <v>454</v>
      </c>
      <c r="B1270" s="152"/>
      <c r="C1270" s="152"/>
      <c r="D1270" s="152"/>
    </row>
    <row r="1271" spans="1:4">
      <c r="A1271" s="85" t="s">
        <v>247</v>
      </c>
      <c r="B1271" s="85" t="s">
        <v>248</v>
      </c>
      <c r="C1271" s="85" t="s">
        <v>249</v>
      </c>
      <c r="D1271" s="85" t="s">
        <v>250</v>
      </c>
    </row>
    <row r="1272" spans="1:4">
      <c r="A1272" s="75">
        <v>0.45833333333333298</v>
      </c>
      <c r="B1272" s="85">
        <v>28020</v>
      </c>
      <c r="C1272" s="85">
        <v>7640</v>
      </c>
      <c r="D1272">
        <v>12200000</v>
      </c>
    </row>
    <row r="1273" spans="1:4">
      <c r="A1273" s="76" t="s">
        <v>251</v>
      </c>
      <c r="B1273" s="85">
        <v>28070</v>
      </c>
      <c r="C1273" s="85">
        <v>7640</v>
      </c>
      <c r="D1273">
        <v>12230000</v>
      </c>
    </row>
    <row r="1274" spans="1:4">
      <c r="A1274" s="77" t="s">
        <v>252</v>
      </c>
      <c r="B1274" s="85">
        <v>28100</v>
      </c>
      <c r="C1274" s="85">
        <v>7650</v>
      </c>
      <c r="D1274">
        <v>12245000</v>
      </c>
    </row>
    <row r="1275" spans="1:4">
      <c r="A1275" s="75" t="s">
        <v>253</v>
      </c>
      <c r="B1275" s="85">
        <v>28150</v>
      </c>
      <c r="C1275" s="85">
        <v>7670</v>
      </c>
      <c r="D1275">
        <v>12215000</v>
      </c>
    </row>
    <row r="1276" spans="1:4">
      <c r="A1276" s="83">
        <v>0.625</v>
      </c>
      <c r="B1276" s="85">
        <v>28100</v>
      </c>
      <c r="C1276" s="85">
        <v>7670</v>
      </c>
      <c r="D1276" s="85">
        <v>12190000</v>
      </c>
    </row>
    <row r="1277" spans="1:4">
      <c r="A1277" s="76" t="s">
        <v>254</v>
      </c>
      <c r="B1277" s="85">
        <v>28100</v>
      </c>
      <c r="C1277" s="85">
        <v>7660</v>
      </c>
      <c r="D1277" s="85">
        <v>12190000</v>
      </c>
    </row>
    <row r="1278" spans="1:4">
      <c r="A1278" s="86">
        <v>0.70833333333333304</v>
      </c>
      <c r="B1278" s="85">
        <v>28100</v>
      </c>
      <c r="C1278" s="85">
        <v>7660</v>
      </c>
      <c r="D1278" s="85">
        <v>12190000</v>
      </c>
    </row>
    <row r="1282" spans="1:4">
      <c r="A1282" s="152" t="s">
        <v>456</v>
      </c>
      <c r="B1282" s="152"/>
      <c r="C1282" s="152"/>
      <c r="D1282" s="152"/>
    </row>
    <row r="1283" spans="1:4">
      <c r="A1283" s="85" t="s">
        <v>247</v>
      </c>
      <c r="B1283" s="85" t="s">
        <v>248</v>
      </c>
      <c r="C1283" s="85" t="s">
        <v>249</v>
      </c>
      <c r="D1283" s="85" t="s">
        <v>250</v>
      </c>
    </row>
    <row r="1284" spans="1:4">
      <c r="A1284" s="75">
        <v>0.45833333333333298</v>
      </c>
      <c r="B1284" s="85">
        <v>28080</v>
      </c>
      <c r="C1284" s="85">
        <v>7640</v>
      </c>
      <c r="D1284">
        <v>12165000</v>
      </c>
    </row>
    <row r="1285" spans="1:4">
      <c r="A1285" s="76" t="s">
        <v>251</v>
      </c>
      <c r="B1285" s="85">
        <v>28040</v>
      </c>
      <c r="C1285" s="85">
        <v>7640</v>
      </c>
      <c r="D1285">
        <v>12170000</v>
      </c>
    </row>
    <row r="1286" spans="1:4">
      <c r="A1286" s="77" t="s">
        <v>252</v>
      </c>
      <c r="B1286" s="85">
        <v>28140</v>
      </c>
      <c r="C1286" s="85">
        <v>7650</v>
      </c>
      <c r="D1286">
        <v>12200000</v>
      </c>
    </row>
    <row r="1287" spans="1:4">
      <c r="A1287" s="75" t="s">
        <v>253</v>
      </c>
      <c r="B1287" s="85">
        <v>28140</v>
      </c>
      <c r="C1287" s="85">
        <v>7660</v>
      </c>
      <c r="D1287">
        <v>12210000</v>
      </c>
    </row>
    <row r="1288" spans="1:4">
      <c r="A1288" s="83">
        <v>0.625</v>
      </c>
      <c r="B1288" s="85">
        <v>28140</v>
      </c>
      <c r="C1288" s="85">
        <v>7660</v>
      </c>
      <c r="D1288" s="85">
        <v>12240000</v>
      </c>
    </row>
    <row r="1289" spans="1:4">
      <c r="A1289" s="76" t="s">
        <v>254</v>
      </c>
      <c r="B1289" s="85">
        <v>28140</v>
      </c>
      <c r="C1289" s="85">
        <v>7660</v>
      </c>
      <c r="D1289" s="85">
        <v>12230000</v>
      </c>
    </row>
    <row r="1290" spans="1:4">
      <c r="A1290" s="86">
        <v>0.70833333333333304</v>
      </c>
      <c r="B1290" s="85">
        <v>28140</v>
      </c>
      <c r="C1290" s="85">
        <v>7660</v>
      </c>
      <c r="D1290" s="85">
        <v>12220000</v>
      </c>
    </row>
    <row r="1294" spans="1:4">
      <c r="A1294" s="152" t="s">
        <v>458</v>
      </c>
      <c r="B1294" s="152"/>
      <c r="C1294" s="152"/>
      <c r="D1294" s="152"/>
    </row>
    <row r="1295" spans="1:4">
      <c r="A1295" s="85" t="s">
        <v>247</v>
      </c>
      <c r="B1295" s="85" t="s">
        <v>248</v>
      </c>
      <c r="C1295" s="85" t="s">
        <v>249</v>
      </c>
      <c r="D1295" s="85" t="s">
        <v>250</v>
      </c>
    </row>
    <row r="1296" spans="1:4">
      <c r="A1296" s="75">
        <v>0.45833333333333298</v>
      </c>
      <c r="B1296" s="85">
        <v>28180</v>
      </c>
      <c r="C1296" s="85">
        <v>7660</v>
      </c>
      <c r="D1296">
        <v>12270000</v>
      </c>
    </row>
    <row r="1297" spans="1:5">
      <c r="A1297" s="76" t="s">
        <v>251</v>
      </c>
      <c r="B1297" s="85">
        <v>28160</v>
      </c>
      <c r="C1297" s="85">
        <v>7670</v>
      </c>
      <c r="D1297">
        <v>12245000</v>
      </c>
    </row>
    <row r="1298" spans="1:5">
      <c r="A1298" s="77" t="s">
        <v>252</v>
      </c>
      <c r="B1298" s="85">
        <v>28260</v>
      </c>
      <c r="C1298" s="85">
        <v>7690</v>
      </c>
      <c r="D1298">
        <v>12240000</v>
      </c>
    </row>
    <row r="1299" spans="1:5">
      <c r="A1299" s="75" t="s">
        <v>253</v>
      </c>
      <c r="B1299" s="85">
        <v>28250</v>
      </c>
      <c r="C1299" s="85">
        <v>7700</v>
      </c>
      <c r="D1299">
        <v>12270000</v>
      </c>
    </row>
    <row r="1300" spans="1:5">
      <c r="A1300" s="83">
        <v>0.625</v>
      </c>
      <c r="B1300" s="85">
        <v>28250</v>
      </c>
      <c r="C1300" s="85">
        <v>7700</v>
      </c>
      <c r="D1300" s="85">
        <v>12280000</v>
      </c>
    </row>
    <row r="1301" spans="1:5">
      <c r="A1301" s="76" t="s">
        <v>254</v>
      </c>
      <c r="B1301" s="85">
        <v>28250</v>
      </c>
      <c r="C1301" s="85">
        <v>7700</v>
      </c>
      <c r="D1301" s="85">
        <v>12275000</v>
      </c>
    </row>
    <row r="1302" spans="1:5">
      <c r="A1302" s="86">
        <v>0.70833333333333304</v>
      </c>
      <c r="B1302" s="85">
        <v>28250</v>
      </c>
      <c r="C1302" s="85">
        <v>7700</v>
      </c>
      <c r="D1302" s="85">
        <v>12275000</v>
      </c>
    </row>
    <row r="1306" spans="1:5">
      <c r="A1306" s="152" t="s">
        <v>460</v>
      </c>
      <c r="B1306" s="152"/>
      <c r="C1306" s="152"/>
      <c r="D1306" s="152"/>
    </row>
    <row r="1307" spans="1:5">
      <c r="A1307" s="85" t="s">
        <v>247</v>
      </c>
      <c r="B1307" s="85" t="s">
        <v>248</v>
      </c>
      <c r="C1307" s="85" t="s">
        <v>249</v>
      </c>
      <c r="D1307" s="85" t="s">
        <v>250</v>
      </c>
    </row>
    <row r="1308" spans="1:5">
      <c r="A1308" s="75">
        <v>0.45833333333333298</v>
      </c>
      <c r="B1308" s="85"/>
      <c r="C1308" s="85"/>
      <c r="E1308">
        <v>12540000</v>
      </c>
    </row>
    <row r="1309" spans="1:5">
      <c r="A1309" s="76" t="s">
        <v>251</v>
      </c>
      <c r="B1309" s="85"/>
      <c r="C1309" s="85"/>
    </row>
    <row r="1310" spans="1:5">
      <c r="A1310" s="77" t="s">
        <v>252</v>
      </c>
      <c r="B1310" s="85"/>
      <c r="C1310" s="85"/>
    </row>
    <row r="1311" spans="1:5">
      <c r="A1311" s="75" t="s">
        <v>253</v>
      </c>
      <c r="B1311" s="85"/>
      <c r="C1311" s="85"/>
    </row>
    <row r="1312" spans="1:5">
      <c r="A1312" s="83">
        <v>0.625</v>
      </c>
      <c r="B1312" s="85"/>
      <c r="C1312" s="85"/>
      <c r="D1312" s="85"/>
    </row>
    <row r="1313" spans="1:4">
      <c r="A1313" s="76" t="s">
        <v>254</v>
      </c>
      <c r="B1313" s="85"/>
      <c r="C1313" s="85"/>
      <c r="D1313" s="85"/>
    </row>
    <row r="1314" spans="1:4">
      <c r="A1314" s="86">
        <v>0.70833333333333304</v>
      </c>
      <c r="B1314" s="85"/>
      <c r="C1314" s="85"/>
      <c r="D1314" s="85"/>
    </row>
    <row r="1318" spans="1:4">
      <c r="A1318" s="152" t="s">
        <v>462</v>
      </c>
      <c r="B1318" s="152"/>
      <c r="C1318" s="152"/>
      <c r="D1318" s="152"/>
    </row>
    <row r="1319" spans="1:4">
      <c r="A1319" s="85" t="s">
        <v>247</v>
      </c>
      <c r="B1319" s="85" t="s">
        <v>248</v>
      </c>
      <c r="C1319" s="85" t="s">
        <v>249</v>
      </c>
      <c r="D1319" s="85" t="s">
        <v>250</v>
      </c>
    </row>
    <row r="1320" spans="1:4">
      <c r="A1320" s="75">
        <v>0.45833333333333298</v>
      </c>
      <c r="B1320" s="85">
        <v>28470</v>
      </c>
      <c r="C1320" s="85">
        <v>7780</v>
      </c>
      <c r="D1320">
        <v>12590000</v>
      </c>
    </row>
    <row r="1321" spans="1:4">
      <c r="A1321" s="76" t="s">
        <v>251</v>
      </c>
      <c r="B1321" s="85">
        <v>28550</v>
      </c>
      <c r="C1321" s="85">
        <v>7790</v>
      </c>
      <c r="D1321">
        <v>12625000</v>
      </c>
    </row>
    <row r="1322" spans="1:4">
      <c r="A1322" s="77" t="s">
        <v>252</v>
      </c>
      <c r="B1322" s="85">
        <v>28620</v>
      </c>
      <c r="C1322" s="85">
        <v>7800</v>
      </c>
      <c r="D1322">
        <v>12660000</v>
      </c>
    </row>
    <row r="1323" spans="1:4">
      <c r="A1323" s="75" t="s">
        <v>253</v>
      </c>
      <c r="B1323" s="85">
        <v>28700</v>
      </c>
      <c r="C1323" s="85">
        <v>7810</v>
      </c>
      <c r="D1323">
        <v>12675000</v>
      </c>
    </row>
    <row r="1324" spans="1:4">
      <c r="A1324" s="83">
        <v>0.625</v>
      </c>
      <c r="B1324" s="85">
        <v>28720</v>
      </c>
      <c r="C1324" s="85">
        <v>7820</v>
      </c>
      <c r="D1324" s="85">
        <v>12690000</v>
      </c>
    </row>
    <row r="1325" spans="1:4">
      <c r="A1325" s="76" t="s">
        <v>254</v>
      </c>
      <c r="B1325" s="85">
        <v>28720</v>
      </c>
      <c r="C1325" s="85">
        <v>7830</v>
      </c>
      <c r="D1325" s="85">
        <v>12695000</v>
      </c>
    </row>
    <row r="1326" spans="1:4">
      <c r="A1326" s="86">
        <v>0.70833333333333304</v>
      </c>
      <c r="B1326" s="85">
        <v>28720</v>
      </c>
      <c r="C1326" s="85">
        <v>7840</v>
      </c>
      <c r="D1326" s="85">
        <v>12700000</v>
      </c>
    </row>
    <row r="1330" spans="1:4">
      <c r="A1330" s="152" t="s">
        <v>464</v>
      </c>
      <c r="B1330" s="152"/>
      <c r="C1330" s="152"/>
      <c r="D1330" s="152"/>
    </row>
    <row r="1331" spans="1:4">
      <c r="A1331" s="85" t="s">
        <v>247</v>
      </c>
      <c r="B1331" s="85" t="s">
        <v>248</v>
      </c>
      <c r="C1331" s="85" t="s">
        <v>249</v>
      </c>
      <c r="D1331" s="85" t="s">
        <v>250</v>
      </c>
    </row>
    <row r="1332" spans="1:4">
      <c r="A1332" s="75">
        <v>0.45833333333333298</v>
      </c>
      <c r="B1332" s="85">
        <v>28720</v>
      </c>
      <c r="C1332" s="85">
        <v>7830</v>
      </c>
      <c r="D1332">
        <v>12725000</v>
      </c>
    </row>
    <row r="1333" spans="1:4">
      <c r="A1333" s="76" t="s">
        <v>251</v>
      </c>
      <c r="B1333" s="85">
        <v>28700</v>
      </c>
      <c r="C1333" s="85">
        <v>7820</v>
      </c>
      <c r="D1333">
        <v>12665000</v>
      </c>
    </row>
    <row r="1334" spans="1:4">
      <c r="A1334" s="77" t="s">
        <v>252</v>
      </c>
      <c r="B1334" s="85">
        <v>28660</v>
      </c>
      <c r="C1334" s="85">
        <v>7810</v>
      </c>
      <c r="D1334">
        <v>12670000</v>
      </c>
    </row>
    <row r="1335" spans="1:4">
      <c r="A1335" s="75" t="s">
        <v>253</v>
      </c>
      <c r="B1335" s="85">
        <v>28600</v>
      </c>
      <c r="C1335" s="85">
        <v>7800</v>
      </c>
      <c r="D1335">
        <v>12645000</v>
      </c>
    </row>
    <row r="1336" spans="1:4">
      <c r="A1336" s="83">
        <v>0.625</v>
      </c>
      <c r="B1336" s="85">
        <v>28580</v>
      </c>
      <c r="C1336" s="85">
        <v>7800</v>
      </c>
      <c r="D1336" s="85">
        <v>12570000</v>
      </c>
    </row>
    <row r="1337" spans="1:4">
      <c r="A1337" s="76" t="s">
        <v>254</v>
      </c>
      <c r="B1337" s="85">
        <v>28580</v>
      </c>
      <c r="C1337" s="85">
        <v>7790</v>
      </c>
      <c r="D1337" s="85">
        <v>12560000</v>
      </c>
    </row>
    <row r="1338" spans="1:4">
      <c r="A1338" s="86">
        <v>0.70833333333333304</v>
      </c>
      <c r="B1338" s="85">
        <v>28580</v>
      </c>
      <c r="C1338" s="85">
        <v>7780</v>
      </c>
      <c r="D1338" s="85">
        <v>12560000</v>
      </c>
    </row>
    <row r="1343" spans="1:4">
      <c r="A1343" s="152" t="s">
        <v>467</v>
      </c>
      <c r="B1343" s="152"/>
      <c r="C1343" s="152"/>
      <c r="D1343" s="152"/>
    </row>
    <row r="1344" spans="1:4">
      <c r="A1344" s="85" t="s">
        <v>247</v>
      </c>
      <c r="B1344" s="85" t="s">
        <v>248</v>
      </c>
      <c r="C1344" s="85" t="s">
        <v>249</v>
      </c>
      <c r="D1344" s="85" t="s">
        <v>250</v>
      </c>
    </row>
    <row r="1345" spans="1:4">
      <c r="A1345" s="75">
        <v>0.45833333333333298</v>
      </c>
      <c r="B1345" s="85">
        <v>28400</v>
      </c>
      <c r="C1345" s="85">
        <v>7710</v>
      </c>
      <c r="D1345">
        <v>12530000</v>
      </c>
    </row>
    <row r="1346" spans="1:4">
      <c r="A1346" s="76" t="s">
        <v>251</v>
      </c>
      <c r="B1346" s="85">
        <v>28290</v>
      </c>
      <c r="C1346" s="85">
        <v>7700</v>
      </c>
      <c r="D1346">
        <v>12480000</v>
      </c>
    </row>
    <row r="1347" spans="1:4">
      <c r="A1347" s="77" t="s">
        <v>252</v>
      </c>
      <c r="B1347" s="85">
        <v>28220</v>
      </c>
      <c r="C1347" s="85">
        <v>7690</v>
      </c>
      <c r="D1347">
        <v>12485000</v>
      </c>
    </row>
    <row r="1348" spans="1:4">
      <c r="A1348" s="75" t="s">
        <v>253</v>
      </c>
      <c r="B1348" s="85">
        <v>28200</v>
      </c>
      <c r="C1348" s="85">
        <v>7700</v>
      </c>
      <c r="D1348">
        <v>12490000</v>
      </c>
    </row>
    <row r="1349" spans="1:4">
      <c r="A1349" s="83">
        <v>0.625</v>
      </c>
      <c r="B1349" s="85">
        <v>28200</v>
      </c>
      <c r="C1349" s="85">
        <v>7710</v>
      </c>
      <c r="D1349" s="85">
        <v>12495000</v>
      </c>
    </row>
    <row r="1350" spans="1:4">
      <c r="A1350" s="76" t="s">
        <v>254</v>
      </c>
      <c r="B1350" s="85">
        <v>28190</v>
      </c>
      <c r="C1350" s="85">
        <v>7710</v>
      </c>
      <c r="D1350" s="85">
        <v>12495000</v>
      </c>
    </row>
    <row r="1351" spans="1:4">
      <c r="A1351" s="86">
        <v>0.70833333333333304</v>
      </c>
      <c r="B1351" s="85">
        <v>28190</v>
      </c>
      <c r="C1351" s="85">
        <v>7720</v>
      </c>
      <c r="D1351" s="85">
        <v>12495000</v>
      </c>
    </row>
    <row r="1355" spans="1:4">
      <c r="A1355" s="152" t="s">
        <v>469</v>
      </c>
      <c r="B1355" s="152"/>
      <c r="C1355" s="152"/>
      <c r="D1355" s="152"/>
    </row>
    <row r="1356" spans="1:4">
      <c r="A1356" s="85" t="s">
        <v>247</v>
      </c>
      <c r="B1356" s="85" t="s">
        <v>248</v>
      </c>
      <c r="C1356" s="85" t="s">
        <v>249</v>
      </c>
      <c r="D1356" s="85" t="s">
        <v>250</v>
      </c>
    </row>
    <row r="1357" spans="1:4">
      <c r="A1357" s="75">
        <v>0.45833333333333298</v>
      </c>
      <c r="B1357" s="85">
        <v>28170</v>
      </c>
      <c r="C1357" s="85">
        <v>7690</v>
      </c>
      <c r="D1357">
        <v>12475000</v>
      </c>
    </row>
    <row r="1358" spans="1:4">
      <c r="A1358" s="76" t="s">
        <v>251</v>
      </c>
      <c r="B1358" s="85">
        <v>28250</v>
      </c>
      <c r="C1358" s="85">
        <v>7690</v>
      </c>
      <c r="D1358">
        <v>12520000</v>
      </c>
    </row>
    <row r="1359" spans="1:4">
      <c r="A1359" s="77" t="s">
        <v>252</v>
      </c>
      <c r="B1359" s="85">
        <v>28200</v>
      </c>
      <c r="C1359" s="85">
        <v>7700</v>
      </c>
      <c r="D1359">
        <v>12535000</v>
      </c>
    </row>
    <row r="1360" spans="1:4">
      <c r="A1360" s="75" t="s">
        <v>253</v>
      </c>
      <c r="B1360" s="85">
        <v>28120</v>
      </c>
      <c r="C1360" s="85">
        <v>7710</v>
      </c>
      <c r="D1360">
        <v>12550000</v>
      </c>
    </row>
    <row r="1361" spans="1:4">
      <c r="A1361" s="83">
        <v>0.625</v>
      </c>
      <c r="B1361" s="85">
        <v>28180</v>
      </c>
      <c r="C1361" s="85">
        <v>7720</v>
      </c>
      <c r="D1361" s="85">
        <v>12560000</v>
      </c>
    </row>
    <row r="1362" spans="1:4">
      <c r="A1362" s="76" t="s">
        <v>254</v>
      </c>
      <c r="B1362" s="85">
        <v>28180</v>
      </c>
      <c r="C1362" s="85">
        <v>7710</v>
      </c>
      <c r="D1362" s="85">
        <v>12570000</v>
      </c>
    </row>
    <row r="1363" spans="1:4">
      <c r="A1363" s="86">
        <v>0.70833333333333304</v>
      </c>
      <c r="B1363" s="85">
        <v>28180</v>
      </c>
      <c r="C1363" s="85">
        <v>7720</v>
      </c>
      <c r="D1363" s="85">
        <v>12570000</v>
      </c>
    </row>
    <row r="1368" spans="1:4">
      <c r="A1368" s="152" t="s">
        <v>471</v>
      </c>
      <c r="B1368" s="152"/>
      <c r="C1368" s="152"/>
      <c r="D1368" s="152"/>
    </row>
    <row r="1369" spans="1:4">
      <c r="A1369" s="85" t="s">
        <v>247</v>
      </c>
      <c r="B1369" s="85" t="s">
        <v>248</v>
      </c>
      <c r="C1369" s="85" t="s">
        <v>249</v>
      </c>
      <c r="D1369" s="85" t="s">
        <v>250</v>
      </c>
    </row>
    <row r="1370" spans="1:4">
      <c r="A1370" s="75">
        <v>0.45833333333333298</v>
      </c>
      <c r="B1370" s="85">
        <v>28340</v>
      </c>
      <c r="C1370" s="85">
        <v>7740</v>
      </c>
      <c r="D1370">
        <v>12575000</v>
      </c>
    </row>
    <row r="1371" spans="1:4">
      <c r="A1371" s="76" t="s">
        <v>251</v>
      </c>
      <c r="B1371" s="85">
        <v>28370</v>
      </c>
      <c r="C1371" s="85">
        <v>7730</v>
      </c>
      <c r="D1371">
        <v>12590000</v>
      </c>
    </row>
    <row r="1372" spans="1:4">
      <c r="A1372" s="77" t="s">
        <v>252</v>
      </c>
      <c r="B1372" s="85">
        <v>28250</v>
      </c>
      <c r="C1372" s="85">
        <v>7730</v>
      </c>
      <c r="D1372">
        <v>12580000</v>
      </c>
    </row>
    <row r="1373" spans="1:4">
      <c r="A1373" s="75" t="s">
        <v>253</v>
      </c>
      <c r="B1373" s="85">
        <v>28240</v>
      </c>
      <c r="C1373" s="85">
        <v>7740</v>
      </c>
      <c r="D1373">
        <v>12545000</v>
      </c>
    </row>
    <row r="1374" spans="1:4">
      <c r="A1374" s="83">
        <v>0.625</v>
      </c>
      <c r="B1374" s="85">
        <v>28190</v>
      </c>
      <c r="C1374" s="85">
        <v>7740</v>
      </c>
      <c r="D1374" s="85">
        <v>12555000</v>
      </c>
    </row>
    <row r="1375" spans="1:4">
      <c r="A1375" s="76" t="s">
        <v>254</v>
      </c>
      <c r="B1375" s="85">
        <v>28190</v>
      </c>
      <c r="C1375" s="85">
        <v>7740</v>
      </c>
      <c r="D1375" s="85">
        <v>12550000</v>
      </c>
    </row>
    <row r="1376" spans="1:4">
      <c r="A1376" s="86">
        <v>0.70833333333333304</v>
      </c>
      <c r="B1376" s="85">
        <v>28190</v>
      </c>
      <c r="C1376" s="85">
        <v>7740</v>
      </c>
      <c r="D1376" s="85">
        <v>12555000</v>
      </c>
    </row>
    <row r="1380" spans="1:5">
      <c r="A1380" s="152" t="s">
        <v>473</v>
      </c>
      <c r="B1380" s="152"/>
      <c r="C1380" s="152"/>
      <c r="D1380" s="152"/>
    </row>
    <row r="1381" spans="1:5">
      <c r="A1381" s="85" t="s">
        <v>247</v>
      </c>
      <c r="B1381" s="85" t="s">
        <v>248</v>
      </c>
      <c r="C1381" s="85" t="s">
        <v>249</v>
      </c>
      <c r="D1381" s="85" t="s">
        <v>250</v>
      </c>
    </row>
    <row r="1382" spans="1:5">
      <c r="A1382" s="75">
        <v>0.45833333333333298</v>
      </c>
      <c r="B1382" s="85"/>
      <c r="C1382" s="85"/>
      <c r="E1382">
        <v>12490000</v>
      </c>
    </row>
    <row r="1383" spans="1:5">
      <c r="A1383" s="76" t="s">
        <v>251</v>
      </c>
      <c r="B1383" s="85"/>
      <c r="C1383" s="85"/>
      <c r="E1383">
        <v>12475000</v>
      </c>
    </row>
    <row r="1384" spans="1:5">
      <c r="A1384" s="77" t="s">
        <v>252</v>
      </c>
      <c r="B1384" s="85"/>
      <c r="C1384" s="85"/>
      <c r="E1384">
        <v>12470000</v>
      </c>
    </row>
    <row r="1385" spans="1:5">
      <c r="A1385" s="75" t="s">
        <v>253</v>
      </c>
      <c r="B1385" s="85"/>
      <c r="C1385" s="85"/>
    </row>
    <row r="1386" spans="1:5">
      <c r="A1386" s="83">
        <v>0.625</v>
      </c>
      <c r="B1386" s="85"/>
      <c r="C1386" s="85"/>
      <c r="D1386" s="85"/>
    </row>
    <row r="1387" spans="1:5">
      <c r="A1387" s="76" t="s">
        <v>254</v>
      </c>
      <c r="B1387" s="85"/>
      <c r="C1387" s="85"/>
      <c r="D1387" s="85"/>
    </row>
    <row r="1388" spans="1:5">
      <c r="A1388" s="86">
        <v>0.70833333333333304</v>
      </c>
      <c r="B1388" s="85"/>
      <c r="C1388" s="85"/>
      <c r="D1388" s="85"/>
    </row>
    <row r="1392" spans="1:5">
      <c r="A1392" s="152" t="s">
        <v>476</v>
      </c>
      <c r="B1392" s="152"/>
      <c r="C1392" s="152"/>
      <c r="D1392" s="152"/>
    </row>
    <row r="1393" spans="1:4">
      <c r="A1393" s="85" t="s">
        <v>247</v>
      </c>
      <c r="B1393" s="85" t="s">
        <v>248</v>
      </c>
      <c r="C1393" s="85" t="s">
        <v>249</v>
      </c>
      <c r="D1393" s="85" t="s">
        <v>250</v>
      </c>
    </row>
    <row r="1394" spans="1:4">
      <c r="A1394" s="75">
        <v>0.45833333333333298</v>
      </c>
      <c r="B1394" s="85">
        <v>28180</v>
      </c>
      <c r="C1394" s="85">
        <v>7710</v>
      </c>
      <c r="D1394">
        <v>12440000</v>
      </c>
    </row>
    <row r="1395" spans="1:4">
      <c r="A1395" s="76" t="s">
        <v>251</v>
      </c>
      <c r="B1395" s="85">
        <v>28150</v>
      </c>
      <c r="C1395" s="85">
        <v>7700</v>
      </c>
      <c r="D1395">
        <v>12435000</v>
      </c>
    </row>
    <row r="1396" spans="1:4">
      <c r="A1396" s="77" t="s">
        <v>252</v>
      </c>
      <c r="B1396" s="85">
        <v>28200</v>
      </c>
      <c r="C1396" s="85">
        <v>7700</v>
      </c>
      <c r="D1396">
        <v>12420000</v>
      </c>
    </row>
    <row r="1397" spans="1:4">
      <c r="A1397" s="75" t="s">
        <v>253</v>
      </c>
      <c r="B1397" s="85">
        <v>28190</v>
      </c>
      <c r="C1397" s="85">
        <v>7700</v>
      </c>
      <c r="D1397">
        <v>12415000</v>
      </c>
    </row>
    <row r="1398" spans="1:4">
      <c r="A1398" s="83">
        <v>0.625</v>
      </c>
      <c r="B1398" s="85">
        <v>28180</v>
      </c>
      <c r="C1398" s="85">
        <v>7690</v>
      </c>
      <c r="D1398">
        <v>12410000</v>
      </c>
    </row>
    <row r="1399" spans="1:4">
      <c r="A1399" s="76" t="s">
        <v>254</v>
      </c>
      <c r="B1399" s="85">
        <v>28180</v>
      </c>
      <c r="C1399" s="85">
        <v>7700</v>
      </c>
      <c r="D1399">
        <v>12420000</v>
      </c>
    </row>
    <row r="1400" spans="1:4">
      <c r="A1400" s="86">
        <v>0.70833333333333304</v>
      </c>
      <c r="B1400" s="85">
        <v>28180</v>
      </c>
      <c r="C1400" s="85">
        <v>7710</v>
      </c>
      <c r="D1400" s="85">
        <v>12415000</v>
      </c>
    </row>
    <row r="1404" spans="1:4">
      <c r="A1404" s="152" t="s">
        <v>478</v>
      </c>
      <c r="B1404" s="152"/>
      <c r="C1404" s="152"/>
      <c r="D1404" s="152"/>
    </row>
    <row r="1405" spans="1:4">
      <c r="A1405" s="85" t="s">
        <v>247</v>
      </c>
      <c r="B1405" s="85" t="s">
        <v>248</v>
      </c>
      <c r="C1405" s="85" t="s">
        <v>249</v>
      </c>
      <c r="D1405" s="85" t="s">
        <v>250</v>
      </c>
    </row>
    <row r="1406" spans="1:4">
      <c r="A1406" s="75">
        <v>0.45833333333333298</v>
      </c>
      <c r="B1406" s="85">
        <v>28090</v>
      </c>
      <c r="C1406" s="85">
        <v>7680</v>
      </c>
      <c r="D1406">
        <v>12380000</v>
      </c>
    </row>
    <row r="1407" spans="1:4">
      <c r="A1407" s="76" t="s">
        <v>251</v>
      </c>
      <c r="B1407" s="85">
        <v>28150</v>
      </c>
      <c r="C1407" s="85">
        <v>7700</v>
      </c>
      <c r="D1407">
        <v>12400000</v>
      </c>
    </row>
    <row r="1408" spans="1:4">
      <c r="A1408" s="77" t="s">
        <v>252</v>
      </c>
      <c r="B1408" s="85">
        <v>28240</v>
      </c>
      <c r="C1408" s="85">
        <v>7710</v>
      </c>
      <c r="D1408">
        <v>12410000</v>
      </c>
    </row>
    <row r="1409" spans="1:4">
      <c r="A1409" s="75" t="s">
        <v>253</v>
      </c>
      <c r="B1409" s="85">
        <v>28280</v>
      </c>
      <c r="C1409" s="85">
        <v>7720</v>
      </c>
      <c r="D1409">
        <v>12405000</v>
      </c>
    </row>
    <row r="1410" spans="1:4">
      <c r="A1410" s="83">
        <v>0.625</v>
      </c>
      <c r="B1410" s="85">
        <v>28300</v>
      </c>
      <c r="C1410" s="85">
        <v>7720</v>
      </c>
      <c r="D1410">
        <v>12435000</v>
      </c>
    </row>
    <row r="1411" spans="1:4">
      <c r="A1411" s="76" t="s">
        <v>254</v>
      </c>
      <c r="B1411" s="85">
        <v>28290</v>
      </c>
      <c r="C1411" s="85">
        <v>7720</v>
      </c>
      <c r="D1411">
        <v>12440000</v>
      </c>
    </row>
    <row r="1412" spans="1:4">
      <c r="A1412" s="86">
        <v>0.70833333333333304</v>
      </c>
      <c r="B1412" s="85">
        <v>28290</v>
      </c>
      <c r="C1412" s="85">
        <v>7730</v>
      </c>
      <c r="D1412" s="85">
        <v>12480000</v>
      </c>
    </row>
    <row r="1416" spans="1:4">
      <c r="A1416" s="152" t="s">
        <v>479</v>
      </c>
      <c r="B1416" s="152"/>
      <c r="C1416" s="152"/>
      <c r="D1416" s="152"/>
    </row>
    <row r="1417" spans="1:4">
      <c r="A1417" s="85" t="s">
        <v>247</v>
      </c>
      <c r="B1417" s="85" t="s">
        <v>248</v>
      </c>
      <c r="C1417" s="85" t="s">
        <v>249</v>
      </c>
      <c r="D1417" s="85" t="s">
        <v>250</v>
      </c>
    </row>
    <row r="1418" spans="1:4">
      <c r="A1418" s="75">
        <v>0.45833333333333298</v>
      </c>
      <c r="B1418" s="85">
        <v>28350</v>
      </c>
      <c r="C1418" s="85">
        <v>7750</v>
      </c>
      <c r="D1418">
        <v>12520000</v>
      </c>
    </row>
    <row r="1419" spans="1:4">
      <c r="A1419" s="76" t="s">
        <v>251</v>
      </c>
      <c r="B1419" s="85">
        <v>28330</v>
      </c>
      <c r="C1419" s="85">
        <v>7745</v>
      </c>
      <c r="D1419">
        <v>12500000</v>
      </c>
    </row>
    <row r="1420" spans="1:4">
      <c r="A1420" s="77" t="s">
        <v>252</v>
      </c>
      <c r="B1420" s="85">
        <v>28300</v>
      </c>
      <c r="C1420" s="85">
        <v>7740</v>
      </c>
      <c r="D1420">
        <v>12495000</v>
      </c>
    </row>
    <row r="1421" spans="1:4">
      <c r="A1421" s="75" t="s">
        <v>253</v>
      </c>
      <c r="B1421" s="85">
        <v>28350</v>
      </c>
      <c r="C1421" s="85">
        <v>7760</v>
      </c>
      <c r="D1421">
        <v>12565000</v>
      </c>
    </row>
    <row r="1422" spans="1:4">
      <c r="A1422" s="83">
        <v>0.625</v>
      </c>
      <c r="B1422" s="85">
        <v>28400</v>
      </c>
      <c r="C1422" s="85">
        <v>7770</v>
      </c>
      <c r="D1422">
        <v>12580000</v>
      </c>
    </row>
    <row r="1423" spans="1:4">
      <c r="A1423" s="76" t="s">
        <v>254</v>
      </c>
      <c r="B1423" s="85">
        <v>28400</v>
      </c>
      <c r="C1423" s="85">
        <v>7780</v>
      </c>
      <c r="D1423" s="85">
        <v>12570000</v>
      </c>
    </row>
    <row r="1424" spans="1:4">
      <c r="A1424" s="86">
        <v>0.70833333333333304</v>
      </c>
      <c r="B1424" s="85">
        <v>28400</v>
      </c>
      <c r="C1424" s="85">
        <v>7775</v>
      </c>
      <c r="D1424" s="134">
        <v>12550000</v>
      </c>
    </row>
    <row r="1428" spans="1:4">
      <c r="A1428" s="152" t="s">
        <v>480</v>
      </c>
      <c r="B1428" s="152"/>
      <c r="C1428" s="152"/>
      <c r="D1428" s="152"/>
    </row>
    <row r="1429" spans="1:4">
      <c r="A1429" s="85" t="s">
        <v>247</v>
      </c>
      <c r="B1429" s="85" t="s">
        <v>248</v>
      </c>
      <c r="C1429" s="85" t="s">
        <v>249</v>
      </c>
      <c r="D1429" s="85" t="s">
        <v>250</v>
      </c>
    </row>
    <row r="1430" spans="1:4">
      <c r="A1430" s="75">
        <v>0.45833333333333298</v>
      </c>
      <c r="B1430" s="85">
        <v>28550</v>
      </c>
      <c r="C1430" s="85">
        <v>7810</v>
      </c>
      <c r="D1430">
        <v>12480000</v>
      </c>
    </row>
    <row r="1431" spans="1:4">
      <c r="A1431" s="76" t="s">
        <v>251</v>
      </c>
      <c r="B1431" s="85">
        <v>28620</v>
      </c>
      <c r="C1431" s="85">
        <v>7820</v>
      </c>
      <c r="D1431">
        <v>12475000</v>
      </c>
    </row>
    <row r="1432" spans="1:4">
      <c r="A1432" s="77" t="s">
        <v>252</v>
      </c>
      <c r="B1432" s="85">
        <v>28600</v>
      </c>
      <c r="C1432" s="85">
        <v>7830</v>
      </c>
      <c r="D1432">
        <v>12515000</v>
      </c>
    </row>
    <row r="1433" spans="1:4">
      <c r="A1433" s="75" t="s">
        <v>253</v>
      </c>
      <c r="B1433" s="85">
        <v>28570</v>
      </c>
      <c r="C1433" s="85">
        <v>7810</v>
      </c>
      <c r="D1433">
        <v>12510000</v>
      </c>
    </row>
    <row r="1434" spans="1:4">
      <c r="A1434" s="83">
        <v>0.625</v>
      </c>
      <c r="B1434" s="85">
        <v>28570</v>
      </c>
      <c r="C1434" s="85">
        <v>7810</v>
      </c>
      <c r="D1434">
        <v>12455000</v>
      </c>
    </row>
    <row r="1435" spans="1:4">
      <c r="A1435" s="76" t="s">
        <v>254</v>
      </c>
      <c r="B1435" s="85">
        <v>28570</v>
      </c>
      <c r="C1435" s="85">
        <v>7820</v>
      </c>
      <c r="D1435" s="85">
        <v>12475000</v>
      </c>
    </row>
    <row r="1436" spans="1:4">
      <c r="A1436" s="86">
        <v>0.70833333333333304</v>
      </c>
      <c r="B1436" s="85">
        <v>28570</v>
      </c>
      <c r="C1436" s="85">
        <v>7810</v>
      </c>
      <c r="D1436" s="134">
        <v>12485000</v>
      </c>
    </row>
    <row r="1441" spans="1:6">
      <c r="A1441" s="152" t="s">
        <v>481</v>
      </c>
      <c r="B1441" s="152"/>
      <c r="C1441" s="152"/>
      <c r="D1441" s="152"/>
    </row>
    <row r="1442" spans="1:6">
      <c r="A1442" s="85" t="s">
        <v>247</v>
      </c>
      <c r="B1442" s="85" t="s">
        <v>248</v>
      </c>
      <c r="C1442" s="85" t="s">
        <v>249</v>
      </c>
      <c r="D1442" s="85" t="s">
        <v>250</v>
      </c>
    </row>
    <row r="1443" spans="1:6">
      <c r="A1443" s="75">
        <v>0.45833333333333298</v>
      </c>
      <c r="B1443" s="85">
        <v>28850</v>
      </c>
      <c r="C1443" s="85">
        <v>7870</v>
      </c>
      <c r="D1443">
        <v>12570000</v>
      </c>
    </row>
    <row r="1444" spans="1:6">
      <c r="A1444" s="76" t="s">
        <v>251</v>
      </c>
      <c r="B1444" s="85">
        <v>28940</v>
      </c>
      <c r="C1444" s="85">
        <v>7880</v>
      </c>
      <c r="D1444">
        <v>12615000</v>
      </c>
    </row>
    <row r="1445" spans="1:6">
      <c r="A1445" s="77" t="s">
        <v>252</v>
      </c>
      <c r="B1445" s="85">
        <v>28980</v>
      </c>
      <c r="C1445" s="85">
        <v>7890</v>
      </c>
      <c r="D1445">
        <v>12645000</v>
      </c>
    </row>
    <row r="1446" spans="1:6">
      <c r="A1446" s="75" t="s">
        <v>253</v>
      </c>
      <c r="B1446" s="85">
        <v>29050</v>
      </c>
      <c r="C1446" s="85">
        <v>7900</v>
      </c>
      <c r="D1446">
        <v>12655000</v>
      </c>
    </row>
    <row r="1447" spans="1:6">
      <c r="A1447" s="83">
        <v>0.625</v>
      </c>
      <c r="B1447" s="85">
        <v>29050</v>
      </c>
      <c r="C1447" s="85">
        <v>7940</v>
      </c>
      <c r="D1447">
        <v>12680000</v>
      </c>
    </row>
    <row r="1448" spans="1:6">
      <c r="A1448" s="76" t="s">
        <v>254</v>
      </c>
      <c r="B1448" s="85">
        <v>29050</v>
      </c>
      <c r="C1448" s="85">
        <v>7980</v>
      </c>
      <c r="D1448" s="85">
        <v>12680000</v>
      </c>
    </row>
    <row r="1449" spans="1:6">
      <c r="A1449" s="86">
        <v>0.70833333333333304</v>
      </c>
      <c r="B1449" s="85">
        <v>29050</v>
      </c>
      <c r="C1449" s="85">
        <v>7980</v>
      </c>
      <c r="D1449" s="134">
        <v>12680000</v>
      </c>
    </row>
    <row r="1450" spans="1:6">
      <c r="F1450">
        <f>3.673*7920</f>
        <v>29090.16</v>
      </c>
    </row>
    <row r="1453" spans="1:6">
      <c r="A1453" s="152" t="s">
        <v>482</v>
      </c>
      <c r="B1453" s="152"/>
      <c r="C1453" s="152"/>
      <c r="D1453" s="152"/>
    </row>
    <row r="1454" spans="1:6">
      <c r="A1454" s="85" t="s">
        <v>247</v>
      </c>
      <c r="B1454" s="85" t="s">
        <v>248</v>
      </c>
      <c r="C1454" s="85" t="s">
        <v>249</v>
      </c>
      <c r="D1454" s="85" t="s">
        <v>250</v>
      </c>
    </row>
    <row r="1455" spans="1:6">
      <c r="A1455" s="75">
        <v>0.45833333333333298</v>
      </c>
      <c r="B1455" s="85"/>
      <c r="C1455" s="85"/>
      <c r="E1455">
        <v>12640000</v>
      </c>
    </row>
    <row r="1456" spans="1:6">
      <c r="A1456" s="76" t="s">
        <v>251</v>
      </c>
      <c r="B1456" s="85"/>
      <c r="C1456" s="85"/>
      <c r="E1456">
        <v>12620000</v>
      </c>
    </row>
    <row r="1457" spans="1:5">
      <c r="A1457" s="77" t="s">
        <v>252</v>
      </c>
      <c r="B1457" s="85"/>
      <c r="C1457" s="85"/>
      <c r="E1457">
        <v>12600000</v>
      </c>
    </row>
    <row r="1458" spans="1:5">
      <c r="A1458" s="75" t="s">
        <v>253</v>
      </c>
      <c r="B1458" s="85"/>
      <c r="C1458" s="85"/>
    </row>
    <row r="1459" spans="1:5">
      <c r="A1459" s="83">
        <v>0.625</v>
      </c>
      <c r="B1459" s="85"/>
      <c r="C1459" s="85"/>
    </row>
    <row r="1460" spans="1:5">
      <c r="A1460" s="76" t="s">
        <v>254</v>
      </c>
      <c r="B1460" s="85"/>
      <c r="C1460" s="85"/>
      <c r="D1460" s="85"/>
    </row>
    <row r="1461" spans="1:5">
      <c r="A1461" s="86">
        <v>0.70833333333333304</v>
      </c>
      <c r="B1461" s="85"/>
      <c r="C1461" s="85"/>
      <c r="D1461" s="134"/>
    </row>
    <row r="1465" spans="1:5">
      <c r="A1465" s="152" t="s">
        <v>489</v>
      </c>
      <c r="B1465" s="152"/>
      <c r="C1465" s="152"/>
      <c r="D1465" s="152"/>
    </row>
    <row r="1466" spans="1:5">
      <c r="A1466" s="85" t="s">
        <v>247</v>
      </c>
      <c r="B1466" s="85" t="s">
        <v>248</v>
      </c>
      <c r="C1466" s="85" t="s">
        <v>249</v>
      </c>
      <c r="D1466" s="85" t="s">
        <v>250</v>
      </c>
    </row>
    <row r="1467" spans="1:5">
      <c r="A1467" s="75">
        <v>0.45833333333333298</v>
      </c>
      <c r="B1467" s="85">
        <v>29270</v>
      </c>
      <c r="C1467" s="85">
        <v>7990</v>
      </c>
      <c r="D1467">
        <v>12675000</v>
      </c>
    </row>
    <row r="1468" spans="1:5">
      <c r="A1468" s="76" t="s">
        <v>251</v>
      </c>
      <c r="B1468" s="85">
        <v>29300</v>
      </c>
      <c r="C1468" s="85">
        <v>8000</v>
      </c>
      <c r="D1468">
        <v>12700000</v>
      </c>
    </row>
    <row r="1469" spans="1:5">
      <c r="A1469" s="77" t="s">
        <v>252</v>
      </c>
      <c r="B1469" s="85">
        <v>29260</v>
      </c>
      <c r="C1469" s="85">
        <v>7980</v>
      </c>
      <c r="D1469">
        <v>12645000</v>
      </c>
    </row>
    <row r="1470" spans="1:5">
      <c r="A1470" s="75" t="s">
        <v>253</v>
      </c>
      <c r="B1470" s="85">
        <v>29240</v>
      </c>
      <c r="C1470" s="85">
        <v>7970</v>
      </c>
      <c r="D1470">
        <v>12580000</v>
      </c>
    </row>
    <row r="1471" spans="1:5">
      <c r="A1471" s="83">
        <v>0.625</v>
      </c>
      <c r="B1471" s="85">
        <v>29180</v>
      </c>
      <c r="C1471" s="85">
        <v>7960</v>
      </c>
      <c r="D1471">
        <v>12565000</v>
      </c>
    </row>
    <row r="1472" spans="1:5">
      <c r="A1472" s="76" t="s">
        <v>254</v>
      </c>
      <c r="B1472" s="85">
        <v>29150</v>
      </c>
      <c r="C1472" s="85">
        <v>7950</v>
      </c>
      <c r="D1472" s="85">
        <v>12585000</v>
      </c>
    </row>
    <row r="1473" spans="1:4">
      <c r="A1473" s="86">
        <v>0.70833333333333304</v>
      </c>
      <c r="B1473" s="85">
        <v>29150</v>
      </c>
      <c r="C1473" s="85">
        <v>7950</v>
      </c>
      <c r="D1473" s="134">
        <v>12585000</v>
      </c>
    </row>
    <row r="1477" spans="1:4">
      <c r="A1477" s="152" t="s">
        <v>491</v>
      </c>
      <c r="B1477" s="152"/>
      <c r="C1477" s="152"/>
      <c r="D1477" s="152"/>
    </row>
    <row r="1478" spans="1:4">
      <c r="A1478" s="85" t="s">
        <v>247</v>
      </c>
      <c r="B1478" s="85" t="s">
        <v>248</v>
      </c>
      <c r="C1478" s="85" t="s">
        <v>249</v>
      </c>
      <c r="D1478" s="85" t="s">
        <v>250</v>
      </c>
    </row>
    <row r="1479" spans="1:4">
      <c r="A1479" s="75">
        <v>0.45833333333333298</v>
      </c>
      <c r="B1479" s="85">
        <v>29090</v>
      </c>
      <c r="C1479" s="85">
        <v>7970</v>
      </c>
      <c r="D1479">
        <v>12575000</v>
      </c>
    </row>
    <row r="1480" spans="1:4">
      <c r="A1480" s="76" t="s">
        <v>251</v>
      </c>
      <c r="B1480" s="85">
        <v>29070</v>
      </c>
      <c r="C1480" s="85">
        <v>7970</v>
      </c>
      <c r="D1480">
        <v>12550000</v>
      </c>
    </row>
    <row r="1481" spans="1:4">
      <c r="A1481" s="77" t="s">
        <v>252</v>
      </c>
      <c r="B1481" s="85">
        <v>29160</v>
      </c>
      <c r="C1481" s="85">
        <v>7970</v>
      </c>
      <c r="D1481">
        <v>12530000</v>
      </c>
    </row>
    <row r="1482" spans="1:4">
      <c r="A1482" s="75" t="s">
        <v>253</v>
      </c>
      <c r="B1482" s="85">
        <v>29200</v>
      </c>
      <c r="C1482" s="85">
        <v>7980</v>
      </c>
      <c r="D1482">
        <v>12550000</v>
      </c>
    </row>
    <row r="1483" spans="1:4">
      <c r="A1483" s="83">
        <v>0.625</v>
      </c>
      <c r="B1483" s="85">
        <v>29250</v>
      </c>
      <c r="C1483" s="85">
        <v>7990</v>
      </c>
      <c r="D1483">
        <v>12560000</v>
      </c>
    </row>
    <row r="1484" spans="1:4">
      <c r="A1484" s="76" t="s">
        <v>254</v>
      </c>
      <c r="B1484" s="85">
        <v>29250</v>
      </c>
      <c r="C1484" s="85">
        <v>7990</v>
      </c>
      <c r="D1484" s="85">
        <v>12595000</v>
      </c>
    </row>
    <row r="1485" spans="1:4">
      <c r="A1485" s="86">
        <v>0.70833333333333304</v>
      </c>
      <c r="B1485" s="85">
        <v>29250</v>
      </c>
      <c r="C1485" s="85">
        <v>7990</v>
      </c>
      <c r="D1485" s="134">
        <v>12595000</v>
      </c>
    </row>
    <row r="1490" spans="1:4">
      <c r="A1490" s="152" t="s">
        <v>493</v>
      </c>
      <c r="B1490" s="152"/>
      <c r="C1490" s="152"/>
      <c r="D1490" s="152"/>
    </row>
    <row r="1491" spans="1:4">
      <c r="A1491" s="85" t="s">
        <v>247</v>
      </c>
      <c r="B1491" s="85" t="s">
        <v>248</v>
      </c>
      <c r="C1491" s="85" t="s">
        <v>249</v>
      </c>
      <c r="D1491" s="85" t="s">
        <v>250</v>
      </c>
    </row>
    <row r="1492" spans="1:4">
      <c r="A1492" s="75">
        <v>0.45833333333333298</v>
      </c>
      <c r="B1492" s="85">
        <v>29540</v>
      </c>
      <c r="C1492" s="85">
        <v>8060</v>
      </c>
      <c r="D1492">
        <v>12720000</v>
      </c>
    </row>
    <row r="1493" spans="1:4">
      <c r="A1493" s="76" t="s">
        <v>251</v>
      </c>
      <c r="B1493" s="85">
        <v>29370</v>
      </c>
      <c r="C1493" s="85">
        <v>8050</v>
      </c>
      <c r="D1493">
        <v>12690000</v>
      </c>
    </row>
    <row r="1494" spans="1:4">
      <c r="A1494" s="77" t="s">
        <v>252</v>
      </c>
      <c r="B1494" s="85">
        <v>29430</v>
      </c>
      <c r="C1494" s="85">
        <v>8040</v>
      </c>
      <c r="D1494">
        <v>12685000</v>
      </c>
    </row>
    <row r="1495" spans="1:4">
      <c r="A1495" s="75" t="s">
        <v>253</v>
      </c>
      <c r="B1495" s="85">
        <v>29430</v>
      </c>
      <c r="C1495" s="85">
        <v>8020</v>
      </c>
      <c r="D1495">
        <v>12710000</v>
      </c>
    </row>
    <row r="1496" spans="1:4">
      <c r="A1496" s="83">
        <v>0.625</v>
      </c>
      <c r="B1496" s="85">
        <v>29430</v>
      </c>
      <c r="C1496" s="85">
        <v>8030</v>
      </c>
      <c r="D1496">
        <v>12685000</v>
      </c>
    </row>
    <row r="1497" spans="1:4">
      <c r="A1497" s="76" t="s">
        <v>254</v>
      </c>
      <c r="B1497" s="85">
        <v>29480</v>
      </c>
      <c r="C1497" s="85">
        <v>8040</v>
      </c>
      <c r="D1497" s="85">
        <v>12685000</v>
      </c>
    </row>
    <row r="1498" spans="1:4">
      <c r="A1498" s="86">
        <v>0.70833333333333304</v>
      </c>
      <c r="B1498" s="85">
        <v>29500</v>
      </c>
      <c r="C1498" s="85">
        <v>8050</v>
      </c>
      <c r="D1498" s="134">
        <v>12685000</v>
      </c>
    </row>
    <row r="1502" spans="1:4">
      <c r="A1502" s="152" t="s">
        <v>495</v>
      </c>
      <c r="B1502" s="152"/>
      <c r="C1502" s="152"/>
      <c r="D1502" s="152"/>
    </row>
    <row r="1503" spans="1:4">
      <c r="A1503" s="85" t="s">
        <v>247</v>
      </c>
      <c r="B1503" s="85" t="s">
        <v>248</v>
      </c>
      <c r="C1503" s="85" t="s">
        <v>249</v>
      </c>
      <c r="D1503" s="85" t="s">
        <v>250</v>
      </c>
    </row>
    <row r="1504" spans="1:4">
      <c r="A1504" s="75">
        <v>0.45833333333333298</v>
      </c>
      <c r="B1504" s="85">
        <v>29140</v>
      </c>
      <c r="C1504" s="85">
        <v>7960</v>
      </c>
      <c r="D1504">
        <v>12585000</v>
      </c>
    </row>
    <row r="1505" spans="1:4">
      <c r="A1505" s="76" t="s">
        <v>251</v>
      </c>
      <c r="B1505" s="85">
        <v>29080</v>
      </c>
      <c r="C1505" s="85">
        <v>7950</v>
      </c>
      <c r="D1505">
        <v>12595000</v>
      </c>
    </row>
    <row r="1506" spans="1:4">
      <c r="A1506" s="77" t="s">
        <v>252</v>
      </c>
      <c r="B1506" s="85">
        <v>29120</v>
      </c>
      <c r="C1506" s="85">
        <v>7940</v>
      </c>
      <c r="D1506">
        <v>12565000</v>
      </c>
    </row>
    <row r="1507" spans="1:4">
      <c r="A1507" s="75" t="s">
        <v>253</v>
      </c>
      <c r="B1507" s="85">
        <v>29100</v>
      </c>
      <c r="C1507" s="85">
        <v>7930</v>
      </c>
      <c r="D1507">
        <v>12545000</v>
      </c>
    </row>
    <row r="1508" spans="1:4">
      <c r="A1508" s="83">
        <v>0.625</v>
      </c>
      <c r="B1508" s="85">
        <v>29090</v>
      </c>
      <c r="C1508" s="85">
        <v>7920</v>
      </c>
      <c r="D1508">
        <v>12555000</v>
      </c>
    </row>
    <row r="1509" spans="1:4">
      <c r="A1509" s="76" t="s">
        <v>254</v>
      </c>
      <c r="B1509" s="85">
        <v>29090</v>
      </c>
      <c r="C1509" s="85">
        <v>7910</v>
      </c>
      <c r="D1509" s="85">
        <v>12555000</v>
      </c>
    </row>
    <row r="1510" spans="1:4">
      <c r="A1510" s="86">
        <v>0.70833333333333337</v>
      </c>
      <c r="B1510" s="85">
        <v>29110</v>
      </c>
      <c r="C1510" s="85">
        <v>7920</v>
      </c>
      <c r="D1510" s="134">
        <v>12555000</v>
      </c>
    </row>
    <row r="1514" spans="1:4">
      <c r="A1514" s="152" t="s">
        <v>497</v>
      </c>
      <c r="B1514" s="152"/>
      <c r="C1514" s="152"/>
      <c r="D1514" s="152"/>
    </row>
    <row r="1515" spans="1:4">
      <c r="A1515" s="85" t="s">
        <v>247</v>
      </c>
      <c r="B1515" s="85" t="s">
        <v>248</v>
      </c>
      <c r="C1515" s="85" t="s">
        <v>249</v>
      </c>
      <c r="D1515" s="85" t="s">
        <v>250</v>
      </c>
    </row>
    <row r="1516" spans="1:4">
      <c r="A1516" s="75">
        <v>0.45833333333333298</v>
      </c>
      <c r="B1516" s="85">
        <v>29220</v>
      </c>
      <c r="C1516" s="85">
        <v>8000</v>
      </c>
      <c r="D1516">
        <v>12630000</v>
      </c>
    </row>
    <row r="1517" spans="1:4">
      <c r="A1517" s="76" t="s">
        <v>251</v>
      </c>
      <c r="B1517" s="85">
        <v>29220</v>
      </c>
      <c r="C1517" s="85">
        <v>7990</v>
      </c>
      <c r="D1517">
        <v>12625000</v>
      </c>
    </row>
    <row r="1518" spans="1:4">
      <c r="A1518" s="77" t="s">
        <v>252</v>
      </c>
      <c r="B1518" s="85">
        <v>29250</v>
      </c>
      <c r="C1518" s="85">
        <v>7990</v>
      </c>
      <c r="D1518">
        <v>12620000</v>
      </c>
    </row>
    <row r="1519" spans="1:4">
      <c r="A1519" s="75" t="s">
        <v>253</v>
      </c>
      <c r="B1519" s="85">
        <v>29270</v>
      </c>
      <c r="C1519" s="85">
        <v>8000</v>
      </c>
      <c r="D1519">
        <v>12630000</v>
      </c>
    </row>
    <row r="1520" spans="1:4">
      <c r="A1520" s="83">
        <v>0.625</v>
      </c>
      <c r="B1520" s="85">
        <v>29270</v>
      </c>
      <c r="C1520" s="85">
        <v>8000</v>
      </c>
      <c r="D1520">
        <v>12635000</v>
      </c>
    </row>
    <row r="1521" spans="1:5">
      <c r="A1521" s="76" t="s">
        <v>254</v>
      </c>
      <c r="B1521" s="85">
        <v>29270</v>
      </c>
      <c r="C1521" s="85">
        <v>8000</v>
      </c>
      <c r="D1521" s="85">
        <v>12630000</v>
      </c>
    </row>
    <row r="1522" spans="1:5">
      <c r="A1522" s="86">
        <v>0.70833333333333337</v>
      </c>
      <c r="B1522" s="85">
        <v>29270</v>
      </c>
      <c r="C1522" s="85">
        <v>8000</v>
      </c>
      <c r="D1522" s="134">
        <v>12630000</v>
      </c>
    </row>
    <row r="1526" spans="1:5">
      <c r="A1526" s="152" t="s">
        <v>499</v>
      </c>
      <c r="B1526" s="152"/>
      <c r="C1526" s="152"/>
      <c r="D1526" s="152"/>
    </row>
    <row r="1527" spans="1:5">
      <c r="A1527" s="85" t="s">
        <v>247</v>
      </c>
      <c r="B1527" s="85" t="s">
        <v>248</v>
      </c>
      <c r="C1527" s="85" t="s">
        <v>249</v>
      </c>
      <c r="D1527" s="85" t="s">
        <v>250</v>
      </c>
    </row>
    <row r="1528" spans="1:5">
      <c r="A1528" s="75">
        <v>0.45833333333333298</v>
      </c>
      <c r="B1528" s="85"/>
      <c r="C1528" s="85"/>
      <c r="E1528">
        <v>12597000</v>
      </c>
    </row>
    <row r="1529" spans="1:5">
      <c r="A1529" s="76" t="s">
        <v>251</v>
      </c>
      <c r="B1529" s="85"/>
      <c r="C1529" s="85"/>
    </row>
    <row r="1530" spans="1:5">
      <c r="A1530" s="77" t="s">
        <v>252</v>
      </c>
      <c r="B1530" s="85"/>
      <c r="C1530" s="85"/>
    </row>
    <row r="1531" spans="1:5">
      <c r="A1531" s="75" t="s">
        <v>253</v>
      </c>
      <c r="B1531" s="85"/>
      <c r="C1531" s="85"/>
    </row>
    <row r="1532" spans="1:5">
      <c r="A1532" s="83">
        <v>0.625</v>
      </c>
      <c r="B1532" s="85"/>
      <c r="C1532" s="85"/>
    </row>
    <row r="1533" spans="1:5">
      <c r="A1533" s="76" t="s">
        <v>254</v>
      </c>
      <c r="B1533" s="85"/>
      <c r="C1533" s="85"/>
      <c r="D1533" s="85"/>
    </row>
    <row r="1534" spans="1:5">
      <c r="A1534" s="86">
        <v>0.70833333333333337</v>
      </c>
      <c r="B1534" s="85"/>
      <c r="C1534" s="85"/>
      <c r="D1534" s="134"/>
    </row>
    <row r="1539" spans="1:4">
      <c r="A1539" s="152" t="s">
        <v>502</v>
      </c>
      <c r="B1539" s="152"/>
      <c r="C1539" s="152"/>
      <c r="D1539" s="152"/>
    </row>
    <row r="1540" spans="1:4">
      <c r="A1540" s="85" t="s">
        <v>247</v>
      </c>
      <c r="B1540" s="85" t="s">
        <v>248</v>
      </c>
      <c r="C1540" s="85" t="s">
        <v>249</v>
      </c>
      <c r="D1540" s="85" t="s">
        <v>250</v>
      </c>
    </row>
    <row r="1541" spans="1:4">
      <c r="A1541" s="75">
        <v>0.45833333333333298</v>
      </c>
      <c r="B1541" s="85">
        <v>29850</v>
      </c>
      <c r="C1541" s="85">
        <v>8180</v>
      </c>
      <c r="D1541">
        <v>12905000</v>
      </c>
    </row>
    <row r="1542" spans="1:4">
      <c r="A1542" s="76" t="s">
        <v>251</v>
      </c>
      <c r="B1542" s="85">
        <v>29850</v>
      </c>
      <c r="C1542" s="85">
        <v>8190</v>
      </c>
      <c r="D1542">
        <v>12990000</v>
      </c>
    </row>
    <row r="1543" spans="1:4">
      <c r="A1543" s="77" t="s">
        <v>252</v>
      </c>
      <c r="B1543" s="85">
        <v>29950</v>
      </c>
      <c r="C1543" s="85">
        <v>8180</v>
      </c>
      <c r="D1543">
        <v>12975000</v>
      </c>
    </row>
    <row r="1544" spans="1:4">
      <c r="A1544" s="75" t="s">
        <v>253</v>
      </c>
      <c r="B1544" s="85">
        <v>30150</v>
      </c>
      <c r="C1544" s="85">
        <v>8200</v>
      </c>
      <c r="D1544">
        <v>13010000</v>
      </c>
    </row>
    <row r="1545" spans="1:4">
      <c r="A1545" s="83">
        <v>0.625</v>
      </c>
      <c r="B1545" s="85">
        <v>30180</v>
      </c>
      <c r="C1545" s="85">
        <v>8280</v>
      </c>
      <c r="D1545">
        <v>13015000</v>
      </c>
    </row>
    <row r="1546" spans="1:4">
      <c r="A1546" s="76" t="s">
        <v>254</v>
      </c>
      <c r="B1546" s="85">
        <v>30180</v>
      </c>
      <c r="C1546" s="85">
        <v>8290</v>
      </c>
      <c r="D1546" s="85">
        <v>13015000</v>
      </c>
    </row>
    <row r="1547" spans="1:4">
      <c r="A1547" s="86">
        <v>0.70833333333333337</v>
      </c>
      <c r="B1547" s="85">
        <v>30180</v>
      </c>
      <c r="C1547" s="85">
        <v>8290</v>
      </c>
      <c r="D1547" s="134">
        <v>13015000</v>
      </c>
    </row>
    <row r="1551" spans="1:4">
      <c r="A1551" s="152" t="s">
        <v>504</v>
      </c>
      <c r="B1551" s="152"/>
      <c r="C1551" s="152"/>
      <c r="D1551" s="152"/>
    </row>
    <row r="1552" spans="1:4">
      <c r="A1552" s="85" t="s">
        <v>247</v>
      </c>
      <c r="B1552" s="85" t="s">
        <v>248</v>
      </c>
      <c r="C1552" s="85" t="s">
        <v>249</v>
      </c>
      <c r="D1552" s="85" t="s">
        <v>250</v>
      </c>
    </row>
    <row r="1553" spans="1:4">
      <c r="A1553" s="75">
        <v>0.45833333333333298</v>
      </c>
      <c r="B1553" s="85">
        <v>30490</v>
      </c>
      <c r="C1553" s="85">
        <v>8345</v>
      </c>
      <c r="D1553">
        <v>13140000</v>
      </c>
    </row>
    <row r="1554" spans="1:4">
      <c r="A1554" s="76" t="s">
        <v>251</v>
      </c>
      <c r="B1554" s="85">
        <v>30390</v>
      </c>
      <c r="C1554" s="85">
        <v>8310</v>
      </c>
      <c r="D1554">
        <v>13015000</v>
      </c>
    </row>
    <row r="1555" spans="1:4">
      <c r="A1555" s="77" t="s">
        <v>252</v>
      </c>
      <c r="B1555" s="85">
        <v>30250</v>
      </c>
      <c r="C1555" s="85">
        <v>8310</v>
      </c>
      <c r="D1555">
        <v>13025000</v>
      </c>
    </row>
    <row r="1556" spans="1:4">
      <c r="A1556" s="75" t="s">
        <v>253</v>
      </c>
      <c r="B1556" s="85">
        <v>30320</v>
      </c>
      <c r="C1556" s="85">
        <v>8335</v>
      </c>
      <c r="D1556">
        <v>13030000</v>
      </c>
    </row>
    <row r="1557" spans="1:4">
      <c r="A1557" s="83">
        <v>0.625</v>
      </c>
      <c r="B1557" s="85">
        <v>30320</v>
      </c>
      <c r="C1557" s="85">
        <v>8345</v>
      </c>
      <c r="D1557">
        <v>13070000</v>
      </c>
    </row>
    <row r="1558" spans="1:4">
      <c r="A1558" s="76" t="s">
        <v>254</v>
      </c>
      <c r="B1558" s="85">
        <v>30320</v>
      </c>
      <c r="C1558" s="85">
        <v>8345</v>
      </c>
      <c r="D1558" s="85">
        <v>13040000</v>
      </c>
    </row>
    <row r="1559" spans="1:4">
      <c r="A1559" s="86">
        <v>0.70833333333333337</v>
      </c>
      <c r="B1559" s="85">
        <v>30320</v>
      </c>
      <c r="C1559" s="85">
        <v>8345</v>
      </c>
      <c r="D1559" s="134">
        <v>13040000</v>
      </c>
    </row>
    <row r="1563" spans="1:4">
      <c r="A1563" s="152" t="s">
        <v>506</v>
      </c>
      <c r="B1563" s="152"/>
      <c r="C1563" s="152"/>
      <c r="D1563" s="152"/>
    </row>
    <row r="1564" spans="1:4">
      <c r="A1564" s="85" t="s">
        <v>247</v>
      </c>
      <c r="B1564" s="85" t="s">
        <v>248</v>
      </c>
      <c r="C1564" s="85" t="s">
        <v>249</v>
      </c>
      <c r="D1564" s="85" t="s">
        <v>250</v>
      </c>
    </row>
    <row r="1565" spans="1:4">
      <c r="A1565" s="75">
        <v>0.45833333333333298</v>
      </c>
      <c r="B1565" s="85">
        <v>30580</v>
      </c>
      <c r="C1565" s="85">
        <v>8390</v>
      </c>
      <c r="D1565">
        <v>13100000</v>
      </c>
    </row>
    <row r="1566" spans="1:4">
      <c r="A1566" s="76" t="s">
        <v>251</v>
      </c>
      <c r="B1566" s="85">
        <v>30570</v>
      </c>
      <c r="C1566" s="85">
        <v>8400</v>
      </c>
      <c r="D1566">
        <v>13120000</v>
      </c>
    </row>
    <row r="1567" spans="1:4">
      <c r="A1567" s="77" t="s">
        <v>252</v>
      </c>
      <c r="B1567" s="85">
        <v>30470</v>
      </c>
      <c r="C1567" s="85">
        <v>8380</v>
      </c>
      <c r="D1567">
        <v>13155000</v>
      </c>
    </row>
    <row r="1568" spans="1:4">
      <c r="A1568" s="75" t="s">
        <v>253</v>
      </c>
      <c r="B1568" s="85">
        <v>30550</v>
      </c>
      <c r="C1568" s="85">
        <v>8370</v>
      </c>
      <c r="D1568">
        <v>13230000</v>
      </c>
    </row>
    <row r="1569" spans="1:4">
      <c r="A1569" s="83">
        <v>0.625</v>
      </c>
      <c r="B1569" s="85">
        <v>30550</v>
      </c>
      <c r="C1569" s="85">
        <v>8380</v>
      </c>
      <c r="D1569">
        <v>13230000</v>
      </c>
    </row>
    <row r="1570" spans="1:4">
      <c r="A1570" s="76" t="s">
        <v>254</v>
      </c>
      <c r="B1570" s="85">
        <v>30550</v>
      </c>
      <c r="C1570" s="85">
        <v>8390</v>
      </c>
      <c r="D1570" s="85">
        <v>13230000</v>
      </c>
    </row>
    <row r="1571" spans="1:4">
      <c r="A1571" s="86">
        <v>0.70833333333333337</v>
      </c>
      <c r="B1571" s="85">
        <v>30550</v>
      </c>
      <c r="C1571" s="85">
        <v>8400</v>
      </c>
      <c r="D1571" s="134">
        <v>13230000</v>
      </c>
    </row>
    <row r="1576" spans="1:4">
      <c r="A1576" s="152" t="s">
        <v>509</v>
      </c>
      <c r="B1576" s="152"/>
      <c r="C1576" s="152"/>
      <c r="D1576" s="152"/>
    </row>
    <row r="1577" spans="1:4">
      <c r="A1577" s="85" t="s">
        <v>247</v>
      </c>
      <c r="B1577" s="85" t="s">
        <v>248</v>
      </c>
      <c r="C1577" s="85" t="s">
        <v>249</v>
      </c>
      <c r="D1577" s="85" t="s">
        <v>250</v>
      </c>
    </row>
    <row r="1578" spans="1:4">
      <c r="A1578" s="75">
        <v>0.45833333333333298</v>
      </c>
      <c r="B1578" s="85">
        <v>30950</v>
      </c>
      <c r="C1578" s="85">
        <v>8440</v>
      </c>
      <c r="D1578">
        <v>13215000</v>
      </c>
    </row>
    <row r="1579" spans="1:4">
      <c r="A1579" s="76" t="s">
        <v>251</v>
      </c>
      <c r="B1579" s="85">
        <v>30890</v>
      </c>
      <c r="C1579" s="85">
        <v>8430</v>
      </c>
      <c r="D1579">
        <v>13230000</v>
      </c>
    </row>
    <row r="1580" spans="1:4">
      <c r="A1580" s="77" t="s">
        <v>252</v>
      </c>
      <c r="B1580" s="85">
        <v>30940</v>
      </c>
      <c r="C1580" s="85">
        <v>8420</v>
      </c>
      <c r="D1580">
        <v>13220000</v>
      </c>
    </row>
    <row r="1581" spans="1:4">
      <c r="A1581" s="75" t="s">
        <v>253</v>
      </c>
      <c r="B1581" s="85">
        <v>30920</v>
      </c>
      <c r="C1581" s="85">
        <v>8440</v>
      </c>
      <c r="D1581">
        <v>13255000</v>
      </c>
    </row>
    <row r="1582" spans="1:4">
      <c r="A1582" s="83">
        <v>0.625</v>
      </c>
      <c r="B1582" s="85">
        <v>30920</v>
      </c>
      <c r="C1582" s="85">
        <v>8440</v>
      </c>
      <c r="D1582">
        <v>13260000</v>
      </c>
    </row>
    <row r="1583" spans="1:4">
      <c r="A1583" s="76" t="s">
        <v>254</v>
      </c>
      <c r="B1583" s="85">
        <v>30920</v>
      </c>
      <c r="C1583" s="85">
        <v>8450</v>
      </c>
      <c r="D1583" s="85">
        <v>13265000</v>
      </c>
    </row>
    <row r="1584" spans="1:4">
      <c r="A1584" s="86">
        <v>0.70833333333333337</v>
      </c>
      <c r="B1584" s="85">
        <v>30920</v>
      </c>
      <c r="C1584" s="85">
        <v>8460</v>
      </c>
      <c r="D1584" s="134">
        <v>13265000</v>
      </c>
    </row>
    <row r="1588" spans="2:5">
      <c r="C1588">
        <f>B1578-B1571</f>
        <v>400</v>
      </c>
      <c r="E1588">
        <f>D1584-D1571</f>
        <v>35000</v>
      </c>
    </row>
    <row r="1590" spans="2:5">
      <c r="B1590">
        <f>3.673*C1584</f>
        <v>31073.58</v>
      </c>
    </row>
    <row r="1591" spans="2:5">
      <c r="D1591">
        <f>B1590-B1584</f>
        <v>153.58000000000175</v>
      </c>
    </row>
  </sheetData>
  <mergeCells count="139">
    <mergeCell ref="A1294:D1294"/>
    <mergeCell ref="A1110:D1110"/>
    <mergeCell ref="A1222:D1222"/>
    <mergeCell ref="A1441:D1441"/>
    <mergeCell ref="A1234:D1234"/>
    <mergeCell ref="A1209:D1209"/>
    <mergeCell ref="A1197:D1197"/>
    <mergeCell ref="A1416:D1416"/>
    <mergeCell ref="A1404:D1404"/>
    <mergeCell ref="A1368:D1368"/>
    <mergeCell ref="A1343:D1343"/>
    <mergeCell ref="A1330:D1330"/>
    <mergeCell ref="A1306:D1306"/>
    <mergeCell ref="A1282:D1282"/>
    <mergeCell ref="A1270:D1270"/>
    <mergeCell ref="A1258:D1258"/>
    <mergeCell ref="A1246:D1246"/>
    <mergeCell ref="A1392:D1392"/>
    <mergeCell ref="A1380:D1380"/>
    <mergeCell ref="A93:D93"/>
    <mergeCell ref="A103:D103"/>
    <mergeCell ref="A579:D579"/>
    <mergeCell ref="A590:D590"/>
    <mergeCell ref="A601:D601"/>
    <mergeCell ref="A612:D612"/>
    <mergeCell ref="A623:D623"/>
    <mergeCell ref="A522:D522"/>
    <mergeCell ref="A533:D533"/>
    <mergeCell ref="A412:D412"/>
    <mergeCell ref="A423:D423"/>
    <mergeCell ref="A434:D434"/>
    <mergeCell ref="A544:D544"/>
    <mergeCell ref="A555:D555"/>
    <mergeCell ref="A567:D567"/>
    <mergeCell ref="A467:D467"/>
    <mergeCell ref="A113:D113"/>
    <mergeCell ref="A123:D123"/>
    <mergeCell ref="A253:D253"/>
    <mergeCell ref="A263:D263"/>
    <mergeCell ref="A133:D133"/>
    <mergeCell ref="A143:D143"/>
    <mergeCell ref="A203:D203"/>
    <mergeCell ref="A213:D213"/>
    <mergeCell ref="A223:D223"/>
    <mergeCell ref="A233:D233"/>
    <mergeCell ref="A243:D243"/>
    <mergeCell ref="A153:D153"/>
    <mergeCell ref="A163:D163"/>
    <mergeCell ref="A173:D173"/>
    <mergeCell ref="A183:D183"/>
    <mergeCell ref="A193:D193"/>
    <mergeCell ref="A1:D1"/>
    <mergeCell ref="A11:D11"/>
    <mergeCell ref="A21:D21"/>
    <mergeCell ref="A31:D31"/>
    <mergeCell ref="A41:D41"/>
    <mergeCell ref="A51:D51"/>
    <mergeCell ref="A61:D61"/>
    <mergeCell ref="A71:D71"/>
    <mergeCell ref="A81:D81"/>
    <mergeCell ref="A313:D313"/>
    <mergeCell ref="A357:D357"/>
    <mergeCell ref="A368:D368"/>
    <mergeCell ref="A324:D324"/>
    <mergeCell ref="A335:D335"/>
    <mergeCell ref="A346:D346"/>
    <mergeCell ref="A379:D379"/>
    <mergeCell ref="A658:D658"/>
    <mergeCell ref="A273:D273"/>
    <mergeCell ref="A283:D283"/>
    <mergeCell ref="A293:D293"/>
    <mergeCell ref="A303:D303"/>
    <mergeCell ref="A670:D670"/>
    <mergeCell ref="A500:D500"/>
    <mergeCell ref="A478:D478"/>
    <mergeCell ref="A489:D489"/>
    <mergeCell ref="A511:D511"/>
    <mergeCell ref="A445:D445"/>
    <mergeCell ref="A456:D456"/>
    <mergeCell ref="A390:D390"/>
    <mergeCell ref="A401:D401"/>
    <mergeCell ref="A635:D635"/>
    <mergeCell ref="A647:D647"/>
    <mergeCell ref="A681:D681"/>
    <mergeCell ref="A796:D796"/>
    <mergeCell ref="A854:D854"/>
    <mergeCell ref="A1000:D1000"/>
    <mergeCell ref="A987:D987"/>
    <mergeCell ref="A1012:D1012"/>
    <mergeCell ref="A749:D749"/>
    <mergeCell ref="A760:D760"/>
    <mergeCell ref="A772:D772"/>
    <mergeCell ref="A784:D784"/>
    <mergeCell ref="A831:D831"/>
    <mergeCell ref="A809:D809"/>
    <mergeCell ref="A820:D820"/>
    <mergeCell ref="A865:D865"/>
    <mergeCell ref="A876:D876"/>
    <mergeCell ref="A888:D888"/>
    <mergeCell ref="A901:D901"/>
    <mergeCell ref="A913:D913"/>
    <mergeCell ref="A961:D961"/>
    <mergeCell ref="A925:D925"/>
    <mergeCell ref="A937:D937"/>
    <mergeCell ref="A692:D692"/>
    <mergeCell ref="A703:D703"/>
    <mergeCell ref="A715:D715"/>
    <mergeCell ref="A726:D726"/>
    <mergeCell ref="A1037:D1037"/>
    <mergeCell ref="A1098:D1098"/>
    <mergeCell ref="A1085:D1085"/>
    <mergeCell ref="A1073:D1073"/>
    <mergeCell ref="A1061:D1061"/>
    <mergeCell ref="A1049:D1049"/>
    <mergeCell ref="A842:D842"/>
    <mergeCell ref="A1576:D1576"/>
    <mergeCell ref="A1502:D1502"/>
    <mergeCell ref="A1490:D1490"/>
    <mergeCell ref="A1477:D1477"/>
    <mergeCell ref="A1025:D1025"/>
    <mergeCell ref="A949:D949"/>
    <mergeCell ref="A974:D974"/>
    <mergeCell ref="A1465:D1465"/>
    <mergeCell ref="A738:D738"/>
    <mergeCell ref="A1185:D1185"/>
    <mergeCell ref="A1162:D1162"/>
    <mergeCell ref="A1136:D1136"/>
    <mergeCell ref="A1149:D1149"/>
    <mergeCell ref="A1123:D1123"/>
    <mergeCell ref="A1173:D1173"/>
    <mergeCell ref="A1428:D1428"/>
    <mergeCell ref="A1355:D1355"/>
    <mergeCell ref="A1453:D1453"/>
    <mergeCell ref="A1318:D1318"/>
    <mergeCell ref="A1563:D1563"/>
    <mergeCell ref="A1551:D1551"/>
    <mergeCell ref="A1539:D1539"/>
    <mergeCell ref="A1526:D1526"/>
    <mergeCell ref="A1514:D1514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="70" zoomScaleNormal="70" workbookViewId="0">
      <selection activeCell="D20" sqref="D20"/>
    </sheetView>
  </sheetViews>
  <sheetFormatPr defaultColWidth="8.5703125" defaultRowHeight="15"/>
  <cols>
    <col min="1" max="1" width="23.7109375" style="88" customWidth="1"/>
    <col min="2" max="2" width="22.140625" style="88" customWidth="1"/>
    <col min="3" max="3" width="22.5703125" style="88" customWidth="1"/>
    <col min="4" max="4" width="38.85546875" customWidth="1"/>
    <col min="5" max="5" width="22" customWidth="1"/>
    <col min="6" max="6" width="20.7109375" customWidth="1"/>
  </cols>
  <sheetData>
    <row r="1" spans="1:6" ht="24.95" customHeight="1">
      <c r="A1" s="153" t="s">
        <v>373</v>
      </c>
      <c r="B1" s="153"/>
      <c r="C1" s="153"/>
    </row>
    <row r="2" spans="1:6" ht="24.95" customHeight="1">
      <c r="A2" s="89"/>
      <c r="B2" s="89" t="s">
        <v>374</v>
      </c>
      <c r="C2" s="89" t="s">
        <v>375</v>
      </c>
    </row>
    <row r="3" spans="1:6" ht="24.95" customHeight="1">
      <c r="A3" s="89" t="s">
        <v>376</v>
      </c>
      <c r="B3" s="89">
        <v>10250000</v>
      </c>
      <c r="C3" s="89">
        <v>11920000</v>
      </c>
      <c r="D3" s="88" t="s">
        <v>377</v>
      </c>
      <c r="E3">
        <f t="shared" ref="E3:E10" si="0">100*(C3-B3)/B3</f>
        <v>16.292682926829269</v>
      </c>
      <c r="F3">
        <v>16</v>
      </c>
    </row>
    <row r="4" spans="1:6" ht="24.95" customHeight="1">
      <c r="A4" s="89" t="s">
        <v>378</v>
      </c>
      <c r="B4" s="89">
        <v>1018000</v>
      </c>
      <c r="C4" s="89">
        <v>1140000</v>
      </c>
      <c r="D4" s="88" t="s">
        <v>379</v>
      </c>
      <c r="E4">
        <f t="shared" si="0"/>
        <v>11.984282907662083</v>
      </c>
      <c r="F4">
        <v>12</v>
      </c>
    </row>
    <row r="5" spans="1:6" ht="24.95" customHeight="1">
      <c r="A5" s="89" t="s">
        <v>380</v>
      </c>
      <c r="B5" s="89">
        <v>23930</v>
      </c>
      <c r="C5" s="89">
        <v>27520</v>
      </c>
      <c r="D5" s="88" t="s">
        <v>381</v>
      </c>
      <c r="E5">
        <f t="shared" si="0"/>
        <v>15.002089427496866</v>
      </c>
      <c r="F5">
        <v>15</v>
      </c>
    </row>
    <row r="6" spans="1:6" ht="24.95" customHeight="1">
      <c r="A6" s="89" t="s">
        <v>382</v>
      </c>
      <c r="B6" s="89">
        <v>28324</v>
      </c>
      <c r="C6" s="89">
        <v>32347</v>
      </c>
      <c r="D6" s="88" t="s">
        <v>383</v>
      </c>
      <c r="E6">
        <f t="shared" si="0"/>
        <v>14.203502330179353</v>
      </c>
      <c r="F6">
        <v>14</v>
      </c>
    </row>
    <row r="7" spans="1:6" ht="24.95" customHeight="1">
      <c r="A7" s="89" t="s">
        <v>384</v>
      </c>
      <c r="B7" s="89">
        <v>23779</v>
      </c>
      <c r="C7" s="89">
        <v>26523</v>
      </c>
      <c r="D7" s="88" t="s">
        <v>385</v>
      </c>
      <c r="E7">
        <f t="shared" si="0"/>
        <v>11.539593759199294</v>
      </c>
      <c r="F7">
        <v>12</v>
      </c>
    </row>
    <row r="8" spans="1:6" ht="24.95" customHeight="1">
      <c r="A8" s="89" t="s">
        <v>386</v>
      </c>
      <c r="B8" s="89">
        <v>28081</v>
      </c>
      <c r="C8" s="89">
        <v>31394</v>
      </c>
      <c r="D8" s="88" t="s">
        <v>387</v>
      </c>
      <c r="E8">
        <f t="shared" si="0"/>
        <v>11.7980128912788</v>
      </c>
      <c r="F8">
        <v>12</v>
      </c>
    </row>
    <row r="9" spans="1:6" ht="24.95" customHeight="1">
      <c r="A9" s="89" t="s">
        <v>388</v>
      </c>
      <c r="B9" s="89">
        <v>23364</v>
      </c>
      <c r="C9" s="89">
        <v>26260</v>
      </c>
      <c r="D9" s="88" t="s">
        <v>389</v>
      </c>
      <c r="E9">
        <f t="shared" si="0"/>
        <v>12.395137818866633</v>
      </c>
      <c r="F9">
        <v>12</v>
      </c>
    </row>
    <row r="10" spans="1:6" ht="24.95" customHeight="1">
      <c r="A10" s="89" t="s">
        <v>390</v>
      </c>
      <c r="B10" s="89">
        <v>27693</v>
      </c>
      <c r="C10" s="89">
        <v>31147</v>
      </c>
      <c r="D10" s="88" t="s">
        <v>391</v>
      </c>
      <c r="E10">
        <f t="shared" si="0"/>
        <v>12.472465966128624</v>
      </c>
      <c r="F10">
        <v>12</v>
      </c>
    </row>
    <row r="12" spans="1:6">
      <c r="A12"/>
      <c r="B12" s="88">
        <f t="shared" ref="B12:B22" si="1">C3-B3</f>
        <v>1670000</v>
      </c>
    </row>
    <row r="13" spans="1:6">
      <c r="B13" s="88">
        <f t="shared" si="1"/>
        <v>122000</v>
      </c>
    </row>
    <row r="14" spans="1:6">
      <c r="B14" s="88">
        <f t="shared" si="1"/>
        <v>3590</v>
      </c>
    </row>
    <row r="15" spans="1:6">
      <c r="B15" s="88">
        <f t="shared" si="1"/>
        <v>4023</v>
      </c>
    </row>
    <row r="16" spans="1:6">
      <c r="B16" s="88">
        <f t="shared" si="1"/>
        <v>2744</v>
      </c>
    </row>
    <row r="17" spans="2:2">
      <c r="B17" s="88">
        <f t="shared" si="1"/>
        <v>3313</v>
      </c>
    </row>
    <row r="18" spans="2:2">
      <c r="B18" s="88">
        <f t="shared" si="1"/>
        <v>2896</v>
      </c>
    </row>
    <row r="19" spans="2:2">
      <c r="B19" s="88">
        <f t="shared" si="1"/>
        <v>3454</v>
      </c>
    </row>
    <row r="20" spans="2:2">
      <c r="B20" s="88">
        <f t="shared" si="1"/>
        <v>0</v>
      </c>
    </row>
    <row r="21" spans="2:2">
      <c r="B21" s="88">
        <f t="shared" si="1"/>
        <v>-1670000</v>
      </c>
    </row>
    <row r="22" spans="2:2">
      <c r="B22" s="88">
        <f t="shared" si="1"/>
        <v>-122000</v>
      </c>
    </row>
  </sheetData>
  <mergeCells count="1">
    <mergeCell ref="A1:C1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6"/>
  <sheetViews>
    <sheetView topLeftCell="A19" zoomScale="85" zoomScaleNormal="85" workbookViewId="0">
      <selection activeCell="A8" sqref="A8"/>
    </sheetView>
  </sheetViews>
  <sheetFormatPr defaultColWidth="8.5703125" defaultRowHeight="15"/>
  <cols>
    <col min="2" max="2" width="20.140625" customWidth="1"/>
    <col min="3" max="3" width="9.28515625" bestFit="1" customWidth="1"/>
    <col min="4" max="4" width="13.5703125" customWidth="1"/>
    <col min="5" max="5" width="20.140625" customWidth="1"/>
    <col min="6" max="6" width="12.7109375" customWidth="1"/>
    <col min="7" max="7" width="15.85546875" customWidth="1"/>
    <col min="8" max="8" width="17.42578125" customWidth="1"/>
    <col min="9" max="9" width="15.42578125" customWidth="1"/>
  </cols>
  <sheetData>
    <row r="1" spans="2:9">
      <c r="C1" t="s">
        <v>392</v>
      </c>
      <c r="D1" t="s">
        <v>393</v>
      </c>
      <c r="E1" t="s">
        <v>394</v>
      </c>
      <c r="F1" t="s">
        <v>395</v>
      </c>
      <c r="G1" t="s">
        <v>267</v>
      </c>
      <c r="H1" t="s">
        <v>396</v>
      </c>
      <c r="I1" t="s">
        <v>397</v>
      </c>
    </row>
    <row r="2" spans="2:9">
      <c r="B2">
        <v>14000320</v>
      </c>
      <c r="C2">
        <v>24020</v>
      </c>
      <c r="D2">
        <v>10675000</v>
      </c>
      <c r="E2">
        <v>1073500</v>
      </c>
    </row>
    <row r="3" spans="2:9">
      <c r="B3">
        <v>14000322</v>
      </c>
      <c r="C3">
        <v>23640</v>
      </c>
      <c r="D3">
        <v>10480000</v>
      </c>
      <c r="E3">
        <v>1060293</v>
      </c>
      <c r="F3">
        <f t="shared" ref="F3:F34" si="0">(C3-C2)*100/C2</f>
        <v>-1.5820149875104079</v>
      </c>
      <c r="G3">
        <f t="shared" ref="G3:G34" si="1">(D3-D2)*100/D2</f>
        <v>-1.8266978922716628</v>
      </c>
      <c r="H3">
        <f t="shared" ref="H3:H34" si="2">(E3-E2)*100/E2</f>
        <v>-1.2302748020493712</v>
      </c>
      <c r="I3">
        <v>-0.61</v>
      </c>
    </row>
    <row r="4" spans="2:9">
      <c r="B4">
        <v>14000323</v>
      </c>
      <c r="C4">
        <v>23970</v>
      </c>
      <c r="D4">
        <v>10680000</v>
      </c>
      <c r="E4">
        <v>1074144</v>
      </c>
      <c r="F4">
        <f t="shared" si="0"/>
        <v>1.3959390862944163</v>
      </c>
      <c r="G4">
        <f t="shared" si="1"/>
        <v>1.9083969465648856</v>
      </c>
      <c r="H4">
        <f t="shared" si="2"/>
        <v>1.3063370219363892</v>
      </c>
      <c r="I4">
        <v>-0.32</v>
      </c>
    </row>
    <row r="5" spans="2:9">
      <c r="B5">
        <v>14000324</v>
      </c>
      <c r="C5">
        <v>23920</v>
      </c>
      <c r="D5">
        <v>10610000</v>
      </c>
      <c r="E5">
        <v>1064142</v>
      </c>
      <c r="F5">
        <f t="shared" si="0"/>
        <v>-0.20859407592824364</v>
      </c>
      <c r="G5">
        <f t="shared" si="1"/>
        <v>-0.65543071161048694</v>
      </c>
      <c r="H5">
        <f t="shared" si="2"/>
        <v>-0.93116006792385375</v>
      </c>
      <c r="I5">
        <v>0.79</v>
      </c>
    </row>
    <row r="6" spans="2:9">
      <c r="B6">
        <v>14000325</v>
      </c>
      <c r="C6">
        <v>24040</v>
      </c>
      <c r="D6">
        <v>10670000</v>
      </c>
      <c r="E6">
        <v>1072528</v>
      </c>
      <c r="F6">
        <f t="shared" si="0"/>
        <v>0.50167224080267558</v>
      </c>
      <c r="G6">
        <f t="shared" si="1"/>
        <v>0.56550424128180965</v>
      </c>
      <c r="H6">
        <f t="shared" si="2"/>
        <v>0.78805272228706325</v>
      </c>
      <c r="I6">
        <v>0</v>
      </c>
    </row>
    <row r="7" spans="2:9">
      <c r="B7">
        <v>14000326</v>
      </c>
      <c r="C7">
        <v>24110</v>
      </c>
      <c r="D7">
        <v>10750000</v>
      </c>
      <c r="E7">
        <v>1081301</v>
      </c>
      <c r="F7">
        <f t="shared" si="0"/>
        <v>0.29118136439267889</v>
      </c>
      <c r="G7">
        <f t="shared" si="1"/>
        <v>0.7497656982193065</v>
      </c>
      <c r="H7">
        <f t="shared" si="2"/>
        <v>0.8179739829636149</v>
      </c>
      <c r="I7">
        <v>-0.21</v>
      </c>
    </row>
    <row r="8" spans="2:9">
      <c r="B8">
        <v>14000327</v>
      </c>
      <c r="C8">
        <v>24340</v>
      </c>
      <c r="D8">
        <v>10790000</v>
      </c>
      <c r="E8">
        <v>1074144</v>
      </c>
      <c r="F8">
        <f t="shared" si="0"/>
        <v>0.95396101202820405</v>
      </c>
      <c r="G8">
        <f t="shared" si="1"/>
        <v>0.37209302325581395</v>
      </c>
      <c r="H8">
        <f t="shared" si="2"/>
        <v>-0.66188785546300244</v>
      </c>
      <c r="I8">
        <v>0</v>
      </c>
    </row>
    <row r="9" spans="2:9">
      <c r="B9">
        <v>14000329</v>
      </c>
      <c r="C9">
        <v>24000</v>
      </c>
      <c r="D9">
        <v>10210000</v>
      </c>
      <c r="E9">
        <v>1018740</v>
      </c>
      <c r="F9">
        <f t="shared" si="0"/>
        <v>-1.3968775677896468</v>
      </c>
      <c r="G9">
        <f t="shared" si="1"/>
        <v>-5.3753475440222429</v>
      </c>
      <c r="H9">
        <f t="shared" si="2"/>
        <v>-5.1579676467959601</v>
      </c>
      <c r="I9">
        <v>1.25</v>
      </c>
    </row>
    <row r="10" spans="2:9">
      <c r="B10">
        <v>14000330</v>
      </c>
      <c r="C10">
        <v>23740</v>
      </c>
      <c r="D10">
        <v>10180000</v>
      </c>
      <c r="E10">
        <v>1018971</v>
      </c>
      <c r="F10">
        <f t="shared" si="0"/>
        <v>-1.0833333333333333</v>
      </c>
      <c r="G10">
        <f t="shared" si="1"/>
        <v>-0.2938295788442703</v>
      </c>
      <c r="H10">
        <f t="shared" si="2"/>
        <v>2.2675069203133284E-2</v>
      </c>
      <c r="I10">
        <v>0.14000000000000001</v>
      </c>
    </row>
    <row r="11" spans="2:9">
      <c r="B11">
        <v>14000331</v>
      </c>
      <c r="C11">
        <v>23930</v>
      </c>
      <c r="D11">
        <v>10330000</v>
      </c>
      <c r="E11">
        <v>1031206</v>
      </c>
      <c r="F11">
        <f t="shared" si="0"/>
        <v>0.80033698399326036</v>
      </c>
      <c r="G11">
        <f t="shared" si="1"/>
        <v>1.4734774066797642</v>
      </c>
      <c r="H11">
        <f t="shared" si="2"/>
        <v>1.2007211196393224</v>
      </c>
      <c r="I11">
        <v>0.42</v>
      </c>
    </row>
    <row r="12" spans="2:9">
      <c r="B12">
        <v>14000401</v>
      </c>
      <c r="C12">
        <v>24220</v>
      </c>
      <c r="D12">
        <v>10410000</v>
      </c>
      <c r="E12">
        <v>1043672</v>
      </c>
      <c r="F12">
        <f t="shared" si="0"/>
        <v>1.2118679481821981</v>
      </c>
      <c r="G12">
        <f t="shared" si="1"/>
        <v>0.77444336882865439</v>
      </c>
      <c r="H12">
        <f t="shared" si="2"/>
        <v>1.2088758211259438</v>
      </c>
      <c r="I12">
        <v>1.56</v>
      </c>
    </row>
    <row r="13" spans="2:9">
      <c r="B13">
        <v>14000402</v>
      </c>
      <c r="C13" s="34">
        <v>24130</v>
      </c>
      <c r="D13">
        <v>10310000</v>
      </c>
      <c r="E13">
        <v>1037700</v>
      </c>
      <c r="F13">
        <f t="shared" si="0"/>
        <v>-0.37159372419488024</v>
      </c>
      <c r="G13">
        <f t="shared" si="1"/>
        <v>-0.96061479346781942</v>
      </c>
      <c r="H13">
        <f t="shared" si="2"/>
        <v>-0.57221042626419027</v>
      </c>
    </row>
    <row r="14" spans="2:9">
      <c r="B14">
        <v>14000403</v>
      </c>
      <c r="C14" s="34">
        <v>24100</v>
      </c>
      <c r="D14">
        <v>10375000</v>
      </c>
      <c r="E14">
        <v>1038800</v>
      </c>
      <c r="F14">
        <f t="shared" si="0"/>
        <v>-0.12432656444260257</v>
      </c>
      <c r="G14">
        <f t="shared" si="1"/>
        <v>0.63045586808923371</v>
      </c>
      <c r="H14">
        <f t="shared" si="2"/>
        <v>0.10600366194468536</v>
      </c>
    </row>
    <row r="15" spans="2:9">
      <c r="B15">
        <v>14000405</v>
      </c>
      <c r="C15">
        <v>24450</v>
      </c>
      <c r="D15">
        <v>10540000</v>
      </c>
      <c r="E15">
        <v>1052906</v>
      </c>
      <c r="F15">
        <f t="shared" si="0"/>
        <v>1.4522821576763485</v>
      </c>
      <c r="G15">
        <f t="shared" si="1"/>
        <v>1.5903614457831325</v>
      </c>
      <c r="H15">
        <f t="shared" si="2"/>
        <v>1.3579129765113593</v>
      </c>
      <c r="I15">
        <v>1.71</v>
      </c>
    </row>
    <row r="16" spans="2:9">
      <c r="B16">
        <v>14000406</v>
      </c>
      <c r="C16">
        <v>24400</v>
      </c>
      <c r="D16">
        <v>10540000</v>
      </c>
      <c r="E16">
        <v>1051290</v>
      </c>
      <c r="F16">
        <f t="shared" si="0"/>
        <v>-0.20449897750511248</v>
      </c>
      <c r="G16">
        <f t="shared" si="1"/>
        <v>0</v>
      </c>
      <c r="H16">
        <f t="shared" si="2"/>
        <v>-0.1534799877671891</v>
      </c>
      <c r="I16">
        <v>0.38</v>
      </c>
    </row>
    <row r="17" spans="2:9">
      <c r="B17">
        <v>14000407</v>
      </c>
      <c r="C17">
        <v>24740</v>
      </c>
      <c r="D17">
        <v>10690000</v>
      </c>
      <c r="E17">
        <v>1063294</v>
      </c>
      <c r="F17">
        <f t="shared" si="0"/>
        <v>1.3934426229508197</v>
      </c>
      <c r="G17">
        <f t="shared" si="1"/>
        <v>1.4231499051233396</v>
      </c>
      <c r="H17">
        <f t="shared" si="2"/>
        <v>1.1418352690504048</v>
      </c>
      <c r="I17">
        <v>0.42</v>
      </c>
    </row>
    <row r="18" spans="2:9">
      <c r="B18">
        <v>14000408</v>
      </c>
      <c r="C18">
        <v>25130</v>
      </c>
      <c r="D18">
        <v>10830000</v>
      </c>
      <c r="E18">
        <v>1072067</v>
      </c>
      <c r="F18">
        <f t="shared" si="0"/>
        <v>1.5763945028294259</v>
      </c>
      <c r="G18">
        <f t="shared" si="1"/>
        <v>1.3096351730589335</v>
      </c>
      <c r="H18">
        <f t="shared" si="2"/>
        <v>0.82507754205327977</v>
      </c>
      <c r="I18">
        <v>0.38</v>
      </c>
    </row>
    <row r="19" spans="2:9">
      <c r="B19">
        <v>14000409</v>
      </c>
      <c r="C19">
        <v>25270</v>
      </c>
      <c r="D19">
        <v>10830000</v>
      </c>
      <c r="E19">
        <v>1070682</v>
      </c>
      <c r="F19">
        <f t="shared" si="0"/>
        <v>0.55710306406685239</v>
      </c>
      <c r="G19">
        <f t="shared" si="1"/>
        <v>0</v>
      </c>
      <c r="H19">
        <f t="shared" si="2"/>
        <v>-0.12918968683860244</v>
      </c>
      <c r="I19">
        <v>0.68</v>
      </c>
    </row>
    <row r="20" spans="2:9">
      <c r="B20">
        <v>14000410</v>
      </c>
      <c r="C20">
        <v>25190</v>
      </c>
      <c r="D20">
        <v>10790000</v>
      </c>
      <c r="E20">
        <v>1070682</v>
      </c>
      <c r="F20">
        <f t="shared" si="0"/>
        <v>-0.31658092599920856</v>
      </c>
      <c r="G20">
        <f t="shared" si="1"/>
        <v>-0.36934441366574333</v>
      </c>
      <c r="H20">
        <f t="shared" si="2"/>
        <v>0</v>
      </c>
      <c r="I20">
        <v>0</v>
      </c>
    </row>
    <row r="21" spans="2:9">
      <c r="B21">
        <v>14000412</v>
      </c>
      <c r="C21">
        <v>25190</v>
      </c>
      <c r="D21">
        <v>10750000</v>
      </c>
      <c r="E21">
        <v>1067911</v>
      </c>
      <c r="F21">
        <f t="shared" si="0"/>
        <v>0</v>
      </c>
      <c r="G21">
        <f t="shared" si="1"/>
        <v>-0.3707136237256719</v>
      </c>
      <c r="H21">
        <f t="shared" si="2"/>
        <v>-0.25880700338662649</v>
      </c>
      <c r="I21">
        <v>-0.87</v>
      </c>
    </row>
    <row r="22" spans="2:9">
      <c r="B22">
        <v>14000413</v>
      </c>
      <c r="C22">
        <v>25180</v>
      </c>
      <c r="D22">
        <v>10750000</v>
      </c>
      <c r="E22">
        <v>1068604</v>
      </c>
      <c r="F22">
        <f t="shared" si="0"/>
        <v>-3.9698292973402147E-2</v>
      </c>
      <c r="G22">
        <f t="shared" si="1"/>
        <v>0</v>
      </c>
      <c r="H22">
        <f t="shared" si="2"/>
        <v>6.489304820345515E-2</v>
      </c>
      <c r="I22">
        <v>-0.19</v>
      </c>
    </row>
    <row r="23" spans="2:9">
      <c r="B23">
        <v>14000414</v>
      </c>
      <c r="C23">
        <v>24970</v>
      </c>
      <c r="D23">
        <v>10600000</v>
      </c>
      <c r="E23">
        <v>1058216</v>
      </c>
      <c r="F23">
        <f t="shared" si="0"/>
        <v>-0.83399523431294675</v>
      </c>
      <c r="G23">
        <f t="shared" si="1"/>
        <v>-1.3953488372093024</v>
      </c>
      <c r="H23">
        <f t="shared" si="2"/>
        <v>-0.97210940629082432</v>
      </c>
      <c r="I23">
        <v>0.88</v>
      </c>
    </row>
    <row r="24" spans="2:9">
      <c r="B24">
        <v>14000415</v>
      </c>
      <c r="C24">
        <v>25110</v>
      </c>
      <c r="D24">
        <v>10720000</v>
      </c>
      <c r="E24">
        <v>1067219</v>
      </c>
      <c r="F24">
        <f t="shared" si="0"/>
        <v>0.56067280736884262</v>
      </c>
      <c r="G24">
        <f t="shared" si="1"/>
        <v>1.1320754716981132</v>
      </c>
      <c r="H24">
        <f t="shared" si="2"/>
        <v>0.85077148710660211</v>
      </c>
      <c r="I24">
        <v>2.12</v>
      </c>
    </row>
    <row r="25" spans="2:9">
      <c r="B25">
        <v>14000416</v>
      </c>
      <c r="C25">
        <v>24900</v>
      </c>
      <c r="D25">
        <v>10660000</v>
      </c>
      <c r="E25">
        <v>1061909</v>
      </c>
      <c r="F25">
        <f t="shared" si="0"/>
        <v>-0.83632019115890088</v>
      </c>
      <c r="G25">
        <f t="shared" si="1"/>
        <v>-0.55970149253731338</v>
      </c>
      <c r="H25">
        <f t="shared" si="2"/>
        <v>-0.49755485987412146</v>
      </c>
      <c r="I25">
        <v>0.06</v>
      </c>
    </row>
    <row r="26" spans="2:9">
      <c r="B26">
        <v>14000417</v>
      </c>
      <c r="C26">
        <v>24970</v>
      </c>
      <c r="D26">
        <v>10720000</v>
      </c>
      <c r="E26">
        <v>1064218</v>
      </c>
      <c r="F26">
        <f t="shared" si="0"/>
        <v>0.28112449799196787</v>
      </c>
      <c r="G26">
        <f t="shared" si="1"/>
        <v>0.56285178236397748</v>
      </c>
      <c r="H26">
        <f t="shared" si="2"/>
        <v>0.21743859407915367</v>
      </c>
      <c r="I26">
        <v>0</v>
      </c>
    </row>
    <row r="27" spans="2:9">
      <c r="B27">
        <v>14000419</v>
      </c>
      <c r="C27">
        <v>24880</v>
      </c>
      <c r="D27">
        <v>10670000</v>
      </c>
      <c r="E27">
        <v>1062371</v>
      </c>
      <c r="F27">
        <f t="shared" si="0"/>
        <v>-0.36043251902282741</v>
      </c>
      <c r="G27">
        <f t="shared" si="1"/>
        <v>-0.46641791044776121</v>
      </c>
      <c r="H27">
        <f t="shared" si="2"/>
        <v>-0.17355466643112596</v>
      </c>
      <c r="I27">
        <v>-0.88</v>
      </c>
    </row>
    <row r="28" spans="2:9">
      <c r="B28">
        <v>14000420</v>
      </c>
      <c r="C28">
        <v>24880</v>
      </c>
      <c r="D28">
        <v>10700000</v>
      </c>
      <c r="E28">
        <v>1063064</v>
      </c>
      <c r="F28">
        <f t="shared" si="0"/>
        <v>0</v>
      </c>
      <c r="G28">
        <f t="shared" si="1"/>
        <v>0.28116213683223995</v>
      </c>
      <c r="H28">
        <f t="shared" si="2"/>
        <v>6.523144927713577E-2</v>
      </c>
      <c r="I28">
        <v>1.1399999999999999</v>
      </c>
    </row>
    <row r="29" spans="2:9">
      <c r="B29">
        <v>14000421</v>
      </c>
      <c r="C29">
        <v>24920</v>
      </c>
      <c r="D29">
        <v>10680000</v>
      </c>
      <c r="E29">
        <v>1061217</v>
      </c>
      <c r="F29">
        <f t="shared" si="0"/>
        <v>0.16077170418006431</v>
      </c>
      <c r="G29">
        <f t="shared" si="1"/>
        <v>-0.18691588785046728</v>
      </c>
      <c r="H29">
        <f t="shared" si="2"/>
        <v>-0.17374306720950008</v>
      </c>
      <c r="I29">
        <v>1.48</v>
      </c>
    </row>
    <row r="30" spans="2:9">
      <c r="B30">
        <v>14000422</v>
      </c>
      <c r="C30">
        <v>24750</v>
      </c>
      <c r="D30">
        <v>10610000</v>
      </c>
      <c r="E30">
        <v>1053137</v>
      </c>
      <c r="F30">
        <f t="shared" si="0"/>
        <v>-0.6821829855537721</v>
      </c>
      <c r="G30">
        <f t="shared" si="1"/>
        <v>-0.65543071161048694</v>
      </c>
      <c r="H30">
        <f t="shared" si="2"/>
        <v>-0.76138998904088417</v>
      </c>
      <c r="I30">
        <v>-0.03</v>
      </c>
    </row>
    <row r="31" spans="2:9">
      <c r="B31">
        <v>14000423</v>
      </c>
      <c r="C31">
        <v>24520</v>
      </c>
      <c r="D31">
        <v>10500000</v>
      </c>
      <c r="E31">
        <v>1047597</v>
      </c>
      <c r="F31">
        <f t="shared" si="0"/>
        <v>-0.92929292929292928</v>
      </c>
      <c r="G31">
        <f t="shared" si="1"/>
        <v>-1.0367577756833177</v>
      </c>
      <c r="H31">
        <f t="shared" si="2"/>
        <v>-0.5260474183320879</v>
      </c>
      <c r="I31">
        <v>0.12</v>
      </c>
    </row>
    <row r="32" spans="2:9">
      <c r="B32">
        <v>14000424</v>
      </c>
      <c r="C32">
        <v>24700</v>
      </c>
      <c r="D32">
        <v>10600000</v>
      </c>
      <c r="E32">
        <v>1057985</v>
      </c>
      <c r="F32">
        <f t="shared" si="0"/>
        <v>0.73409461663947795</v>
      </c>
      <c r="G32">
        <f t="shared" si="1"/>
        <v>0.95238095238095233</v>
      </c>
      <c r="H32">
        <f t="shared" si="2"/>
        <v>0.99160268691109277</v>
      </c>
      <c r="I32">
        <v>0</v>
      </c>
    </row>
    <row r="33" spans="2:9">
      <c r="B33">
        <v>14000426</v>
      </c>
      <c r="C33">
        <v>24670</v>
      </c>
      <c r="D33">
        <v>10540000</v>
      </c>
      <c r="E33">
        <v>1055215</v>
      </c>
      <c r="F33">
        <f t="shared" si="0"/>
        <v>-0.1214574898785425</v>
      </c>
      <c r="G33">
        <f t="shared" si="1"/>
        <v>-0.56603773584905659</v>
      </c>
      <c r="H33">
        <f t="shared" si="2"/>
        <v>-0.26181845678341376</v>
      </c>
      <c r="I33">
        <v>0.44</v>
      </c>
    </row>
    <row r="34" spans="2:9">
      <c r="B34">
        <v>14000427</v>
      </c>
      <c r="C34">
        <v>24650</v>
      </c>
      <c r="D34">
        <v>10520000</v>
      </c>
      <c r="E34">
        <v>1050829</v>
      </c>
      <c r="F34">
        <f t="shared" si="0"/>
        <v>-8.1070125658694772E-2</v>
      </c>
      <c r="G34">
        <f t="shared" si="1"/>
        <v>-0.18975332068311196</v>
      </c>
      <c r="H34">
        <f t="shared" si="2"/>
        <v>-0.41564989125438889</v>
      </c>
      <c r="I34">
        <v>-0.63</v>
      </c>
    </row>
    <row r="35" spans="2:9">
      <c r="B35">
        <v>14000428</v>
      </c>
      <c r="C35">
        <v>24400</v>
      </c>
      <c r="D35">
        <v>10510000</v>
      </c>
      <c r="E35">
        <v>1045981</v>
      </c>
      <c r="F35">
        <f t="shared" ref="F35:F66" si="3">(C35-C34)*100/C34</f>
        <v>-1.0141987829614605</v>
      </c>
      <c r="G35">
        <f t="shared" ref="G35:G66" si="4">(D35-D34)*100/D34</f>
        <v>-9.5057034220532313E-2</v>
      </c>
      <c r="H35">
        <f t="shared" ref="H35:H66" si="5">(E35-E34)*100/E34</f>
        <v>-0.46135003887406989</v>
      </c>
      <c r="I35">
        <v>0.65</v>
      </c>
    </row>
    <row r="36" spans="2:9">
      <c r="B36">
        <v>14000503</v>
      </c>
      <c r="C36">
        <v>24800</v>
      </c>
      <c r="D36">
        <v>10700000</v>
      </c>
      <c r="E36">
        <v>1061500</v>
      </c>
      <c r="F36">
        <f t="shared" si="3"/>
        <v>1.639344262295082</v>
      </c>
      <c r="G36">
        <f t="shared" si="4"/>
        <v>1.8078020932445291</v>
      </c>
      <c r="H36">
        <f t="shared" si="5"/>
        <v>1.4836789578395784</v>
      </c>
      <c r="I36">
        <v>0</v>
      </c>
    </row>
    <row r="37" spans="2:9">
      <c r="B37">
        <v>14000504</v>
      </c>
      <c r="C37">
        <v>24980</v>
      </c>
      <c r="D37">
        <v>10930000</v>
      </c>
      <c r="E37">
        <v>1078531</v>
      </c>
      <c r="F37">
        <f t="shared" si="3"/>
        <v>0.72580645161290325</v>
      </c>
      <c r="G37">
        <f t="shared" si="4"/>
        <v>2.1495327102803738</v>
      </c>
      <c r="H37">
        <f t="shared" si="5"/>
        <v>1.6044276966556759</v>
      </c>
      <c r="I37">
        <v>0.92</v>
      </c>
    </row>
    <row r="38" spans="2:9">
      <c r="B38">
        <v>14000505</v>
      </c>
      <c r="C38">
        <v>25120</v>
      </c>
      <c r="D38">
        <v>11000000</v>
      </c>
      <c r="E38">
        <v>1076915</v>
      </c>
      <c r="F38">
        <f t="shared" si="3"/>
        <v>0.56044835868694953</v>
      </c>
      <c r="G38">
        <f t="shared" si="4"/>
        <v>0.64043915827996345</v>
      </c>
      <c r="H38">
        <f t="shared" si="5"/>
        <v>-0.14983343084250708</v>
      </c>
      <c r="I38">
        <v>-0.63</v>
      </c>
    </row>
    <row r="39" spans="2:9">
      <c r="B39">
        <v>14000506</v>
      </c>
      <c r="C39">
        <v>25290</v>
      </c>
      <c r="D39">
        <v>11190000</v>
      </c>
      <c r="E39">
        <v>1094690</v>
      </c>
      <c r="F39">
        <f t="shared" si="3"/>
        <v>0.67675159235668791</v>
      </c>
      <c r="G39">
        <f t="shared" si="4"/>
        <v>1.7272727272727273</v>
      </c>
      <c r="H39">
        <f t="shared" si="5"/>
        <v>1.6505480933964147</v>
      </c>
      <c r="I39">
        <v>0.12</v>
      </c>
    </row>
    <row r="40" spans="2:9">
      <c r="B40">
        <v>14000509</v>
      </c>
      <c r="C40">
        <v>25980</v>
      </c>
      <c r="D40">
        <v>11430000</v>
      </c>
      <c r="E40">
        <v>1108541</v>
      </c>
      <c r="F40">
        <f t="shared" si="3"/>
        <v>2.7283511269276395</v>
      </c>
      <c r="G40">
        <f t="shared" si="4"/>
        <v>2.1447721179624666</v>
      </c>
      <c r="H40">
        <f t="shared" si="5"/>
        <v>1.265289716723456</v>
      </c>
      <c r="I40">
        <v>2.66</v>
      </c>
    </row>
    <row r="41" spans="2:9">
      <c r="B41">
        <v>14000510</v>
      </c>
      <c r="C41">
        <v>25620</v>
      </c>
      <c r="D41">
        <v>11240000</v>
      </c>
      <c r="E41">
        <v>1100923</v>
      </c>
      <c r="F41">
        <f t="shared" si="3"/>
        <v>-1.3856812933025404</v>
      </c>
      <c r="G41">
        <f t="shared" si="4"/>
        <v>-1.6622922134733158</v>
      </c>
      <c r="H41">
        <f t="shared" si="5"/>
        <v>-0.68720958448988356</v>
      </c>
      <c r="I41">
        <v>0.65</v>
      </c>
    </row>
    <row r="42" spans="2:9">
      <c r="B42">
        <v>14000511</v>
      </c>
      <c r="C42">
        <v>25480</v>
      </c>
      <c r="D42">
        <v>11180000</v>
      </c>
      <c r="E42">
        <v>1090996</v>
      </c>
      <c r="F42">
        <f t="shared" si="3"/>
        <v>-0.54644808743169404</v>
      </c>
      <c r="G42">
        <f t="shared" si="4"/>
        <v>-0.53380782918149461</v>
      </c>
      <c r="H42">
        <f t="shared" si="5"/>
        <v>-0.90169793891125904</v>
      </c>
      <c r="I42">
        <v>-0.17</v>
      </c>
    </row>
    <row r="43" spans="2:9">
      <c r="B43">
        <v>14000512</v>
      </c>
      <c r="C43">
        <v>25630</v>
      </c>
      <c r="D43">
        <v>11380000</v>
      </c>
      <c r="E43">
        <v>1097922</v>
      </c>
      <c r="F43">
        <f t="shared" si="3"/>
        <v>0.58869701726844581</v>
      </c>
      <c r="G43">
        <f t="shared" si="4"/>
        <v>1.7889087656529516</v>
      </c>
      <c r="H43">
        <f t="shared" si="5"/>
        <v>0.63483275832358688</v>
      </c>
      <c r="I43">
        <v>1.3</v>
      </c>
    </row>
    <row r="44" spans="2:9">
      <c r="B44">
        <v>14000513</v>
      </c>
      <c r="C44">
        <v>25510</v>
      </c>
      <c r="D44">
        <v>11300000</v>
      </c>
      <c r="E44">
        <v>1095844</v>
      </c>
      <c r="F44">
        <f t="shared" si="3"/>
        <v>-0.46820132657042529</v>
      </c>
      <c r="G44">
        <f t="shared" si="4"/>
        <v>-0.70298769771529002</v>
      </c>
      <c r="H44">
        <f t="shared" si="5"/>
        <v>-0.18926663278447831</v>
      </c>
      <c r="I44">
        <v>2.21</v>
      </c>
    </row>
    <row r="45" spans="2:9">
      <c r="B45">
        <v>14000516</v>
      </c>
      <c r="C45">
        <v>25550</v>
      </c>
      <c r="D45">
        <v>11180000</v>
      </c>
      <c r="E45">
        <v>1083378</v>
      </c>
      <c r="F45">
        <f t="shared" si="3"/>
        <v>0.15680125441003528</v>
      </c>
      <c r="G45">
        <f t="shared" si="4"/>
        <v>-1.0619469026548674</v>
      </c>
      <c r="H45">
        <f t="shared" si="5"/>
        <v>-1.1375706761181337</v>
      </c>
      <c r="I45">
        <v>0.12</v>
      </c>
    </row>
    <row r="46" spans="2:9">
      <c r="B46">
        <v>14000517</v>
      </c>
      <c r="C46">
        <v>25720</v>
      </c>
      <c r="D46">
        <v>11260000</v>
      </c>
      <c r="E46">
        <v>1087995</v>
      </c>
      <c r="F46">
        <f t="shared" si="3"/>
        <v>0.66536203522504889</v>
      </c>
      <c r="G46">
        <f t="shared" si="4"/>
        <v>0.7155635062611807</v>
      </c>
      <c r="H46">
        <f t="shared" si="5"/>
        <v>0.42616704418956264</v>
      </c>
      <c r="I46">
        <v>0.72</v>
      </c>
    </row>
    <row r="47" spans="2:9">
      <c r="B47">
        <v>14000518</v>
      </c>
      <c r="C47">
        <v>25780</v>
      </c>
      <c r="D47">
        <v>11290000</v>
      </c>
      <c r="E47">
        <v>1088457</v>
      </c>
      <c r="F47">
        <f t="shared" si="3"/>
        <v>0.23328149300155521</v>
      </c>
      <c r="G47">
        <f t="shared" si="4"/>
        <v>0.26642984014209592</v>
      </c>
      <c r="H47">
        <f t="shared" si="5"/>
        <v>4.2463430438558998E-2</v>
      </c>
      <c r="I47">
        <v>1.08</v>
      </c>
    </row>
    <row r="48" spans="2:9">
      <c r="B48">
        <v>14000519</v>
      </c>
      <c r="C48">
        <v>26070</v>
      </c>
      <c r="D48">
        <v>11400000</v>
      </c>
      <c r="E48">
        <v>1091689</v>
      </c>
      <c r="F48">
        <f t="shared" si="3"/>
        <v>1.1249030256012413</v>
      </c>
      <c r="G48">
        <f t="shared" si="4"/>
        <v>0.97431355181576618</v>
      </c>
      <c r="H48">
        <f t="shared" si="5"/>
        <v>0.29693410029059486</v>
      </c>
      <c r="I48">
        <v>1.44</v>
      </c>
    </row>
    <row r="49" spans="2:9">
      <c r="B49">
        <v>14000520</v>
      </c>
      <c r="C49">
        <v>26520</v>
      </c>
      <c r="D49">
        <v>11630000</v>
      </c>
      <c r="E49">
        <v>1109234</v>
      </c>
      <c r="F49">
        <f t="shared" si="3"/>
        <v>1.7261219792865363</v>
      </c>
      <c r="G49">
        <f t="shared" si="4"/>
        <v>2.0175438596491229</v>
      </c>
      <c r="H49">
        <f t="shared" si="5"/>
        <v>1.6071426935693225</v>
      </c>
      <c r="I49">
        <v>2.12</v>
      </c>
    </row>
    <row r="50" spans="2:9">
      <c r="B50">
        <v>14000523</v>
      </c>
      <c r="C50">
        <v>26580</v>
      </c>
      <c r="D50">
        <v>11690000</v>
      </c>
      <c r="E50">
        <v>1113851</v>
      </c>
      <c r="F50">
        <f t="shared" si="3"/>
        <v>0.22624434389140272</v>
      </c>
      <c r="G50">
        <f t="shared" si="4"/>
        <v>0.51590713671539123</v>
      </c>
      <c r="H50">
        <f t="shared" si="5"/>
        <v>0.41623318434162676</v>
      </c>
      <c r="I50">
        <v>-0.26</v>
      </c>
    </row>
    <row r="51" spans="2:9">
      <c r="B51">
        <v>14000524</v>
      </c>
      <c r="C51">
        <v>26660</v>
      </c>
      <c r="D51">
        <v>11920000</v>
      </c>
      <c r="E51">
        <v>1137859</v>
      </c>
      <c r="F51">
        <f t="shared" si="3"/>
        <v>0.30097817908201657</v>
      </c>
      <c r="G51">
        <f t="shared" si="4"/>
        <v>1.9674935842600514</v>
      </c>
      <c r="H51">
        <f t="shared" si="5"/>
        <v>2.1554049868429441</v>
      </c>
      <c r="I51">
        <v>1.3</v>
      </c>
    </row>
    <row r="52" spans="2:9">
      <c r="B52">
        <v>14000531</v>
      </c>
      <c r="C52">
        <v>27390</v>
      </c>
      <c r="D52">
        <v>11970000</v>
      </c>
      <c r="E52">
        <v>1151710</v>
      </c>
      <c r="F52">
        <f t="shared" si="3"/>
        <v>2.7381845461365342</v>
      </c>
      <c r="G52">
        <f t="shared" si="4"/>
        <v>0.41946308724832215</v>
      </c>
      <c r="H52">
        <f t="shared" si="5"/>
        <v>1.2172861488110565</v>
      </c>
      <c r="I52">
        <v>1.04</v>
      </c>
    </row>
    <row r="53" spans="2:9">
      <c r="B53">
        <v>14000601</v>
      </c>
      <c r="C53">
        <v>27460</v>
      </c>
      <c r="D53">
        <v>12160000</v>
      </c>
      <c r="E53">
        <v>1162791</v>
      </c>
      <c r="F53">
        <f t="shared" si="3"/>
        <v>0.25556772544724354</v>
      </c>
      <c r="G53">
        <f t="shared" si="4"/>
        <v>1.5873015873015872</v>
      </c>
      <c r="H53">
        <f t="shared" si="5"/>
        <v>0.96213456512490125</v>
      </c>
      <c r="I53">
        <v>0.02</v>
      </c>
    </row>
    <row r="54" spans="2:9">
      <c r="B54">
        <v>14000602</v>
      </c>
      <c r="C54">
        <v>27730</v>
      </c>
      <c r="D54">
        <v>12100000</v>
      </c>
      <c r="E54">
        <v>1171332</v>
      </c>
      <c r="F54">
        <f t="shared" si="3"/>
        <v>0.9832483612527313</v>
      </c>
      <c r="G54">
        <f t="shared" si="4"/>
        <v>-0.49342105263157893</v>
      </c>
      <c r="H54">
        <f t="shared" si="5"/>
        <v>0.73452580902328968</v>
      </c>
      <c r="I54">
        <v>1.82</v>
      </c>
    </row>
    <row r="55" spans="2:9">
      <c r="B55">
        <v>14000603</v>
      </c>
      <c r="C55">
        <v>27740</v>
      </c>
      <c r="D55">
        <v>11970000</v>
      </c>
      <c r="E55">
        <v>1186568</v>
      </c>
      <c r="F55">
        <f t="shared" si="3"/>
        <v>3.6062026685899751E-2</v>
      </c>
      <c r="G55">
        <f t="shared" si="4"/>
        <v>-1.0743801652892562</v>
      </c>
      <c r="H55">
        <f t="shared" si="5"/>
        <v>1.3007413781916655</v>
      </c>
      <c r="I55">
        <v>0.43</v>
      </c>
    </row>
    <row r="56" spans="2:9">
      <c r="B56">
        <v>14000606</v>
      </c>
      <c r="C56">
        <v>28260</v>
      </c>
      <c r="D56">
        <v>12210000</v>
      </c>
      <c r="E56">
        <v>1197649</v>
      </c>
      <c r="F56">
        <f t="shared" si="3"/>
        <v>1.8745493871665464</v>
      </c>
      <c r="G56">
        <f t="shared" si="4"/>
        <v>2.0050125313283207</v>
      </c>
      <c r="H56">
        <f t="shared" si="5"/>
        <v>0.93386978243134822</v>
      </c>
      <c r="I56">
        <v>1.65</v>
      </c>
    </row>
    <row r="57" spans="2:9">
      <c r="B57">
        <v>14000607</v>
      </c>
      <c r="C57">
        <v>27830</v>
      </c>
      <c r="D57">
        <v>12020000</v>
      </c>
      <c r="E57">
        <v>1184952</v>
      </c>
      <c r="F57">
        <f t="shared" si="3"/>
        <v>-1.521585279547063</v>
      </c>
      <c r="G57">
        <f t="shared" si="4"/>
        <v>-1.5561015561015561</v>
      </c>
      <c r="H57">
        <f t="shared" si="5"/>
        <v>-1.0601603641801562</v>
      </c>
      <c r="I57">
        <v>-0.15</v>
      </c>
    </row>
    <row r="58" spans="2:9">
      <c r="B58">
        <v>14000608</v>
      </c>
      <c r="C58" s="10">
        <v>26900</v>
      </c>
      <c r="D58">
        <v>11850000</v>
      </c>
      <c r="E58" s="90">
        <v>1166407</v>
      </c>
      <c r="F58">
        <f t="shared" si="3"/>
        <v>-3.341717570966583</v>
      </c>
      <c r="G58">
        <f t="shared" si="4"/>
        <v>-1.4143094841930117</v>
      </c>
      <c r="H58">
        <f t="shared" si="5"/>
        <v>-1.5650422970719489</v>
      </c>
      <c r="I58">
        <v>-3.14</v>
      </c>
    </row>
    <row r="59" spans="2:9">
      <c r="B59">
        <v>14000609</v>
      </c>
      <c r="C59" s="79">
        <v>27250</v>
      </c>
      <c r="D59">
        <v>11990000</v>
      </c>
      <c r="E59">
        <v>1163022</v>
      </c>
      <c r="F59">
        <f t="shared" si="3"/>
        <v>1.3011152416356877</v>
      </c>
      <c r="G59">
        <f t="shared" si="4"/>
        <v>1.1814345991561181</v>
      </c>
      <c r="H59">
        <f t="shared" si="5"/>
        <v>-0.29020744902936968</v>
      </c>
      <c r="I59">
        <v>-1.82</v>
      </c>
    </row>
    <row r="60" spans="2:9">
      <c r="B60">
        <v>14000610</v>
      </c>
      <c r="C60" s="79">
        <v>27130</v>
      </c>
      <c r="D60">
        <v>11890000</v>
      </c>
      <c r="E60">
        <v>1155404</v>
      </c>
      <c r="F60">
        <f t="shared" si="3"/>
        <v>-0.44036697247706424</v>
      </c>
      <c r="G60">
        <f t="shared" si="4"/>
        <v>-0.8340283569641368</v>
      </c>
      <c r="H60">
        <f t="shared" si="5"/>
        <v>-0.65501770387834457</v>
      </c>
      <c r="I60">
        <v>1.64</v>
      </c>
    </row>
    <row r="61" spans="2:9">
      <c r="B61">
        <v>14000613</v>
      </c>
      <c r="C61" s="79">
        <v>27050</v>
      </c>
      <c r="D61">
        <v>11990000</v>
      </c>
      <c r="E61">
        <v>1162329</v>
      </c>
      <c r="F61">
        <f t="shared" si="3"/>
        <v>-0.29487652045705859</v>
      </c>
      <c r="G61">
        <f t="shared" si="4"/>
        <v>0.84104289318755254</v>
      </c>
      <c r="H61">
        <f t="shared" si="5"/>
        <v>0.59935745418918407</v>
      </c>
      <c r="I61">
        <v>1.34</v>
      </c>
    </row>
    <row r="62" spans="2:9">
      <c r="B62">
        <v>14000614</v>
      </c>
      <c r="C62" s="79">
        <v>27190</v>
      </c>
      <c r="D62">
        <v>12130000</v>
      </c>
      <c r="E62">
        <v>1172948</v>
      </c>
      <c r="F62">
        <f t="shared" si="3"/>
        <v>0.51756007393715342</v>
      </c>
      <c r="G62">
        <f t="shared" si="4"/>
        <v>1.1676396997497915</v>
      </c>
      <c r="H62">
        <f t="shared" si="5"/>
        <v>0.91359675272663765</v>
      </c>
      <c r="I62">
        <v>-0.25</v>
      </c>
    </row>
    <row r="63" spans="2:9">
      <c r="B63">
        <v>14000615</v>
      </c>
      <c r="C63" s="79">
        <v>27010</v>
      </c>
      <c r="D63">
        <v>12050000</v>
      </c>
      <c r="E63">
        <v>1164637</v>
      </c>
      <c r="F63">
        <f t="shared" si="3"/>
        <v>-0.6620080912100037</v>
      </c>
      <c r="G63">
        <f t="shared" si="4"/>
        <v>-0.65952184666117064</v>
      </c>
      <c r="H63">
        <f t="shared" si="5"/>
        <v>-0.70855656005210799</v>
      </c>
      <c r="I63">
        <v>0.09</v>
      </c>
    </row>
    <row r="64" spans="2:9">
      <c r="B64">
        <v>14000616</v>
      </c>
      <c r="C64" s="79">
        <v>27120</v>
      </c>
      <c r="D64">
        <v>12140000</v>
      </c>
      <c r="E64">
        <v>1173179</v>
      </c>
      <c r="F64">
        <f t="shared" si="3"/>
        <v>0.40725657164013329</v>
      </c>
      <c r="G64">
        <f t="shared" si="4"/>
        <v>0.74688796680497926</v>
      </c>
      <c r="H64">
        <f t="shared" si="5"/>
        <v>0.73344741752151099</v>
      </c>
      <c r="I64">
        <v>-1</v>
      </c>
    </row>
    <row r="65" spans="2:9">
      <c r="B65">
        <v>14000617</v>
      </c>
      <c r="C65" s="79">
        <v>27530</v>
      </c>
      <c r="D65">
        <v>12200000</v>
      </c>
      <c r="E65">
        <v>1174333</v>
      </c>
      <c r="F65">
        <f t="shared" si="3"/>
        <v>1.5117994100294985</v>
      </c>
      <c r="G65">
        <f t="shared" si="4"/>
        <v>0.49423393739703458</v>
      </c>
      <c r="H65">
        <f t="shared" si="5"/>
        <v>9.8365211105892622E-2</v>
      </c>
      <c r="I65">
        <v>0.19</v>
      </c>
    </row>
    <row r="66" spans="2:9">
      <c r="B66">
        <v>14000620</v>
      </c>
      <c r="C66" s="79">
        <v>27830</v>
      </c>
      <c r="D66">
        <v>12020000</v>
      </c>
      <c r="E66">
        <v>1170409</v>
      </c>
      <c r="F66">
        <f t="shared" si="3"/>
        <v>1.0897203051216855</v>
      </c>
      <c r="G66">
        <f t="shared" si="4"/>
        <v>-1.4754098360655739</v>
      </c>
      <c r="H66">
        <f t="shared" si="5"/>
        <v>-0.33414712862535584</v>
      </c>
      <c r="I66">
        <v>0.3</v>
      </c>
    </row>
    <row r="67" spans="2:9">
      <c r="B67">
        <v>14000621</v>
      </c>
      <c r="C67" s="79">
        <v>27500</v>
      </c>
      <c r="D67">
        <v>11990000</v>
      </c>
      <c r="E67">
        <v>1162098</v>
      </c>
      <c r="F67">
        <f t="shared" ref="F67:F126" si="6">(C67-C66)*100/C66</f>
        <v>-1.1857707509881423</v>
      </c>
      <c r="G67">
        <f t="shared" ref="G67:G85" si="7">(D67-D66)*100/D66</f>
        <v>-0.24958402662229617</v>
      </c>
      <c r="H67">
        <f t="shared" ref="H67:H89" si="8">(E67-E66)*100/E66</f>
        <v>-0.71009365102284761</v>
      </c>
      <c r="I67">
        <v>-2.64</v>
      </c>
    </row>
    <row r="68" spans="2:9">
      <c r="B68">
        <v>14000622</v>
      </c>
      <c r="C68" s="79">
        <v>27100</v>
      </c>
      <c r="D68">
        <v>11850000</v>
      </c>
      <c r="E68">
        <v>1145939</v>
      </c>
      <c r="F68">
        <f t="shared" si="6"/>
        <v>-1.4545454545454546</v>
      </c>
      <c r="G68">
        <f t="shared" si="7"/>
        <v>-1.1676396997497915</v>
      </c>
      <c r="H68">
        <f t="shared" si="8"/>
        <v>-1.3905023500599778</v>
      </c>
      <c r="I68">
        <v>-0.99</v>
      </c>
    </row>
    <row r="69" spans="2:9">
      <c r="B69">
        <v>14000623</v>
      </c>
      <c r="C69" s="79">
        <v>27370</v>
      </c>
      <c r="D69">
        <v>11930000</v>
      </c>
      <c r="E69">
        <v>1161636</v>
      </c>
      <c r="F69">
        <f t="shared" si="6"/>
        <v>0.99630996309963105</v>
      </c>
      <c r="G69">
        <f t="shared" si="7"/>
        <v>0.67510548523206748</v>
      </c>
      <c r="H69">
        <f t="shared" si="8"/>
        <v>1.3697936801173536</v>
      </c>
      <c r="I69">
        <v>1.47</v>
      </c>
    </row>
    <row r="70" spans="2:9">
      <c r="B70">
        <v>14000624</v>
      </c>
      <c r="C70" s="79">
        <v>27320</v>
      </c>
      <c r="D70">
        <v>11840000</v>
      </c>
      <c r="E70">
        <v>1158635</v>
      </c>
      <c r="F70">
        <f t="shared" si="6"/>
        <v>-0.18268176835951772</v>
      </c>
      <c r="G70">
        <f t="shared" si="7"/>
        <v>-0.7544006705783739</v>
      </c>
      <c r="H70">
        <f t="shared" si="8"/>
        <v>-0.25834254448037081</v>
      </c>
      <c r="I70">
        <v>-0.57999999999999996</v>
      </c>
    </row>
    <row r="71" spans="2:9">
      <c r="B71">
        <v>14000627</v>
      </c>
      <c r="C71" s="82">
        <v>27600</v>
      </c>
      <c r="D71">
        <v>11710000</v>
      </c>
      <c r="E71">
        <v>1135320</v>
      </c>
      <c r="F71">
        <f t="shared" si="6"/>
        <v>1.0248901903367496</v>
      </c>
      <c r="G71">
        <f t="shared" si="7"/>
        <v>-1.097972972972973</v>
      </c>
      <c r="H71">
        <f t="shared" si="8"/>
        <v>-2.0122816935445589</v>
      </c>
      <c r="I71">
        <v>-2.5499999999999998</v>
      </c>
    </row>
    <row r="72" spans="2:9">
      <c r="B72">
        <v>14000628</v>
      </c>
      <c r="C72" s="82">
        <v>27340</v>
      </c>
      <c r="D72">
        <v>11720000</v>
      </c>
      <c r="E72">
        <v>1133934</v>
      </c>
      <c r="F72">
        <f t="shared" si="6"/>
        <v>-0.94202898550724634</v>
      </c>
      <c r="G72">
        <f t="shared" si="7"/>
        <v>8.5397096498719044E-2</v>
      </c>
      <c r="H72">
        <f t="shared" si="8"/>
        <v>-0.12208011838072086</v>
      </c>
      <c r="I72">
        <v>-2.0499999999999998</v>
      </c>
    </row>
    <row r="73" spans="2:9">
      <c r="B73">
        <v>14000629</v>
      </c>
      <c r="C73" s="82">
        <v>27380</v>
      </c>
      <c r="D73">
        <v>11630000</v>
      </c>
      <c r="E73">
        <v>1128394</v>
      </c>
      <c r="F73">
        <f t="shared" si="6"/>
        <v>0.14630577907827358</v>
      </c>
      <c r="G73">
        <f t="shared" si="7"/>
        <v>-0.76791808873720135</v>
      </c>
      <c r="H73">
        <f t="shared" si="8"/>
        <v>-0.48856459017896986</v>
      </c>
      <c r="I73">
        <v>0.51</v>
      </c>
    </row>
    <row r="74" spans="2:9">
      <c r="B74">
        <v>14000630</v>
      </c>
      <c r="C74" s="82">
        <v>27350</v>
      </c>
      <c r="D74">
        <v>11650000</v>
      </c>
      <c r="E74">
        <v>1139937</v>
      </c>
      <c r="F74">
        <f t="shared" si="6"/>
        <v>-0.1095690284879474</v>
      </c>
      <c r="G74">
        <f t="shared" si="7"/>
        <v>0.17196904557179707</v>
      </c>
      <c r="H74">
        <f t="shared" si="8"/>
        <v>1.0229582929366869</v>
      </c>
      <c r="I74">
        <v>-2.56</v>
      </c>
    </row>
    <row r="75" spans="2:9">
      <c r="B75">
        <v>14000631</v>
      </c>
      <c r="C75" s="82">
        <v>27520</v>
      </c>
      <c r="D75">
        <v>11730000</v>
      </c>
      <c r="E75">
        <v>1150787</v>
      </c>
      <c r="F75">
        <f t="shared" si="6"/>
        <v>0.62157221206581348</v>
      </c>
      <c r="G75">
        <f t="shared" si="7"/>
        <v>0.68669527896995708</v>
      </c>
      <c r="H75">
        <f t="shared" si="8"/>
        <v>0.95180698582465517</v>
      </c>
      <c r="I75">
        <v>-0.34</v>
      </c>
    </row>
    <row r="76" spans="2:9">
      <c r="B76">
        <v>14000703</v>
      </c>
      <c r="C76" s="82">
        <v>27540</v>
      </c>
      <c r="D76">
        <v>11750000</v>
      </c>
      <c r="E76">
        <v>1141783</v>
      </c>
      <c r="F76">
        <f t="shared" si="6"/>
        <v>7.2674418604651167E-2</v>
      </c>
      <c r="G76">
        <f t="shared" si="7"/>
        <v>0.17050298380221654</v>
      </c>
      <c r="H76">
        <f t="shared" si="8"/>
        <v>-0.78242107357834245</v>
      </c>
      <c r="I76">
        <v>2.57</v>
      </c>
    </row>
    <row r="77" spans="2:9">
      <c r="B77">
        <v>14000704</v>
      </c>
      <c r="C77" s="82">
        <v>27650</v>
      </c>
      <c r="D77">
        <v>11770000</v>
      </c>
      <c r="E77">
        <v>1143861</v>
      </c>
      <c r="F77">
        <f t="shared" si="6"/>
        <v>0.39941902687000724</v>
      </c>
      <c r="G77">
        <f t="shared" si="7"/>
        <v>0.1702127659574468</v>
      </c>
      <c r="H77">
        <f t="shared" si="8"/>
        <v>0.18199605354082168</v>
      </c>
      <c r="I77">
        <v>0.18</v>
      </c>
    </row>
    <row r="78" spans="2:9">
      <c r="B78">
        <v>14000706</v>
      </c>
      <c r="C78" s="82">
        <v>27900</v>
      </c>
      <c r="D78">
        <v>11970000</v>
      </c>
      <c r="E78">
        <v>1147200</v>
      </c>
      <c r="F78">
        <f t="shared" si="6"/>
        <v>0.9041591320072333</v>
      </c>
      <c r="G78">
        <f t="shared" si="7"/>
        <v>1.6992353440951571</v>
      </c>
      <c r="H78">
        <f t="shared" si="8"/>
        <v>0.29190609698206338</v>
      </c>
      <c r="I78">
        <v>0.05</v>
      </c>
    </row>
    <row r="79" spans="2:9">
      <c r="B79">
        <v>14000707</v>
      </c>
      <c r="C79" s="82">
        <v>28300</v>
      </c>
      <c r="D79">
        <v>12045000</v>
      </c>
      <c r="E79">
        <v>1161300</v>
      </c>
      <c r="F79">
        <f t="shared" si="6"/>
        <v>1.4336917562724014</v>
      </c>
      <c r="G79">
        <f t="shared" si="7"/>
        <v>0.62656641604010022</v>
      </c>
      <c r="H79">
        <f t="shared" si="8"/>
        <v>1.2290794979079498</v>
      </c>
      <c r="I79">
        <v>0.81</v>
      </c>
    </row>
    <row r="80" spans="2:9">
      <c r="B80">
        <v>14000710</v>
      </c>
      <c r="C80" s="82">
        <v>28100</v>
      </c>
      <c r="D80">
        <v>12025000</v>
      </c>
      <c r="E80">
        <v>1169100</v>
      </c>
      <c r="F80">
        <f t="shared" si="6"/>
        <v>-0.70671378091872794</v>
      </c>
      <c r="G80">
        <f t="shared" si="7"/>
        <v>-0.16604400166044</v>
      </c>
      <c r="H80">
        <f t="shared" si="8"/>
        <v>0.67166106949108761</v>
      </c>
      <c r="I80">
        <v>2.54</v>
      </c>
    </row>
    <row r="81" spans="2:9">
      <c r="B81">
        <v>14000711</v>
      </c>
      <c r="C81" s="82">
        <v>28020</v>
      </c>
      <c r="D81">
        <v>11995000</v>
      </c>
      <c r="E81">
        <v>1160100</v>
      </c>
      <c r="F81">
        <f t="shared" si="6"/>
        <v>-0.28469750889679718</v>
      </c>
      <c r="G81">
        <f t="shared" si="7"/>
        <v>-0.24948024948024949</v>
      </c>
      <c r="H81">
        <f t="shared" si="8"/>
        <v>-0.76982294072363355</v>
      </c>
      <c r="I81">
        <v>0.22</v>
      </c>
    </row>
    <row r="82" spans="2:9">
      <c r="B82">
        <v>14000712</v>
      </c>
      <c r="C82" s="82">
        <v>28110</v>
      </c>
      <c r="D82">
        <v>12005000</v>
      </c>
      <c r="E82">
        <v>1166600</v>
      </c>
      <c r="F82">
        <f t="shared" si="6"/>
        <v>0.32119914346895073</v>
      </c>
      <c r="G82">
        <f t="shared" si="7"/>
        <v>8.3368070029178828E-2</v>
      </c>
      <c r="H82">
        <f t="shared" si="8"/>
        <v>0.5602965261615378</v>
      </c>
      <c r="I82">
        <v>0.54</v>
      </c>
    </row>
    <row r="83" spans="2:9">
      <c r="B83">
        <v>14000714</v>
      </c>
      <c r="C83">
        <v>27980</v>
      </c>
      <c r="D83">
        <v>11920000</v>
      </c>
      <c r="E83">
        <v>1160800</v>
      </c>
      <c r="F83">
        <f t="shared" si="6"/>
        <v>-0.46246887228744221</v>
      </c>
      <c r="G83">
        <f t="shared" si="7"/>
        <v>-0.70803831736776346</v>
      </c>
      <c r="H83">
        <f t="shared" si="8"/>
        <v>-0.49717126692953884</v>
      </c>
      <c r="I83">
        <v>0.25</v>
      </c>
    </row>
    <row r="84" spans="2:9">
      <c r="B84">
        <v>14000717</v>
      </c>
      <c r="C84">
        <v>27750</v>
      </c>
      <c r="D84">
        <v>11790000</v>
      </c>
      <c r="E84">
        <v>1153200</v>
      </c>
      <c r="F84">
        <f t="shared" si="6"/>
        <v>-0.82201572551822732</v>
      </c>
      <c r="G84">
        <f t="shared" si="7"/>
        <v>-1.0906040268456376</v>
      </c>
      <c r="H84">
        <f t="shared" si="8"/>
        <v>-0.65472088215024127</v>
      </c>
      <c r="I84">
        <v>-1.49</v>
      </c>
    </row>
    <row r="85" spans="2:9">
      <c r="B85">
        <v>14000718</v>
      </c>
      <c r="C85">
        <v>27550</v>
      </c>
      <c r="D85">
        <v>11790000</v>
      </c>
      <c r="E85">
        <v>1141900</v>
      </c>
      <c r="F85">
        <f t="shared" si="6"/>
        <v>-0.72072072072072069</v>
      </c>
      <c r="G85">
        <f t="shared" si="7"/>
        <v>0</v>
      </c>
      <c r="H85">
        <f t="shared" si="8"/>
        <v>-0.97988206729101635</v>
      </c>
      <c r="I85">
        <v>-0.71</v>
      </c>
    </row>
    <row r="86" spans="2:9">
      <c r="B86">
        <v>14000719</v>
      </c>
      <c r="C86">
        <v>27470</v>
      </c>
      <c r="D86">
        <v>11720000</v>
      </c>
      <c r="E86">
        <v>1141600</v>
      </c>
      <c r="F86">
        <f t="shared" si="6"/>
        <v>-0.29038112522686027</v>
      </c>
      <c r="G86">
        <f t="shared" ref="G86:G126" si="9">(D86-D85)*100/D85</f>
        <v>-0.59372349448685324</v>
      </c>
      <c r="H86">
        <f t="shared" si="8"/>
        <v>-2.6272002802346966E-2</v>
      </c>
      <c r="I86">
        <v>0.13</v>
      </c>
    </row>
    <row r="87" spans="2:9">
      <c r="B87">
        <v>14000720</v>
      </c>
      <c r="C87">
        <v>27020</v>
      </c>
      <c r="D87">
        <v>11680000</v>
      </c>
      <c r="E87">
        <v>1112890</v>
      </c>
      <c r="F87">
        <f t="shared" si="6"/>
        <v>-1.6381507098653076</v>
      </c>
      <c r="G87">
        <f t="shared" si="9"/>
        <v>-0.34129692832764508</v>
      </c>
      <c r="H87">
        <f t="shared" si="8"/>
        <v>-2.5148913805185704</v>
      </c>
      <c r="I87">
        <v>-2.66</v>
      </c>
    </row>
    <row r="88" spans="2:9">
      <c r="B88">
        <v>14000721</v>
      </c>
      <c r="C88">
        <v>27210</v>
      </c>
      <c r="D88">
        <v>11735000</v>
      </c>
      <c r="E88">
        <v>1127500</v>
      </c>
      <c r="F88">
        <f t="shared" si="6"/>
        <v>0.70318282753515915</v>
      </c>
      <c r="G88">
        <f t="shared" si="9"/>
        <v>0.4708904109589041</v>
      </c>
      <c r="H88">
        <f t="shared" si="8"/>
        <v>1.3127982100656848</v>
      </c>
      <c r="I88">
        <v>-1.5</v>
      </c>
    </row>
    <row r="89" spans="2:9">
      <c r="B89">
        <v>14000724</v>
      </c>
      <c r="C89">
        <v>27250</v>
      </c>
      <c r="D89">
        <v>11805000</v>
      </c>
      <c r="E89">
        <v>1138600</v>
      </c>
      <c r="F89">
        <f t="shared" si="6"/>
        <v>0.14700477765527378</v>
      </c>
      <c r="G89">
        <f t="shared" si="9"/>
        <v>0.59650617809970174</v>
      </c>
      <c r="H89">
        <f t="shared" si="8"/>
        <v>0.98447893569844791</v>
      </c>
      <c r="I89">
        <v>2.87</v>
      </c>
    </row>
    <row r="90" spans="2:9">
      <c r="B90">
        <v>14000725</v>
      </c>
      <c r="C90">
        <v>27150</v>
      </c>
      <c r="D90">
        <v>11740000</v>
      </c>
      <c r="E90">
        <v>1143900</v>
      </c>
      <c r="F90">
        <f t="shared" si="6"/>
        <v>-0.3669724770642202</v>
      </c>
      <c r="G90">
        <f t="shared" si="9"/>
        <v>-0.55061414654807284</v>
      </c>
      <c r="H90">
        <f t="shared" ref="H90:H126" si="10">(E90-E89)*100/E89</f>
        <v>0.46548392763042334</v>
      </c>
      <c r="I90">
        <v>-0.1</v>
      </c>
    </row>
    <row r="91" spans="2:9">
      <c r="B91">
        <v>14000726</v>
      </c>
      <c r="C91">
        <v>27080</v>
      </c>
      <c r="D91">
        <v>11655000</v>
      </c>
      <c r="E91">
        <v>1136100</v>
      </c>
      <c r="F91">
        <f t="shared" si="6"/>
        <v>-0.25782688766114181</v>
      </c>
      <c r="G91">
        <f t="shared" si="9"/>
        <v>-0.72402044293015333</v>
      </c>
      <c r="H91">
        <f t="shared" si="10"/>
        <v>-0.68187778651980069</v>
      </c>
      <c r="I91">
        <v>0.06</v>
      </c>
    </row>
    <row r="92" spans="2:9">
      <c r="B92">
        <v>14000727</v>
      </c>
      <c r="C92">
        <v>27380</v>
      </c>
      <c r="D92">
        <v>11750000</v>
      </c>
      <c r="E92">
        <v>1146200</v>
      </c>
      <c r="F92">
        <f t="shared" si="6"/>
        <v>1.1078286558345642</v>
      </c>
      <c r="G92">
        <f t="shared" si="9"/>
        <v>0.81510081510081511</v>
      </c>
      <c r="H92">
        <f t="shared" si="10"/>
        <v>0.88900624944987239</v>
      </c>
      <c r="I92">
        <v>0.87</v>
      </c>
    </row>
    <row r="93" spans="2:9">
      <c r="B93">
        <v>14000728</v>
      </c>
      <c r="C93">
        <v>27320</v>
      </c>
      <c r="D93">
        <v>11725000</v>
      </c>
      <c r="E93">
        <v>1141600</v>
      </c>
      <c r="F93">
        <f t="shared" si="6"/>
        <v>-0.21913805697589481</v>
      </c>
      <c r="G93">
        <f t="shared" si="9"/>
        <v>-0.21276595744680851</v>
      </c>
      <c r="H93">
        <f t="shared" si="10"/>
        <v>-0.4013261210957948</v>
      </c>
      <c r="I93">
        <v>-0.91</v>
      </c>
    </row>
    <row r="94" spans="2:9">
      <c r="B94">
        <v>14000801</v>
      </c>
      <c r="C94">
        <v>27530</v>
      </c>
      <c r="D94">
        <v>11920000</v>
      </c>
      <c r="E94">
        <v>1162400</v>
      </c>
      <c r="F94">
        <f t="shared" si="6"/>
        <v>0.76866764275256227</v>
      </c>
      <c r="G94">
        <f t="shared" si="9"/>
        <v>1.6631130063965884</v>
      </c>
      <c r="H94">
        <f t="shared" si="10"/>
        <v>1.8220042046250875</v>
      </c>
      <c r="I94">
        <v>-1.99</v>
      </c>
    </row>
    <row r="95" spans="2:9">
      <c r="B95">
        <v>14000803</v>
      </c>
      <c r="C95">
        <v>27620</v>
      </c>
      <c r="D95">
        <v>11890000</v>
      </c>
      <c r="E95">
        <v>1165600</v>
      </c>
      <c r="F95">
        <f t="shared" si="6"/>
        <v>0.32691609153650564</v>
      </c>
      <c r="G95">
        <f t="shared" si="9"/>
        <v>-0.25167785234899331</v>
      </c>
      <c r="H95">
        <f t="shared" si="10"/>
        <v>0.27529249827942187</v>
      </c>
      <c r="I95">
        <v>-1.68</v>
      </c>
    </row>
    <row r="96" spans="2:9">
      <c r="B96">
        <v>14000804</v>
      </c>
      <c r="C96">
        <v>27440</v>
      </c>
      <c r="D96">
        <v>11870000</v>
      </c>
      <c r="E96">
        <v>1163100</v>
      </c>
      <c r="F96">
        <f t="shared" si="6"/>
        <v>-0.65170166545981179</v>
      </c>
      <c r="G96">
        <f t="shared" si="9"/>
        <v>-0.16820857863751051</v>
      </c>
      <c r="H96">
        <f t="shared" si="10"/>
        <v>-0.21448181194234728</v>
      </c>
      <c r="I96">
        <v>0.02</v>
      </c>
    </row>
    <row r="97" spans="2:9">
      <c r="B97">
        <v>14000805</v>
      </c>
      <c r="C97">
        <v>27680</v>
      </c>
      <c r="D97">
        <v>11935000</v>
      </c>
      <c r="E97">
        <v>1163100</v>
      </c>
      <c r="F97">
        <f t="shared" si="6"/>
        <v>0.87463556851311952</v>
      </c>
      <c r="G97">
        <f t="shared" si="9"/>
        <v>0.54759898904802018</v>
      </c>
      <c r="H97">
        <f t="shared" si="10"/>
        <v>0</v>
      </c>
      <c r="I97">
        <v>0.68</v>
      </c>
    </row>
    <row r="98" spans="2:9">
      <c r="B98">
        <v>14000808</v>
      </c>
      <c r="C98">
        <v>27480</v>
      </c>
      <c r="D98">
        <v>11870000</v>
      </c>
      <c r="E98">
        <v>1164700</v>
      </c>
      <c r="F98">
        <f t="shared" si="6"/>
        <v>-0.7225433526011561</v>
      </c>
      <c r="G98">
        <f t="shared" si="9"/>
        <v>-0.54461667364893174</v>
      </c>
      <c r="H98">
        <f t="shared" si="10"/>
        <v>0.13756340813343651</v>
      </c>
      <c r="I98">
        <v>-1.31</v>
      </c>
    </row>
    <row r="99" spans="2:9">
      <c r="B99">
        <v>14000809</v>
      </c>
      <c r="C99">
        <v>27540</v>
      </c>
      <c r="D99">
        <v>11815000</v>
      </c>
      <c r="E99">
        <v>1165200</v>
      </c>
      <c r="F99">
        <f t="shared" si="6"/>
        <v>0.2183406113537118</v>
      </c>
      <c r="G99">
        <f t="shared" si="9"/>
        <v>-0.46335299073294017</v>
      </c>
      <c r="H99">
        <f t="shared" si="10"/>
        <v>4.2929509744998713E-2</v>
      </c>
      <c r="I99">
        <v>-2.57</v>
      </c>
    </row>
    <row r="100" spans="2:9">
      <c r="B100">
        <v>14000810</v>
      </c>
      <c r="C100">
        <v>27580</v>
      </c>
      <c r="D100">
        <v>11840000</v>
      </c>
      <c r="E100">
        <v>1175300</v>
      </c>
      <c r="F100">
        <f t="shared" si="6"/>
        <v>0.14524328249818447</v>
      </c>
      <c r="G100">
        <f t="shared" si="9"/>
        <v>0.21159542953872196</v>
      </c>
      <c r="H100">
        <f t="shared" si="10"/>
        <v>0.86680398214898735</v>
      </c>
      <c r="I100">
        <v>1.58</v>
      </c>
    </row>
    <row r="101" spans="2:9">
      <c r="B101">
        <v>14000811</v>
      </c>
      <c r="C101">
        <v>27540</v>
      </c>
      <c r="D101">
        <v>11805000</v>
      </c>
      <c r="E101">
        <v>1168200</v>
      </c>
      <c r="F101">
        <f t="shared" si="6"/>
        <v>-0.14503263234227701</v>
      </c>
      <c r="G101">
        <f t="shared" si="9"/>
        <v>-0.29560810810810811</v>
      </c>
      <c r="H101">
        <f t="shared" si="10"/>
        <v>-0.60410108057517231</v>
      </c>
      <c r="I101">
        <v>1.08</v>
      </c>
    </row>
    <row r="102" spans="2:9">
      <c r="B102">
        <v>14000812</v>
      </c>
      <c r="C102">
        <v>27800</v>
      </c>
      <c r="D102">
        <v>11865000</v>
      </c>
      <c r="E102">
        <v>1170000</v>
      </c>
      <c r="F102">
        <f t="shared" si="6"/>
        <v>0.94408133623819901</v>
      </c>
      <c r="G102">
        <f t="shared" si="9"/>
        <v>0.50825921219822112</v>
      </c>
      <c r="H102">
        <f t="shared" si="10"/>
        <v>0.15408320493066255</v>
      </c>
      <c r="I102">
        <v>1.62</v>
      </c>
    </row>
    <row r="103" spans="2:9">
      <c r="B103">
        <v>14000815</v>
      </c>
      <c r="C103">
        <v>27870</v>
      </c>
      <c r="D103">
        <v>11980000</v>
      </c>
      <c r="E103">
        <v>1186000</v>
      </c>
      <c r="F103">
        <f t="shared" si="6"/>
        <v>0.25179856115107913</v>
      </c>
      <c r="G103">
        <f t="shared" si="9"/>
        <v>0.96923725242309311</v>
      </c>
      <c r="H103">
        <f t="shared" si="10"/>
        <v>1.3675213675213675</v>
      </c>
      <c r="I103">
        <v>3.02</v>
      </c>
    </row>
    <row r="104" spans="2:9">
      <c r="B104">
        <v>14000816</v>
      </c>
      <c r="C104">
        <v>27900</v>
      </c>
      <c r="D104">
        <v>12150000</v>
      </c>
      <c r="E104">
        <v>1197700</v>
      </c>
      <c r="F104">
        <f t="shared" si="6"/>
        <v>0.10764262648008611</v>
      </c>
      <c r="G104">
        <f t="shared" si="9"/>
        <v>1.4190317195325544</v>
      </c>
      <c r="H104">
        <f t="shared" si="10"/>
        <v>0.98650927487352447</v>
      </c>
      <c r="I104">
        <v>-0.67</v>
      </c>
    </row>
    <row r="105" spans="2:9">
      <c r="B105">
        <v>14000817</v>
      </c>
      <c r="C105">
        <v>28100</v>
      </c>
      <c r="D105">
        <v>12190000</v>
      </c>
      <c r="E105">
        <v>1205800</v>
      </c>
      <c r="F105">
        <f t="shared" si="6"/>
        <v>0.71684587813620071</v>
      </c>
      <c r="G105">
        <f t="shared" si="9"/>
        <v>0.32921810699588477</v>
      </c>
      <c r="H105">
        <f t="shared" si="10"/>
        <v>0.67629623444936127</v>
      </c>
      <c r="I105">
        <v>0.24</v>
      </c>
    </row>
    <row r="106" spans="2:9">
      <c r="B106">
        <v>14000818</v>
      </c>
      <c r="C106">
        <v>28140</v>
      </c>
      <c r="D106">
        <v>12220000</v>
      </c>
      <c r="E106">
        <v>1206700</v>
      </c>
      <c r="F106">
        <f t="shared" si="6"/>
        <v>0.14234875444839859</v>
      </c>
      <c r="G106">
        <f t="shared" si="9"/>
        <v>0.24610336341263331</v>
      </c>
      <c r="H106">
        <f t="shared" si="10"/>
        <v>7.4639243655664295E-2</v>
      </c>
      <c r="I106">
        <v>0.93</v>
      </c>
    </row>
    <row r="107" spans="2:9">
      <c r="B107">
        <v>14000819</v>
      </c>
      <c r="C107">
        <v>28250</v>
      </c>
      <c r="D107">
        <v>12275000</v>
      </c>
      <c r="E107">
        <v>1222900</v>
      </c>
      <c r="F107">
        <f t="shared" si="6"/>
        <v>0.39090262970859985</v>
      </c>
      <c r="G107">
        <f t="shared" si="9"/>
        <v>0.45008183306055649</v>
      </c>
      <c r="H107">
        <f t="shared" si="10"/>
        <v>1.3425043507085439</v>
      </c>
      <c r="I107">
        <v>0.61</v>
      </c>
    </row>
    <row r="108" spans="2:9">
      <c r="B108">
        <v>14000822</v>
      </c>
      <c r="C108">
        <v>28720</v>
      </c>
      <c r="D108">
        <v>12700000</v>
      </c>
      <c r="E108">
        <v>1273900</v>
      </c>
      <c r="F108">
        <f t="shared" si="6"/>
        <v>1.663716814159292</v>
      </c>
      <c r="G108">
        <f t="shared" si="9"/>
        <v>3.4623217922606924</v>
      </c>
      <c r="H108">
        <f t="shared" si="10"/>
        <v>4.1704145882737755</v>
      </c>
      <c r="I108">
        <v>-1.19</v>
      </c>
    </row>
    <row r="109" spans="2:9">
      <c r="B109">
        <v>14000823</v>
      </c>
      <c r="C109">
        <v>28580</v>
      </c>
      <c r="D109">
        <v>12560000</v>
      </c>
      <c r="E109">
        <v>1277600</v>
      </c>
      <c r="F109">
        <f t="shared" si="6"/>
        <v>-0.48746518105849584</v>
      </c>
      <c r="G109">
        <f t="shared" si="9"/>
        <v>-1.1023622047244095</v>
      </c>
      <c r="H109">
        <f t="shared" si="10"/>
        <v>0.29044665986341156</v>
      </c>
      <c r="I109">
        <v>0.23</v>
      </c>
    </row>
    <row r="110" spans="2:9">
      <c r="B110">
        <v>14000824</v>
      </c>
      <c r="C110">
        <v>28190</v>
      </c>
      <c r="D110">
        <v>12495000</v>
      </c>
      <c r="E110">
        <v>1260100</v>
      </c>
      <c r="F110">
        <f t="shared" si="6"/>
        <v>-1.3645906228131561</v>
      </c>
      <c r="G110">
        <f t="shared" si="9"/>
        <v>-0.51751592356687903</v>
      </c>
      <c r="H110">
        <f t="shared" si="10"/>
        <v>-1.3697557921102066</v>
      </c>
      <c r="I110">
        <v>-1.82</v>
      </c>
    </row>
    <row r="111" spans="2:9">
      <c r="B111">
        <v>14000825</v>
      </c>
      <c r="C111">
        <v>28180</v>
      </c>
      <c r="D111">
        <v>12570000</v>
      </c>
      <c r="E111">
        <v>1251800</v>
      </c>
      <c r="F111">
        <f t="shared" si="6"/>
        <v>-3.5473572188719403E-2</v>
      </c>
      <c r="G111">
        <f t="shared" si="9"/>
        <v>0.60024009603841533</v>
      </c>
      <c r="H111">
        <f t="shared" si="10"/>
        <v>-0.65867788270772165</v>
      </c>
      <c r="I111">
        <v>-0.54</v>
      </c>
    </row>
    <row r="112" spans="2:9">
      <c r="B112">
        <v>14000826</v>
      </c>
      <c r="C112">
        <v>28190</v>
      </c>
      <c r="D112">
        <v>12555000</v>
      </c>
      <c r="E112">
        <v>1250400</v>
      </c>
      <c r="F112">
        <f t="shared" si="6"/>
        <v>3.5486160397444996E-2</v>
      </c>
      <c r="G112">
        <f t="shared" si="9"/>
        <v>-0.11933174224343675</v>
      </c>
      <c r="H112">
        <f t="shared" si="10"/>
        <v>-0.11183895190925068</v>
      </c>
      <c r="I112">
        <v>0.15</v>
      </c>
    </row>
    <row r="113" spans="2:9">
      <c r="B113">
        <v>14000829</v>
      </c>
      <c r="C113">
        <v>28180</v>
      </c>
      <c r="D113">
        <v>12415000</v>
      </c>
      <c r="E113">
        <v>1234400</v>
      </c>
      <c r="F113">
        <f t="shared" si="6"/>
        <v>-3.5473572188719403E-2</v>
      </c>
      <c r="G113">
        <f t="shared" si="9"/>
        <v>-1.1150935882118678</v>
      </c>
      <c r="H113">
        <f t="shared" si="10"/>
        <v>-1.2795905310300704</v>
      </c>
      <c r="I113">
        <v>-1.93</v>
      </c>
    </row>
    <row r="114" spans="2:9">
      <c r="B114">
        <v>14000830</v>
      </c>
      <c r="C114">
        <v>28290</v>
      </c>
      <c r="D114">
        <v>12480000</v>
      </c>
      <c r="E114">
        <v>1232400</v>
      </c>
      <c r="F114">
        <f t="shared" si="6"/>
        <v>0.39034776437189495</v>
      </c>
      <c r="G114">
        <f t="shared" si="9"/>
        <v>0.52356020942408377</v>
      </c>
      <c r="H114">
        <f t="shared" si="10"/>
        <v>-0.16202203499675957</v>
      </c>
      <c r="I114">
        <v>0.25</v>
      </c>
    </row>
    <row r="115" spans="2:9">
      <c r="B115">
        <v>14000901</v>
      </c>
      <c r="C115">
        <v>28400</v>
      </c>
      <c r="D115">
        <v>12550000</v>
      </c>
      <c r="E115">
        <v>1242100</v>
      </c>
      <c r="F115">
        <f t="shared" si="6"/>
        <v>0.38882997525627433</v>
      </c>
      <c r="G115">
        <f t="shared" si="9"/>
        <v>0.5608974358974359</v>
      </c>
      <c r="H115">
        <f t="shared" si="10"/>
        <v>0.78708211619604029</v>
      </c>
      <c r="I115">
        <v>1.46</v>
      </c>
    </row>
    <row r="116" spans="2:9">
      <c r="B116">
        <v>14000902</v>
      </c>
      <c r="C116">
        <v>28570</v>
      </c>
      <c r="D116">
        <v>12485000</v>
      </c>
      <c r="E116">
        <v>1243200</v>
      </c>
      <c r="F116">
        <f t="shared" si="6"/>
        <v>0.59859154929577463</v>
      </c>
      <c r="G116">
        <f t="shared" si="9"/>
        <v>-0.51792828685258963</v>
      </c>
      <c r="H116">
        <f t="shared" si="10"/>
        <v>8.8559697286852909E-2</v>
      </c>
      <c r="I116">
        <v>-0.18</v>
      </c>
    </row>
    <row r="117" spans="2:9">
      <c r="B117">
        <v>14000903</v>
      </c>
      <c r="C117">
        <v>29050</v>
      </c>
      <c r="D117">
        <v>12680000</v>
      </c>
      <c r="E117">
        <v>1247600</v>
      </c>
      <c r="F117">
        <f t="shared" si="6"/>
        <v>1.6800840042002101</v>
      </c>
      <c r="G117">
        <f t="shared" si="9"/>
        <v>1.5618742490989188</v>
      </c>
      <c r="H117">
        <f t="shared" si="10"/>
        <v>0.3539253539253539</v>
      </c>
      <c r="I117">
        <v>-0.74</v>
      </c>
    </row>
    <row r="118" spans="2:9">
      <c r="B118">
        <v>14000906</v>
      </c>
      <c r="C118">
        <v>29150</v>
      </c>
      <c r="D118">
        <v>12585000</v>
      </c>
      <c r="E118">
        <v>1259100</v>
      </c>
      <c r="F118">
        <f t="shared" si="6"/>
        <v>0.34423407917383819</v>
      </c>
      <c r="G118">
        <f t="shared" si="9"/>
        <v>-0.74921135646687698</v>
      </c>
      <c r="H118">
        <f t="shared" si="10"/>
        <v>0.92176979801218339</v>
      </c>
      <c r="I118">
        <v>-1.97</v>
      </c>
    </row>
    <row r="119" spans="2:9">
      <c r="B119">
        <v>14000907</v>
      </c>
      <c r="C119">
        <v>29250</v>
      </c>
      <c r="D119">
        <v>12595000</v>
      </c>
      <c r="E119">
        <v>1256600</v>
      </c>
      <c r="F119">
        <f t="shared" si="6"/>
        <v>0.34305317324185247</v>
      </c>
      <c r="G119">
        <f t="shared" si="9"/>
        <v>7.9459674215335716E-2</v>
      </c>
      <c r="H119">
        <f t="shared" si="10"/>
        <v>-0.19855452307203558</v>
      </c>
      <c r="I119">
        <v>0.1</v>
      </c>
    </row>
    <row r="120" spans="2:9">
      <c r="B120">
        <v>14000908</v>
      </c>
      <c r="C120">
        <v>29500</v>
      </c>
      <c r="D120">
        <v>12685000</v>
      </c>
      <c r="E120">
        <v>1269800</v>
      </c>
      <c r="F120">
        <f t="shared" si="6"/>
        <v>0.85470085470085466</v>
      </c>
      <c r="G120">
        <f t="shared" si="9"/>
        <v>0.71456927352123856</v>
      </c>
      <c r="H120">
        <f t="shared" si="10"/>
        <v>1.0504536049657807</v>
      </c>
      <c r="I120">
        <v>-0.31</v>
      </c>
    </row>
    <row r="121" spans="2:9">
      <c r="B121">
        <v>14000909</v>
      </c>
      <c r="C121">
        <v>29110</v>
      </c>
      <c r="D121">
        <v>12555000</v>
      </c>
      <c r="E121">
        <v>1256800</v>
      </c>
      <c r="F121">
        <f t="shared" si="6"/>
        <v>-1.3220338983050848</v>
      </c>
      <c r="G121">
        <f t="shared" si="9"/>
        <v>-1.0248324793062673</v>
      </c>
      <c r="H121">
        <f t="shared" si="10"/>
        <v>-1.0237832729563712</v>
      </c>
      <c r="I121">
        <v>-0.5</v>
      </c>
    </row>
    <row r="122" spans="2:9">
      <c r="B122">
        <v>14000910</v>
      </c>
      <c r="C122">
        <v>29270</v>
      </c>
      <c r="D122">
        <v>12630000</v>
      </c>
      <c r="E122">
        <v>1261700</v>
      </c>
      <c r="F122">
        <f t="shared" si="6"/>
        <v>0.54963929920989352</v>
      </c>
      <c r="G122">
        <f t="shared" si="9"/>
        <v>0.59737156511350065</v>
      </c>
      <c r="H122">
        <f t="shared" si="10"/>
        <v>0.38987905792488858</v>
      </c>
      <c r="I122">
        <v>-1.25</v>
      </c>
    </row>
    <row r="123" spans="2:9">
      <c r="B123">
        <v>14000913</v>
      </c>
      <c r="C123">
        <v>30180</v>
      </c>
      <c r="D123">
        <v>13015000</v>
      </c>
      <c r="E123">
        <v>1295600</v>
      </c>
      <c r="F123">
        <f t="shared" si="6"/>
        <v>3.108985309190297</v>
      </c>
      <c r="G123">
        <f t="shared" si="9"/>
        <v>3.0482977038796517</v>
      </c>
      <c r="H123">
        <f t="shared" si="10"/>
        <v>2.6868510739478482</v>
      </c>
      <c r="I123">
        <v>-0.4</v>
      </c>
    </row>
    <row r="124" spans="2:9">
      <c r="B124">
        <v>14000914</v>
      </c>
      <c r="C124">
        <v>30320</v>
      </c>
      <c r="D124">
        <v>13040000</v>
      </c>
      <c r="E124">
        <v>1300500</v>
      </c>
      <c r="F124">
        <f t="shared" si="6"/>
        <v>0.46388336646785949</v>
      </c>
      <c r="G124">
        <f t="shared" si="9"/>
        <v>0.19208605455243949</v>
      </c>
      <c r="H124">
        <f t="shared" si="10"/>
        <v>0.37820314912009878</v>
      </c>
      <c r="I124">
        <v>0.64</v>
      </c>
    </row>
    <row r="125" spans="2:9">
      <c r="B125">
        <v>14000915</v>
      </c>
      <c r="C125">
        <v>30550</v>
      </c>
      <c r="D125">
        <v>13230000</v>
      </c>
      <c r="E125">
        <v>1306200</v>
      </c>
      <c r="F125">
        <f t="shared" si="6"/>
        <v>0.75857519788918204</v>
      </c>
      <c r="G125">
        <f t="shared" si="9"/>
        <v>1.4570552147239264</v>
      </c>
      <c r="H125">
        <f t="shared" si="10"/>
        <v>0.43829296424452135</v>
      </c>
      <c r="I125">
        <v>-0.06</v>
      </c>
    </row>
    <row r="126" spans="2:9">
      <c r="B126">
        <v>14000916</v>
      </c>
      <c r="C126">
        <v>30920</v>
      </c>
      <c r="D126">
        <v>13265000</v>
      </c>
      <c r="E126">
        <v>1320600</v>
      </c>
      <c r="F126">
        <f t="shared" si="6"/>
        <v>1.2111292962356792</v>
      </c>
      <c r="G126">
        <f t="shared" si="9"/>
        <v>0.26455026455026454</v>
      </c>
      <c r="H126">
        <f t="shared" si="10"/>
        <v>1.1024345429490123</v>
      </c>
      <c r="I126">
        <v>-0.32</v>
      </c>
    </row>
  </sheetData>
  <pageMargins left="0.7" right="0.7" top="0.75" bottom="0.75" header="0.51180555555555496" footer="0.51180555555555496"/>
  <pageSetup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set</vt:lpstr>
      <vt:lpstr>weekly</vt:lpstr>
      <vt:lpstr>tables</vt:lpstr>
      <vt:lpstr>seasonal</vt:lpstr>
      <vt:lpstr>price change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Moein Mirani</dc:creator>
  <dc:description/>
  <cp:lastModifiedBy>Moein Mirani</cp:lastModifiedBy>
  <cp:revision>6</cp:revision>
  <dcterms:created xsi:type="dcterms:W3CDTF">2021-04-05T10:39:57Z</dcterms:created>
  <dcterms:modified xsi:type="dcterms:W3CDTF">2021-12-07T13:01:08Z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