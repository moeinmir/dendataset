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set'!$A$1:$BN$260</definedName>
    <definedName name="_xlnm._FilterDatabase" localSheetId="1" hidden="1">weekly!$A$1:$K$61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8" i="5" l="1"/>
  <c r="G178" i="5"/>
  <c r="F178" i="5"/>
  <c r="H177" i="5" l="1"/>
  <c r="G177" i="5"/>
  <c r="F177" i="5"/>
  <c r="D54" i="2" l="1"/>
  <c r="H52" i="2"/>
  <c r="E55" i="2"/>
  <c r="D2343" i="3" l="1"/>
  <c r="H176" i="5" l="1"/>
  <c r="G176" i="5"/>
  <c r="F176" i="5"/>
  <c r="X259" i="1" l="1"/>
  <c r="H175" i="5" l="1"/>
  <c r="G175" i="5"/>
  <c r="F175" i="5"/>
  <c r="H174" i="5" l="1"/>
  <c r="G174" i="5"/>
  <c r="F174" i="5"/>
  <c r="D2295" i="3" l="1"/>
  <c r="W261" i="1"/>
  <c r="H173" i="5" l="1"/>
  <c r="G173" i="5"/>
  <c r="F173" i="5"/>
  <c r="H172" i="5" l="1"/>
  <c r="G172" i="5"/>
  <c r="F172" i="5"/>
  <c r="D2261" i="3" l="1"/>
  <c r="H171" i="5" l="1"/>
  <c r="G171" i="5"/>
  <c r="F171" i="5"/>
  <c r="X263" i="1" l="1"/>
  <c r="H170" i="5" l="1"/>
  <c r="G170" i="5"/>
  <c r="F170" i="5"/>
  <c r="H169" i="5" l="1"/>
  <c r="G169" i="5"/>
  <c r="F169" i="5"/>
  <c r="D2226" i="3" l="1"/>
  <c r="D2222" i="3"/>
  <c r="W264" i="1" l="1"/>
  <c r="H168" i="5" l="1"/>
  <c r="G168" i="5"/>
  <c r="F168" i="5"/>
  <c r="H2223" i="3" l="1"/>
  <c r="H167" i="5" l="1"/>
  <c r="G167" i="5"/>
  <c r="F167" i="5"/>
  <c r="D2185" i="3" l="1"/>
  <c r="H166" i="5" l="1"/>
  <c r="G166" i="5"/>
  <c r="F166" i="5"/>
  <c r="N261" i="1" l="1"/>
  <c r="N259" i="1"/>
  <c r="D2177" i="3" l="1"/>
  <c r="H165" i="5" l="1"/>
  <c r="G165" i="5"/>
  <c r="F165" i="5"/>
  <c r="Y263" i="1"/>
  <c r="O260" i="1"/>
  <c r="H164" i="5" l="1"/>
  <c r="G164" i="5"/>
  <c r="F164" i="5"/>
  <c r="W268" i="1"/>
  <c r="W269" i="1"/>
  <c r="D2162" i="3"/>
  <c r="H163" i="5" l="1"/>
  <c r="G163" i="5"/>
  <c r="F163" i="5"/>
  <c r="D2152" i="3"/>
  <c r="D2149" i="3"/>
  <c r="A51" i="2" l="1"/>
  <c r="B49" i="2"/>
  <c r="D2135" i="3"/>
  <c r="H162" i="5" l="1"/>
  <c r="G162" i="5"/>
  <c r="F162" i="5"/>
  <c r="E266" i="1"/>
  <c r="F264" i="1"/>
  <c r="E263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9" i="2"/>
  <c r="C51" i="2"/>
  <c r="H50" i="2"/>
  <c r="B52" i="2"/>
  <c r="D2061" i="3"/>
  <c r="H157" i="5" l="1"/>
  <c r="G157" i="5"/>
  <c r="F157" i="5"/>
  <c r="H156" i="5" l="1"/>
  <c r="G156" i="5"/>
  <c r="F156" i="5"/>
  <c r="H155" i="5" l="1"/>
  <c r="G155" i="5"/>
  <c r="F155" i="5"/>
  <c r="P261" i="1"/>
  <c r="H154" i="5" l="1"/>
  <c r="G154" i="5"/>
  <c r="F154" i="5"/>
  <c r="Y269" i="1"/>
  <c r="Y271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58" i="1" l="1"/>
  <c r="M216" i="1"/>
  <c r="L216" i="1"/>
  <c r="D1850" i="3" l="1"/>
  <c r="M215" i="1"/>
  <c r="L215" i="1"/>
  <c r="Y268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9" i="2" l="1"/>
  <c r="E51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64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65" i="1"/>
  <c r="N266" i="1"/>
  <c r="N267" i="1"/>
  <c r="N268" i="1"/>
  <c r="N269" i="1"/>
  <c r="N270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52" i="2" l="1"/>
  <c r="J51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60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60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61" i="2"/>
  <c r="G60" i="2"/>
  <c r="G59" i="2"/>
  <c r="G58" i="2"/>
  <c r="G57" i="2"/>
  <c r="G56" i="2"/>
  <c r="G55" i="2"/>
  <c r="G54" i="2"/>
  <c r="G53" i="2"/>
  <c r="C49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3" i="2" s="1"/>
  <c r="G16" i="2"/>
  <c r="E16" i="2"/>
  <c r="C55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58" i="1" l="1"/>
  <c r="S1" i="1" s="1"/>
  <c r="M258" i="1"/>
  <c r="U1" i="1" s="1"/>
</calcChain>
</file>

<file path=xl/sharedStrings.xml><?xml version="1.0" encoding="utf-8"?>
<sst xmlns="http://schemas.openxmlformats.org/spreadsheetml/2006/main" count="2314" uniqueCount="647">
  <si>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</si>
  <si>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</si>
  <si>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</si>
  <si>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</si>
  <si>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</si>
  <si>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</si>
  <si>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</si>
  <si>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</si>
  <si>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</si>
  <si>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</si>
  <si>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</si>
  <si>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</si>
  <si>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</si>
  <si>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</si>
  <si>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</si>
  <si>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</si>
  <si>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</si>
  <si>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</si>
  <si>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</si>
  <si>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</si>
  <si>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</si>
  <si>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</si>
  <si>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</si>
  <si>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</si>
  <si>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</si>
  <si>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</si>
  <si>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</si>
  <si>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</si>
  <si>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</si>
  <si>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</si>
  <si>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</si>
  <si>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</si>
  <si>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</si>
  <si>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</si>
  <si>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</si>
  <si>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</si>
  <si>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</si>
  <si>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</si>
  <si>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</si>
  <si>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</si>
  <si>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</si>
  <si>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</si>
  <si>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</si>
  <si>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</si>
  <si>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</si>
  <si>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</si>
  <si>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</si>
  <si>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</si>
  <si>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</si>
  <si>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</si>
  <si>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</si>
  <si>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</si>
  <si>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</si>
  <si>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</si>
  <si>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</si>
  <si>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</si>
  <si>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</si>
  <si>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</si>
  <si>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</si>
  <si>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</si>
  <si>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</si>
  <si>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</si>
  <si>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</si>
  <si>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</si>
  <si>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</si>
  <si>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</si>
  <si>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</si>
  <si>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</si>
  <si>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</si>
  <si>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</si>
  <si>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</si>
  <si>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</si>
  <si>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</si>
  <si>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</si>
  <si>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</si>
  <si>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</si>
  <si>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</si>
  <si>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</si>
  <si>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</si>
  <si>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</si>
  <si>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</si>
  <si>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</si>
  <si>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</si>
  <si>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</si>
  <si>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</si>
  <si>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</si>
  <si>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</si>
  <si>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</si>
  <si>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</si>
  <si>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</si>
  <si>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</si>
  <si>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</si>
  <si>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</si>
  <si>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</si>
  <si>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</si>
  <si>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</si>
  <si>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</si>
  <si>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</si>
  <si>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</si>
  <si>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</si>
  <si>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</si>
  <si>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</si>
  <si>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</si>
  <si>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</si>
  <si>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</si>
  <si>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</si>
  <si>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</si>
  <si>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</si>
  <si>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</si>
  <si>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</si>
  <si>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</si>
  <si>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</si>
  <si>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</si>
  <si>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</si>
  <si>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</si>
  <si>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</si>
  <si>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</si>
  <si>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</si>
  <si>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</si>
  <si>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</si>
  <si>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</si>
  <si>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</si>
  <si>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</si>
  <si>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</si>
  <si>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</si>
  <si>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</si>
  <si>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</si>
  <si>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</si>
  <si>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</si>
  <si>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</si>
  <si>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</si>
  <si>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</si>
  <si>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</si>
  <si>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</si>
  <si>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</si>
  <si>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</si>
  <si>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</si>
  <si>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</si>
  <si>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</si>
  <si>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</si>
  <si>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</si>
  <si>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</si>
  <si>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</si>
  <si>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</si>
  <si>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</si>
  <si>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</si>
  <si>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</si>
  <si>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</si>
  <si>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</si>
  <si>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</si>
  <si>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</si>
  <si>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</si>
  <si>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</si>
  <si>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</si>
  <si>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</si>
  <si>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</si>
  <si>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</si>
  <si>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</si>
  <si>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</si>
  <si>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</si>
  <si>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</si>
  <si>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</si>
  <si>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</si>
  <si>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</si>
  <si>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</si>
  <si>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</si>
  <si>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</si>
  <si>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</si>
  <si>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</si>
  <si>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</si>
  <si>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</si>
  <si>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</si>
  <si>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</si>
  <si>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</si>
  <si>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</si>
  <si>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</si>
  <si>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</si>
  <si>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</si>
  <si>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</si>
  <si>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</si>
  <si>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</si>
  <si>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</si>
  <si>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</si>
  <si>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</si>
  <si>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</si>
  <si>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</si>
  <si>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</si>
  <si>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</si>
  <si>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</si>
  <si>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</si>
  <si>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</si>
  <si>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</si>
  <si>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</si>
  <si>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</si>
  <si>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</si>
  <si>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</si>
  <si>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</si>
  <si>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</si>
  <si>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</si>
  <si>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</si>
  <si>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</si>
  <si>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</si>
  <si>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</si>
  <si>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</si>
  <si>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</si>
  <si>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</si>
  <si>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</si>
  <si>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</si>
  <si>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</si>
  <si>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</si>
  <si>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</si>
  <si>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</si>
  <si>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</si>
  <si>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</si>
  <si>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</si>
  <si>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</si>
  <si>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</si>
  <si>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</si>
  <si>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</si>
  <si>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</si>
  <si>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</si>
  <si>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</si>
  <si>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</si>
  <si>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</si>
  <si>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</si>
  <si>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</si>
  <si>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</si>
  <si>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</si>
  <si>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</si>
  <si>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</si>
  <si>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</si>
  <si>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</si>
  <si>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</si>
  <si>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</si>
  <si>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</si>
  <si>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</si>
  <si>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</si>
  <si>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</si>
  <si>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</si>
  <si>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</si>
  <si>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</si>
  <si>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</si>
  <si>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</si>
  <si>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</si>
  <si>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</si>
  <si>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</si>
  <si>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</si>
  <si>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</si>
  <si>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</si>
  <si>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</si>
  <si>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</si>
  <si>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</si>
  <si>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</si>
  <si>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</si>
  <si>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</si>
  <si>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</si>
  <si>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</si>
  <si>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</si>
  <si>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</si>
  <si>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</si>
  <si>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</si>
  <si>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</si>
  <si>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</si>
  <si>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</si>
  <si>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</si>
  <si>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</si>
  <si>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</si>
  <si>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</si>
  <si>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</si>
  <si>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</si>
  <si>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</si>
  <si>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</si>
  <si>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</si>
  <si>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</si>
  <si>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</si>
  <si>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</si>
  <si>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</si>
  <si>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</si>
  <si>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</si>
  <si>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</si>
  <si>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</si>
  <si>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</si>
  <si>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</si>
  <si>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</si>
  <si>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</si>
  <si>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</si>
  <si>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</si>
  <si>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</si>
  <si>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</si>
  <si>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</si>
  <si>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</si>
  <si>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</si>
  <si>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</si>
  <si>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</si>
  <si>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</si>
  <si>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</si>
  <si>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</si>
  <si>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</si>
  <si>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</si>
  <si>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</si>
  <si>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</si>
  <si>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</si>
  <si>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</si>
  <si>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</si>
  <si>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</si>
  <si>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</si>
  <si>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</si>
  <si>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</si>
  <si>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</si>
  <si>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</si>
  <si>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</si>
  <si>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</si>
  <si>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</si>
  <si>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</si>
  <si>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</si>
  <si>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</si>
  <si>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</si>
  <si>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</si>
  <si>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</si>
  <si>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</si>
  <si>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</si>
  <si>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</si>
  <si>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</si>
  <si>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</si>
  <si>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</si>
  <si>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</si>
  <si>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</si>
  <si>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</si>
  <si>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</si>
  <si>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</si>
  <si>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</si>
  <si>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</si>
  <si>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</si>
  <si>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</si>
  <si>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</si>
  <si>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</si>
  <si>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</si>
  <si>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</si>
  <si>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</si>
  <si>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</si>
  <si>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</si>
  <si>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</si>
  <si>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</si>
  <si>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</si>
  <si>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</si>
  <si>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</si>
  <si>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</si>
  <si>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</si>
  <si>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</si>
  <si>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</si>
  <si>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</si>
  <si>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</si>
  <si>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</si>
  <si>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</si>
  <si>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</si>
  <si>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</si>
  <si>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</si>
  <si>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</si>
  <si>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</si>
  <si>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</si>
  <si>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</si>
  <si>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</si>
  <si>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</si>
  <si>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</si>
  <si>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</si>
  <si>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</si>
  <si>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</si>
  <si>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</si>
  <si>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</si>
  <si>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</si>
  <si>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</si>
  <si>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</si>
  <si>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</si>
  <si>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</si>
  <si>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</si>
  <si>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</si>
  <si>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</si>
  <si>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</si>
  <si>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</si>
  <si>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</si>
  <si>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</si>
  <si>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</si>
  <si>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</si>
  <si>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</si>
  <si>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</si>
  <si>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</si>
  <si>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</si>
  <si>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</si>
  <si>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</si>
  <si>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</si>
  <si>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</si>
  <si>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</si>
  <si>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</si>
  <si>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</si>
  <si>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</si>
  <si>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</si>
  <si>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</si>
  <si>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</si>
  <si>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</si>
  <si>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</si>
  <si>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</si>
  <si>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</si>
  <si>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</si>
  <si>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</si>
  <si>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</si>
  <si>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</si>
  <si>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</si>
  <si>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</si>
  <si>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</si>
  <si>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</si>
  <si>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</si>
  <si>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</si>
  <si>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</si>
  <si>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</si>
  <si>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</si>
  <si>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</si>
  <si>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</si>
  <si>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</si>
  <si>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</si>
  <si>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</si>
  <si>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</si>
  <si>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</si>
  <si>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</si>
  <si>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</si>
  <si>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</si>
  <si>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</si>
  <si>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</si>
  <si>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</si>
  <si>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</si>
  <si>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</si>
  <si>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</si>
  <si>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</si>
  <si>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</si>
  <si>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</si>
  <si>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</si>
  <si>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</si>
  <si>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</si>
  <si>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</si>
  <si>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</si>
  <si>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</si>
  <si>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</si>
  <si>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</si>
  <si>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</si>
  <si>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</si>
  <si>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</si>
  <si>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</si>
  <si>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</si>
  <si>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</si>
  <si>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</si>
  <si>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</si>
  <si>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</si>
  <si>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</si>
  <si>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</si>
  <si>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</si>
  <si>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</si>
  <si>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</si>
  <si>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</si>
  <si>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</si>
  <si>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</si>
  <si>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</si>
  <si>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</si>
  <si>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</si>
  <si>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</si>
  <si>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</si>
  <si>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</si>
  <si>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</si>
  <si>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</si>
  <si>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</si>
  <si>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</si>
  <si>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</si>
  <si>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</si>
  <si>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</si>
  <si>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</si>
  <si>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</si>
  <si>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</si>
  <si>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</si>
  <si>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</si>
  <si>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</si>
  <si>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</si>
  <si>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</si>
  <si>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</si>
  <si>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</si>
  <si>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</si>
  <si>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</si>
  <si>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</si>
  <si>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</si>
  <si>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</si>
  <si>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</si>
  <si>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</si>
  <si>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</si>
  <si>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</si>
  <si>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</si>
  <si>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</si>
  <si>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</si>
  <si>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</si>
  <si>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</si>
  <si>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</si>
  <si>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</si>
  <si>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</si>
  <si>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</si>
  <si>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</si>
  <si>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</si>
  <si>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</si>
  <si>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</si>
  <si>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</si>
  <si>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</si>
  <si>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</si>
  <si>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</si>
  <si>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</si>
  <si>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</si>
  <si>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</si>
  <si>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</si>
  <si>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</si>
  <si>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</si>
  <si>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</si>
  <si>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</si>
  <si>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</si>
  <si>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</si>
  <si>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</si>
  <si>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</si>
  <si>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</si>
  <si>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</si>
  <si>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</si>
  <si>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</si>
  <si>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</si>
  <si>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</si>
  <si>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</si>
  <si>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</si>
  <si>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</si>
  <si>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</si>
  <si>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</si>
  <si>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</si>
  <si>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</si>
  <si>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</si>
  <si>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</si>
  <si>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</si>
  <si>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</si>
  <si>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</si>
  <si>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</si>
  <si>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</si>
  <si>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</si>
  <si>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</si>
  <si>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</si>
  <si>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</si>
  <si>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</si>
  <si>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</si>
  <si>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</si>
  <si>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</si>
  <si>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</si>
  <si>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</si>
  <si>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</si>
  <si>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</si>
  <si>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</si>
  <si>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</si>
  <si>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</si>
  <si>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</si>
  <si>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</si>
  <si>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</si>
  <si>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</si>
  <si>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</si>
  <si>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</si>
  <si>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</si>
  <si>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</si>
  <si>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</si>
  <si>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</si>
  <si>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</si>
  <si>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</si>
  <si>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</si>
  <si>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</si>
  <si>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</si>
  <si>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</si>
  <si>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</si>
  <si>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</si>
  <si>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</si>
  <si>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</si>
  <si>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</si>
  <si>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</si>
  <si>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</si>
  <si>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</si>
  <si>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</si>
  <si>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</si>
  <si>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</si>
  <si>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</si>
  <si>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</si>
  <si>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</si>
  <si>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</si>
  <si>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</si>
  <si>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</si>
  <si>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</si>
  <si>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</si>
  <si>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</si>
  <si>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</si>
  <si>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</si>
  <si>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</si>
  <si>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</si>
  <si>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</si>
  <si>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</si>
  <si>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</si>
  <si>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</si>
  <si>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</si>
  <si>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</si>
  <si>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</si>
  <si>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</si>
  <si>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</si>
  <si>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</si>
  <si>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</si>
  <si>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</si>
  <si>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</si>
  <si>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</si>
  <si>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</si>
  <si>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</si>
  <si>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</si>
  <si>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</si>
  <si>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</si>
  <si>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</si>
  <si>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</si>
  <si>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</si>
  <si>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</si>
  <si>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</si>
  <si>
    <t>16بهمن1400</t>
  </si>
  <si>
    <t>روند روزانه بهای سکه و ارز ( شنبه 16 بهمن 1400)</t>
  </si>
  <si>
    <t>17بهمن1400</t>
  </si>
  <si>
    <t>روند روزانه بهای سکه و ارز ( یکشنبه 17 بهمن 1400)</t>
  </si>
  <si>
    <t>18بهمن1400</t>
  </si>
  <si>
    <t>روند روزانه بهای سکه و ارز ( دوشنبه 18 بهمن 1400)</t>
  </si>
  <si>
    <t>13 52</t>
  </si>
  <si>
    <t>19بهمن1400</t>
  </si>
  <si>
    <t>روند روزانه بهای سکه و ارز ( سه‌شنبه 19 بهمن 1400)</t>
  </si>
  <si>
    <t>20بهمن1400</t>
  </si>
  <si>
    <t>روند روزانه بهای سکه و ارز ( چهارشنبه 20 بهمن 1400)</t>
  </si>
  <si>
    <t>21بهمن1400</t>
  </si>
  <si>
    <t>روند روزانه بهای سکه و ارز ( پنج‌شنبه 21 بهمن 1400)</t>
  </si>
  <si>
    <t>13 17</t>
  </si>
  <si>
    <t>هفته 46 سال</t>
  </si>
  <si>
    <t>روند روزانه بهای سکه و ارز ( شنبه 23 بهمن 1400)</t>
  </si>
  <si>
    <t>روند روزانه بهای سکه و ارز ( یکشنبه 24 بهمن 1400)</t>
  </si>
  <si>
    <t>23بهمن1400</t>
  </si>
  <si>
    <t>24بهمن1400</t>
  </si>
  <si>
    <t>25بهمن1400</t>
  </si>
  <si>
    <t>روند روزانه بهای سکه و ارز ( یکشنبه 25 بهمن 1400)</t>
  </si>
  <si>
    <t>روند روزانه بهای سکه و ارز ( چهارشنبه 27 بهمن 1400)</t>
  </si>
  <si>
    <t>27بهمن1400</t>
  </si>
  <si>
    <t>28بهمن1400</t>
  </si>
  <si>
    <t>روند روزانه بهای سکه و ارز ( پنج‌شنبه 28 بهمن 1400)</t>
  </si>
  <si>
    <t>هفته 47 سال</t>
  </si>
  <si>
    <t>30بهمن1400</t>
  </si>
  <si>
    <t>روند روزانه بهای سکه و ارز ( شنبه 30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</si>
</sst>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6" borderId="0" xfId="0" applyFont="1" applyFill="1" applyBorder="1" applyAlignment="1">
      <alignment horizontal="center"/>
    </xf>
    <xf numFmtId="0" fontId="0" fillId="17" borderId="5" xfId="0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54703472"/>
        <c:axId val="-554702384"/>
      </c:lineChart>
      <c:catAx>
        <c:axId val="-55470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02384"/>
        <c:crosses val="autoZero"/>
        <c:auto val="1"/>
        <c:lblAlgn val="ctr"/>
        <c:lblOffset val="100"/>
        <c:noMultiLvlLbl val="0"/>
      </c:catAx>
      <c:valAx>
        <c:axId val="-5547023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0347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</a:t>
            </a:r>
            <a:r>
              <a:rPr lang="en-US" sz="5000" b="0" strike="noStrike" spc="-1">
                <a:solidFill>
                  <a:srgbClr val="595959"/>
                </a:solidFill>
                <a:latin typeface="Calibri"/>
              </a:rPr>
              <a:t>20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8"/>
              <c:layout>
                <c:manualLayout>
                  <c:x val="-1.7095852842249102E-2"/>
                  <c:y val="9.493563015430703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</c:extLst>
            </c:dLbl>
            <c:dLbl>
              <c:idx val="19"/>
              <c:layout>
                <c:manualLayout>
                  <c:x val="-2.5327189395924596E-3"/>
                  <c:y val="2.9113593247320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weekly!$A$27:$A$47</c15:sqref>
                  </c15:fullRef>
                </c:ext>
              </c:extLst>
              <c:f>weekly!$A$28:$A$47</c:f>
              <c:strCache>
                <c:ptCount val="2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  <c:pt idx="19">
                  <c:v>هفته 47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weekly!$B$27:$B$47</c15:sqref>
                  </c15:fullRef>
                </c:ext>
              </c:extLst>
              <c:f>weekly!$B$28:$B$47</c:f>
              <c:numCache>
                <c:formatCode>General</c:formatCode>
                <c:ptCount val="20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  <c:pt idx="18">
                  <c:v>24587</c:v>
                </c:pt>
                <c:pt idx="19">
                  <c:v>25163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39B-42FE-890C-FBBD5EA10856}"/>
                </c:ext>
                <c:ext xmlns:c15="http://schemas.microsoft.com/office/drawing/2012/chart" uri="{CE6537A1-D6FC-4f65-9D91-7224C49458BB}"/>
              </c:extLst>
            </c:dLbl>
            <c:dLbl>
              <c:idx val="18"/>
              <c:layout>
                <c:manualLayout>
                  <c:x val="-6.3317973489811488E-3"/>
                  <c:y val="-2.53161680411485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</c:extLst>
            </c:dLbl>
            <c:dLbl>
              <c:idx val="19"/>
              <c:layout>
                <c:manualLayout>
                  <c:x val="-6.3317973489811488E-3"/>
                  <c:y val="-2.15187428349762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weekly!$A$27:$A$47</c15:sqref>
                  </c15:fullRef>
                </c:ext>
              </c:extLst>
              <c:f>weekly!$A$28:$A$47</c:f>
              <c:strCache>
                <c:ptCount val="2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  <c:pt idx="19">
                  <c:v>هفته 47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weekly!$H$27:$H$47</c15:sqref>
                  </c15:fullRef>
                </c:ext>
              </c:extLst>
              <c:f>weekly!$H$28:$H$47</c:f>
              <c:numCache>
                <c:formatCode>General</c:formatCode>
                <c:ptCount val="20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  <c:pt idx="18">
                  <c:v>24838</c:v>
                </c:pt>
                <c:pt idx="19">
                  <c:v>25398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54700208"/>
        <c:axId val="-55470782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weekly!$A$27:$A$47</c15:sqref>
                        </c15:fullRef>
                        <c15:formulaRef>
                          <c15:sqref>weekly!$A$28:$A$47</c15:sqref>
                        </c15:formulaRef>
                      </c:ext>
                    </c:extLst>
                    <c:strCache>
                      <c:ptCount val="20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  <c:pt idx="18">
                        <c:v>هفته 46 سال</c:v>
                      </c:pt>
                      <c:pt idx="19">
                        <c:v>هفته 47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55470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07824"/>
        <c:crosses val="autoZero"/>
        <c:auto val="1"/>
        <c:lblAlgn val="ctr"/>
        <c:lblOffset val="100"/>
        <c:noMultiLvlLbl val="0"/>
      </c:catAx>
      <c:valAx>
        <c:axId val="-554707824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0020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54707280"/>
        <c:axId val="-554713264"/>
      </c:lineChart>
      <c:catAx>
        <c:axId val="-554707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13264"/>
        <c:crosses val="autoZero"/>
        <c:auto val="1"/>
        <c:lblAlgn val="ctr"/>
        <c:lblOffset val="100"/>
        <c:noMultiLvlLbl val="0"/>
      </c:catAx>
      <c:valAx>
        <c:axId val="-554713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072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54706736"/>
        <c:axId val="-554699120"/>
      </c:lineChart>
      <c:catAx>
        <c:axId val="-554706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699120"/>
        <c:crosses val="autoZero"/>
        <c:auto val="1"/>
        <c:lblAlgn val="ctr"/>
        <c:lblOffset val="100"/>
        <c:noMultiLvlLbl val="0"/>
      </c:catAx>
      <c:valAx>
        <c:axId val="-5546991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0673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54706192"/>
        <c:axId val="-554711632"/>
      </c:lineChart>
      <c:catAx>
        <c:axId val="-554706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11632"/>
        <c:crosses val="autoZero"/>
        <c:auto val="1"/>
        <c:lblAlgn val="ctr"/>
        <c:lblOffset val="100"/>
        <c:noMultiLvlLbl val="0"/>
      </c:catAx>
      <c:valAx>
        <c:axId val="-5547116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0619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20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18"/>
              <c:layout>
                <c:manualLayout>
                  <c:x val="-1.0828370330265296E-3"/>
                  <c:y val="2.49159834522661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9"/>
              <c:layout>
                <c:manualLayout>
                  <c:x val="0"/>
                  <c:y val="1.88553388287419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weekly!$A$27:$A$47</c15:sqref>
                  </c15:fullRef>
                </c:ext>
              </c:extLst>
              <c:f>weekly!$A$28:$A$47</c:f>
              <c:strCache>
                <c:ptCount val="2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  <c:pt idx="19">
                  <c:v>هفته 47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weekly!$C$27:$C$47</c15:sqref>
                  </c15:fullRef>
                </c:ext>
              </c:extLst>
              <c:f>weekly!$C$28:$C$47</c:f>
              <c:numCache>
                <c:formatCode>General</c:formatCode>
                <c:ptCount val="20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  <c:pt idx="18">
                  <c:v>28403</c:v>
                </c:pt>
                <c:pt idx="19">
                  <c:v>28693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weekly!$A$27:$A$47</c15:sqref>
                  </c15:fullRef>
                </c:ext>
              </c:extLst>
              <c:f>weekly!$A$28:$A$47</c:f>
              <c:strCache>
                <c:ptCount val="20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  <c:pt idx="18">
                  <c:v>هفته 46 سال</c:v>
                </c:pt>
                <c:pt idx="19">
                  <c:v>هفته 47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weekly!$I$27:$I$47</c15:sqref>
                  </c15:fullRef>
                </c:ext>
              </c:extLst>
              <c:f>weekly!$I$28:$I$47</c:f>
              <c:numCache>
                <c:formatCode>General</c:formatCode>
                <c:ptCount val="20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  <c:pt idx="18">
                  <c:v>28710</c:v>
                </c:pt>
                <c:pt idx="19">
                  <c:v>28975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54698576"/>
        <c:axId val="-55470510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weekly!$A$27:$A$47</c15:sqref>
                        </c15:fullRef>
                        <c15:formulaRef>
                          <c15:sqref>weekly!$A$28:$A$47</c15:sqref>
                        </c15:formulaRef>
                      </c:ext>
                    </c:extLst>
                    <c:strCache>
                      <c:ptCount val="20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  <c:pt idx="18">
                        <c:v>هفته 46 سال</c:v>
                      </c:pt>
                      <c:pt idx="19">
                        <c:v>هفته 47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55469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05104"/>
        <c:crosses val="autoZero"/>
        <c:auto val="1"/>
        <c:lblAlgn val="ctr"/>
        <c:lblOffset val="100"/>
        <c:noMultiLvlLbl val="0"/>
      </c:catAx>
      <c:valAx>
        <c:axId val="-554705104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6985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554710000"/>
        <c:axId val="-554711088"/>
      </c:barChart>
      <c:catAx>
        <c:axId val="-554710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11088"/>
        <c:crosses val="autoZero"/>
        <c:auto val="1"/>
        <c:lblAlgn val="ctr"/>
        <c:lblOffset val="100"/>
        <c:noMultiLvlLbl val="0"/>
      </c:catAx>
      <c:valAx>
        <c:axId val="-5547110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1000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امروز نسبت به چهارشنبه هفته گذشته 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96"/>
          <c:order val="96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change'!$F$178:$I$178</c:f>
              <c:numCache>
                <c:formatCode>General</c:formatCode>
                <c:ptCount val="4"/>
                <c:pt idx="0">
                  <c:v>3.3690658499234303</c:v>
                </c:pt>
                <c:pt idx="1">
                  <c:v>1.5228426395939085</c:v>
                </c:pt>
                <c:pt idx="2">
                  <c:v>5.0445602824953757E-2</c:v>
                </c:pt>
                <c:pt idx="3">
                  <c:v>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554704560"/>
        <c:axId val="-55471272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  <c15:filteredBarSeries>
              <c15:ser>
                <c:idx val="85"/>
                <c:order val="8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change'!$F$167:$I$167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-0.97157250809643758</c:v>
                      </c:pt>
                      <c:pt idx="1">
                        <c:v>-0.49019607843137253</c:v>
                      </c:pt>
                      <c:pt idx="2">
                        <c:v>-0.79664914586070956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25-4A13-98D8-CAB9E1153C64}"/>
                  </c:ext>
                </c:extLst>
              </c15:ser>
            </c15:filteredBarSeries>
            <c15:filteredBarSeries>
              <c15:ser>
                <c:idx val="86"/>
                <c:order val="8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change'!$F$168:$I$168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-2.3255813953488373</c:v>
                      </c:pt>
                      <c:pt idx="1">
                        <c:v>-2.4220032840722494</c:v>
                      </c:pt>
                      <c:pt idx="2">
                        <c:v>-0.93550790628363278</c:v>
                      </c:pt>
                      <c:pt idx="3">
                        <c:v>0.25</c:v>
                      </c:pt>
                    </c:numCache>
                  </c:numRef>
                </c:val>
              </c15:ser>
            </c15:filteredBarSeries>
            <c15:filteredBarSeries>
              <c15:ser>
                <c:idx val="87"/>
                <c:order val="8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change'!$F$169:$I$169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-0.85565476190476186</c:v>
                      </c:pt>
                      <c:pt idx="1">
                        <c:v>0.79932688262515772</c:v>
                      </c:pt>
                      <c:pt idx="2">
                        <c:v>-2.6073875981948853</c:v>
                      </c:pt>
                      <c:pt idx="3">
                        <c:v>-1.72</c:v>
                      </c:pt>
                    </c:numCache>
                  </c:numRef>
                </c:val>
              </c15:ser>
            </c15:filteredBarSeries>
            <c15:filteredBarSeries>
              <c15:ser>
                <c:idx val="88"/>
                <c:order val="8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change'!$F$170:$I$170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0.41275797373358347</c:v>
                      </c:pt>
                      <c:pt idx="1">
                        <c:v>-0.62604340567612693</c:v>
                      </c:pt>
                      <c:pt idx="2">
                        <c:v>1.2270465076368628</c:v>
                      </c:pt>
                      <c:pt idx="3">
                        <c:v>-0.59</c:v>
                      </c:pt>
                    </c:numCache>
                  </c:numRef>
                </c:val>
              </c15:ser>
            </c15:filteredBarSeries>
            <c15:filteredBarSeries>
              <c15:ser>
                <c:idx val="89"/>
                <c:order val="8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change'!$F$171:$I$171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-1.905829596412556</c:v>
                      </c:pt>
                      <c:pt idx="1">
                        <c:v>-1.0499790004199916</c:v>
                      </c:pt>
                      <c:pt idx="2">
                        <c:v>-1.4834279901669916</c:v>
                      </c:pt>
                      <c:pt idx="3">
                        <c:v>0.53</c:v>
                      </c:pt>
                    </c:numCache>
                  </c:numRef>
                </c:val>
              </c15:ser>
            </c15:filteredBarSeries>
            <c15:filteredBarSeries>
              <c15:ser>
                <c:idx val="90"/>
                <c:order val="9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change'!$F$172:$I$172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1.1428571428571428</c:v>
                      </c:pt>
                      <c:pt idx="1">
                        <c:v>-8.4889643463497449E-2</c:v>
                      </c:pt>
                      <c:pt idx="2">
                        <c:v>-0.51626226122870422</c:v>
                      </c:pt>
                      <c:pt idx="3">
                        <c:v>0.24</c:v>
                      </c:pt>
                    </c:numCache>
                  </c:numRef>
                </c:val>
              </c15:ser>
            </c15:filteredBarSeries>
            <c15:filteredBarSeries>
              <c15:ser>
                <c:idx val="91"/>
                <c:order val="9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change'!$F$173:$I$173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0.4519774011299435</c:v>
                      </c:pt>
                      <c:pt idx="1">
                        <c:v>2.3364485981308412</c:v>
                      </c:pt>
                      <c:pt idx="2">
                        <c:v>3.8920601971977167</c:v>
                      </c:pt>
                      <c:pt idx="3">
                        <c:v>0</c:v>
                      </c:pt>
                    </c:numCache>
                  </c:numRef>
                </c:val>
              </c15:ser>
            </c15:filteredBarSeries>
            <c15:filteredBarSeries>
              <c15:ser>
                <c:idx val="92"/>
                <c:order val="9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change'!$F$174:$I$174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1.124859392575928</c:v>
                      </c:pt>
                      <c:pt idx="1">
                        <c:v>0.41511000415110005</c:v>
                      </c:pt>
                      <c:pt idx="2">
                        <c:v>0.17482517482517482</c:v>
                      </c:pt>
                      <c:pt idx="3">
                        <c:v>-0.62</c:v>
                      </c:pt>
                    </c:numCache>
                  </c:numRef>
                </c:val>
              </c15:ser>
            </c15:filteredBarSeries>
            <c15:filteredBarSeries>
              <c15:ser>
                <c:idx val="93"/>
                <c:order val="9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change'!$F$175:$I$175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1.1123470522803114</c:v>
                      </c:pt>
                      <c:pt idx="1">
                        <c:v>-4.1339396444811903E-2</c:v>
                      </c:pt>
                      <c:pt idx="2">
                        <c:v>0.9390841851574836</c:v>
                      </c:pt>
                      <c:pt idx="3">
                        <c:v>0.57999999999999996</c:v>
                      </c:pt>
                    </c:numCache>
                  </c:numRef>
                </c:val>
              </c15:ser>
            </c15:filteredBarSeries>
            <c15:filteredBarSeries>
              <c15:ser>
                <c:idx val="94"/>
                <c:order val="9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change'!$F$176:$I$176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-0.99009900990099009</c:v>
                      </c:pt>
                      <c:pt idx="1">
                        <c:v>-0.16542597187758479</c:v>
                      </c:pt>
                      <c:pt idx="2">
                        <c:v>-0.11526428453811954</c:v>
                      </c:pt>
                      <c:pt idx="3">
                        <c:v>-7.0000000000000007E-2</c:v>
                      </c:pt>
                    </c:numCache>
                  </c:numRef>
                </c:val>
              </c15:ser>
            </c15:filteredBarSeries>
            <c15:filteredBarSeries>
              <c15:ser>
                <c:idx val="95"/>
                <c:order val="9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change'!$F$177:$I$177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-3.2592592592592591</c:v>
                      </c:pt>
                      <c:pt idx="1">
                        <c:v>-2.0712510356255178</c:v>
                      </c:pt>
                      <c:pt idx="2">
                        <c:v>-1.9617540389053743</c:v>
                      </c:pt>
                      <c:pt idx="3">
                        <c:v>-0.02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554704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12720"/>
        <c:crosses val="autoZero"/>
        <c:auto val="1"/>
        <c:lblAlgn val="ctr"/>
        <c:lblOffset val="100"/>
        <c:noMultiLvlLbl val="0"/>
      </c:catAx>
      <c:valAx>
        <c:axId val="-5547127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5470456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603</xdr:row>
      <xdr:rowOff>102960</xdr:rowOff>
    </xdr:from>
    <xdr:to>
      <xdr:col>11</xdr:col>
      <xdr:colOff>279360</xdr:colOff>
      <xdr:row>633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183</xdr:row>
      <xdr:rowOff>27711</xdr:rowOff>
    </xdr:from>
    <xdr:to>
      <xdr:col>53</xdr:col>
      <xdr:colOff>335280</xdr:colOff>
      <xdr:row>288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319</xdr:row>
      <xdr:rowOff>0</xdr:rowOff>
    </xdr:from>
    <xdr:to>
      <xdr:col>82</xdr:col>
      <xdr:colOff>0</xdr:colOff>
      <xdr:row>395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638</xdr:row>
      <xdr:rowOff>0</xdr:rowOff>
    </xdr:from>
    <xdr:to>
      <xdr:col>13</xdr:col>
      <xdr:colOff>354240</xdr:colOff>
      <xdr:row>668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418</xdr:row>
      <xdr:rowOff>0</xdr:rowOff>
    </xdr:from>
    <xdr:to>
      <xdr:col>83</xdr:col>
      <xdr:colOff>533400</xdr:colOff>
      <xdr:row>517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66</xdr:row>
      <xdr:rowOff>76321</xdr:rowOff>
    </xdr:from>
    <xdr:to>
      <xdr:col>44</xdr:col>
      <xdr:colOff>533400</xdr:colOff>
      <xdr:row>165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685345</xdr:colOff>
      <xdr:row>2</xdr:row>
      <xdr:rowOff>80863</xdr:rowOff>
    </xdr:from>
    <xdr:to>
      <xdr:col>7</xdr:col>
      <xdr:colOff>954081</xdr:colOff>
      <xdr:row>31</xdr:row>
      <xdr:rowOff>134471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73"/>
  <sheetViews>
    <sheetView topLeftCell="B1" zoomScale="85" zoomScaleNormal="85" workbookViewId="0">
      <pane ySplit="1" topLeftCell="A2" activePane="bottomLeft" state="frozen"/>
      <selection activeCell="B1" sqref="B1"/>
      <selection pane="bottomLeft" activeCell="B4" sqref="B4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L258/G258</f>
        <v>#DIV/0!</v>
      </c>
      <c r="T1" s="3" t="s">
        <v>15</v>
      </c>
      <c r="U1" s="3">
        <f>M258/K258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52" customFormat="1" ht="18">
      <c r="B245" s="153" t="s">
        <v>616</v>
      </c>
      <c r="C245" s="121">
        <v>14</v>
      </c>
      <c r="D245" s="154">
        <v>25090</v>
      </c>
      <c r="E245" s="152">
        <v>25125</v>
      </c>
      <c r="F245" s="152">
        <v>25079</v>
      </c>
      <c r="H245" s="152">
        <v>28460</v>
      </c>
      <c r="I245" s="152">
        <v>28482</v>
      </c>
      <c r="J245" s="152">
        <v>28573</v>
      </c>
      <c r="L245" s="201"/>
      <c r="M245" s="201"/>
      <c r="N245" s="152">
        <v>25376</v>
      </c>
      <c r="O245" s="152">
        <v>28767</v>
      </c>
      <c r="P245" s="152">
        <v>25341</v>
      </c>
      <c r="Q245" s="152">
        <v>28745</v>
      </c>
      <c r="V245" s="152">
        <v>27530</v>
      </c>
      <c r="X245" s="152">
        <v>27550</v>
      </c>
      <c r="Y245" s="152">
        <v>31141</v>
      </c>
      <c r="Z245" s="155"/>
      <c r="AB245" s="154"/>
      <c r="AS245" s="154"/>
      <c r="AW245" s="154"/>
      <c r="BI245" s="178"/>
      <c r="BO245" s="156"/>
      <c r="BP245" s="156"/>
      <c r="BQ245" s="156"/>
      <c r="BR245" s="156"/>
    </row>
    <row r="246" spans="2:70" s="144" customFormat="1" ht="18">
      <c r="B246" s="145" t="s">
        <v>619</v>
      </c>
      <c r="C246" s="108">
        <v>16</v>
      </c>
      <c r="D246" s="146">
        <v>24987</v>
      </c>
      <c r="E246" s="144">
        <v>24810</v>
      </c>
      <c r="F246" s="144">
        <v>24981</v>
      </c>
      <c r="H246" s="144">
        <v>28482</v>
      </c>
      <c r="I246" s="144">
        <v>28540</v>
      </c>
      <c r="J246" s="144">
        <v>28636</v>
      </c>
      <c r="L246" s="142"/>
      <c r="M246" s="142"/>
      <c r="N246" s="144">
        <v>25058</v>
      </c>
      <c r="O246" s="144">
        <v>28825</v>
      </c>
      <c r="P246" s="144">
        <v>25237</v>
      </c>
      <c r="Q246" s="144">
        <v>28767</v>
      </c>
      <c r="V246" s="144">
        <v>27080</v>
      </c>
      <c r="X246" s="144">
        <v>26880</v>
      </c>
      <c r="Y246" s="144">
        <v>30785</v>
      </c>
      <c r="Z246" s="147"/>
      <c r="AB246" s="146"/>
      <c r="AS246" s="146"/>
      <c r="AW246" s="146"/>
      <c r="BI246" s="207"/>
      <c r="BO246" s="150"/>
      <c r="BP246" s="150"/>
      <c r="BQ246" s="150"/>
      <c r="BR246" s="150"/>
    </row>
    <row r="247" spans="2:70" s="144" customFormat="1" ht="18">
      <c r="B247" s="145" t="s">
        <v>621</v>
      </c>
      <c r="C247" s="108">
        <v>17</v>
      </c>
      <c r="D247" s="146">
        <v>24624</v>
      </c>
      <c r="E247" s="144">
        <v>24286</v>
      </c>
      <c r="F247" s="144">
        <v>24319</v>
      </c>
      <c r="H247" s="144">
        <v>28540</v>
      </c>
      <c r="I247" s="144">
        <v>28064</v>
      </c>
      <c r="J247" s="144">
        <v>28240</v>
      </c>
      <c r="L247" s="142"/>
      <c r="M247" s="142"/>
      <c r="N247" s="144">
        <v>24529</v>
      </c>
      <c r="O247" s="144">
        <v>28344</v>
      </c>
      <c r="P247" s="144">
        <v>24870</v>
      </c>
      <c r="Q247" s="144">
        <v>28825</v>
      </c>
      <c r="V247" s="144">
        <v>26250</v>
      </c>
      <c r="X247" s="144">
        <v>26650</v>
      </c>
      <c r="Y247" s="144">
        <v>29950</v>
      </c>
      <c r="Z247" s="147"/>
      <c r="AB247" s="146"/>
      <c r="AS247" s="146"/>
      <c r="AW247" s="146"/>
      <c r="BI247" s="207"/>
      <c r="BO247" s="150"/>
      <c r="BP247" s="150"/>
      <c r="BQ247" s="150"/>
      <c r="BR247" s="150"/>
    </row>
    <row r="248" spans="2:70" s="144" customFormat="1" ht="18">
      <c r="B248" s="145" t="s">
        <v>623</v>
      </c>
      <c r="C248" s="108">
        <v>18</v>
      </c>
      <c r="D248" s="146">
        <v>24300</v>
      </c>
      <c r="E248" s="144">
        <v>24503</v>
      </c>
      <c r="F248" s="144">
        <v>24406</v>
      </c>
      <c r="H248" s="144">
        <v>28064</v>
      </c>
      <c r="I248" s="144">
        <v>28700</v>
      </c>
      <c r="J248" s="144">
        <v>28395</v>
      </c>
      <c r="L248" s="142"/>
      <c r="M248" s="142"/>
      <c r="N248" s="144">
        <v>24748</v>
      </c>
      <c r="O248" s="144">
        <v>28987</v>
      </c>
      <c r="P248" s="144">
        <v>24543</v>
      </c>
      <c r="Q248" s="144">
        <v>28344</v>
      </c>
      <c r="V248" s="144">
        <v>26980</v>
      </c>
      <c r="X248" s="144">
        <v>26760</v>
      </c>
      <c r="Y248" s="144">
        <v>30729</v>
      </c>
      <c r="Z248" s="147"/>
      <c r="AB248" s="146"/>
      <c r="AS248" s="146"/>
      <c r="AW248" s="146"/>
      <c r="BI248" s="207"/>
      <c r="BO248" s="150"/>
      <c r="BP248" s="150"/>
      <c r="BQ248" s="150"/>
      <c r="BR248" s="150"/>
    </row>
    <row r="249" spans="2:70" s="144" customFormat="1" ht="18">
      <c r="B249" s="145" t="s">
        <v>626</v>
      </c>
      <c r="C249" s="108">
        <v>19</v>
      </c>
      <c r="D249" s="146">
        <v>24357</v>
      </c>
      <c r="E249" s="144">
        <v>24292</v>
      </c>
      <c r="F249" s="144">
        <v>24242</v>
      </c>
      <c r="H249" s="144">
        <v>28700</v>
      </c>
      <c r="I249" s="144">
        <v>28250</v>
      </c>
      <c r="J249" s="144">
        <v>28107</v>
      </c>
      <c r="L249" s="142"/>
      <c r="M249" s="142"/>
      <c r="N249" s="144">
        <v>24535</v>
      </c>
      <c r="O249" s="144">
        <v>28532</v>
      </c>
      <c r="P249" s="144">
        <v>24601</v>
      </c>
      <c r="Q249" s="144">
        <v>28987</v>
      </c>
      <c r="V249" s="144">
        <v>26480</v>
      </c>
      <c r="X249" s="144">
        <v>26250</v>
      </c>
      <c r="Y249" s="144">
        <v>30168</v>
      </c>
      <c r="Z249" s="147"/>
      <c r="AB249" s="146"/>
      <c r="AS249" s="146"/>
      <c r="AW249" s="146"/>
      <c r="BI249" s="207"/>
      <c r="BO249" s="150"/>
      <c r="BP249" s="150"/>
      <c r="BQ249" s="150"/>
      <c r="BR249" s="150"/>
    </row>
    <row r="250" spans="2:70" s="202" customFormat="1" ht="18">
      <c r="B250" s="148" t="s">
        <v>628</v>
      </c>
      <c r="C250" s="114">
        <v>20</v>
      </c>
      <c r="D250" s="203">
        <v>24292</v>
      </c>
      <c r="E250" s="202">
        <v>24600</v>
      </c>
      <c r="F250" s="202">
        <v>24583</v>
      </c>
      <c r="H250" s="202">
        <v>28250</v>
      </c>
      <c r="I250" s="202">
        <v>28450</v>
      </c>
      <c r="J250" s="202">
        <v>28405</v>
      </c>
      <c r="L250" s="149"/>
      <c r="M250" s="149"/>
      <c r="N250" s="202">
        <v>24846</v>
      </c>
      <c r="O250" s="202">
        <v>28734</v>
      </c>
      <c r="P250" s="202">
        <v>24535</v>
      </c>
      <c r="Q250" s="202">
        <v>28532</v>
      </c>
      <c r="V250" s="202">
        <v>26630</v>
      </c>
      <c r="X250" s="202">
        <v>26550</v>
      </c>
      <c r="Y250" s="202">
        <v>30320</v>
      </c>
      <c r="Z250" s="204"/>
      <c r="AB250" s="203"/>
      <c r="AS250" s="203"/>
      <c r="AW250" s="203"/>
      <c r="BI250" s="205"/>
      <c r="BO250" s="206"/>
      <c r="BP250" s="206"/>
      <c r="BQ250" s="206"/>
      <c r="BR250" s="206"/>
    </row>
    <row r="251" spans="2:70" s="144" customFormat="1" ht="18">
      <c r="B251" s="145" t="s">
        <v>630</v>
      </c>
      <c r="C251" s="108">
        <v>21</v>
      </c>
      <c r="D251" s="146">
        <v>24700</v>
      </c>
      <c r="E251" s="144">
        <v>25061</v>
      </c>
      <c r="F251" s="144">
        <v>24991</v>
      </c>
      <c r="H251" s="144">
        <v>28450</v>
      </c>
      <c r="I251" s="144">
        <v>28554</v>
      </c>
      <c r="J251" s="144">
        <v>28634</v>
      </c>
      <c r="L251" s="142"/>
      <c r="M251" s="142"/>
      <c r="N251" s="144">
        <v>25311</v>
      </c>
      <c r="O251" s="144">
        <v>28840</v>
      </c>
      <c r="P251" s="144">
        <v>24947</v>
      </c>
      <c r="Q251" s="144">
        <v>28734</v>
      </c>
      <c r="V251" s="144">
        <v>26500</v>
      </c>
      <c r="X251" s="144">
        <v>26440</v>
      </c>
      <c r="Y251" s="144">
        <v>30269</v>
      </c>
      <c r="Z251" s="147"/>
      <c r="AB251" s="146"/>
      <c r="AS251" s="146"/>
      <c r="AW251" s="146"/>
      <c r="BI251" s="207"/>
      <c r="BO251" s="150"/>
      <c r="BP251" s="150"/>
      <c r="BQ251" s="150"/>
      <c r="BR251" s="150"/>
    </row>
    <row r="252" spans="2:70" s="152" customFormat="1" ht="18">
      <c r="B252" s="153" t="s">
        <v>636</v>
      </c>
      <c r="C252" s="121">
        <v>23</v>
      </c>
      <c r="D252" s="154">
        <v>25121</v>
      </c>
      <c r="E252" s="152">
        <v>25133</v>
      </c>
      <c r="F252" s="152">
        <v>25188</v>
      </c>
      <c r="H252" s="152">
        <v>28554</v>
      </c>
      <c r="I252" s="152">
        <v>28750</v>
      </c>
      <c r="J252" s="152">
        <v>28683</v>
      </c>
      <c r="L252" s="201"/>
      <c r="M252" s="201"/>
      <c r="N252" s="152">
        <v>25384</v>
      </c>
      <c r="O252" s="152">
        <v>29038</v>
      </c>
      <c r="P252" s="152">
        <v>25372</v>
      </c>
      <c r="Q252" s="152">
        <v>28840</v>
      </c>
      <c r="V252" s="152">
        <v>26750</v>
      </c>
      <c r="X252" s="152">
        <v>26670</v>
      </c>
      <c r="Y252" s="152">
        <v>30379</v>
      </c>
      <c r="Z252" s="155"/>
      <c r="AB252" s="154"/>
      <c r="AS252" s="154"/>
      <c r="AW252" s="154"/>
      <c r="BI252" s="178"/>
      <c r="BO252" s="156"/>
      <c r="BP252" s="156"/>
      <c r="BQ252" s="156"/>
      <c r="BR252" s="156"/>
    </row>
    <row r="253" spans="2:70" s="152" customFormat="1" ht="18">
      <c r="B253" s="153" t="s">
        <v>637</v>
      </c>
      <c r="C253" s="121">
        <v>24</v>
      </c>
      <c r="D253" s="154">
        <v>25250</v>
      </c>
      <c r="E253" s="152">
        <v>25150</v>
      </c>
      <c r="F253" s="152">
        <v>25156</v>
      </c>
      <c r="H253" s="152">
        <v>28750</v>
      </c>
      <c r="I253" s="152">
        <v>28850</v>
      </c>
      <c r="J253" s="152">
        <v>28715</v>
      </c>
      <c r="L253" s="201"/>
      <c r="M253" s="201"/>
      <c r="N253" s="152">
        <v>25401</v>
      </c>
      <c r="O253" s="152">
        <v>29138</v>
      </c>
      <c r="P253" s="152">
        <v>25502</v>
      </c>
      <c r="Q253" s="152">
        <v>29038</v>
      </c>
      <c r="V253" s="152">
        <v>26850</v>
      </c>
      <c r="X253" s="152">
        <v>26970</v>
      </c>
      <c r="Y253" s="152">
        <v>30493</v>
      </c>
      <c r="Z253" s="155"/>
      <c r="AB253" s="154"/>
      <c r="AS253" s="154"/>
      <c r="AW253" s="154"/>
      <c r="BI253" s="178"/>
      <c r="BO253" s="156"/>
      <c r="BP253" s="156"/>
      <c r="BQ253" s="156"/>
      <c r="BR253" s="156"/>
    </row>
    <row r="254" spans="2:70" s="152" customFormat="1" ht="18">
      <c r="B254" s="153" t="s">
        <v>638</v>
      </c>
      <c r="C254" s="121">
        <v>25</v>
      </c>
      <c r="D254" s="154">
        <v>25293</v>
      </c>
      <c r="E254" s="152">
        <v>25211</v>
      </c>
      <c r="F254" s="152">
        <v>25210</v>
      </c>
      <c r="H254" s="152">
        <v>28850</v>
      </c>
      <c r="I254" s="152">
        <v>28550</v>
      </c>
      <c r="J254" s="152">
        <v>28680</v>
      </c>
      <c r="L254" s="201"/>
      <c r="M254" s="201"/>
      <c r="N254" s="152">
        <v>25463</v>
      </c>
      <c r="O254" s="152">
        <v>28835</v>
      </c>
      <c r="P254" s="152">
        <v>25546</v>
      </c>
      <c r="Q254" s="152">
        <v>29138</v>
      </c>
      <c r="V254" s="152">
        <v>27290</v>
      </c>
      <c r="X254" s="152">
        <v>27270</v>
      </c>
      <c r="Y254" s="152">
        <v>30919</v>
      </c>
      <c r="Z254" s="155"/>
      <c r="AB254" s="154"/>
      <c r="AS254" s="154"/>
      <c r="AW254" s="154"/>
      <c r="BI254" s="178"/>
      <c r="BO254" s="156"/>
      <c r="BP254" s="156"/>
      <c r="BQ254" s="156"/>
      <c r="BR254" s="156"/>
    </row>
    <row r="255" spans="2:70" s="152" customFormat="1" ht="18">
      <c r="B255" s="153" t="s">
        <v>641</v>
      </c>
      <c r="C255" s="121">
        <v>27</v>
      </c>
      <c r="D255" s="154">
        <v>25188</v>
      </c>
      <c r="E255" s="152">
        <v>25135</v>
      </c>
      <c r="F255" s="152">
        <v>25159</v>
      </c>
      <c r="H255" s="152">
        <v>28550</v>
      </c>
      <c r="I255" s="152">
        <v>28700</v>
      </c>
      <c r="J255" s="152">
        <v>28609</v>
      </c>
      <c r="L255" s="201"/>
      <c r="M255" s="201"/>
      <c r="N255" s="152">
        <v>25386</v>
      </c>
      <c r="O255" s="152">
        <v>28987</v>
      </c>
      <c r="P255" s="152">
        <v>25439</v>
      </c>
      <c r="Q255" s="152">
        <v>28835</v>
      </c>
      <c r="V255" s="152">
        <v>26950</v>
      </c>
      <c r="X255" s="152">
        <v>27000</v>
      </c>
      <c r="Y255" s="152">
        <v>30763</v>
      </c>
      <c r="Z255" s="155"/>
      <c r="AB255" s="154"/>
      <c r="AS255" s="154"/>
      <c r="AW255" s="154"/>
      <c r="BI255" s="178"/>
      <c r="BO255" s="156"/>
      <c r="BP255" s="156"/>
      <c r="BQ255" s="156"/>
      <c r="BR255" s="156"/>
    </row>
    <row r="256" spans="2:70" s="152" customFormat="1" ht="18">
      <c r="B256" s="153" t="s">
        <v>642</v>
      </c>
      <c r="C256" s="121">
        <v>28</v>
      </c>
      <c r="D256" s="154">
        <v>25133</v>
      </c>
      <c r="E256" s="152">
        <v>25107</v>
      </c>
      <c r="F256" s="152">
        <v>25100</v>
      </c>
      <c r="H256" s="152">
        <v>28700</v>
      </c>
      <c r="I256" s="152">
        <v>28589</v>
      </c>
      <c r="J256" s="152">
        <v>28780</v>
      </c>
      <c r="L256" s="201"/>
      <c r="M256" s="201"/>
      <c r="N256" s="152">
        <v>25358</v>
      </c>
      <c r="O256" s="152">
        <v>28875</v>
      </c>
      <c r="P256" s="152">
        <v>25364</v>
      </c>
      <c r="Q256" s="152">
        <v>28987</v>
      </c>
      <c r="V256" s="152">
        <v>26750</v>
      </c>
      <c r="X256" s="152">
        <v>26570</v>
      </c>
      <c r="Y256" s="152">
        <v>30387</v>
      </c>
      <c r="Z256" s="155"/>
      <c r="AB256" s="154"/>
      <c r="AS256" s="154"/>
      <c r="AW256" s="154"/>
      <c r="BI256" s="178"/>
      <c r="BO256" s="156"/>
      <c r="BP256" s="156"/>
      <c r="BQ256" s="156"/>
      <c r="BR256" s="156"/>
    </row>
    <row r="257" spans="2:70" s="136" customFormat="1" ht="18">
      <c r="B257" s="131" t="s">
        <v>645</v>
      </c>
      <c r="C257" s="104">
        <v>30</v>
      </c>
      <c r="D257" s="137">
        <v>25107</v>
      </c>
      <c r="E257" s="136">
        <v>24586</v>
      </c>
      <c r="F257" s="136">
        <v>24689</v>
      </c>
      <c r="H257" s="136">
        <v>28589</v>
      </c>
      <c r="I257" s="136">
        <v>28130</v>
      </c>
      <c r="J257" s="136">
        <v>28663</v>
      </c>
      <c r="L257" s="208"/>
      <c r="M257" s="208"/>
      <c r="N257" s="136">
        <v>24832</v>
      </c>
      <c r="O257" s="136">
        <v>28411</v>
      </c>
      <c r="P257" s="136">
        <v>25358</v>
      </c>
      <c r="Q257" s="136">
        <v>28875</v>
      </c>
      <c r="V257" s="136">
        <v>26150</v>
      </c>
      <c r="X257" s="136">
        <v>26120</v>
      </c>
      <c r="Z257" s="138"/>
      <c r="AB257" s="137"/>
      <c r="AS257" s="137"/>
      <c r="AW257" s="137"/>
      <c r="BI257" s="177"/>
      <c r="BO257" s="151"/>
      <c r="BP257" s="151"/>
      <c r="BQ257" s="151"/>
      <c r="BR257" s="151"/>
    </row>
    <row r="258" spans="2:70" ht="18">
      <c r="D258" s="26"/>
      <c r="K258">
        <f>SUM(K2:K216)</f>
        <v>210358000</v>
      </c>
      <c r="L258" s="142">
        <f>SUM(L2:L216)</f>
        <v>38488576407409</v>
      </c>
      <c r="M258" s="142">
        <f>SUM(M2:M216)</f>
        <v>6182194847600</v>
      </c>
      <c r="V258" s="144"/>
      <c r="Z258" s="25"/>
      <c r="AS258" s="26"/>
      <c r="AW258" s="30"/>
    </row>
    <row r="259" spans="2:70" ht="18">
      <c r="N259">
        <f>(38955-36945)/36945</f>
        <v>5.4405196914332113E-2</v>
      </c>
      <c r="V259" s="152"/>
      <c r="X259">
        <f>X254-X253</f>
        <v>300</v>
      </c>
      <c r="Z259" s="25"/>
      <c r="AS259" s="26"/>
      <c r="AW259" s="30"/>
    </row>
    <row r="260" spans="2:70" ht="18">
      <c r="O260">
        <f>P242-N241</f>
        <v>249</v>
      </c>
      <c r="V260" s="152"/>
      <c r="W260" s="152"/>
      <c r="Z260" s="25"/>
      <c r="AS260" s="26"/>
      <c r="AW260" s="30"/>
    </row>
    <row r="261" spans="2:70" ht="18">
      <c r="D261" s="93"/>
      <c r="N261">
        <f>(2785-2525)/2525</f>
        <v>0.10297029702970296</v>
      </c>
      <c r="P261">
        <f>P230-N229</f>
        <v>24</v>
      </c>
      <c r="V261" s="152"/>
      <c r="W261" s="152">
        <f>V252-X251</f>
        <v>310</v>
      </c>
      <c r="Z261" s="25"/>
      <c r="AW261" s="30"/>
    </row>
    <row r="262" spans="2:70" ht="17.25" customHeight="1">
      <c r="D262" s="93"/>
      <c r="P262" t="s">
        <v>523</v>
      </c>
      <c r="Q262" t="s">
        <v>524</v>
      </c>
      <c r="V262" s="152"/>
      <c r="W262" s="152"/>
      <c r="Z262" s="25"/>
    </row>
    <row r="263" spans="2:70" ht="18">
      <c r="D263" s="93"/>
      <c r="E263">
        <f>(28300-25088)/25088</f>
        <v>0.12802933673469388</v>
      </c>
      <c r="O263" s="126" t="s">
        <v>503</v>
      </c>
      <c r="P263">
        <v>-178</v>
      </c>
      <c r="Q263">
        <v>-180</v>
      </c>
      <c r="V263" s="25"/>
      <c r="W263" s="152"/>
      <c r="X263">
        <f>Y248-Y247</f>
        <v>779</v>
      </c>
      <c r="Y263">
        <f>(2631-2489)/2489</f>
        <v>5.7051024507834475E-2</v>
      </c>
      <c r="Z263" s="25"/>
    </row>
    <row r="264" spans="2:70" ht="18">
      <c r="D264" s="93"/>
      <c r="F264">
        <f>(37881-36136)/37136</f>
        <v>4.6989444205084017E-2</v>
      </c>
      <c r="H264">
        <f>(27376-26532)/26532</f>
        <v>3.1810643750942259E-2</v>
      </c>
      <c r="O264" s="132" t="s">
        <v>505</v>
      </c>
      <c r="P264">
        <v>59</v>
      </c>
      <c r="Q264">
        <v>59</v>
      </c>
      <c r="V264" s="25"/>
      <c r="W264" s="152">
        <f>(X246-X245)/X245</f>
        <v>-2.4319419237749548E-2</v>
      </c>
    </row>
    <row r="265" spans="2:70" ht="18">
      <c r="D265" s="93"/>
      <c r="N265">
        <f t="shared" ref="N265:N269" si="42">N199-N198</f>
        <v>-15</v>
      </c>
      <c r="O265" s="132" t="s">
        <v>507</v>
      </c>
      <c r="P265">
        <v>-17</v>
      </c>
      <c r="Q265">
        <v>-16</v>
      </c>
      <c r="V265" s="25"/>
      <c r="W265" s="152"/>
    </row>
    <row r="266" spans="2:70" ht="18">
      <c r="D266" s="107"/>
      <c r="E266">
        <f>(2499-2381)/2381</f>
        <v>4.9559008819823606E-2</v>
      </c>
      <c r="N266">
        <f t="shared" si="42"/>
        <v>-12</v>
      </c>
      <c r="O266" s="132" t="s">
        <v>509</v>
      </c>
      <c r="P266">
        <v>-163</v>
      </c>
      <c r="Q266">
        <v>-165</v>
      </c>
      <c r="V266" s="26"/>
      <c r="W266" s="144"/>
    </row>
    <row r="267" spans="2:70" ht="18">
      <c r="D267" s="107"/>
      <c r="N267">
        <f t="shared" si="42"/>
        <v>-137</v>
      </c>
      <c r="O267" s="132" t="s">
        <v>511</v>
      </c>
      <c r="P267">
        <v>50</v>
      </c>
      <c r="Q267">
        <v>50</v>
      </c>
      <c r="V267" s="26"/>
      <c r="W267" s="144"/>
      <c r="X267" s="109"/>
    </row>
    <row r="268" spans="2:70" ht="18">
      <c r="D268" s="113"/>
      <c r="N268">
        <f t="shared" si="42"/>
        <v>-138</v>
      </c>
      <c r="O268" s="145" t="s">
        <v>513</v>
      </c>
      <c r="P268">
        <v>-15</v>
      </c>
      <c r="Q268">
        <v>-15</v>
      </c>
      <c r="W268" s="144">
        <f>(2628-2533)/2533</f>
        <v>3.750493485984998E-2</v>
      </c>
      <c r="X268" s="109"/>
      <c r="Y268">
        <f>(W266-X215)/X215</f>
        <v>-1</v>
      </c>
    </row>
    <row r="269" spans="2:70" ht="18">
      <c r="D269" s="107"/>
      <c r="G269" s="9"/>
      <c r="N269">
        <f t="shared" si="42"/>
        <v>-43</v>
      </c>
      <c r="O269" s="145" t="s">
        <v>515</v>
      </c>
      <c r="P269">
        <v>-12</v>
      </c>
      <c r="Q269">
        <v>-12</v>
      </c>
      <c r="W269">
        <f>(38576-37406)/37406</f>
        <v>3.1278404534031974E-2</v>
      </c>
      <c r="X269" s="109"/>
      <c r="Y269">
        <f>(43725-42669)/42669</f>
        <v>2.4748646558391339E-2</v>
      </c>
    </row>
    <row r="270" spans="2:70" ht="18">
      <c r="D270" s="103"/>
      <c r="G270" s="9"/>
      <c r="N270">
        <f>N258-N203</f>
        <v>-27379</v>
      </c>
      <c r="O270" s="148" t="s">
        <v>517</v>
      </c>
      <c r="P270">
        <v>-136</v>
      </c>
      <c r="Q270">
        <v>-137</v>
      </c>
      <c r="X270" s="109"/>
    </row>
    <row r="271" spans="2:70" ht="18">
      <c r="G271" s="9"/>
      <c r="O271" s="145" t="s">
        <v>519</v>
      </c>
      <c r="P271">
        <v>-137</v>
      </c>
      <c r="Q271">
        <v>-138</v>
      </c>
      <c r="X271" s="109"/>
      <c r="Y271">
        <f>(3365-3279)/3279</f>
        <v>2.6227508386703263E-2</v>
      </c>
    </row>
    <row r="272" spans="2:70" ht="18">
      <c r="G272" s="9"/>
      <c r="O272" s="131" t="s">
        <v>521</v>
      </c>
      <c r="P272">
        <v>-42</v>
      </c>
      <c r="Q272">
        <v>-43</v>
      </c>
      <c r="X272" s="109"/>
    </row>
    <row r="273" spans="7:7" ht="18">
      <c r="G273" s="9"/>
    </row>
  </sheetData>
  <autoFilter ref="A1:BN260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"/>
  <sheetViews>
    <sheetView topLeftCell="A32" zoomScaleNormal="100" workbookViewId="0">
      <selection activeCell="A54" sqref="A54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 s="67" customFormat="1" ht="13.9" customHeight="1">
      <c r="A46" s="67" t="s">
        <v>633</v>
      </c>
      <c r="B46" s="67">
        <v>24587</v>
      </c>
      <c r="C46" s="67">
        <v>28403</v>
      </c>
      <c r="D46" s="101"/>
      <c r="F46" s="101"/>
      <c r="H46" s="67">
        <v>24838</v>
      </c>
      <c r="I46" s="67">
        <v>28710</v>
      </c>
      <c r="J46" s="67">
        <v>26588</v>
      </c>
      <c r="K46" s="67">
        <v>30370</v>
      </c>
    </row>
    <row r="47" spans="1:11" s="67" customFormat="1" ht="13.9" customHeight="1">
      <c r="A47" s="67" t="s">
        <v>644</v>
      </c>
      <c r="B47" s="67">
        <v>25163</v>
      </c>
      <c r="C47" s="67">
        <v>28693</v>
      </c>
      <c r="D47" s="101"/>
      <c r="F47" s="101"/>
      <c r="H47" s="67">
        <v>25398</v>
      </c>
      <c r="I47" s="67">
        <v>28975</v>
      </c>
      <c r="J47" s="67">
        <v>26896</v>
      </c>
      <c r="K47" s="67">
        <v>30588</v>
      </c>
    </row>
    <row r="48" spans="1:11" s="67" customFormat="1" ht="13.9" customHeight="1">
      <c r="D48" s="101"/>
      <c r="F48" s="101"/>
    </row>
    <row r="49" spans="1:10">
      <c r="A49" s="67"/>
      <c r="B49">
        <f>(B2-B8)/B2</f>
        <v>0.15346494762288476</v>
      </c>
      <c r="C49">
        <f>(C2-C8)/C2</f>
        <v>0.1154959674639829</v>
      </c>
      <c r="D49">
        <f>SUM(D2:D39)/38</f>
        <v>37702089.447368421</v>
      </c>
      <c r="I49">
        <f>I43-I42</f>
        <v>-332</v>
      </c>
    </row>
    <row r="50" spans="1:10">
      <c r="H50">
        <f>(H43-H42)/H42</f>
        <v>-1.9771428571428572E-2</v>
      </c>
    </row>
    <row r="51" spans="1:10">
      <c r="A51">
        <f>(B44-B43)</f>
        <v>-250</v>
      </c>
      <c r="C51">
        <f>(C43-C42)/C42</f>
        <v>-1.2137997059527473E-2</v>
      </c>
      <c r="E51">
        <f>(D39-D49)/D49</f>
        <v>0.21324840799221964</v>
      </c>
      <c r="J51">
        <f>(D36-D35)/D35</f>
        <v>-0.50773339408667473</v>
      </c>
    </row>
    <row r="52" spans="1:10">
      <c r="B52">
        <f>(B43-B42)/B42</f>
        <v>-1.4413787773398253E-2</v>
      </c>
      <c r="F52">
        <f>(F36-F35)/F35</f>
        <v>-0.62892307692307692</v>
      </c>
      <c r="H52">
        <f>(H47-H46)/H46</f>
        <v>2.2546098719703679E-2</v>
      </c>
    </row>
    <row r="53" spans="1:10">
      <c r="D53">
        <v>5375132</v>
      </c>
      <c r="E53">
        <f>(E17-D53)/D53</f>
        <v>4.5958809321644006E-2</v>
      </c>
      <c r="G53">
        <f t="shared" ref="G53:G61" si="2">B3-B2</f>
        <v>-554</v>
      </c>
    </row>
    <row r="54" spans="1:10">
      <c r="D54">
        <f>(C47-C46)/C46</f>
        <v>1.0210189064535436E-2</v>
      </c>
      <c r="G54">
        <f t="shared" si="2"/>
        <v>-302</v>
      </c>
    </row>
    <row r="55" spans="1:10">
      <c r="C55">
        <f>(D53-E16)/E16</f>
        <v>0.17110375179746395</v>
      </c>
      <c r="E55">
        <f>(B47-B46)/B46</f>
        <v>2.3427014275836825E-2</v>
      </c>
      <c r="G55">
        <f t="shared" si="2"/>
        <v>-511</v>
      </c>
    </row>
    <row r="56" spans="1:10">
      <c r="G56">
        <f t="shared" si="2"/>
        <v>-362</v>
      </c>
    </row>
    <row r="57" spans="1:10">
      <c r="G57">
        <f t="shared" si="2"/>
        <v>-1699</v>
      </c>
    </row>
    <row r="58" spans="1:10">
      <c r="G58">
        <f t="shared" si="2"/>
        <v>-381</v>
      </c>
    </row>
    <row r="59" spans="1:10">
      <c r="G59">
        <f t="shared" si="2"/>
        <v>1075</v>
      </c>
    </row>
    <row r="60" spans="1:10">
      <c r="F60">
        <f>(F33-F32)/F32</f>
        <v>0.23948268173034043</v>
      </c>
      <c r="G60">
        <f t="shared" si="2"/>
        <v>151</v>
      </c>
      <c r="J60">
        <f>(F34-F35)/F34</f>
        <v>0.13877341459779063</v>
      </c>
    </row>
    <row r="61" spans="1:10">
      <c r="G61">
        <f t="shared" si="2"/>
        <v>1043</v>
      </c>
    </row>
  </sheetData>
  <autoFilter ref="A1:K61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59"/>
  <sheetViews>
    <sheetView topLeftCell="A2350" zoomScaleNormal="100" workbookViewId="0">
      <selection activeCell="C2368" sqref="C2368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4" t="s">
        <v>510</v>
      </c>
      <c r="B1601" s="214"/>
      <c r="C1601" s="214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4" t="s">
        <v>510</v>
      </c>
      <c r="B1613" s="214"/>
      <c r="C1613" s="214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4" t="s">
        <v>514</v>
      </c>
      <c r="B1629" s="214"/>
      <c r="C1629" s="214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4" t="s">
        <v>516</v>
      </c>
      <c r="B1640" s="214"/>
      <c r="C1640" s="214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4" t="s">
        <v>518</v>
      </c>
      <c r="B1653" s="214"/>
      <c r="C1653" s="214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4" t="s">
        <v>520</v>
      </c>
      <c r="B1665" s="214"/>
      <c r="C1665" s="214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4" t="s">
        <v>522</v>
      </c>
      <c r="B1677" s="214"/>
      <c r="C1677" s="214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4" t="s">
        <v>526</v>
      </c>
      <c r="B1690" s="214"/>
      <c r="C1690" s="214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4" t="s">
        <v>529</v>
      </c>
      <c r="B1703" s="214"/>
      <c r="C1703" s="214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4" t="s">
        <v>531</v>
      </c>
      <c r="B1716" s="214"/>
      <c r="C1716" s="214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4" t="s">
        <v>533</v>
      </c>
      <c r="B1729" s="214"/>
      <c r="C1729" s="214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4" t="s">
        <v>536</v>
      </c>
      <c r="B1742" s="214"/>
      <c r="C1742" s="214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4" t="s">
        <v>538</v>
      </c>
      <c r="B1754" s="214"/>
      <c r="C1754" s="214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4" t="s">
        <v>540</v>
      </c>
      <c r="B1767" s="214"/>
      <c r="C1767" s="214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4" t="s">
        <v>542</v>
      </c>
      <c r="B1779" s="214"/>
      <c r="C1779" s="214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4" t="s">
        <v>545</v>
      </c>
      <c r="B1791" s="214"/>
      <c r="C1791" s="214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4" t="s">
        <v>547</v>
      </c>
      <c r="B1803" s="214"/>
      <c r="C1803" s="214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4" t="s">
        <v>549</v>
      </c>
      <c r="B1816" s="214"/>
      <c r="C1816" s="214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4" t="s">
        <v>551</v>
      </c>
      <c r="B1829" s="214"/>
      <c r="C1829" s="214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4" t="s">
        <v>553</v>
      </c>
      <c r="B1842" s="214"/>
      <c r="C1842" s="214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4" t="s">
        <v>557</v>
      </c>
      <c r="B1854" s="214"/>
      <c r="C1854" s="214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4" t="s">
        <v>558</v>
      </c>
      <c r="B1866" s="214"/>
      <c r="C1866" s="214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4" t="s">
        <v>560</v>
      </c>
      <c r="B1878" s="214"/>
      <c r="C1878" s="214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4" t="s">
        <v>562</v>
      </c>
      <c r="B1890" s="214"/>
      <c r="C1890" s="214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4" t="s">
        <v>564</v>
      </c>
      <c r="B1903" s="214"/>
      <c r="C1903" s="214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4" t="s">
        <v>568</v>
      </c>
      <c r="B1916" s="214"/>
      <c r="C1916" s="214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4" t="s">
        <v>570</v>
      </c>
      <c r="B1928" s="214"/>
      <c r="C1928" s="214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4" t="s">
        <v>572</v>
      </c>
      <c r="B1940" s="214"/>
      <c r="C1940" s="214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4" t="s">
        <v>574</v>
      </c>
      <c r="B1953" s="214"/>
      <c r="C1953" s="214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4" t="s">
        <v>576</v>
      </c>
      <c r="B1966" s="214"/>
      <c r="C1966" s="214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4" t="s">
        <v>578</v>
      </c>
      <c r="B1979" s="214"/>
      <c r="C1979" s="214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4" t="s">
        <v>580</v>
      </c>
      <c r="B1992" s="214"/>
      <c r="C1992" s="214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4" t="s">
        <v>583</v>
      </c>
      <c r="B2005" s="214"/>
      <c r="C2005" s="214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4" t="s">
        <v>585</v>
      </c>
      <c r="B2017" s="214"/>
      <c r="C2017" s="214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4" t="s">
        <v>587</v>
      </c>
      <c r="B2029" s="214"/>
      <c r="C2029" s="214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4" t="s">
        <v>589</v>
      </c>
      <c r="B2042" s="214"/>
      <c r="C2042" s="214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4" t="s">
        <v>591</v>
      </c>
      <c r="B2055" s="214"/>
      <c r="C2055" s="214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4" t="s">
        <v>594</v>
      </c>
      <c r="B2068" s="214"/>
      <c r="C2068" s="214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4" t="s">
        <v>596</v>
      </c>
      <c r="B2081" s="214"/>
      <c r="C2081" s="214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4" t="s">
        <v>598</v>
      </c>
      <c r="B2093" s="214"/>
      <c r="C2093" s="214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4" t="s">
        <v>600</v>
      </c>
      <c r="B2105" s="214"/>
      <c r="C2105" s="214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4" t="s">
        <v>602</v>
      </c>
      <c r="B2117" s="214"/>
      <c r="C2117" s="214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4" t="s">
        <v>604</v>
      </c>
      <c r="B2129" s="214"/>
      <c r="C2129" s="214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4" t="s">
        <v>606</v>
      </c>
      <c r="B2141" s="214"/>
      <c r="C2141" s="214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4" t="s">
        <v>608</v>
      </c>
      <c r="B2154" s="214"/>
      <c r="C2154" s="214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4" t="s">
        <v>609</v>
      </c>
      <c r="B2167" s="214"/>
      <c r="C2167" s="214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4" t="s">
        <v>613</v>
      </c>
      <c r="B2180" s="214"/>
      <c r="C2180" s="214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4" t="s">
        <v>615</v>
      </c>
      <c r="B2193" s="214"/>
      <c r="C2193" s="214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4" t="s">
        <v>617</v>
      </c>
      <c r="B2205" s="214"/>
      <c r="C2205" s="214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8">
      <c r="A2209" s="71" t="s">
        <v>252</v>
      </c>
      <c r="C2209" s="79"/>
    </row>
    <row r="2210" spans="1:8">
      <c r="A2210" s="69" t="s">
        <v>253</v>
      </c>
      <c r="C2210" s="79"/>
    </row>
    <row r="2211" spans="1:8">
      <c r="A2211" s="77">
        <v>0.625</v>
      </c>
      <c r="C2211" s="79"/>
    </row>
    <row r="2212" spans="1:8">
      <c r="A2212" s="70" t="s">
        <v>254</v>
      </c>
      <c r="B2212" s="212"/>
      <c r="C2212" s="79"/>
    </row>
    <row r="2213" spans="1:8">
      <c r="A2213" s="80">
        <v>0.70833333333333337</v>
      </c>
      <c r="B2213" s="79"/>
      <c r="C2213" s="79"/>
    </row>
    <row r="2218" spans="1:8">
      <c r="A2218" s="214" t="s">
        <v>620</v>
      </c>
      <c r="B2218" s="214"/>
      <c r="C2218" s="214"/>
    </row>
    <row r="2219" spans="1:8">
      <c r="A2219" s="79" t="s">
        <v>247</v>
      </c>
      <c r="B2219" s="79" t="s">
        <v>250</v>
      </c>
      <c r="C2219" s="79" t="s">
        <v>249</v>
      </c>
    </row>
    <row r="2220" spans="1:8">
      <c r="A2220" s="69">
        <v>0.45833333333333298</v>
      </c>
      <c r="B2220">
        <v>12055000</v>
      </c>
      <c r="C2220" s="79">
        <v>7470</v>
      </c>
    </row>
    <row r="2221" spans="1:8">
      <c r="A2221" s="70" t="s">
        <v>251</v>
      </c>
      <c r="B2221">
        <v>12070000</v>
      </c>
      <c r="C2221" s="79">
        <v>7350</v>
      </c>
    </row>
    <row r="2222" spans="1:8">
      <c r="A2222" s="71" t="s">
        <v>252</v>
      </c>
      <c r="B2222">
        <v>11990000</v>
      </c>
      <c r="C2222" s="79">
        <v>7300</v>
      </c>
      <c r="D2222">
        <f>B2220-D2207</f>
        <v>-195000</v>
      </c>
    </row>
    <row r="2223" spans="1:8">
      <c r="A2223" s="69" t="s">
        <v>253</v>
      </c>
      <c r="B2223">
        <v>11995000</v>
      </c>
      <c r="C2223" s="79">
        <v>7310</v>
      </c>
      <c r="H2223">
        <f>D2207-D2221</f>
        <v>12250000</v>
      </c>
    </row>
    <row r="2224" spans="1:8">
      <c r="A2224" s="77">
        <v>0.625</v>
      </c>
      <c r="B2224">
        <v>11940000</v>
      </c>
      <c r="C2224" s="79">
        <v>7300</v>
      </c>
    </row>
    <row r="2225" spans="1:4">
      <c r="A2225" s="70" t="s">
        <v>254</v>
      </c>
      <c r="B2225" s="212">
        <v>11930000</v>
      </c>
      <c r="C2225" s="79">
        <v>7290</v>
      </c>
    </row>
    <row r="2226" spans="1:4">
      <c r="A2226" s="80">
        <v>0.70833333333333337</v>
      </c>
      <c r="B2226" s="79">
        <v>11885000</v>
      </c>
      <c r="C2226" s="79">
        <v>7280</v>
      </c>
      <c r="D2226">
        <f>(B2226-D2207)/D2207</f>
        <v>-2.9795918367346939E-2</v>
      </c>
    </row>
    <row r="2230" spans="1:4">
      <c r="A2230" s="214" t="s">
        <v>622</v>
      </c>
      <c r="B2230" s="214"/>
      <c r="C2230" s="214"/>
    </row>
    <row r="2231" spans="1:4">
      <c r="A2231" s="79" t="s">
        <v>247</v>
      </c>
      <c r="B2231" s="79" t="s">
        <v>250</v>
      </c>
      <c r="C2231" s="79" t="s">
        <v>249</v>
      </c>
    </row>
    <row r="2232" spans="1:4">
      <c r="A2232" s="69">
        <v>0.45833333333333298</v>
      </c>
      <c r="B2232">
        <v>11865000</v>
      </c>
      <c r="C2232" s="79">
        <v>7140</v>
      </c>
    </row>
    <row r="2233" spans="1:4">
      <c r="A2233" s="70" t="s">
        <v>251</v>
      </c>
      <c r="B2233">
        <v>11870000</v>
      </c>
      <c r="C2233" s="79">
        <v>7180</v>
      </c>
    </row>
    <row r="2234" spans="1:4">
      <c r="A2234" s="71" t="s">
        <v>252</v>
      </c>
      <c r="B2234">
        <v>11940000</v>
      </c>
      <c r="C2234" s="79">
        <v>7250</v>
      </c>
    </row>
    <row r="2235" spans="1:4">
      <c r="A2235" s="69" t="s">
        <v>253</v>
      </c>
      <c r="B2235">
        <v>11945000</v>
      </c>
      <c r="C2235" s="79">
        <v>7260</v>
      </c>
    </row>
    <row r="2236" spans="1:4">
      <c r="A2236" s="77">
        <v>0.625</v>
      </c>
      <c r="B2236">
        <v>11950000</v>
      </c>
      <c r="C2236" s="79">
        <v>7270</v>
      </c>
    </row>
    <row r="2237" spans="1:4">
      <c r="A2237" s="70" t="s">
        <v>254</v>
      </c>
      <c r="B2237" s="212">
        <v>11955000</v>
      </c>
      <c r="C2237" s="79">
        <v>7280</v>
      </c>
    </row>
    <row r="2238" spans="1:4">
      <c r="A2238" s="80">
        <v>0.70833333333333337</v>
      </c>
      <c r="B2238" s="79">
        <v>11980000</v>
      </c>
      <c r="C2238" s="79">
        <v>7290</v>
      </c>
    </row>
    <row r="2243" spans="1:5">
      <c r="A2243" s="214" t="s">
        <v>624</v>
      </c>
      <c r="B2243" s="214"/>
      <c r="C2243" s="214"/>
    </row>
    <row r="2244" spans="1:5">
      <c r="A2244" s="79" t="s">
        <v>247</v>
      </c>
      <c r="B2244" s="79" t="s">
        <v>250</v>
      </c>
      <c r="C2244" s="79" t="s">
        <v>249</v>
      </c>
    </row>
    <row r="2245" spans="1:5">
      <c r="A2245" s="69">
        <v>0.45833333333333298</v>
      </c>
      <c r="B2245">
        <v>11980000</v>
      </c>
      <c r="C2245" s="79">
        <v>7340</v>
      </c>
      <c r="D2245">
        <v>11980000</v>
      </c>
    </row>
    <row r="2246" spans="1:5">
      <c r="A2246" s="70" t="s">
        <v>251</v>
      </c>
      <c r="B2246">
        <v>12010000</v>
      </c>
      <c r="C2246" s="79">
        <v>7310</v>
      </c>
    </row>
    <row r="2247" spans="1:5">
      <c r="A2247" s="71" t="s">
        <v>252</v>
      </c>
      <c r="B2247">
        <v>11960000</v>
      </c>
      <c r="C2247" s="79">
        <v>7280</v>
      </c>
    </row>
    <row r="2248" spans="1:5">
      <c r="A2248" s="69" t="s">
        <v>253</v>
      </c>
      <c r="B2248">
        <v>11935000</v>
      </c>
      <c r="C2248" s="79">
        <v>7270</v>
      </c>
    </row>
    <row r="2249" spans="1:5">
      <c r="A2249" s="77">
        <v>0.625</v>
      </c>
      <c r="B2249">
        <v>11915000</v>
      </c>
      <c r="C2249" s="79">
        <v>7280</v>
      </c>
    </row>
    <row r="2250" spans="1:5">
      <c r="A2250" s="70" t="s">
        <v>254</v>
      </c>
      <c r="B2250" s="212">
        <v>11905000</v>
      </c>
      <c r="C2250" s="79">
        <v>7290</v>
      </c>
    </row>
    <row r="2251" spans="1:5">
      <c r="A2251" s="80">
        <v>0.70833333333333337</v>
      </c>
      <c r="B2251" s="79">
        <v>11905000</v>
      </c>
      <c r="C2251" s="79">
        <v>7280</v>
      </c>
      <c r="D2251">
        <v>11915000</v>
      </c>
      <c r="E2251" t="s">
        <v>625</v>
      </c>
    </row>
    <row r="2255" spans="1:5">
      <c r="A2255" s="214" t="s">
        <v>627</v>
      </c>
      <c r="B2255" s="214"/>
      <c r="C2255" s="214"/>
    </row>
    <row r="2256" spans="1:5">
      <c r="A2256" s="79" t="s">
        <v>247</v>
      </c>
      <c r="B2256" s="79" t="s">
        <v>250</v>
      </c>
      <c r="C2256" s="79" t="s">
        <v>249</v>
      </c>
    </row>
    <row r="2257" spans="1:4">
      <c r="A2257" s="69">
        <v>0.45833333333333298</v>
      </c>
      <c r="B2257">
        <v>11845000</v>
      </c>
      <c r="C2257" s="79">
        <v>7220</v>
      </c>
    </row>
    <row r="2258" spans="1:4">
      <c r="A2258" s="70" t="s">
        <v>251</v>
      </c>
      <c r="B2258">
        <v>11855000</v>
      </c>
      <c r="C2258" s="79">
        <v>7180</v>
      </c>
    </row>
    <row r="2259" spans="1:4">
      <c r="A2259" s="71" t="s">
        <v>252</v>
      </c>
      <c r="B2259">
        <v>11770000</v>
      </c>
      <c r="C2259" s="79">
        <v>7160</v>
      </c>
    </row>
    <row r="2260" spans="1:4">
      <c r="A2260" s="69" t="s">
        <v>253</v>
      </c>
      <c r="B2260">
        <v>11775000</v>
      </c>
      <c r="C2260" s="79">
        <v>7150</v>
      </c>
    </row>
    <row r="2261" spans="1:4">
      <c r="A2261" s="77">
        <v>0.625</v>
      </c>
      <c r="B2261">
        <v>11775000</v>
      </c>
      <c r="C2261" s="79">
        <v>7160</v>
      </c>
      <c r="D2261">
        <f>B2263-B2251</f>
        <v>-125000</v>
      </c>
    </row>
    <row r="2262" spans="1:4">
      <c r="A2262" s="70" t="s">
        <v>254</v>
      </c>
      <c r="B2262">
        <v>11775000</v>
      </c>
      <c r="C2262" s="79">
        <v>7160</v>
      </c>
    </row>
    <row r="2263" spans="1:4">
      <c r="A2263" s="80">
        <v>0.70833333333333337</v>
      </c>
      <c r="B2263" s="79">
        <v>11780000</v>
      </c>
      <c r="C2263" s="79">
        <v>7160</v>
      </c>
    </row>
    <row r="2267" spans="1:4">
      <c r="A2267" s="214" t="s">
        <v>629</v>
      </c>
      <c r="B2267" s="214"/>
      <c r="C2267" s="214"/>
    </row>
    <row r="2268" spans="1:4">
      <c r="A2268" s="79" t="s">
        <v>247</v>
      </c>
      <c r="B2268" s="79" t="s">
        <v>250</v>
      </c>
      <c r="C2268" s="79" t="s">
        <v>249</v>
      </c>
    </row>
    <row r="2269" spans="1:4">
      <c r="A2269" s="69">
        <v>0.45833333333333298</v>
      </c>
      <c r="B2269">
        <v>11810000</v>
      </c>
      <c r="C2269" s="79">
        <v>7250</v>
      </c>
    </row>
    <row r="2270" spans="1:4">
      <c r="A2270" s="70" t="s">
        <v>251</v>
      </c>
      <c r="B2270">
        <v>11775000</v>
      </c>
      <c r="C2270" s="79">
        <v>7210</v>
      </c>
    </row>
    <row r="2271" spans="1:4">
      <c r="A2271" s="71" t="s">
        <v>252</v>
      </c>
      <c r="B2271">
        <v>11785000</v>
      </c>
      <c r="C2271" s="79">
        <v>7200</v>
      </c>
    </row>
    <row r="2272" spans="1:4">
      <c r="A2272" s="69" t="s">
        <v>253</v>
      </c>
      <c r="B2272">
        <v>11770000</v>
      </c>
      <c r="C2272" s="79">
        <v>7200</v>
      </c>
    </row>
    <row r="2273" spans="1:5">
      <c r="A2273" s="77">
        <v>0.625</v>
      </c>
      <c r="B2273">
        <v>11770000</v>
      </c>
      <c r="C2273" s="79">
        <v>7210</v>
      </c>
    </row>
    <row r="2274" spans="1:5">
      <c r="A2274" s="70" t="s">
        <v>254</v>
      </c>
      <c r="B2274">
        <v>11770000</v>
      </c>
      <c r="C2274" s="79">
        <v>7220</v>
      </c>
    </row>
    <row r="2275" spans="1:5">
      <c r="A2275" s="80">
        <v>0.70833333333333337</v>
      </c>
      <c r="B2275">
        <v>11770000</v>
      </c>
      <c r="C2275" s="79">
        <v>7220</v>
      </c>
    </row>
    <row r="2279" spans="1:5">
      <c r="A2279" s="214" t="s">
        <v>631</v>
      </c>
      <c r="B2279" s="214"/>
      <c r="C2279" s="214"/>
    </row>
    <row r="2280" spans="1:5">
      <c r="A2280" s="79" t="s">
        <v>247</v>
      </c>
      <c r="B2280" s="79" t="s">
        <v>250</v>
      </c>
      <c r="C2280" s="79" t="s">
        <v>249</v>
      </c>
    </row>
    <row r="2281" spans="1:5">
      <c r="A2281" s="69">
        <v>0.45833333333333298</v>
      </c>
      <c r="C2281" s="79"/>
      <c r="D2281">
        <v>11750000</v>
      </c>
      <c r="E2281" t="s">
        <v>632</v>
      </c>
    </row>
    <row r="2282" spans="1:5">
      <c r="A2282" s="70" t="s">
        <v>251</v>
      </c>
      <c r="C2282" s="79"/>
    </row>
    <row r="2283" spans="1:5">
      <c r="A2283" s="71" t="s">
        <v>252</v>
      </c>
      <c r="C2283" s="79"/>
    </row>
    <row r="2284" spans="1:5">
      <c r="A2284" s="69" t="s">
        <v>253</v>
      </c>
      <c r="C2284" s="79"/>
    </row>
    <row r="2285" spans="1:5">
      <c r="A2285" s="77">
        <v>0.625</v>
      </c>
      <c r="C2285" s="79"/>
    </row>
    <row r="2286" spans="1:5">
      <c r="A2286" s="70" t="s">
        <v>254</v>
      </c>
      <c r="C2286" s="79"/>
    </row>
    <row r="2287" spans="1:5">
      <c r="A2287" s="80">
        <v>0.70833333333333337</v>
      </c>
      <c r="C2287" s="79"/>
    </row>
    <row r="2291" spans="1:4">
      <c r="A2291" s="214" t="s">
        <v>634</v>
      </c>
      <c r="B2291" s="214"/>
      <c r="C2291" s="214"/>
    </row>
    <row r="2292" spans="1:4">
      <c r="A2292" s="79" t="s">
        <v>247</v>
      </c>
      <c r="B2292" s="79" t="s">
        <v>250</v>
      </c>
      <c r="C2292" s="79" t="s">
        <v>249</v>
      </c>
    </row>
    <row r="2293" spans="1:4">
      <c r="A2293" s="69">
        <v>0.45833333333333298</v>
      </c>
      <c r="B2293">
        <v>11970000</v>
      </c>
      <c r="C2293" s="79">
        <v>7250</v>
      </c>
    </row>
    <row r="2294" spans="1:4">
      <c r="A2294" s="70" t="s">
        <v>251</v>
      </c>
      <c r="B2294">
        <v>12025000</v>
      </c>
      <c r="C2294" s="79">
        <v>7230</v>
      </c>
    </row>
    <row r="2295" spans="1:4">
      <c r="A2295" s="71" t="s">
        <v>252</v>
      </c>
      <c r="B2295">
        <v>12040000</v>
      </c>
      <c r="C2295" s="79">
        <v>7220</v>
      </c>
      <c r="D2295">
        <f>B2293-D2281</f>
        <v>220000</v>
      </c>
    </row>
    <row r="2296" spans="1:4">
      <c r="A2296" s="69" t="s">
        <v>253</v>
      </c>
      <c r="B2296">
        <v>12060000</v>
      </c>
      <c r="C2296" s="79">
        <v>7220</v>
      </c>
    </row>
    <row r="2297" spans="1:4">
      <c r="A2297" s="77">
        <v>0.625</v>
      </c>
      <c r="B2297">
        <v>12050000</v>
      </c>
      <c r="C2297" s="79">
        <v>7220</v>
      </c>
    </row>
    <row r="2298" spans="1:4">
      <c r="A2298" s="70" t="s">
        <v>254</v>
      </c>
      <c r="B2298">
        <v>12060000</v>
      </c>
      <c r="C2298" s="79">
        <v>7220</v>
      </c>
    </row>
    <row r="2299" spans="1:4">
      <c r="A2299" s="80">
        <v>0.70833333333333337</v>
      </c>
      <c r="B2299">
        <v>12045000</v>
      </c>
      <c r="C2299" s="79">
        <v>7230</v>
      </c>
    </row>
    <row r="2303" spans="1:4">
      <c r="A2303" s="214" t="s">
        <v>635</v>
      </c>
      <c r="B2303" s="214"/>
      <c r="C2303" s="214"/>
    </row>
    <row r="2304" spans="1:4">
      <c r="A2304" s="79" t="s">
        <v>247</v>
      </c>
      <c r="B2304" s="79" t="s">
        <v>250</v>
      </c>
      <c r="C2304" s="79" t="s">
        <v>249</v>
      </c>
    </row>
    <row r="2305" spans="1:3">
      <c r="A2305" s="69">
        <v>0.45833333333333298</v>
      </c>
      <c r="B2305">
        <v>12100000</v>
      </c>
      <c r="C2305" s="79">
        <v>7280</v>
      </c>
    </row>
    <row r="2306" spans="1:3">
      <c r="A2306" s="70" t="s">
        <v>251</v>
      </c>
      <c r="B2306">
        <v>12105000</v>
      </c>
      <c r="C2306" s="79">
        <v>7330</v>
      </c>
    </row>
    <row r="2307" spans="1:3">
      <c r="A2307" s="71" t="s">
        <v>252</v>
      </c>
      <c r="B2307">
        <v>12140000</v>
      </c>
      <c r="C2307" s="79">
        <v>7340</v>
      </c>
    </row>
    <row r="2308" spans="1:3">
      <c r="A2308" s="69" t="s">
        <v>253</v>
      </c>
      <c r="B2308">
        <v>12150000</v>
      </c>
      <c r="C2308" s="79">
        <v>7350</v>
      </c>
    </row>
    <row r="2309" spans="1:3">
      <c r="A2309" s="77">
        <v>0.625</v>
      </c>
      <c r="B2309">
        <v>12140000</v>
      </c>
      <c r="C2309" s="79">
        <v>7340</v>
      </c>
    </row>
    <row r="2310" spans="1:3">
      <c r="A2310" s="70" t="s">
        <v>254</v>
      </c>
      <c r="B2310">
        <v>12100000</v>
      </c>
      <c r="C2310" s="79">
        <v>7330</v>
      </c>
    </row>
    <row r="2311" spans="1:3">
      <c r="A2311" s="80">
        <v>0.70833333333333337</v>
      </c>
      <c r="B2311">
        <v>12095000</v>
      </c>
      <c r="C2311" s="79">
        <v>7320</v>
      </c>
    </row>
    <row r="2315" spans="1:3">
      <c r="A2315" s="214" t="s">
        <v>639</v>
      </c>
      <c r="B2315" s="214"/>
      <c r="C2315" s="214"/>
    </row>
    <row r="2316" spans="1:3">
      <c r="A2316" s="79" t="s">
        <v>247</v>
      </c>
      <c r="B2316" s="79" t="s">
        <v>250</v>
      </c>
      <c r="C2316" s="79" t="s">
        <v>249</v>
      </c>
    </row>
    <row r="2317" spans="1:3">
      <c r="A2317" s="69">
        <v>0.45833333333333298</v>
      </c>
      <c r="B2317">
        <v>12160000</v>
      </c>
      <c r="C2317" s="79">
        <v>7400</v>
      </c>
    </row>
    <row r="2318" spans="1:3">
      <c r="A2318" s="70" t="s">
        <v>251</v>
      </c>
      <c r="B2318">
        <v>12155000</v>
      </c>
      <c r="C2318" s="79">
        <v>7410</v>
      </c>
    </row>
    <row r="2319" spans="1:3">
      <c r="A2319" s="71" t="s">
        <v>252</v>
      </c>
      <c r="B2319">
        <v>12140000</v>
      </c>
      <c r="C2319" s="79">
        <v>7400</v>
      </c>
    </row>
    <row r="2320" spans="1:3">
      <c r="A2320" s="69" t="s">
        <v>253</v>
      </c>
      <c r="B2320">
        <v>12100000</v>
      </c>
      <c r="C2320" s="79">
        <v>7380</v>
      </c>
    </row>
    <row r="2321" spans="1:3">
      <c r="A2321" s="77">
        <v>0.625</v>
      </c>
      <c r="B2321">
        <v>12095000</v>
      </c>
      <c r="C2321" s="79">
        <v>7370</v>
      </c>
    </row>
    <row r="2322" spans="1:3">
      <c r="A2322" s="70" t="s">
        <v>254</v>
      </c>
      <c r="B2322">
        <v>12095000</v>
      </c>
      <c r="C2322" s="79">
        <v>7380</v>
      </c>
    </row>
    <row r="2323" spans="1:3">
      <c r="A2323" s="80">
        <v>0.70833333333333337</v>
      </c>
      <c r="B2323">
        <v>12090000</v>
      </c>
      <c r="C2323" s="79">
        <v>7390</v>
      </c>
    </row>
    <row r="2327" spans="1:3">
      <c r="A2327" s="214" t="s">
        <v>640</v>
      </c>
      <c r="B2327" s="214"/>
      <c r="C2327" s="214"/>
    </row>
    <row r="2328" spans="1:3">
      <c r="A2328" s="79" t="s">
        <v>247</v>
      </c>
      <c r="B2328" s="79" t="s">
        <v>250</v>
      </c>
      <c r="C2328" s="79" t="s">
        <v>249</v>
      </c>
    </row>
    <row r="2329" spans="1:3">
      <c r="A2329" s="69">
        <v>0.45833333333333298</v>
      </c>
      <c r="B2329">
        <v>12090000</v>
      </c>
      <c r="C2329" s="79">
        <v>7320</v>
      </c>
    </row>
    <row r="2330" spans="1:3">
      <c r="A2330" s="70" t="s">
        <v>251</v>
      </c>
      <c r="B2330">
        <v>12110000</v>
      </c>
      <c r="C2330" s="79">
        <v>7370</v>
      </c>
    </row>
    <row r="2331" spans="1:3">
      <c r="A2331" s="71" t="s">
        <v>252</v>
      </c>
      <c r="B2331">
        <v>12125000</v>
      </c>
      <c r="C2331" s="79">
        <v>7340</v>
      </c>
    </row>
    <row r="2332" spans="1:3">
      <c r="A2332" s="69" t="s">
        <v>253</v>
      </c>
      <c r="B2332">
        <v>12140000</v>
      </c>
      <c r="C2332" s="79">
        <v>7330</v>
      </c>
    </row>
    <row r="2333" spans="1:3">
      <c r="A2333" s="77">
        <v>0.625</v>
      </c>
      <c r="B2333">
        <v>12135000</v>
      </c>
      <c r="C2333" s="79">
        <v>7330</v>
      </c>
    </row>
    <row r="2334" spans="1:3">
      <c r="A2334" s="70" t="s">
        <v>254</v>
      </c>
      <c r="B2334">
        <v>12080000</v>
      </c>
      <c r="C2334" s="79">
        <v>7330</v>
      </c>
    </row>
    <row r="2335" spans="1:3">
      <c r="A2335" s="80">
        <v>0.70833333333333337</v>
      </c>
      <c r="B2335">
        <v>12070000</v>
      </c>
      <c r="C2335" s="79">
        <v>7320</v>
      </c>
    </row>
    <row r="2339" spans="1:4">
      <c r="A2339" s="214" t="s">
        <v>643</v>
      </c>
      <c r="B2339" s="214"/>
      <c r="C2339" s="214"/>
    </row>
    <row r="2340" spans="1:4">
      <c r="A2340" s="79" t="s">
        <v>247</v>
      </c>
      <c r="B2340" s="79" t="s">
        <v>250</v>
      </c>
      <c r="C2340" s="79" t="s">
        <v>249</v>
      </c>
    </row>
    <row r="2341" spans="1:4">
      <c r="A2341" s="69">
        <v>0.45833333333333298</v>
      </c>
      <c r="C2341" s="79"/>
      <c r="D2341">
        <v>11990000</v>
      </c>
    </row>
    <row r="2342" spans="1:4">
      <c r="A2342" s="70" t="s">
        <v>251</v>
      </c>
      <c r="C2342" s="79"/>
    </row>
    <row r="2343" spans="1:4">
      <c r="A2343" s="71" t="s">
        <v>252</v>
      </c>
      <c r="C2343" s="79"/>
      <c r="D2343">
        <f>D2341-B2335</f>
        <v>-80000</v>
      </c>
    </row>
    <row r="2344" spans="1:4">
      <c r="A2344" s="69" t="s">
        <v>253</v>
      </c>
      <c r="C2344" s="79"/>
    </row>
    <row r="2345" spans="1:4">
      <c r="A2345" s="77">
        <v>0.625</v>
      </c>
      <c r="C2345" s="79"/>
    </row>
    <row r="2346" spans="1:4">
      <c r="A2346" s="70" t="s">
        <v>254</v>
      </c>
      <c r="C2346" s="79"/>
    </row>
    <row r="2347" spans="1:4">
      <c r="A2347" s="80">
        <v>0.70833333333333337</v>
      </c>
      <c r="C2347" s="79"/>
    </row>
    <row r="2351" spans="1:4">
      <c r="A2351" s="214" t="s">
        <v>646</v>
      </c>
      <c r="B2351" s="214"/>
      <c r="C2351" s="214"/>
    </row>
    <row r="2352" spans="1:4">
      <c r="A2352" s="79" t="s">
        <v>247</v>
      </c>
      <c r="B2352" s="79" t="s">
        <v>250</v>
      </c>
      <c r="C2352" s="79" t="s">
        <v>249</v>
      </c>
    </row>
    <row r="2353" spans="1:3">
      <c r="A2353" s="69">
        <v>0.45833333333333298</v>
      </c>
      <c r="B2353">
        <v>11770000</v>
      </c>
      <c r="C2353" s="79">
        <v>7160</v>
      </c>
    </row>
    <row r="2354" spans="1:3">
      <c r="A2354" s="70" t="s">
        <v>251</v>
      </c>
      <c r="B2354">
        <v>11790000</v>
      </c>
      <c r="C2354" s="79">
        <v>7190</v>
      </c>
    </row>
    <row r="2355" spans="1:3">
      <c r="A2355" s="71" t="s">
        <v>252</v>
      </c>
      <c r="B2355">
        <v>11800000</v>
      </c>
      <c r="C2355" s="79">
        <v>7170</v>
      </c>
    </row>
    <row r="2356" spans="1:3">
      <c r="A2356" s="69" t="s">
        <v>253</v>
      </c>
      <c r="B2356">
        <v>11815000</v>
      </c>
      <c r="C2356" s="79">
        <v>7170</v>
      </c>
    </row>
    <row r="2357" spans="1:3">
      <c r="A2357" s="77">
        <v>0.625</v>
      </c>
      <c r="B2357">
        <v>11825000</v>
      </c>
      <c r="C2357" s="79">
        <v>7180</v>
      </c>
    </row>
    <row r="2358" spans="1:3">
      <c r="A2358" s="70" t="s">
        <v>254</v>
      </c>
      <c r="B2358">
        <v>11820000</v>
      </c>
      <c r="C2358" s="79">
        <v>7180</v>
      </c>
    </row>
    <row r="2359" spans="1:3">
      <c r="A2359" s="80">
        <v>0.70833333333333337</v>
      </c>
      <c r="B2359">
        <v>11820000</v>
      </c>
      <c r="C2359" s="79">
        <v>7190</v>
      </c>
    </row>
  </sheetData>
  <mergeCells count="201">
    <mergeCell ref="A2351:C2351"/>
    <mergeCell ref="A2339:C2339"/>
    <mergeCell ref="A2327:C2327"/>
    <mergeCell ref="A2303:C2303"/>
    <mergeCell ref="A2291:C2291"/>
    <mergeCell ref="A2243:C2243"/>
    <mergeCell ref="A2205:C2205"/>
    <mergeCell ref="A2180:C2180"/>
    <mergeCell ref="A2167:C2167"/>
    <mergeCell ref="A2154:C2154"/>
    <mergeCell ref="A2129:C2129"/>
    <mergeCell ref="A2315:C2315"/>
    <mergeCell ref="A2117:C2117"/>
    <mergeCell ref="A2081:C2081"/>
    <mergeCell ref="A2279:C2279"/>
    <mergeCell ref="A2267:C2267"/>
    <mergeCell ref="A2255:C2255"/>
    <mergeCell ref="A2230:C2230"/>
    <mergeCell ref="A2218:C2218"/>
    <mergeCell ref="A2193:C2193"/>
    <mergeCell ref="A2141:C214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916:C1916"/>
    <mergeCell ref="A1903:C1903"/>
    <mergeCell ref="A1803:C1803"/>
    <mergeCell ref="A1563:D1563"/>
    <mergeCell ref="A1767:C1767"/>
    <mergeCell ref="A1690:C1690"/>
    <mergeCell ref="A1677:C1677"/>
    <mergeCell ref="A1791:C1791"/>
    <mergeCell ref="A1779:C1779"/>
    <mergeCell ref="A1703:C1703"/>
    <mergeCell ref="A1716:C1716"/>
    <mergeCell ref="A1729:C1729"/>
    <mergeCell ref="A1742:C1742"/>
    <mergeCell ref="A1754:C1754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576:D1576"/>
    <mergeCell ref="A1502:D1502"/>
    <mergeCell ref="A1490:D1490"/>
    <mergeCell ref="A1477:D1477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453:D1453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70:D670"/>
    <mergeCell ref="A738:D738"/>
    <mergeCell ref="A681:D681"/>
    <mergeCell ref="A692:D692"/>
    <mergeCell ref="A703:D703"/>
    <mergeCell ref="A715:D715"/>
    <mergeCell ref="A1246:D1246"/>
    <mergeCell ref="A1392:D1392"/>
    <mergeCell ref="A1380:D1380"/>
    <mergeCell ref="A1355:D1355"/>
    <mergeCell ref="A854:D854"/>
    <mergeCell ref="A888:D888"/>
    <mergeCell ref="A901:D901"/>
    <mergeCell ref="A913:D913"/>
    <mergeCell ref="A925:D925"/>
    <mergeCell ref="A1025:D1025"/>
    <mergeCell ref="A726:D726"/>
    <mergeCell ref="A1037:D1037"/>
    <mergeCell ref="A1318:D1318"/>
    <mergeCell ref="A1098:D1098"/>
    <mergeCell ref="A1085:D1085"/>
    <mergeCell ref="A1073:D1073"/>
    <mergeCell ref="A1061:D1061"/>
    <mergeCell ref="A1049:D1049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1110:D1110"/>
    <mergeCell ref="A1000:D1000"/>
    <mergeCell ref="A987:D987"/>
    <mergeCell ref="A1012:D1012"/>
    <mergeCell ref="A937:D937"/>
    <mergeCell ref="A876:D876"/>
    <mergeCell ref="A796:D796"/>
    <mergeCell ref="A949:D949"/>
    <mergeCell ref="A974:D974"/>
    <mergeCell ref="A961:D961"/>
    <mergeCell ref="A1465:D1465"/>
    <mergeCell ref="A1149:D1149"/>
    <mergeCell ref="A1123:D1123"/>
    <mergeCell ref="A1173:D1173"/>
    <mergeCell ref="A1162:D1162"/>
    <mergeCell ref="A842:D842"/>
    <mergeCell ref="A1185:D1185"/>
    <mergeCell ref="A1428:D1428"/>
    <mergeCell ref="A1294:D1294"/>
    <mergeCell ref="A1197:D1197"/>
    <mergeCell ref="A1209:D1209"/>
    <mergeCell ref="A1222:D1222"/>
    <mergeCell ref="A1343:D1343"/>
    <mergeCell ref="A1330:D1330"/>
    <mergeCell ref="A1306:D1306"/>
    <mergeCell ref="A1282:D1282"/>
    <mergeCell ref="A1270:D1270"/>
    <mergeCell ref="A1258:D1258"/>
    <mergeCell ref="A1234:D1234"/>
    <mergeCell ref="A1441:D1441"/>
    <mergeCell ref="A1416:D1416"/>
    <mergeCell ref="A1404:D1404"/>
    <mergeCell ref="A1368:D1368"/>
    <mergeCell ref="A1136:D113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B15" sqref="B15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78"/>
  <sheetViews>
    <sheetView tabSelected="1" zoomScale="85" zoomScaleNormal="85" workbookViewId="0">
      <selection activeCell="F177" sqref="F177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78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78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78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  <row r="168" spans="2:9">
      <c r="B168">
        <v>14001116</v>
      </c>
      <c r="C168">
        <v>26880</v>
      </c>
      <c r="D168">
        <v>11885000</v>
      </c>
      <c r="E168">
        <v>1196600</v>
      </c>
      <c r="F168">
        <f t="shared" si="6"/>
        <v>-2.3255813953488373</v>
      </c>
      <c r="G168">
        <f t="shared" si="13"/>
        <v>-2.4220032840722494</v>
      </c>
      <c r="H168">
        <f t="shared" si="12"/>
        <v>-0.93550790628363278</v>
      </c>
      <c r="I168">
        <v>0.25</v>
      </c>
    </row>
    <row r="169" spans="2:9">
      <c r="B169">
        <v>14001117</v>
      </c>
      <c r="C169">
        <v>26650</v>
      </c>
      <c r="D169">
        <v>11980000</v>
      </c>
      <c r="E169">
        <v>1165400</v>
      </c>
      <c r="F169">
        <f t="shared" si="6"/>
        <v>-0.85565476190476186</v>
      </c>
      <c r="G169">
        <f t="shared" si="13"/>
        <v>0.79932688262515772</v>
      </c>
      <c r="H169">
        <f t="shared" si="12"/>
        <v>-2.6073875981948853</v>
      </c>
      <c r="I169">
        <v>-1.72</v>
      </c>
    </row>
    <row r="170" spans="2:9">
      <c r="B170">
        <v>14001118</v>
      </c>
      <c r="C170">
        <v>26760</v>
      </c>
      <c r="D170">
        <v>11905000</v>
      </c>
      <c r="E170">
        <v>1179700</v>
      </c>
      <c r="F170">
        <f t="shared" si="6"/>
        <v>0.41275797373358347</v>
      </c>
      <c r="G170">
        <f t="shared" si="13"/>
        <v>-0.62604340567612693</v>
      </c>
      <c r="H170">
        <f t="shared" si="12"/>
        <v>1.2270465076368628</v>
      </c>
      <c r="I170">
        <v>-0.59</v>
      </c>
    </row>
    <row r="171" spans="2:9">
      <c r="B171">
        <v>14001119</v>
      </c>
      <c r="C171">
        <v>26250</v>
      </c>
      <c r="D171">
        <v>11780000</v>
      </c>
      <c r="E171">
        <v>1162200</v>
      </c>
      <c r="F171">
        <f t="shared" si="6"/>
        <v>-1.905829596412556</v>
      </c>
      <c r="G171">
        <f t="shared" si="13"/>
        <v>-1.0499790004199916</v>
      </c>
      <c r="H171">
        <f t="shared" si="12"/>
        <v>-1.4834279901669916</v>
      </c>
      <c r="I171">
        <v>0.53</v>
      </c>
    </row>
    <row r="172" spans="2:9">
      <c r="B172">
        <v>14001120</v>
      </c>
      <c r="C172">
        <v>26550</v>
      </c>
      <c r="D172">
        <v>11770000</v>
      </c>
      <c r="E172">
        <v>1156200</v>
      </c>
      <c r="F172">
        <f t="shared" si="6"/>
        <v>1.1428571428571428</v>
      </c>
      <c r="G172">
        <f t="shared" si="13"/>
        <v>-8.4889643463497449E-2</v>
      </c>
      <c r="H172">
        <f t="shared" si="12"/>
        <v>-0.51626226122870422</v>
      </c>
      <c r="I172">
        <v>0.24</v>
      </c>
    </row>
    <row r="173" spans="2:9">
      <c r="B173">
        <v>14001123</v>
      </c>
      <c r="C173">
        <v>26670</v>
      </c>
      <c r="D173">
        <v>12045000</v>
      </c>
      <c r="E173">
        <v>1201200</v>
      </c>
      <c r="F173">
        <f t="shared" si="6"/>
        <v>0.4519774011299435</v>
      </c>
      <c r="G173">
        <f t="shared" si="13"/>
        <v>2.3364485981308412</v>
      </c>
      <c r="H173">
        <f t="shared" si="12"/>
        <v>3.8920601971977167</v>
      </c>
      <c r="I173">
        <v>0</v>
      </c>
    </row>
    <row r="174" spans="2:9">
      <c r="B174">
        <v>14001124</v>
      </c>
      <c r="C174">
        <v>26970</v>
      </c>
      <c r="D174">
        <v>12095000</v>
      </c>
      <c r="E174">
        <v>1203300</v>
      </c>
      <c r="F174">
        <f t="shared" si="6"/>
        <v>1.124859392575928</v>
      </c>
      <c r="G174">
        <f t="shared" si="13"/>
        <v>0.41511000415110005</v>
      </c>
      <c r="H174">
        <f t="shared" si="12"/>
        <v>0.17482517482517482</v>
      </c>
      <c r="I174">
        <v>-0.62</v>
      </c>
    </row>
    <row r="175" spans="2:9">
      <c r="B175">
        <v>14001125</v>
      </c>
      <c r="C175">
        <v>27270</v>
      </c>
      <c r="D175">
        <v>12090000</v>
      </c>
      <c r="E175">
        <v>1214600</v>
      </c>
      <c r="F175">
        <f t="shared" si="6"/>
        <v>1.1123470522803114</v>
      </c>
      <c r="G175">
        <f t="shared" si="13"/>
        <v>-4.1339396444811903E-2</v>
      </c>
      <c r="H175">
        <f t="shared" si="12"/>
        <v>0.9390841851574836</v>
      </c>
      <c r="I175">
        <v>0.57999999999999996</v>
      </c>
    </row>
    <row r="176" spans="2:9">
      <c r="B176">
        <v>14001127</v>
      </c>
      <c r="C176">
        <v>27000</v>
      </c>
      <c r="D176">
        <v>12070000</v>
      </c>
      <c r="E176">
        <v>1213200</v>
      </c>
      <c r="F176">
        <f t="shared" si="6"/>
        <v>-0.99009900990099009</v>
      </c>
      <c r="G176">
        <f t="shared" si="13"/>
        <v>-0.16542597187758479</v>
      </c>
      <c r="H176">
        <f t="shared" si="12"/>
        <v>-0.11526428453811954</v>
      </c>
      <c r="I176">
        <v>-7.0000000000000007E-2</v>
      </c>
    </row>
    <row r="177" spans="2:9">
      <c r="B177">
        <v>14001130</v>
      </c>
      <c r="C177">
        <v>26120</v>
      </c>
      <c r="D177">
        <v>11820000</v>
      </c>
      <c r="E177">
        <v>1189400</v>
      </c>
      <c r="F177">
        <f t="shared" si="6"/>
        <v>-3.2592592592592591</v>
      </c>
      <c r="G177">
        <f t="shared" si="13"/>
        <v>-2.0712510356255178</v>
      </c>
      <c r="H177">
        <f t="shared" si="12"/>
        <v>-1.9617540389053743</v>
      </c>
      <c r="I177">
        <v>-0.02</v>
      </c>
    </row>
    <row r="178" spans="2:9">
      <c r="B178">
        <v>14001201</v>
      </c>
      <c r="C178">
        <v>27000</v>
      </c>
      <c r="D178">
        <v>12000000</v>
      </c>
      <c r="E178">
        <v>1190000</v>
      </c>
      <c r="F178">
        <f t="shared" si="6"/>
        <v>3.3690658499234303</v>
      </c>
      <c r="G178">
        <f t="shared" si="13"/>
        <v>1.5228426395939085</v>
      </c>
      <c r="H178">
        <f t="shared" si="12"/>
        <v>5.0445602824953757E-2</v>
      </c>
      <c r="I178">
        <v>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2022-02-19T13:56:30Z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