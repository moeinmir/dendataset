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55C4B01C-D117-498D-B838-ACF17BBCC5A4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set'!$A$1:$BL$173</definedName>
    <definedName name="_xlnm._FilterDatabase" localSheetId="1" hidden="1">weekly!$A$1:$K$45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2" l="1"/>
  <c r="E32" i="2"/>
  <c r="M166" i="1"/>
  <c r="M163" i="1"/>
  <c r="L163" i="1"/>
  <c r="M169" i="1"/>
  <c r="M164" i="1"/>
  <c r="M165" i="1"/>
  <c r="M167" i="1"/>
  <c r="M168" i="1"/>
  <c r="L169" i="1"/>
  <c r="L164" i="1"/>
  <c r="L165" i="1"/>
  <c r="L166" i="1"/>
  <c r="L167" i="1"/>
  <c r="L168" i="1"/>
  <c r="L162" i="1"/>
  <c r="D184" i="1"/>
  <c r="H102" i="5" l="1"/>
  <c r="G102" i="5"/>
  <c r="F102" i="5"/>
  <c r="G169" i="1" l="1"/>
  <c r="I173" i="1" s="1"/>
  <c r="H101" i="5" l="1"/>
  <c r="G101" i="5"/>
  <c r="F101" i="5"/>
  <c r="G174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5" i="2"/>
  <c r="G44" i="2"/>
  <c r="G43" i="2"/>
  <c r="G42" i="2"/>
  <c r="G41" i="2"/>
  <c r="G40" i="2"/>
  <c r="G39" i="2"/>
  <c r="G38" i="2"/>
  <c r="G37" i="2"/>
  <c r="D33" i="2"/>
  <c r="C33" i="2"/>
  <c r="B3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7" i="2" s="1"/>
  <c r="G16" i="2"/>
  <c r="E16" i="2"/>
  <c r="C3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87" i="1"/>
  <c r="AW173" i="1"/>
  <c r="AW176" i="1" s="1"/>
  <c r="AU173" i="1"/>
  <c r="T173" i="1"/>
  <c r="BB172" i="1"/>
  <c r="AY171" i="1"/>
  <c r="BJ169" i="1"/>
  <c r="BI169" i="1"/>
  <c r="K169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U1" i="1" l="1"/>
  <c r="S1" i="1"/>
</calcChain>
</file>

<file path=xl/sharedStrings.xml><?xml version="1.0" encoding="utf-8"?>
<sst xmlns="http://schemas.openxmlformats.org/spreadsheetml/2006/main" count="1445" uniqueCount="449">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</sst>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80160"/>
        <c:axId val="-845180704"/>
      </c:lineChart>
      <c:catAx>
        <c:axId val="-84518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0704"/>
        <c:crosses val="autoZero"/>
        <c:auto val="1"/>
        <c:lblAlgn val="ctr"/>
        <c:lblOffset val="100"/>
        <c:noMultiLvlLbl val="0"/>
      </c:catAx>
      <c:valAx>
        <c:axId val="-8451807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01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weekly!$B$27:$B$32</c15:sqref>
                  </c15:fullRef>
                </c:ext>
              </c:extLst>
              <c:f>weekly!$B$28:$B$32</c:f>
              <c:numCache>
                <c:formatCode>General</c:formatCode>
                <c:ptCount val="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weekly!$H$27:$H$32</c15:sqref>
                  </c15:fullRef>
                </c:ext>
              </c:extLst>
              <c:f>weekly!$H$28:$H$32</c:f>
              <c:numCache>
                <c:formatCode>General</c:formatCode>
                <c:ptCount val="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weekly!$J$27:$J$32</c15:sqref>
                  </c15:fullRef>
                </c:ext>
              </c:extLst>
              <c:f>weekly!$J$28:$J$32</c:f>
              <c:numCache>
                <c:formatCode>General</c:formatCode>
                <c:ptCount val="5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73088"/>
        <c:axId val="-845173632"/>
      </c:lineChart>
      <c:catAx>
        <c:axId val="-84517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3632"/>
        <c:crosses val="autoZero"/>
        <c:auto val="1"/>
        <c:lblAlgn val="ctr"/>
        <c:lblOffset val="100"/>
        <c:noMultiLvlLbl val="0"/>
      </c:catAx>
      <c:valAx>
        <c:axId val="-845173632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30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دوم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1219338150031218E-3"/>
                  <c:y val="-6.05577950101914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weekly!$D$2:$D$32</c:f>
              <c:numCache>
                <c:formatCode>General</c:formatCode>
                <c:ptCount val="31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75264"/>
        <c:axId val="-845187232"/>
      </c:lineChart>
      <c:catAx>
        <c:axId val="-84517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7232"/>
        <c:crosses val="autoZero"/>
        <c:auto val="1"/>
        <c:lblAlgn val="ctr"/>
        <c:lblOffset val="100"/>
        <c:noMultiLvlLbl val="0"/>
      </c:catAx>
      <c:valAx>
        <c:axId val="-8451872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52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74720"/>
        <c:axId val="-845182880"/>
      </c:lineChart>
      <c:catAx>
        <c:axId val="-84517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2880"/>
        <c:crosses val="autoZero"/>
        <c:auto val="1"/>
        <c:lblAlgn val="ctr"/>
        <c:lblOffset val="100"/>
        <c:noMultiLvlLbl val="0"/>
      </c:catAx>
      <c:valAx>
        <c:axId val="-8451828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472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دوم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weekly!$F$2:$F$32</c:f>
              <c:numCache>
                <c:formatCode>General</c:formatCode>
                <c:ptCount val="31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86688"/>
        <c:axId val="-845185056"/>
      </c:lineChart>
      <c:catAx>
        <c:axId val="-84518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5056"/>
        <c:crosses val="autoZero"/>
        <c:auto val="1"/>
        <c:lblAlgn val="ctr"/>
        <c:lblOffset val="100"/>
        <c:noMultiLvlLbl val="0"/>
      </c:catAx>
      <c:valAx>
        <c:axId val="-845185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66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C9DF-4D7F-A8BB-4AFB7601BAAA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C9DF-4D7F-A8BB-4AFB7601BA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weekly!$C$27:$C$32</c15:sqref>
                  </c15:fullRef>
                </c:ext>
              </c:extLst>
              <c:f>weekly!$C$28:$C$32</c:f>
              <c:numCache>
                <c:formatCode>General</c:formatCode>
                <c:ptCount val="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C9DF-4D7F-A8BB-4AFB7601BAAA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C9DF-4D7F-A8BB-4AFB7601BA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weekly!$K$27:$K$32</c15:sqref>
                  </c15:fullRef>
                </c:ext>
              </c:extLst>
              <c:f>weekly!$K$28:$K$32</c:f>
              <c:numCache>
                <c:formatCode>General</c:formatCode>
                <c:ptCount val="5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4-C9DF-4D7F-A8BB-4AFB7601BAAA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5-C9DF-4D7F-A8BB-4AFB7601BAAA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weekly!$I$27:$I$32</c15:sqref>
                  </c15:fullRef>
                </c:ext>
              </c:extLst>
              <c:f>weekly!$I$28:$I$32</c:f>
              <c:numCache>
                <c:formatCode>General</c:formatCode>
                <c:ptCount val="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45179616"/>
        <c:axId val="-845186144"/>
      </c:lineChart>
      <c:catAx>
        <c:axId val="-84517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6144"/>
        <c:crosses val="autoZero"/>
        <c:auto val="1"/>
        <c:lblAlgn val="ctr"/>
        <c:lblOffset val="100"/>
        <c:noMultiLvlLbl val="0"/>
      </c:catAx>
      <c:valAx>
        <c:axId val="-845186144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96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845185600"/>
        <c:axId val="-845179072"/>
      </c:barChart>
      <c:catAx>
        <c:axId val="-84518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9072"/>
        <c:crosses val="autoZero"/>
        <c:auto val="1"/>
        <c:lblAlgn val="ctr"/>
        <c:lblOffset val="100"/>
        <c:noMultiLvlLbl val="0"/>
      </c:catAx>
      <c:valAx>
        <c:axId val="-8451790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56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12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0"/>
          <c:order val="2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change'!$F$102:$I$102</c:f>
              <c:numCache>
                <c:formatCode>General</c:formatCode>
                <c:ptCount val="4"/>
                <c:pt idx="0">
                  <c:v>0.94408133623819901</c:v>
                </c:pt>
                <c:pt idx="1">
                  <c:v>0.50825921219822112</c:v>
                </c:pt>
                <c:pt idx="2">
                  <c:v>0.15408320493066255</c:v>
                </c:pt>
                <c:pt idx="3">
                  <c:v>1.62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84-40F6-9B40-4CA8A0459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845184512"/>
        <c:axId val="-84517798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</c:ext>
        </c:extLst>
      </c:barChart>
      <c:catAx>
        <c:axId val="-84518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77984"/>
        <c:crosses val="autoZero"/>
        <c:auto val="1"/>
        <c:lblAlgn val="ctr"/>
        <c:lblOffset val="100"/>
        <c:noMultiLvlLbl val="0"/>
      </c:catAx>
      <c:valAx>
        <c:axId val="-8451779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4518451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587</xdr:row>
      <xdr:rowOff>102960</xdr:rowOff>
    </xdr:from>
    <xdr:to>
      <xdr:col>11</xdr:col>
      <xdr:colOff>279360</xdr:colOff>
      <xdr:row>617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167</xdr:row>
      <xdr:rowOff>27711</xdr:rowOff>
    </xdr:from>
    <xdr:to>
      <xdr:col>41</xdr:col>
      <xdr:colOff>533400</xdr:colOff>
      <xdr:row>272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303</xdr:row>
      <xdr:rowOff>0</xdr:rowOff>
    </xdr:from>
    <xdr:to>
      <xdr:col>82</xdr:col>
      <xdr:colOff>0</xdr:colOff>
      <xdr:row>379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622</xdr:row>
      <xdr:rowOff>0</xdr:rowOff>
    </xdr:from>
    <xdr:to>
      <xdr:col>13</xdr:col>
      <xdr:colOff>354240</xdr:colOff>
      <xdr:row>652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402</xdr:row>
      <xdr:rowOff>0</xdr:rowOff>
    </xdr:from>
    <xdr:to>
      <xdr:col>83</xdr:col>
      <xdr:colOff>533400</xdr:colOff>
      <xdr:row>501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50</xdr:row>
      <xdr:rowOff>76321</xdr:rowOff>
    </xdr:from>
    <xdr:to>
      <xdr:col>44</xdr:col>
      <xdr:colOff>533400</xdr:colOff>
      <xdr:row>149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87"/>
  <sheetViews>
    <sheetView topLeftCell="G1" zoomScaleNormal="100" workbookViewId="0">
      <selection activeCell="M166" sqref="M166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L169/G169</f>
        <v>4176178.9597874554</v>
      </c>
      <c r="T1" s="3" t="s">
        <v>15</v>
      </c>
      <c r="U1" s="3">
        <f>M169/K169</f>
        <v>39252.248588376024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K169/K62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68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0" s="102" customFormat="1" ht="21" hidden="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0" s="102" customFormat="1" ht="21" hidden="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0" s="102" customFormat="1" ht="21" hidden="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0" s="102" customFormat="1" ht="21" hidden="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0" s="102" customFormat="1" ht="21" hidden="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0" s="102" customFormat="1" ht="21" hidden="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0" s="96" customFormat="1" ht="21" hidden="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0" s="96" customFormat="1" ht="21" hidden="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0" s="96" customFormat="1" ht="21" hidden="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0" s="96" customFormat="1" ht="21" hidden="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0" s="96" customFormat="1" ht="21" hidden="1" customHeight="1">
      <c r="A156" s="92"/>
      <c r="B156" s="93" t="s">
        <v>420</v>
      </c>
      <c r="C156" s="94">
        <v>28</v>
      </c>
      <c r="D156" s="95">
        <v>26574</v>
      </c>
      <c r="E156" s="94">
        <v>26569</v>
      </c>
      <c r="F156" s="94">
        <v>26483</v>
      </c>
      <c r="G156" s="94">
        <v>9658300</v>
      </c>
      <c r="H156" s="94">
        <v>30750</v>
      </c>
      <c r="I156" s="94">
        <v>30650</v>
      </c>
      <c r="J156" s="94">
        <v>30661</v>
      </c>
      <c r="K156" s="94">
        <v>1623100</v>
      </c>
      <c r="L156" s="94">
        <f t="shared" si="21"/>
        <v>255780758900</v>
      </c>
      <c r="M156" s="94">
        <f t="shared" si="22"/>
        <v>49765869100</v>
      </c>
      <c r="N156" s="96">
        <v>26834</v>
      </c>
      <c r="O156" s="96">
        <v>30956</v>
      </c>
      <c r="P156" s="96">
        <v>26840</v>
      </c>
      <c r="Q156" s="96">
        <v>31057</v>
      </c>
      <c r="R156" s="94"/>
      <c r="S156" s="94"/>
      <c r="T156" s="94"/>
      <c r="U156" s="94"/>
      <c r="V156" s="96">
        <v>27420</v>
      </c>
      <c r="X156" s="96">
        <v>27320</v>
      </c>
      <c r="Y156" s="96">
        <v>31773</v>
      </c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5"/>
      <c r="AT156" s="95"/>
      <c r="AU156" s="95"/>
      <c r="AV156" s="95"/>
      <c r="AW156" s="95"/>
      <c r="AX156" s="95"/>
      <c r="AY156" s="94"/>
      <c r="AZ156" s="94"/>
      <c r="BA156" s="94"/>
      <c r="BB156" s="94"/>
      <c r="BC156" s="94"/>
      <c r="BE156" s="97"/>
      <c r="BF156" s="97"/>
      <c r="BG156" s="97"/>
      <c r="BH156" s="97"/>
    </row>
    <row r="157" spans="1:60" s="96" customFormat="1" ht="21" hidden="1" customHeight="1">
      <c r="A157" s="92"/>
      <c r="B157" s="93" t="s">
        <v>422</v>
      </c>
      <c r="C157" s="94">
        <v>29</v>
      </c>
      <c r="D157" s="95">
        <v>26385</v>
      </c>
      <c r="E157" s="94">
        <v>26482</v>
      </c>
      <c r="F157" s="94">
        <v>26479</v>
      </c>
      <c r="G157" s="94">
        <v>6968200</v>
      </c>
      <c r="H157" s="94">
        <v>30650</v>
      </c>
      <c r="I157" s="94">
        <v>30690</v>
      </c>
      <c r="J157" s="96">
        <v>30661</v>
      </c>
      <c r="K157" s="94">
        <v>858000</v>
      </c>
      <c r="L157" s="94">
        <f t="shared" si="21"/>
        <v>184510967800</v>
      </c>
      <c r="M157" s="94">
        <f t="shared" si="22"/>
        <v>26307138000</v>
      </c>
      <c r="N157" s="96">
        <v>26747</v>
      </c>
      <c r="O157" s="96">
        <v>30967</v>
      </c>
      <c r="P157" s="96">
        <v>26649</v>
      </c>
      <c r="Q157" s="96">
        <v>30956</v>
      </c>
      <c r="R157" s="94"/>
      <c r="S157" s="94"/>
      <c r="T157" s="94"/>
      <c r="U157" s="94"/>
      <c r="V157" s="96">
        <v>27320</v>
      </c>
      <c r="X157" s="96">
        <v>27380</v>
      </c>
      <c r="Y157" s="96">
        <v>31883</v>
      </c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  <c r="AK157" s="94"/>
      <c r="AL157" s="94"/>
      <c r="AM157" s="94"/>
      <c r="AN157" s="94"/>
      <c r="AO157" s="94"/>
      <c r="AP157" s="94"/>
      <c r="AQ157" s="94"/>
      <c r="AR157" s="94"/>
      <c r="AS157" s="95"/>
      <c r="AT157" s="95"/>
      <c r="AU157" s="95"/>
      <c r="AV157" s="95"/>
      <c r="AW157" s="95"/>
      <c r="AX157" s="95"/>
      <c r="AY157" s="94"/>
      <c r="AZ157" s="94"/>
      <c r="BA157" s="94"/>
      <c r="BB157" s="94"/>
      <c r="BC157" s="94"/>
      <c r="BE157" s="97"/>
      <c r="BF157" s="97"/>
      <c r="BG157" s="97"/>
      <c r="BH157" s="97"/>
    </row>
    <row r="158" spans="1:60" s="102" customFormat="1" ht="21" customHeight="1">
      <c r="A158" s="98"/>
      <c r="B158" s="99" t="s">
        <v>425</v>
      </c>
      <c r="C158" s="100">
        <v>1</v>
      </c>
      <c r="D158" s="101">
        <v>26511</v>
      </c>
      <c r="E158" s="100">
        <v>26780</v>
      </c>
      <c r="F158" s="100">
        <v>26576</v>
      </c>
      <c r="G158" s="100">
        <v>9387100</v>
      </c>
      <c r="H158" s="100">
        <v>31186</v>
      </c>
      <c r="I158" s="100">
        <v>30665</v>
      </c>
      <c r="J158" s="102">
        <v>30786</v>
      </c>
      <c r="K158" s="100">
        <v>934300</v>
      </c>
      <c r="L158" s="100">
        <f t="shared" si="21"/>
        <v>249471569600</v>
      </c>
      <c r="M158" s="100">
        <f t="shared" si="22"/>
        <v>28763359800</v>
      </c>
      <c r="N158" s="102">
        <v>27047</v>
      </c>
      <c r="O158" s="102">
        <v>30972</v>
      </c>
      <c r="P158" s="102">
        <v>26776</v>
      </c>
      <c r="Q158" s="102">
        <v>31498</v>
      </c>
      <c r="R158" s="100"/>
      <c r="S158" s="100"/>
      <c r="T158" s="100"/>
      <c r="U158" s="100"/>
      <c r="V158" s="102">
        <v>27470</v>
      </c>
      <c r="X158" s="102">
        <v>27580</v>
      </c>
      <c r="Y158" s="102">
        <v>31990</v>
      </c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1"/>
      <c r="AT158" s="101"/>
      <c r="AU158" s="101"/>
      <c r="AV158" s="101"/>
      <c r="AW158" s="101"/>
      <c r="AX158" s="101"/>
      <c r="AY158" s="100"/>
      <c r="AZ158" s="100"/>
      <c r="BA158" s="100"/>
      <c r="BB158" s="100"/>
      <c r="BC158" s="100"/>
      <c r="BE158" s="103"/>
      <c r="BF158" s="103"/>
      <c r="BG158" s="103"/>
      <c r="BH158" s="103"/>
    </row>
    <row r="159" spans="1:60" s="102" customFormat="1" ht="21" customHeight="1">
      <c r="A159" s="98"/>
      <c r="B159" s="99" t="s">
        <v>427</v>
      </c>
      <c r="C159" s="100">
        <v>3</v>
      </c>
      <c r="D159" s="101">
        <v>26803</v>
      </c>
      <c r="E159" s="100">
        <v>27009</v>
      </c>
      <c r="F159" s="100">
        <v>26923</v>
      </c>
      <c r="G159" s="100">
        <v>7622400</v>
      </c>
      <c r="H159" s="100">
        <v>30665</v>
      </c>
      <c r="I159" s="100">
        <v>31011</v>
      </c>
      <c r="J159" s="102">
        <v>31026</v>
      </c>
      <c r="K159" s="100">
        <v>1492500</v>
      </c>
      <c r="L159" s="100">
        <f t="shared" si="21"/>
        <v>205217875200</v>
      </c>
      <c r="M159" s="100">
        <f t="shared" si="22"/>
        <v>46306305000</v>
      </c>
      <c r="N159" s="102">
        <v>27279</v>
      </c>
      <c r="O159" s="102">
        <v>31321</v>
      </c>
      <c r="P159" s="102">
        <v>27071</v>
      </c>
      <c r="Q159" s="102">
        <v>30972</v>
      </c>
      <c r="R159" s="100"/>
      <c r="S159" s="100"/>
      <c r="T159" s="100"/>
      <c r="U159" s="100"/>
      <c r="V159" s="102">
        <v>27670</v>
      </c>
      <c r="X159" s="102">
        <v>27620</v>
      </c>
      <c r="Y159" s="102">
        <v>32250</v>
      </c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1"/>
      <c r="AT159" s="101"/>
      <c r="AU159" s="101"/>
      <c r="AV159" s="101"/>
      <c r="AW159" s="101"/>
      <c r="AX159" s="101"/>
      <c r="AY159" s="100"/>
      <c r="AZ159" s="100"/>
      <c r="BA159" s="100"/>
      <c r="BB159" s="100"/>
      <c r="BC159" s="100"/>
      <c r="BE159" s="103"/>
      <c r="BF159" s="103"/>
      <c r="BG159" s="103"/>
      <c r="BH159" s="103"/>
    </row>
    <row r="160" spans="1:60" s="102" customFormat="1" ht="21" customHeight="1">
      <c r="A160" s="98"/>
      <c r="B160" s="99" t="s">
        <v>429</v>
      </c>
      <c r="C160" s="100">
        <v>4</v>
      </c>
      <c r="D160" s="101">
        <v>26809</v>
      </c>
      <c r="E160" s="100">
        <v>26690</v>
      </c>
      <c r="F160" s="100">
        <v>26679</v>
      </c>
      <c r="G160" s="100">
        <v>9805000</v>
      </c>
      <c r="H160" s="100">
        <v>31150</v>
      </c>
      <c r="I160" s="100">
        <v>31298</v>
      </c>
      <c r="J160" s="102">
        <v>31231</v>
      </c>
      <c r="K160" s="100">
        <v>752700</v>
      </c>
      <c r="L160" s="100">
        <f t="shared" si="21"/>
        <v>261587595000</v>
      </c>
      <c r="M160" s="100">
        <f t="shared" si="22"/>
        <v>23507573700</v>
      </c>
      <c r="N160" s="102">
        <v>26957</v>
      </c>
      <c r="O160" s="102">
        <v>31611</v>
      </c>
      <c r="P160" s="102">
        <v>27077</v>
      </c>
      <c r="Q160" s="102">
        <v>31462</v>
      </c>
      <c r="R160" s="100"/>
      <c r="S160" s="100"/>
      <c r="T160" s="100"/>
      <c r="U160" s="100"/>
      <c r="V160" s="102">
        <v>27540</v>
      </c>
      <c r="X160" s="102">
        <v>27440</v>
      </c>
      <c r="Y160" s="102">
        <v>31902</v>
      </c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1"/>
      <c r="AT160" s="101"/>
      <c r="AU160" s="101"/>
      <c r="AV160" s="101"/>
      <c r="AW160" s="101"/>
      <c r="AX160" s="101"/>
      <c r="AY160" s="100"/>
      <c r="AZ160" s="100"/>
      <c r="BA160" s="100"/>
      <c r="BB160" s="100"/>
      <c r="BC160" s="100"/>
      <c r="BE160" s="103"/>
      <c r="BF160" s="103"/>
      <c r="BG160" s="103"/>
      <c r="BH160" s="103"/>
    </row>
    <row r="161" spans="1:62" s="102" customFormat="1" ht="21" customHeight="1">
      <c r="A161" s="98"/>
      <c r="B161" s="99" t="s">
        <v>431</v>
      </c>
      <c r="C161" s="100">
        <v>5</v>
      </c>
      <c r="D161" s="101">
        <v>26714</v>
      </c>
      <c r="E161" s="100">
        <v>26659</v>
      </c>
      <c r="F161" s="100">
        <v>26626</v>
      </c>
      <c r="G161" s="100">
        <v>12098700</v>
      </c>
      <c r="H161" s="100">
        <v>31300</v>
      </c>
      <c r="I161" s="100">
        <v>31150</v>
      </c>
      <c r="J161" s="102">
        <v>31224</v>
      </c>
      <c r="K161" s="100">
        <v>754800</v>
      </c>
      <c r="L161" s="100">
        <f t="shared" si="21"/>
        <v>322139986200</v>
      </c>
      <c r="M161" s="100">
        <f t="shared" si="22"/>
        <v>23567875200</v>
      </c>
      <c r="N161" s="102">
        <v>26925</v>
      </c>
      <c r="O161" s="102">
        <v>31461</v>
      </c>
      <c r="P161" s="102">
        <v>26981</v>
      </c>
      <c r="Q161" s="102">
        <v>31613</v>
      </c>
      <c r="R161" s="100"/>
      <c r="S161" s="100"/>
      <c r="T161" s="100"/>
      <c r="U161" s="100"/>
      <c r="V161" s="102">
        <v>27560</v>
      </c>
      <c r="X161" s="102">
        <v>27680</v>
      </c>
      <c r="Y161" s="102">
        <v>31958</v>
      </c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  <c r="AQ161" s="100"/>
      <c r="AR161" s="100"/>
      <c r="AS161" s="101"/>
      <c r="AT161" s="101"/>
      <c r="AU161" s="101"/>
      <c r="AV161" s="101"/>
      <c r="AW161" s="101"/>
      <c r="AX161" s="101"/>
      <c r="AY161" s="100"/>
      <c r="AZ161" s="100"/>
      <c r="BA161" s="100"/>
      <c r="BB161" s="100"/>
      <c r="BC161" s="100"/>
      <c r="BE161" s="103"/>
      <c r="BF161" s="103"/>
      <c r="BG161" s="103"/>
      <c r="BH161" s="103"/>
    </row>
    <row r="162" spans="1:62" s="102" customFormat="1" ht="21" customHeight="1">
      <c r="A162" s="98"/>
      <c r="B162" s="99" t="s">
        <v>433</v>
      </c>
      <c r="C162" s="100">
        <v>6</v>
      </c>
      <c r="D162" s="101">
        <v>26707</v>
      </c>
      <c r="E162" s="100">
        <v>26701</v>
      </c>
      <c r="F162" s="100">
        <v>26689</v>
      </c>
      <c r="G162" s="100">
        <v>8231300</v>
      </c>
      <c r="H162" s="100">
        <v>31200</v>
      </c>
      <c r="I162" s="100">
        <v>30913</v>
      </c>
      <c r="J162" s="102">
        <v>30962</v>
      </c>
      <c r="K162" s="100">
        <v>837100</v>
      </c>
      <c r="L162" s="100">
        <f>F162*G162</f>
        <v>219685165700</v>
      </c>
      <c r="M162" s="100">
        <f t="shared" si="22"/>
        <v>25918290200</v>
      </c>
      <c r="N162" s="102">
        <v>26968</v>
      </c>
      <c r="O162" s="102">
        <v>31222</v>
      </c>
      <c r="P162" s="102">
        <v>26974</v>
      </c>
      <c r="Q162" s="102">
        <v>31512</v>
      </c>
      <c r="R162" s="100"/>
      <c r="S162" s="100"/>
      <c r="T162" s="100"/>
      <c r="U162" s="100"/>
      <c r="V162" s="102">
        <v>27680</v>
      </c>
      <c r="X162" s="102">
        <v>27630</v>
      </c>
      <c r="Y162" s="102">
        <v>32114</v>
      </c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  <c r="AN162" s="100"/>
      <c r="AO162" s="100"/>
      <c r="AP162" s="100"/>
      <c r="AQ162" s="100"/>
      <c r="AR162" s="100"/>
      <c r="AS162" s="101"/>
      <c r="AT162" s="101"/>
      <c r="AU162" s="101"/>
      <c r="AV162" s="101"/>
      <c r="AW162" s="101"/>
      <c r="AX162" s="101"/>
      <c r="AY162" s="100"/>
      <c r="AZ162" s="100"/>
      <c r="BA162" s="100"/>
      <c r="BB162" s="100"/>
      <c r="BC162" s="100"/>
      <c r="BE162" s="103"/>
      <c r="BF162" s="103"/>
      <c r="BG162" s="103"/>
      <c r="BH162" s="103"/>
    </row>
    <row r="163" spans="1:62" s="108" customFormat="1" ht="21" customHeight="1">
      <c r="A163" s="104"/>
      <c r="B163" s="105" t="s">
        <v>436</v>
      </c>
      <c r="C163" s="106">
        <v>8</v>
      </c>
      <c r="D163" s="107">
        <v>26674</v>
      </c>
      <c r="E163" s="106"/>
      <c r="F163" s="106">
        <v>26446</v>
      </c>
      <c r="G163" s="118">
        <v>8525400</v>
      </c>
      <c r="H163" s="106">
        <v>30913</v>
      </c>
      <c r="I163" s="106"/>
      <c r="J163" s="108">
        <v>30455</v>
      </c>
      <c r="K163" s="106">
        <v>1495700</v>
      </c>
      <c r="L163" s="100">
        <f>F163*G163</f>
        <v>225462728400</v>
      </c>
      <c r="M163" s="100">
        <f>J163*K163</f>
        <v>45551543500</v>
      </c>
      <c r="N163" s="106">
        <v>26931</v>
      </c>
      <c r="O163" s="106">
        <v>31002</v>
      </c>
      <c r="P163" s="108">
        <v>26941</v>
      </c>
      <c r="Q163" s="108">
        <v>31222</v>
      </c>
      <c r="R163" s="106"/>
      <c r="S163" s="106"/>
      <c r="T163" s="106"/>
      <c r="U163" s="106"/>
      <c r="V163" s="108">
        <v>27570</v>
      </c>
      <c r="X163" s="108">
        <v>27480</v>
      </c>
      <c r="Y163" s="108">
        <v>31758</v>
      </c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7"/>
      <c r="AT163" s="107"/>
      <c r="AU163" s="107"/>
      <c r="AV163" s="107"/>
      <c r="AW163" s="107"/>
      <c r="AX163" s="107"/>
      <c r="AY163" s="106"/>
      <c r="AZ163" s="106"/>
      <c r="BA163" s="106"/>
      <c r="BB163" s="106"/>
      <c r="BC163" s="106"/>
      <c r="BE163" s="109"/>
      <c r="BF163" s="109"/>
      <c r="BG163" s="109"/>
      <c r="BH163" s="109"/>
    </row>
    <row r="164" spans="1:62" s="120" customFormat="1" ht="21" customHeight="1">
      <c r="A164" s="116"/>
      <c r="B164" s="117" t="s">
        <v>438</v>
      </c>
      <c r="C164" s="118">
        <v>9</v>
      </c>
      <c r="D164" s="119">
        <v>26546</v>
      </c>
      <c r="E164" s="118">
        <v>26393</v>
      </c>
      <c r="F164" s="118">
        <v>26446</v>
      </c>
      <c r="G164" s="118">
        <v>8525400</v>
      </c>
      <c r="H164" s="118">
        <v>30695</v>
      </c>
      <c r="I164" s="118">
        <v>30400</v>
      </c>
      <c r="J164" s="120">
        <v>30455</v>
      </c>
      <c r="K164" s="118">
        <v>1495700</v>
      </c>
      <c r="L164" s="100">
        <f t="shared" ref="L164:L168" si="23">F164*G164</f>
        <v>225462728400</v>
      </c>
      <c r="M164" s="100">
        <f t="shared" si="22"/>
        <v>45551543500</v>
      </c>
      <c r="N164" s="120">
        <v>26657</v>
      </c>
      <c r="O164" s="120">
        <v>30704</v>
      </c>
      <c r="P164" s="120">
        <v>26812</v>
      </c>
      <c r="Q164" s="120">
        <v>31002</v>
      </c>
      <c r="R164" s="118"/>
      <c r="S164" s="118"/>
      <c r="T164" s="118"/>
      <c r="U164" s="118"/>
      <c r="V164" s="120">
        <v>27480</v>
      </c>
      <c r="X164" s="120">
        <v>27540</v>
      </c>
      <c r="Y164" s="120">
        <v>31700</v>
      </c>
      <c r="Z164" s="118"/>
      <c r="AA164" s="118"/>
      <c r="AB164" s="118"/>
      <c r="AC164" s="118"/>
      <c r="AD164" s="118"/>
      <c r="AE164" s="118"/>
      <c r="AF164" s="118"/>
      <c r="AG164" s="118"/>
      <c r="AH164" s="118"/>
      <c r="AI164" s="118"/>
      <c r="AJ164" s="118"/>
      <c r="AK164" s="118"/>
      <c r="AL164" s="118"/>
      <c r="AM164" s="118"/>
      <c r="AN164" s="118"/>
      <c r="AO164" s="118"/>
      <c r="AP164" s="118"/>
      <c r="AQ164" s="118"/>
      <c r="AR164" s="118"/>
      <c r="AS164" s="119"/>
      <c r="AT164" s="119"/>
      <c r="AU164" s="119"/>
      <c r="AV164" s="119"/>
      <c r="AW164" s="119"/>
      <c r="AX164" s="119"/>
      <c r="AY164" s="118"/>
      <c r="AZ164" s="118"/>
      <c r="BA164" s="118"/>
      <c r="BB164" s="118"/>
      <c r="BC164" s="118"/>
      <c r="BE164" s="121"/>
      <c r="BF164" s="121"/>
      <c r="BG164" s="121"/>
      <c r="BH164" s="121"/>
    </row>
    <row r="165" spans="1:62" s="126" customFormat="1" ht="21" customHeight="1">
      <c r="A165" s="122"/>
      <c r="B165" s="123" t="s">
        <v>440</v>
      </c>
      <c r="C165" s="124">
        <v>10</v>
      </c>
      <c r="D165" s="125">
        <v>26413</v>
      </c>
      <c r="E165" s="124">
        <v>26457</v>
      </c>
      <c r="F165" s="124">
        <v>26505</v>
      </c>
      <c r="G165" s="124">
        <v>11227200</v>
      </c>
      <c r="H165" s="124">
        <v>30400</v>
      </c>
      <c r="I165" s="124">
        <v>30801</v>
      </c>
      <c r="J165" s="126">
        <v>30635</v>
      </c>
      <c r="K165" s="124">
        <v>1476900</v>
      </c>
      <c r="L165" s="100">
        <f t="shared" si="23"/>
        <v>297576936000</v>
      </c>
      <c r="M165" s="100">
        <f t="shared" si="22"/>
        <v>45244831500</v>
      </c>
      <c r="N165" s="126">
        <v>26722</v>
      </c>
      <c r="O165" s="126">
        <v>31109</v>
      </c>
      <c r="P165" s="126">
        <v>26677</v>
      </c>
      <c r="Q165" s="126">
        <v>30704</v>
      </c>
      <c r="R165" s="124"/>
      <c r="S165" s="124"/>
      <c r="T165" s="124"/>
      <c r="U165" s="124"/>
      <c r="V165" s="126">
        <v>27570</v>
      </c>
      <c r="X165" s="126">
        <v>27580</v>
      </c>
      <c r="Y165" s="126">
        <v>31935</v>
      </c>
      <c r="Z165" s="124"/>
      <c r="AA165" s="124"/>
      <c r="AB165" s="124"/>
      <c r="AC165" s="124"/>
      <c r="AD165" s="124"/>
      <c r="AE165" s="124"/>
      <c r="AF165" s="124"/>
      <c r="AG165" s="124"/>
      <c r="AH165" s="124"/>
      <c r="AI165" s="124"/>
      <c r="AJ165" s="124"/>
      <c r="AK165" s="124"/>
      <c r="AL165" s="124"/>
      <c r="AM165" s="124"/>
      <c r="AN165" s="124"/>
      <c r="AO165" s="124"/>
      <c r="AP165" s="124"/>
      <c r="AQ165" s="124"/>
      <c r="AR165" s="124"/>
      <c r="AS165" s="125"/>
      <c r="AT165" s="125"/>
      <c r="AU165" s="125"/>
      <c r="AV165" s="125"/>
      <c r="AW165" s="125"/>
      <c r="AX165" s="125"/>
      <c r="AY165" s="124"/>
      <c r="AZ165" s="124"/>
      <c r="BA165" s="124"/>
      <c r="BB165" s="124"/>
      <c r="BC165" s="124"/>
      <c r="BE165" s="127"/>
      <c r="BF165" s="127"/>
      <c r="BG165" s="127"/>
      <c r="BH165" s="127"/>
    </row>
    <row r="166" spans="1:62" s="120" customFormat="1" ht="21" customHeight="1">
      <c r="A166" s="116"/>
      <c r="B166" s="117" t="s">
        <v>442</v>
      </c>
      <c r="C166" s="118">
        <v>11</v>
      </c>
      <c r="D166" s="119">
        <v>26563</v>
      </c>
      <c r="E166" s="118">
        <v>26559</v>
      </c>
      <c r="F166" s="118">
        <v>26555</v>
      </c>
      <c r="G166" s="118">
        <v>10481400</v>
      </c>
      <c r="H166" s="118">
        <v>30600</v>
      </c>
      <c r="I166" s="118">
        <v>30573</v>
      </c>
      <c r="J166" s="120">
        <v>30658</v>
      </c>
      <c r="K166" s="118">
        <v>1737100</v>
      </c>
      <c r="L166" s="100">
        <f t="shared" si="23"/>
        <v>278333577000</v>
      </c>
      <c r="M166" s="100">
        <f>J166*K166</f>
        <v>53256011800</v>
      </c>
      <c r="N166" s="120">
        <v>26825</v>
      </c>
      <c r="O166" s="120">
        <v>30878</v>
      </c>
      <c r="P166" s="120">
        <v>26828</v>
      </c>
      <c r="Q166" s="120">
        <v>30906</v>
      </c>
      <c r="R166" s="118"/>
      <c r="S166" s="118"/>
      <c r="T166" s="118"/>
      <c r="U166" s="118"/>
      <c r="V166" s="120">
        <v>27550</v>
      </c>
      <c r="X166" s="120">
        <v>27540</v>
      </c>
      <c r="Y166" s="120">
        <v>31878</v>
      </c>
      <c r="Z166" s="118"/>
      <c r="AA166" s="118"/>
      <c r="AB166" s="118"/>
      <c r="AC166" s="118"/>
      <c r="AD166" s="118"/>
      <c r="AE166" s="118"/>
      <c r="AF166" s="118"/>
      <c r="AG166" s="118"/>
      <c r="AH166" s="118"/>
      <c r="AI166" s="118"/>
      <c r="AJ166" s="118"/>
      <c r="AK166" s="118"/>
      <c r="AL166" s="118"/>
      <c r="AM166" s="118"/>
      <c r="AN166" s="118"/>
      <c r="AO166" s="118"/>
      <c r="AP166" s="118"/>
      <c r="AQ166" s="118"/>
      <c r="AR166" s="118"/>
      <c r="AS166" s="119"/>
      <c r="AT166" s="119"/>
      <c r="AU166" s="119"/>
      <c r="AV166" s="119"/>
      <c r="AW166" s="119"/>
      <c r="AX166" s="119"/>
      <c r="AY166" s="118"/>
      <c r="AZ166" s="118"/>
      <c r="BA166" s="118"/>
      <c r="BB166" s="118"/>
      <c r="BC166" s="118"/>
      <c r="BE166" s="121"/>
      <c r="BF166" s="121"/>
      <c r="BG166" s="121"/>
      <c r="BH166" s="121"/>
    </row>
    <row r="167" spans="1:62" s="120" customFormat="1" ht="21" customHeight="1">
      <c r="A167" s="116"/>
      <c r="B167" s="117" t="s">
        <v>444</v>
      </c>
      <c r="C167" s="118">
        <v>12</v>
      </c>
      <c r="D167" s="119">
        <v>26614</v>
      </c>
      <c r="E167" s="118">
        <v>26744</v>
      </c>
      <c r="F167" s="118">
        <v>26743</v>
      </c>
      <c r="G167" s="118">
        <v>10300800</v>
      </c>
      <c r="H167" s="118">
        <v>30573</v>
      </c>
      <c r="I167" s="118">
        <v>30800</v>
      </c>
      <c r="J167" s="120">
        <v>30787</v>
      </c>
      <c r="K167" s="118">
        <v>1773700</v>
      </c>
      <c r="L167" s="100">
        <f t="shared" si="23"/>
        <v>275474294400</v>
      </c>
      <c r="M167" s="100">
        <f t="shared" si="22"/>
        <v>54606901900</v>
      </c>
      <c r="N167" s="120">
        <v>27012</v>
      </c>
      <c r="O167" s="120">
        <v>31108</v>
      </c>
      <c r="P167" s="120">
        <v>26880</v>
      </c>
      <c r="Q167" s="120">
        <v>30878</v>
      </c>
      <c r="R167" s="118"/>
      <c r="S167" s="118"/>
      <c r="T167" s="118"/>
      <c r="U167" s="118"/>
      <c r="V167" s="120">
        <v>27620</v>
      </c>
      <c r="X167" s="120">
        <v>27800</v>
      </c>
      <c r="Y167" s="120">
        <v>31998</v>
      </c>
      <c r="Z167" s="118"/>
      <c r="AA167" s="118"/>
      <c r="AB167" s="118"/>
      <c r="AC167" s="118"/>
      <c r="AD167" s="118"/>
      <c r="AE167" s="118"/>
      <c r="AF167" s="118"/>
      <c r="AG167" s="118"/>
      <c r="AH167" s="118"/>
      <c r="AI167" s="118"/>
      <c r="AJ167" s="118"/>
      <c r="AK167" s="118"/>
      <c r="AL167" s="118"/>
      <c r="AM167" s="118"/>
      <c r="AN167" s="118"/>
      <c r="AO167" s="118"/>
      <c r="AP167" s="118"/>
      <c r="AQ167" s="118"/>
      <c r="AR167" s="118"/>
      <c r="AS167" s="119"/>
      <c r="AT167" s="119"/>
      <c r="AU167" s="119"/>
      <c r="AV167" s="119"/>
      <c r="AW167" s="119"/>
      <c r="AX167" s="119"/>
      <c r="AY167" s="118"/>
      <c r="AZ167" s="118"/>
      <c r="BA167" s="118"/>
      <c r="BB167" s="118"/>
      <c r="BC167" s="118"/>
      <c r="BE167" s="121"/>
      <c r="BF167" s="121"/>
      <c r="BG167" s="121"/>
      <c r="BH167" s="121"/>
    </row>
    <row r="168" spans="1:62" s="114" customFormat="1" ht="21" customHeight="1">
      <c r="A168" s="110"/>
      <c r="B168" s="111" t="s">
        <v>446</v>
      </c>
      <c r="C168" s="112">
        <v>13</v>
      </c>
      <c r="D168" s="113">
        <v>26823</v>
      </c>
      <c r="E168" s="112">
        <v>26805</v>
      </c>
      <c r="F168" s="112">
        <v>26777</v>
      </c>
      <c r="G168" s="112">
        <v>6743300</v>
      </c>
      <c r="H168" s="112">
        <v>30753</v>
      </c>
      <c r="I168" s="112">
        <v>30774</v>
      </c>
      <c r="J168" s="114">
        <v>30771</v>
      </c>
      <c r="K168" s="112">
        <v>1438700</v>
      </c>
      <c r="L168" s="100">
        <f t="shared" si="23"/>
        <v>180565344100</v>
      </c>
      <c r="M168" s="100">
        <f t="shared" si="22"/>
        <v>44270237700</v>
      </c>
      <c r="N168" s="114">
        <v>27073</v>
      </c>
      <c r="O168" s="114">
        <v>31082</v>
      </c>
      <c r="P168" s="114">
        <v>27068</v>
      </c>
      <c r="Q168" s="114">
        <v>31087</v>
      </c>
      <c r="R168" s="112"/>
      <c r="S168" s="112"/>
      <c r="T168" s="112"/>
      <c r="U168" s="112"/>
      <c r="V168" s="114">
        <v>27750</v>
      </c>
      <c r="X168" s="114">
        <v>27750</v>
      </c>
      <c r="Y168" s="114">
        <v>32035</v>
      </c>
      <c r="Z168" s="112"/>
      <c r="AA168" s="112"/>
      <c r="AB168" s="112"/>
      <c r="AC168" s="112"/>
      <c r="AD168" s="112"/>
      <c r="AE168" s="112"/>
      <c r="AF168" s="112"/>
      <c r="AG168" s="112"/>
      <c r="AH168" s="112"/>
      <c r="AI168" s="112"/>
      <c r="AJ168" s="112"/>
      <c r="AK168" s="112"/>
      <c r="AL168" s="112"/>
      <c r="AM168" s="112"/>
      <c r="AN168" s="112"/>
      <c r="AO168" s="112"/>
      <c r="AP168" s="112"/>
      <c r="AQ168" s="112"/>
      <c r="AR168" s="112"/>
      <c r="AS168" s="113"/>
      <c r="AT168" s="113"/>
      <c r="AU168" s="113"/>
      <c r="AV168" s="113"/>
      <c r="AW168" s="113"/>
      <c r="AX168" s="113"/>
      <c r="AY168" s="112"/>
      <c r="AZ168" s="112"/>
      <c r="BA168" s="112"/>
      <c r="BB168" s="112"/>
      <c r="BC168" s="112"/>
      <c r="BE168" s="115"/>
      <c r="BF168" s="115"/>
      <c r="BG168" s="115"/>
      <c r="BH168" s="115"/>
    </row>
    <row r="169" spans="1:62" ht="18">
      <c r="A169" s="7"/>
      <c r="B169" s="8"/>
      <c r="C169" s="8"/>
      <c r="D169" s="26"/>
      <c r="E169" s="8"/>
      <c r="F169" s="8"/>
      <c r="G169" s="8">
        <f>SUM(G2:G166)/165</f>
        <v>6472793.3272727272</v>
      </c>
      <c r="H169" s="8"/>
      <c r="I169" s="8"/>
      <c r="J169" s="8"/>
      <c r="K169" s="8">
        <f>SUM(K2:K126)</f>
        <v>125564600</v>
      </c>
      <c r="L169" s="8">
        <f>SUM(L2:L168)</f>
        <v>27031543304409</v>
      </c>
      <c r="M169" s="9">
        <f>SUM(M2:M168)</f>
        <v>4928692893100</v>
      </c>
      <c r="N169" s="9"/>
      <c r="O169" s="9"/>
      <c r="P169" s="9"/>
      <c r="Q169" s="9"/>
      <c r="R169" s="9"/>
      <c r="S169" s="9"/>
      <c r="T169" s="9"/>
      <c r="U169" s="9"/>
      <c r="V169" s="59"/>
      <c r="W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Y169" s="9"/>
      <c r="AZ169" s="9"/>
      <c r="BA169" s="9"/>
      <c r="BB169" s="9"/>
      <c r="BC169" s="9"/>
      <c r="BD169" s="9"/>
      <c r="BE169" s="10"/>
      <c r="BF169" s="10"/>
      <c r="BG169" s="10"/>
      <c r="BH169" s="10"/>
      <c r="BI169" t="e">
        <f>#REF!-N169</f>
        <v>#REF!</v>
      </c>
      <c r="BJ169" t="e">
        <f>(Y169-O169)/O169</f>
        <v>#DIV/0!</v>
      </c>
    </row>
    <row r="170" spans="1:62" ht="18">
      <c r="D170" s="26"/>
      <c r="V170" s="74"/>
      <c r="Z170" s="25"/>
      <c r="AB170" s="25"/>
      <c r="AS170" s="25"/>
      <c r="AW170" s="30"/>
    </row>
    <row r="171" spans="1:62" ht="18">
      <c r="D171" s="26"/>
      <c r="Z171" s="25"/>
      <c r="AS171" s="26"/>
      <c r="AW171" s="30"/>
      <c r="AY171">
        <f>AY51-AY50</f>
        <v>35000</v>
      </c>
    </row>
    <row r="172" spans="1:62" ht="18">
      <c r="Z172" s="25"/>
      <c r="AS172" s="26">
        <v>10290000</v>
      </c>
      <c r="AW172" s="30"/>
      <c r="BB172">
        <f>AY60-AY59</f>
        <v>70000</v>
      </c>
    </row>
    <row r="173" spans="1:62" ht="18">
      <c r="I173">
        <f>(G166-G169)/G169</f>
        <v>0.61930089067377581</v>
      </c>
      <c r="T173">
        <f>V137-X140</f>
        <v>-620</v>
      </c>
      <c r="V173" s="25"/>
      <c r="Z173" s="25"/>
      <c r="AS173" s="26"/>
      <c r="AU173">
        <f>AS172-AS49</f>
        <v>195000</v>
      </c>
      <c r="AW173" s="30">
        <f>AC52-AY51</f>
        <v>305000</v>
      </c>
    </row>
    <row r="174" spans="1:62" ht="18">
      <c r="D174" s="100">
        <v>9387100</v>
      </c>
      <c r="G174">
        <f>(G165-G169)/G169</f>
        <v>0.73452162495206896</v>
      </c>
      <c r="V174" s="25"/>
      <c r="Z174" s="25"/>
      <c r="AW174" s="30"/>
    </row>
    <row r="175" spans="1:62" ht="17.25" customHeight="1">
      <c r="D175" s="100">
        <v>7622400</v>
      </c>
      <c r="V175" s="25"/>
      <c r="Z175" s="25"/>
    </row>
    <row r="176" spans="1:62" ht="18">
      <c r="D176" s="100">
        <v>9805000</v>
      </c>
      <c r="V176" s="25"/>
      <c r="Z176" s="25"/>
      <c r="AW176">
        <f>AW173/AY51</f>
        <v>2.9539951573849879E-2</v>
      </c>
    </row>
    <row r="177" spans="4:22" ht="18">
      <c r="D177" s="100">
        <v>12098700</v>
      </c>
      <c r="V177" s="25"/>
    </row>
    <row r="178" spans="4:22" ht="18">
      <c r="D178" s="100">
        <v>8231300</v>
      </c>
      <c r="V178" s="25"/>
    </row>
    <row r="179" spans="4:22" ht="18">
      <c r="D179" s="118">
        <v>8525400</v>
      </c>
    </row>
    <row r="180" spans="4:22" ht="18">
      <c r="D180" s="118">
        <v>8525400</v>
      </c>
    </row>
    <row r="181" spans="4:22" ht="18">
      <c r="D181" s="124">
        <v>11227200</v>
      </c>
    </row>
    <row r="182" spans="4:22" ht="18">
      <c r="D182" s="118">
        <v>10481400</v>
      </c>
      <c r="G182" s="9">
        <v>8861800</v>
      </c>
    </row>
    <row r="183" spans="4:22" ht="18">
      <c r="D183" s="112">
        <v>10300800</v>
      </c>
      <c r="G183" s="9">
        <v>8230700</v>
      </c>
    </row>
    <row r="184" spans="4:22" ht="18">
      <c r="D184">
        <f>SUM(D174:D183)/10</f>
        <v>9620470</v>
      </c>
      <c r="G184" s="9">
        <v>8995300</v>
      </c>
    </row>
    <row r="185" spans="4:22" ht="18">
      <c r="G185" s="9">
        <v>10062100</v>
      </c>
    </row>
    <row r="186" spans="4:22" ht="18">
      <c r="G186" s="9">
        <v>8462400</v>
      </c>
    </row>
    <row r="187" spans="4:22">
      <c r="G187">
        <f>SUM(G182:G186)</f>
        <v>44612300</v>
      </c>
    </row>
  </sheetData>
  <autoFilter ref="A1:BL173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5"/>
  <sheetViews>
    <sheetView tabSelected="1" topLeftCell="A355" zoomScale="25" zoomScaleNormal="25" workbookViewId="0">
      <selection activeCell="F37" sqref="F37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5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2:7">
      <c r="B33">
        <f>(B2-B8)/B2</f>
        <v>0.15346494762288476</v>
      </c>
      <c r="C33">
        <f>(C2-C8)/C2</f>
        <v>0.1154959674639829</v>
      </c>
      <c r="D33">
        <f>SUM(D2:D16)/15</f>
        <v>29639479.933333334</v>
      </c>
    </row>
    <row r="37" spans="2:7">
      <c r="D37">
        <v>5375132</v>
      </c>
      <c r="E37">
        <f>(E17-D37)/D37</f>
        <v>4.5958809321644006E-2</v>
      </c>
      <c r="G37">
        <f t="shared" ref="G37:G45" si="0">B3-B2</f>
        <v>-554</v>
      </c>
    </row>
    <row r="38" spans="2:7">
      <c r="G38">
        <f t="shared" si="0"/>
        <v>-302</v>
      </c>
    </row>
    <row r="39" spans="2:7">
      <c r="C39">
        <f>(D37-E16)/E16</f>
        <v>0.17110375179746395</v>
      </c>
      <c r="G39">
        <f t="shared" si="0"/>
        <v>-511</v>
      </c>
    </row>
    <row r="40" spans="2:7">
      <c r="G40">
        <f t="shared" si="0"/>
        <v>-362</v>
      </c>
    </row>
    <row r="41" spans="2:7">
      <c r="G41">
        <f t="shared" si="0"/>
        <v>-1699</v>
      </c>
    </row>
    <row r="42" spans="2:7">
      <c r="G42">
        <f t="shared" si="0"/>
        <v>-381</v>
      </c>
    </row>
    <row r="43" spans="2:7">
      <c r="G43">
        <f t="shared" si="0"/>
        <v>1075</v>
      </c>
    </row>
    <row r="44" spans="2:7">
      <c r="G44">
        <f t="shared" si="0"/>
        <v>151</v>
      </c>
    </row>
    <row r="45" spans="2:7">
      <c r="G45">
        <f t="shared" si="0"/>
        <v>1043</v>
      </c>
    </row>
  </sheetData>
  <autoFilter ref="A1:K45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242"/>
  <sheetViews>
    <sheetView topLeftCell="A1213" zoomScale="85" zoomScaleNormal="85" workbookViewId="0">
      <selection activeCell="D1231" sqref="D1231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28" t="s">
        <v>246</v>
      </c>
      <c r="B1" s="128"/>
      <c r="C1" s="128"/>
      <c r="D1" s="12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28" t="s">
        <v>256</v>
      </c>
      <c r="B11" s="128"/>
      <c r="C11" s="128"/>
      <c r="D11" s="12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28" t="s">
        <v>258</v>
      </c>
      <c r="B21" s="128"/>
      <c r="C21" s="128"/>
      <c r="D21" s="12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28" t="s">
        <v>259</v>
      </c>
      <c r="B31" s="128"/>
      <c r="C31" s="128"/>
      <c r="D31" s="12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28" t="s">
        <v>260</v>
      </c>
      <c r="B41" s="128"/>
      <c r="C41" s="128"/>
      <c r="D41" s="12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28" t="s">
        <v>262</v>
      </c>
      <c r="B51" s="128"/>
      <c r="C51" s="128"/>
      <c r="D51" s="12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28" t="s">
        <v>263</v>
      </c>
      <c r="B61" s="128"/>
      <c r="C61" s="128"/>
      <c r="D61" s="12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28" t="s">
        <v>264</v>
      </c>
      <c r="B71" s="128"/>
      <c r="C71" s="128"/>
      <c r="D71" s="12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28" t="s">
        <v>265</v>
      </c>
      <c r="B81" s="128"/>
      <c r="C81" s="128"/>
      <c r="D81" s="12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28" t="s">
        <v>269</v>
      </c>
      <c r="B93" s="128"/>
      <c r="C93" s="128"/>
      <c r="D93" s="12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28" t="s">
        <v>270</v>
      </c>
      <c r="B103" s="128"/>
      <c r="C103" s="128"/>
      <c r="D103" s="12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28" t="s">
        <v>272</v>
      </c>
      <c r="B113" s="128"/>
      <c r="C113" s="128"/>
      <c r="D113" s="12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28" t="s">
        <v>273</v>
      </c>
      <c r="B123" s="128"/>
      <c r="C123" s="128"/>
      <c r="D123" s="12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28" t="s">
        <v>274</v>
      </c>
      <c r="B133" s="128"/>
      <c r="C133" s="128"/>
      <c r="D133" s="12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28" t="s">
        <v>275</v>
      </c>
      <c r="B143" s="128"/>
      <c r="C143" s="128"/>
      <c r="D143" s="12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28" t="s">
        <v>277</v>
      </c>
      <c r="B153" s="128"/>
      <c r="C153" s="128"/>
      <c r="D153" s="12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28" t="s">
        <v>278</v>
      </c>
      <c r="B163" s="128"/>
      <c r="C163" s="128"/>
      <c r="D163" s="12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28" t="s">
        <v>279</v>
      </c>
      <c r="B173" s="128"/>
      <c r="C173" s="128"/>
      <c r="D173" s="12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28" t="s">
        <v>280</v>
      </c>
      <c r="B183" s="128"/>
      <c r="C183" s="128"/>
      <c r="D183" s="12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28" t="s">
        <v>281</v>
      </c>
      <c r="B193" s="128"/>
      <c r="C193" s="128"/>
      <c r="D193" s="12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28" t="s">
        <v>282</v>
      </c>
      <c r="B203" s="128"/>
      <c r="C203" s="128"/>
      <c r="D203" s="12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28" t="s">
        <v>283</v>
      </c>
      <c r="B213" s="128"/>
      <c r="C213" s="128"/>
      <c r="D213" s="12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28" t="s">
        <v>284</v>
      </c>
      <c r="B223" s="128"/>
      <c r="C223" s="128"/>
      <c r="D223" s="12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28" t="s">
        <v>285</v>
      </c>
      <c r="B233" s="128"/>
      <c r="C233" s="128"/>
      <c r="D233" s="12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28" t="s">
        <v>286</v>
      </c>
      <c r="B243" s="128"/>
      <c r="C243" s="128"/>
      <c r="D243" s="12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28" t="s">
        <v>287</v>
      </c>
      <c r="B253" s="128"/>
      <c r="C253" s="128"/>
      <c r="D253" s="12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28" t="s">
        <v>288</v>
      </c>
      <c r="B263" s="128"/>
      <c r="C263" s="128"/>
      <c r="D263" s="12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28" t="s">
        <v>289</v>
      </c>
      <c r="B273" s="128"/>
      <c r="C273" s="128"/>
      <c r="D273" s="12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28" t="s">
        <v>290</v>
      </c>
      <c r="B283" s="128"/>
      <c r="C283" s="128"/>
      <c r="D283" s="12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28" t="s">
        <v>291</v>
      </c>
      <c r="B293" s="128"/>
      <c r="C293" s="128"/>
      <c r="D293" s="12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28" t="s">
        <v>292</v>
      </c>
      <c r="B303" s="128"/>
      <c r="C303" s="128"/>
      <c r="D303" s="12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28" t="s">
        <v>296</v>
      </c>
      <c r="B313" s="128"/>
      <c r="C313" s="128"/>
      <c r="D313" s="12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28" t="s">
        <v>300</v>
      </c>
      <c r="B324" s="128"/>
      <c r="C324" s="128"/>
      <c r="D324" s="12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28" t="s">
        <v>303</v>
      </c>
      <c r="B335" s="128"/>
      <c r="C335" s="128"/>
      <c r="D335" s="12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28" t="s">
        <v>304</v>
      </c>
      <c r="B346" s="128"/>
      <c r="C346" s="128"/>
      <c r="D346" s="12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28" t="s">
        <v>305</v>
      </c>
      <c r="B357" s="128"/>
      <c r="C357" s="128"/>
      <c r="D357" s="12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28" t="s">
        <v>306</v>
      </c>
      <c r="B368" s="128"/>
      <c r="C368" s="128"/>
      <c r="D368" s="12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28" t="s">
        <v>307</v>
      </c>
      <c r="B379" s="128"/>
      <c r="C379" s="128"/>
      <c r="D379" s="12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28" t="s">
        <v>308</v>
      </c>
      <c r="B390" s="128"/>
      <c r="C390" s="128"/>
      <c r="D390" s="12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28" t="s">
        <v>309</v>
      </c>
      <c r="B401" s="128"/>
      <c r="C401" s="128"/>
      <c r="D401" s="12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28" t="s">
        <v>310</v>
      </c>
      <c r="B412" s="128"/>
      <c r="C412" s="128"/>
      <c r="D412" s="12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28" t="s">
        <v>311</v>
      </c>
      <c r="B423" s="128"/>
      <c r="C423" s="128"/>
      <c r="D423" s="12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28" t="s">
        <v>315</v>
      </c>
      <c r="B434" s="128"/>
      <c r="C434" s="128"/>
      <c r="D434" s="12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28" t="s">
        <v>316</v>
      </c>
      <c r="B445" s="128"/>
      <c r="C445" s="128"/>
      <c r="D445" s="12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28" t="s">
        <v>317</v>
      </c>
      <c r="B456" s="128"/>
      <c r="C456" s="128"/>
      <c r="D456" s="12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28" t="s">
        <v>318</v>
      </c>
      <c r="B467" s="128"/>
      <c r="C467" s="128"/>
      <c r="D467" s="12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28" t="s">
        <v>319</v>
      </c>
      <c r="B478" s="128"/>
      <c r="C478" s="128"/>
      <c r="D478" s="12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28" t="s">
        <v>320</v>
      </c>
      <c r="B489" s="128"/>
      <c r="C489" s="128"/>
      <c r="D489" s="12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28" t="s">
        <v>323</v>
      </c>
      <c r="B500" s="128"/>
      <c r="C500" s="128"/>
      <c r="D500" s="12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28" t="s">
        <v>324</v>
      </c>
      <c r="B511" s="128"/>
      <c r="C511" s="128"/>
      <c r="D511" s="12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28" t="s">
        <v>325</v>
      </c>
      <c r="B522" s="128"/>
      <c r="C522" s="128"/>
      <c r="D522" s="12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28" t="s">
        <v>326</v>
      </c>
      <c r="B533" s="128"/>
      <c r="C533" s="128"/>
      <c r="D533" s="12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28" t="s">
        <v>327</v>
      </c>
      <c r="B544" s="128"/>
      <c r="C544" s="128"/>
      <c r="D544" s="12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28" t="s">
        <v>328</v>
      </c>
      <c r="B555" s="128"/>
      <c r="C555" s="128"/>
      <c r="D555" s="12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28" t="s">
        <v>328</v>
      </c>
      <c r="B567" s="128"/>
      <c r="C567" s="128"/>
      <c r="D567" s="12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28" t="s">
        <v>333</v>
      </c>
      <c r="B579" s="128"/>
      <c r="C579" s="128"/>
      <c r="D579" s="12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28" t="s">
        <v>334</v>
      </c>
      <c r="B590" s="128"/>
      <c r="C590" s="128"/>
      <c r="D590" s="12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28" t="s">
        <v>335</v>
      </c>
      <c r="B601" s="128"/>
      <c r="C601" s="128"/>
      <c r="D601" s="12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28" t="s">
        <v>336</v>
      </c>
      <c r="B612" s="128"/>
      <c r="C612" s="128"/>
      <c r="D612" s="12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28" t="s">
        <v>337</v>
      </c>
      <c r="B623" s="128"/>
      <c r="C623" s="128"/>
      <c r="D623" s="12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28" t="s">
        <v>338</v>
      </c>
      <c r="B635" s="128"/>
      <c r="C635" s="128"/>
      <c r="D635" s="12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28" t="s">
        <v>340</v>
      </c>
      <c r="B647" s="128"/>
      <c r="C647" s="128"/>
      <c r="D647" s="12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28" t="s">
        <v>341</v>
      </c>
      <c r="B658" s="128"/>
      <c r="C658" s="128"/>
      <c r="D658" s="12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28" t="s">
        <v>342</v>
      </c>
      <c r="B670" s="128"/>
      <c r="C670" s="128"/>
      <c r="D670" s="12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28" t="s">
        <v>343</v>
      </c>
      <c r="B681" s="128"/>
      <c r="C681" s="128"/>
      <c r="D681" s="12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28" t="s">
        <v>344</v>
      </c>
      <c r="B692" s="128"/>
      <c r="C692" s="128"/>
      <c r="D692" s="12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28" t="s">
        <v>345</v>
      </c>
      <c r="B703" s="128"/>
      <c r="C703" s="128"/>
      <c r="D703" s="12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28" t="s">
        <v>348</v>
      </c>
      <c r="B715" s="128"/>
      <c r="C715" s="128"/>
      <c r="D715" s="12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28" t="s">
        <v>349</v>
      </c>
      <c r="B726" s="128"/>
      <c r="C726" s="128"/>
      <c r="D726" s="12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28" t="s">
        <v>350</v>
      </c>
      <c r="B738" s="128"/>
      <c r="C738" s="128"/>
      <c r="D738" s="12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28" t="s">
        <v>351</v>
      </c>
      <c r="B749" s="128"/>
      <c r="C749" s="128"/>
      <c r="D749" s="12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28" t="s">
        <v>352</v>
      </c>
      <c r="B760" s="128"/>
      <c r="C760" s="128"/>
      <c r="D760" s="12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28" t="s">
        <v>353</v>
      </c>
      <c r="B772" s="128"/>
      <c r="C772" s="128"/>
      <c r="D772" s="12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28" t="s">
        <v>355</v>
      </c>
      <c r="B784" s="128"/>
      <c r="C784" s="128"/>
      <c r="D784" s="12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28" t="s">
        <v>356</v>
      </c>
      <c r="B796" s="128"/>
      <c r="C796" s="128"/>
      <c r="D796" s="12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28" t="s">
        <v>357</v>
      </c>
      <c r="B809" s="128"/>
      <c r="C809" s="128"/>
      <c r="D809" s="12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28" t="s">
        <v>358</v>
      </c>
      <c r="B820" s="128"/>
      <c r="C820" s="128"/>
      <c r="D820" s="12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28" t="s">
        <v>359</v>
      </c>
      <c r="B831" s="128"/>
      <c r="C831" s="128"/>
      <c r="D831" s="12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28" t="s">
        <v>360</v>
      </c>
      <c r="B842" s="128"/>
      <c r="C842" s="128"/>
      <c r="D842" s="12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28" t="s">
        <v>361</v>
      </c>
      <c r="B854" s="128"/>
      <c r="C854" s="128"/>
      <c r="D854" s="12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28" t="s">
        <v>363</v>
      </c>
      <c r="B865" s="128"/>
      <c r="C865" s="128"/>
      <c r="D865" s="12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28" t="s">
        <v>364</v>
      </c>
      <c r="B876" s="128"/>
      <c r="C876" s="128"/>
      <c r="D876" s="12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28" t="s">
        <v>367</v>
      </c>
      <c r="B888" s="128"/>
      <c r="C888" s="128"/>
      <c r="D888" s="12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28" t="s">
        <v>368</v>
      </c>
      <c r="B901" s="128"/>
      <c r="C901" s="128"/>
      <c r="D901" s="12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28" t="s">
        <v>369</v>
      </c>
      <c r="B913" s="128"/>
      <c r="C913" s="128"/>
      <c r="D913" s="12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28" t="s">
        <v>370</v>
      </c>
      <c r="B925" s="128"/>
      <c r="C925" s="128"/>
      <c r="D925" s="12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28" t="s">
        <v>371</v>
      </c>
      <c r="B937" s="128"/>
      <c r="C937" s="128"/>
      <c r="D937" s="12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28" t="s">
        <v>372</v>
      </c>
      <c r="B949" s="128"/>
      <c r="C949" s="128"/>
      <c r="D949" s="12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28" t="s">
        <v>400</v>
      </c>
      <c r="B961" s="128"/>
      <c r="C961" s="128"/>
      <c r="D961" s="128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28" t="s">
        <v>402</v>
      </c>
      <c r="B974" s="128"/>
      <c r="C974" s="128"/>
      <c r="D974" s="128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28" t="s">
        <v>404</v>
      </c>
      <c r="B987" s="128"/>
      <c r="C987" s="128"/>
      <c r="D987" s="128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28" t="s">
        <v>405</v>
      </c>
      <c r="B1000" s="128"/>
      <c r="C1000" s="128"/>
      <c r="D1000" s="128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28" t="s">
        <v>408</v>
      </c>
      <c r="B1012" s="128"/>
      <c r="C1012" s="128"/>
      <c r="D1012" s="128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28" t="s">
        <v>410</v>
      </c>
      <c r="B1025" s="128"/>
      <c r="C1025" s="128"/>
      <c r="D1025" s="128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28" t="s">
        <v>413</v>
      </c>
      <c r="B1037" s="128"/>
      <c r="C1037" s="128"/>
      <c r="D1037" s="128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28" t="s">
        <v>415</v>
      </c>
      <c r="B1049" s="128"/>
      <c r="C1049" s="128"/>
      <c r="D1049" s="128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28" t="s">
        <v>417</v>
      </c>
      <c r="B1061" s="128"/>
      <c r="C1061" s="128"/>
      <c r="D1061" s="128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28" t="s">
        <v>419</v>
      </c>
      <c r="B1073" s="128"/>
      <c r="C1073" s="128"/>
      <c r="D1073" s="128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28" t="s">
        <v>421</v>
      </c>
      <c r="B1085" s="128"/>
      <c r="C1085" s="128"/>
      <c r="D1085" s="128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5">
      <c r="A1089" s="78" t="s">
        <v>252</v>
      </c>
      <c r="B1089" s="86">
        <v>27340</v>
      </c>
      <c r="C1089" s="86">
        <v>7440</v>
      </c>
      <c r="D1089">
        <v>11735000</v>
      </c>
    </row>
    <row r="1090" spans="1:5">
      <c r="A1090" s="76" t="s">
        <v>253</v>
      </c>
      <c r="B1090" s="86">
        <v>27320</v>
      </c>
      <c r="C1090" s="86">
        <v>7430</v>
      </c>
      <c r="D1090">
        <v>11745000</v>
      </c>
    </row>
    <row r="1091" spans="1:5">
      <c r="A1091" s="84">
        <v>0.625</v>
      </c>
      <c r="B1091" s="86">
        <v>27320</v>
      </c>
      <c r="C1091" s="86">
        <v>7430</v>
      </c>
      <c r="D1091" s="86">
        <v>11720000</v>
      </c>
    </row>
    <row r="1092" spans="1:5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5">
      <c r="A1093" s="87">
        <v>0.70833333333333304</v>
      </c>
      <c r="B1093" s="86">
        <v>27320</v>
      </c>
      <c r="C1093" s="86">
        <v>7430</v>
      </c>
      <c r="D1093" s="86">
        <v>11725000</v>
      </c>
    </row>
    <row r="1098" spans="1:5">
      <c r="A1098" s="128" t="s">
        <v>423</v>
      </c>
      <c r="B1098" s="128"/>
      <c r="C1098" s="128"/>
      <c r="D1098" s="128"/>
    </row>
    <row r="1099" spans="1:5">
      <c r="A1099" s="86" t="s">
        <v>247</v>
      </c>
      <c r="B1099" s="86" t="s">
        <v>248</v>
      </c>
      <c r="C1099" s="86" t="s">
        <v>249</v>
      </c>
      <c r="D1099" s="86" t="s">
        <v>250</v>
      </c>
    </row>
    <row r="1100" spans="1:5">
      <c r="A1100" s="76">
        <v>0.45833333333333298</v>
      </c>
      <c r="B1100" s="86"/>
      <c r="C1100" s="86"/>
      <c r="E1100">
        <v>11780000</v>
      </c>
    </row>
    <row r="1101" spans="1:5">
      <c r="A1101" s="77" t="s">
        <v>251</v>
      </c>
      <c r="B1101" s="86"/>
      <c r="C1101" s="86"/>
      <c r="E1101">
        <v>11815000</v>
      </c>
    </row>
    <row r="1102" spans="1:5">
      <c r="A1102" s="78" t="s">
        <v>252</v>
      </c>
      <c r="B1102" s="86"/>
      <c r="C1102" s="86"/>
    </row>
    <row r="1103" spans="1:5">
      <c r="A1103" s="76" t="s">
        <v>253</v>
      </c>
      <c r="B1103" s="86"/>
      <c r="C1103" s="86"/>
    </row>
    <row r="1104" spans="1:5">
      <c r="A1104" s="84">
        <v>0.625</v>
      </c>
      <c r="B1104" s="86"/>
      <c r="C1104" s="86"/>
      <c r="D1104" s="86"/>
    </row>
    <row r="1105" spans="1:4">
      <c r="A1105" s="77" t="s">
        <v>254</v>
      </c>
      <c r="B1105" s="86"/>
      <c r="C1105" s="86"/>
      <c r="D1105" s="86"/>
    </row>
    <row r="1106" spans="1:4">
      <c r="A1106" s="87">
        <v>0.70833333333333304</v>
      </c>
      <c r="B1106" s="86"/>
      <c r="C1106" s="86"/>
      <c r="D1106" s="86"/>
    </row>
    <row r="1110" spans="1:4">
      <c r="A1110" s="128" t="s">
        <v>426</v>
      </c>
      <c r="B1110" s="128"/>
      <c r="C1110" s="128"/>
      <c r="D1110" s="128"/>
    </row>
    <row r="1111" spans="1:4">
      <c r="A1111" s="86" t="s">
        <v>247</v>
      </c>
      <c r="B1111" s="86" t="s">
        <v>248</v>
      </c>
      <c r="C1111" s="86" t="s">
        <v>249</v>
      </c>
      <c r="D1111" s="86" t="s">
        <v>250</v>
      </c>
    </row>
    <row r="1112" spans="1:4">
      <c r="A1112" s="76">
        <v>0.45833333333333298</v>
      </c>
      <c r="B1112" s="86">
        <v>27470</v>
      </c>
      <c r="C1112" s="86">
        <v>7470</v>
      </c>
      <c r="D1112">
        <v>11890000</v>
      </c>
    </row>
    <row r="1113" spans="1:4">
      <c r="A1113" s="77" t="s">
        <v>251</v>
      </c>
      <c r="B1113" s="86">
        <v>27500</v>
      </c>
      <c r="C1113" s="86">
        <v>7510</v>
      </c>
      <c r="D1113">
        <v>11915000</v>
      </c>
    </row>
    <row r="1114" spans="1:4">
      <c r="A1114" s="78" t="s">
        <v>252</v>
      </c>
      <c r="B1114" s="86">
        <v>27520</v>
      </c>
      <c r="C1114" s="86">
        <v>7530</v>
      </c>
      <c r="D1114">
        <v>11935000</v>
      </c>
    </row>
    <row r="1115" spans="1:4">
      <c r="A1115" s="76" t="s">
        <v>253</v>
      </c>
      <c r="B1115" s="86">
        <v>27530</v>
      </c>
      <c r="C1115" s="86">
        <v>7530</v>
      </c>
      <c r="D1115">
        <v>11920000</v>
      </c>
    </row>
    <row r="1116" spans="1:4">
      <c r="A1116" s="84">
        <v>0.625</v>
      </c>
      <c r="B1116" s="86">
        <v>27540</v>
      </c>
      <c r="C1116" s="86">
        <v>7530</v>
      </c>
      <c r="D1116" s="86">
        <v>11920000</v>
      </c>
    </row>
    <row r="1117" spans="1:4">
      <c r="A1117" s="77" t="s">
        <v>254</v>
      </c>
      <c r="B1117" s="86">
        <v>27560</v>
      </c>
      <c r="C1117" s="86">
        <v>7530</v>
      </c>
      <c r="D1117" s="86">
        <v>11920000</v>
      </c>
    </row>
    <row r="1118" spans="1:4">
      <c r="A1118" s="87">
        <v>0.70833333333333304</v>
      </c>
      <c r="B1118" s="86">
        <v>27580</v>
      </c>
      <c r="C1118" s="86">
        <v>7530</v>
      </c>
      <c r="D1118" s="86">
        <v>11920000</v>
      </c>
    </row>
    <row r="1123" spans="1:4">
      <c r="A1123" s="128" t="s">
        <v>428</v>
      </c>
      <c r="B1123" s="128"/>
      <c r="C1123" s="128"/>
      <c r="D1123" s="128"/>
    </row>
    <row r="1124" spans="1:4">
      <c r="A1124" s="86" t="s">
        <v>247</v>
      </c>
      <c r="B1124" s="86" t="s">
        <v>248</v>
      </c>
      <c r="C1124" s="86" t="s">
        <v>249</v>
      </c>
      <c r="D1124" s="86" t="s">
        <v>250</v>
      </c>
    </row>
    <row r="1125" spans="1:4">
      <c r="A1125" s="76">
        <v>0.45833333333333298</v>
      </c>
      <c r="B1125" s="86">
        <v>27670</v>
      </c>
      <c r="C1125" s="86">
        <v>7530</v>
      </c>
      <c r="D1125">
        <v>11905000</v>
      </c>
    </row>
    <row r="1126" spans="1:4">
      <c r="A1126" s="77" t="s">
        <v>251</v>
      </c>
      <c r="B1126" s="86">
        <v>27640</v>
      </c>
      <c r="C1126" s="86">
        <v>7520</v>
      </c>
      <c r="D1126">
        <v>11930000</v>
      </c>
    </row>
    <row r="1127" spans="1:4">
      <c r="A1127" s="78" t="s">
        <v>252</v>
      </c>
      <c r="B1127" s="86">
        <v>27640</v>
      </c>
      <c r="C1127" s="86">
        <v>7510</v>
      </c>
      <c r="D1127">
        <v>11920000</v>
      </c>
    </row>
    <row r="1128" spans="1:4">
      <c r="A1128" s="76" t="s">
        <v>253</v>
      </c>
      <c r="B1128" s="86">
        <v>27620</v>
      </c>
      <c r="C1128" s="86">
        <v>7510</v>
      </c>
      <c r="D1128">
        <v>11900000</v>
      </c>
    </row>
    <row r="1129" spans="1:4">
      <c r="A1129" s="84">
        <v>0.625</v>
      </c>
      <c r="B1129" s="86">
        <v>27620</v>
      </c>
      <c r="C1129" s="86">
        <v>7510</v>
      </c>
      <c r="D1129" s="86">
        <v>11890000</v>
      </c>
    </row>
    <row r="1130" spans="1:4">
      <c r="A1130" s="77" t="s">
        <v>254</v>
      </c>
      <c r="B1130" s="86">
        <v>27620</v>
      </c>
      <c r="C1130" s="86">
        <v>7510</v>
      </c>
      <c r="D1130" s="86">
        <v>11890000</v>
      </c>
    </row>
    <row r="1131" spans="1:4">
      <c r="A1131" s="87">
        <v>0.70833333333333304</v>
      </c>
      <c r="B1131" s="86">
        <v>27620</v>
      </c>
      <c r="C1131" s="86">
        <v>7510</v>
      </c>
      <c r="D1131" s="86">
        <v>11890000</v>
      </c>
    </row>
    <row r="1136" spans="1:4">
      <c r="A1136" s="128" t="s">
        <v>430</v>
      </c>
      <c r="B1136" s="128"/>
      <c r="C1136" s="128"/>
      <c r="D1136" s="128"/>
    </row>
    <row r="1137" spans="1:4">
      <c r="A1137" s="86" t="s">
        <v>247</v>
      </c>
      <c r="B1137" s="86" t="s">
        <v>248</v>
      </c>
      <c r="C1137" s="86" t="s">
        <v>249</v>
      </c>
      <c r="D1137" s="86" t="s">
        <v>250</v>
      </c>
    </row>
    <row r="1138" spans="1:4">
      <c r="A1138" s="76">
        <v>0.45833333333333298</v>
      </c>
      <c r="B1138" s="86">
        <v>27540</v>
      </c>
      <c r="C1138" s="86">
        <v>7480</v>
      </c>
      <c r="D1138">
        <v>11860000</v>
      </c>
    </row>
    <row r="1139" spans="1:4">
      <c r="A1139" s="77" t="s">
        <v>251</v>
      </c>
      <c r="B1139" s="86">
        <v>27470</v>
      </c>
      <c r="C1139" s="86">
        <v>7470</v>
      </c>
      <c r="D1139">
        <v>11845000</v>
      </c>
    </row>
    <row r="1140" spans="1:4">
      <c r="A1140" s="78" t="s">
        <v>252</v>
      </c>
      <c r="B1140" s="86">
        <v>27420</v>
      </c>
      <c r="C1140" s="86">
        <v>7470</v>
      </c>
      <c r="D1140">
        <v>11840000</v>
      </c>
    </row>
    <row r="1141" spans="1:4">
      <c r="A1141" s="76" t="s">
        <v>253</v>
      </c>
      <c r="B1141" s="86">
        <v>27440</v>
      </c>
      <c r="C1141" s="86">
        <v>7470</v>
      </c>
      <c r="D1141">
        <v>11835000</v>
      </c>
    </row>
    <row r="1142" spans="1:4">
      <c r="A1142" s="84">
        <v>0.625</v>
      </c>
      <c r="B1142" s="86">
        <v>27440</v>
      </c>
      <c r="C1142" s="86">
        <v>7470</v>
      </c>
      <c r="D1142" s="86">
        <v>11865000</v>
      </c>
    </row>
    <row r="1143" spans="1:4">
      <c r="A1143" s="77" t="s">
        <v>254</v>
      </c>
      <c r="B1143" s="86">
        <v>27440</v>
      </c>
      <c r="C1143" s="86">
        <v>7470</v>
      </c>
      <c r="D1143" s="86">
        <v>11870000</v>
      </c>
    </row>
    <row r="1144" spans="1:4">
      <c r="A1144" s="87">
        <v>0.70833333333333304</v>
      </c>
      <c r="B1144" s="86">
        <v>27440</v>
      </c>
      <c r="C1144" s="86">
        <v>7470</v>
      </c>
      <c r="D1144" s="86">
        <v>11870000</v>
      </c>
    </row>
    <row r="1149" spans="1:4">
      <c r="A1149" s="128" t="s">
        <v>432</v>
      </c>
      <c r="B1149" s="128"/>
      <c r="C1149" s="128"/>
      <c r="D1149" s="128"/>
    </row>
    <row r="1150" spans="1:4">
      <c r="A1150" s="86" t="s">
        <v>247</v>
      </c>
      <c r="B1150" s="86" t="s">
        <v>248</v>
      </c>
      <c r="C1150" s="86" t="s">
        <v>249</v>
      </c>
      <c r="D1150" s="86" t="s">
        <v>250</v>
      </c>
    </row>
    <row r="1151" spans="1:4">
      <c r="A1151" s="76">
        <v>0.45833333333333298</v>
      </c>
      <c r="B1151" s="86">
        <v>27560</v>
      </c>
      <c r="C1151" s="86">
        <v>7520</v>
      </c>
      <c r="D1151">
        <v>11870000</v>
      </c>
    </row>
    <row r="1152" spans="1:4">
      <c r="A1152" s="77" t="s">
        <v>251</v>
      </c>
      <c r="B1152" s="86">
        <v>27580</v>
      </c>
      <c r="C1152" s="86">
        <v>7530</v>
      </c>
      <c r="D1152">
        <v>11880000</v>
      </c>
    </row>
    <row r="1153" spans="1:5">
      <c r="A1153" s="78" t="s">
        <v>252</v>
      </c>
      <c r="B1153" s="86">
        <v>27650</v>
      </c>
      <c r="C1153" s="86">
        <v>7540</v>
      </c>
      <c r="D1153">
        <v>11910000</v>
      </c>
    </row>
    <row r="1154" spans="1:5">
      <c r="A1154" s="76" t="s">
        <v>253</v>
      </c>
      <c r="B1154" s="86">
        <v>27680</v>
      </c>
      <c r="C1154" s="86">
        <v>7540</v>
      </c>
      <c r="D1154">
        <v>11925000</v>
      </c>
    </row>
    <row r="1155" spans="1:5">
      <c r="A1155" s="84">
        <v>0.625</v>
      </c>
      <c r="B1155" s="86">
        <v>27680</v>
      </c>
      <c r="C1155" s="86">
        <v>7550</v>
      </c>
      <c r="D1155" s="86">
        <v>11920000</v>
      </c>
    </row>
    <row r="1156" spans="1:5">
      <c r="A1156" s="77" t="s">
        <v>254</v>
      </c>
      <c r="B1156" s="86">
        <v>27680</v>
      </c>
      <c r="C1156" s="86">
        <v>7550</v>
      </c>
      <c r="D1156" s="86">
        <v>11935000</v>
      </c>
    </row>
    <row r="1157" spans="1:5">
      <c r="A1157" s="87">
        <v>0.70833333333333304</v>
      </c>
      <c r="B1157" s="86">
        <v>27680</v>
      </c>
      <c r="C1157" s="86">
        <v>7550</v>
      </c>
      <c r="D1157" s="86">
        <v>11935000</v>
      </c>
    </row>
    <row r="1162" spans="1:5">
      <c r="A1162" s="128" t="s">
        <v>434</v>
      </c>
      <c r="B1162" s="128"/>
      <c r="C1162" s="128"/>
      <c r="D1162" s="128"/>
    </row>
    <row r="1163" spans="1:5">
      <c r="A1163" s="86" t="s">
        <v>247</v>
      </c>
      <c r="B1163" s="86" t="s">
        <v>248</v>
      </c>
      <c r="C1163" s="86" t="s">
        <v>249</v>
      </c>
      <c r="D1163" s="86" t="s">
        <v>250</v>
      </c>
    </row>
    <row r="1164" spans="1:5">
      <c r="A1164" s="76">
        <v>0.45833333333333298</v>
      </c>
      <c r="B1164" s="86"/>
      <c r="C1164" s="86"/>
      <c r="E1164">
        <v>11910000</v>
      </c>
    </row>
    <row r="1165" spans="1:5">
      <c r="A1165" s="77" t="s">
        <v>251</v>
      </c>
      <c r="B1165" s="86"/>
      <c r="C1165" s="86"/>
      <c r="E1165">
        <v>11905000</v>
      </c>
    </row>
    <row r="1166" spans="1:5">
      <c r="A1166" s="78" t="s">
        <v>252</v>
      </c>
      <c r="B1166" s="86"/>
      <c r="C1166" s="86"/>
      <c r="E1166">
        <v>11895000</v>
      </c>
    </row>
    <row r="1167" spans="1:5">
      <c r="A1167" s="76" t="s">
        <v>253</v>
      </c>
      <c r="B1167" s="86"/>
      <c r="C1167" s="86"/>
      <c r="E1167">
        <v>11900000</v>
      </c>
    </row>
    <row r="1168" spans="1:5">
      <c r="A1168" s="84">
        <v>0.625</v>
      </c>
      <c r="B1168" s="86"/>
      <c r="C1168" s="86"/>
      <c r="D1168" s="86"/>
      <c r="E1168">
        <v>11865000</v>
      </c>
    </row>
    <row r="1169" spans="1:4">
      <c r="A1169" s="77" t="s">
        <v>254</v>
      </c>
      <c r="B1169" s="86"/>
      <c r="C1169" s="86"/>
      <c r="D1169" s="86"/>
    </row>
    <row r="1170" spans="1:4">
      <c r="A1170" s="87">
        <v>0.70833333333333304</v>
      </c>
      <c r="B1170" s="86"/>
      <c r="C1170" s="86"/>
      <c r="D1170" s="86"/>
    </row>
    <row r="1173" spans="1:4">
      <c r="A1173" s="128" t="s">
        <v>437</v>
      </c>
      <c r="B1173" s="128"/>
      <c r="C1173" s="128"/>
      <c r="D1173" s="128"/>
    </row>
    <row r="1174" spans="1:4">
      <c r="A1174" s="86" t="s">
        <v>247</v>
      </c>
      <c r="B1174" s="86" t="s">
        <v>248</v>
      </c>
      <c r="C1174" s="86" t="s">
        <v>249</v>
      </c>
      <c r="D1174" s="86" t="s">
        <v>250</v>
      </c>
    </row>
    <row r="1175" spans="1:4">
      <c r="A1175" s="76">
        <v>0.45833333333333298</v>
      </c>
      <c r="B1175" s="86">
        <v>27570</v>
      </c>
      <c r="C1175" s="86">
        <v>7510</v>
      </c>
      <c r="D1175">
        <v>11830000</v>
      </c>
    </row>
    <row r="1176" spans="1:4">
      <c r="A1176" s="77" t="s">
        <v>251</v>
      </c>
      <c r="B1176" s="86">
        <v>27540</v>
      </c>
      <c r="C1176" s="86">
        <v>7500</v>
      </c>
      <c r="D1176">
        <v>11825000</v>
      </c>
    </row>
    <row r="1177" spans="1:4">
      <c r="A1177" s="78" t="s">
        <v>252</v>
      </c>
      <c r="B1177" s="86">
        <v>27520</v>
      </c>
      <c r="C1177" s="86">
        <v>7500</v>
      </c>
      <c r="D1177">
        <v>11830000</v>
      </c>
    </row>
    <row r="1178" spans="1:4">
      <c r="A1178" s="76" t="s">
        <v>253</v>
      </c>
      <c r="B1178" s="86">
        <v>27510</v>
      </c>
      <c r="C1178" s="86">
        <v>7500</v>
      </c>
      <c r="D1178">
        <v>11815000</v>
      </c>
    </row>
    <row r="1179" spans="1:4">
      <c r="A1179" s="84">
        <v>0.625</v>
      </c>
      <c r="B1179" s="86">
        <v>27480</v>
      </c>
      <c r="C1179" s="86">
        <v>7500</v>
      </c>
      <c r="D1179" s="86">
        <v>11870000</v>
      </c>
    </row>
    <row r="1180" spans="1:4">
      <c r="A1180" s="77" t="s">
        <v>254</v>
      </c>
      <c r="B1180" s="86">
        <v>27480</v>
      </c>
      <c r="C1180" s="86">
        <v>7500</v>
      </c>
      <c r="D1180" s="86">
        <v>11865000</v>
      </c>
    </row>
    <row r="1181" spans="1:4">
      <c r="A1181" s="87">
        <v>0.70833333333333304</v>
      </c>
      <c r="B1181" s="86">
        <v>27480</v>
      </c>
      <c r="C1181" s="86">
        <v>7500</v>
      </c>
      <c r="D1181" s="86">
        <v>11870000</v>
      </c>
    </row>
    <row r="1185" spans="1:4">
      <c r="A1185" s="128" t="s">
        <v>439</v>
      </c>
      <c r="B1185" s="128"/>
      <c r="C1185" s="128"/>
      <c r="D1185" s="128"/>
    </row>
    <row r="1186" spans="1:4">
      <c r="A1186" s="86" t="s">
        <v>247</v>
      </c>
      <c r="B1186" s="86" t="s">
        <v>248</v>
      </c>
      <c r="C1186" s="86" t="s">
        <v>249</v>
      </c>
      <c r="D1186" s="86" t="s">
        <v>250</v>
      </c>
    </row>
    <row r="1187" spans="1:4">
      <c r="A1187" s="76">
        <v>0.45833333333333298</v>
      </c>
      <c r="B1187" s="86">
        <v>27480</v>
      </c>
      <c r="C1187" s="86">
        <v>7470</v>
      </c>
      <c r="D1187">
        <v>11830000</v>
      </c>
    </row>
    <row r="1188" spans="1:4">
      <c r="A1188" s="77" t="s">
        <v>251</v>
      </c>
      <c r="B1188" s="86">
        <v>27440</v>
      </c>
      <c r="C1188" s="86">
        <v>7480</v>
      </c>
      <c r="D1188">
        <v>11810000</v>
      </c>
    </row>
    <row r="1189" spans="1:4">
      <c r="A1189" s="78" t="s">
        <v>252</v>
      </c>
      <c r="B1189" s="86">
        <v>27480</v>
      </c>
      <c r="C1189" s="86">
        <v>7490</v>
      </c>
      <c r="D1189">
        <v>11785000</v>
      </c>
    </row>
    <row r="1190" spans="1:4">
      <c r="A1190" s="76" t="s">
        <v>253</v>
      </c>
      <c r="B1190" s="86">
        <v>27500</v>
      </c>
      <c r="C1190" s="86">
        <v>7500</v>
      </c>
      <c r="D1190">
        <v>11810000</v>
      </c>
    </row>
    <row r="1191" spans="1:4">
      <c r="A1191" s="84">
        <v>0.625</v>
      </c>
      <c r="B1191" s="86">
        <v>27540</v>
      </c>
      <c r="C1191" s="86">
        <v>7510</v>
      </c>
      <c r="D1191" s="86">
        <v>11825000</v>
      </c>
    </row>
    <row r="1192" spans="1:4">
      <c r="A1192" s="77" t="s">
        <v>254</v>
      </c>
      <c r="B1192" s="86">
        <v>27540</v>
      </c>
      <c r="C1192" s="86">
        <v>7500</v>
      </c>
      <c r="D1192" s="86">
        <v>11815000</v>
      </c>
    </row>
    <row r="1193" spans="1:4">
      <c r="A1193" s="87">
        <v>0.70833333333333304</v>
      </c>
      <c r="B1193" s="86">
        <v>27540</v>
      </c>
      <c r="C1193" s="86">
        <v>7500</v>
      </c>
      <c r="D1193" s="86">
        <v>11815000</v>
      </c>
    </row>
    <row r="1197" spans="1:4">
      <c r="A1197" s="128" t="s">
        <v>441</v>
      </c>
      <c r="B1197" s="128"/>
      <c r="C1197" s="128"/>
      <c r="D1197" s="128"/>
    </row>
    <row r="1198" spans="1:4">
      <c r="A1198" s="86" t="s">
        <v>247</v>
      </c>
      <c r="B1198" s="86" t="s">
        <v>248</v>
      </c>
      <c r="C1198" s="86" t="s">
        <v>249</v>
      </c>
      <c r="D1198" s="86" t="s">
        <v>250</v>
      </c>
    </row>
    <row r="1199" spans="1:4">
      <c r="A1199" s="76">
        <v>0.45833333333333298</v>
      </c>
      <c r="B1199" s="86">
        <v>27570</v>
      </c>
      <c r="C1199" s="86">
        <v>7510</v>
      </c>
      <c r="D1199">
        <v>11840000</v>
      </c>
    </row>
    <row r="1200" spans="1:4">
      <c r="A1200" s="77" t="s">
        <v>251</v>
      </c>
      <c r="B1200" s="86">
        <v>27580</v>
      </c>
      <c r="C1200" s="86">
        <v>7520</v>
      </c>
      <c r="D1200">
        <v>11870000</v>
      </c>
    </row>
    <row r="1201" spans="1:4">
      <c r="A1201" s="78" t="s">
        <v>252</v>
      </c>
      <c r="B1201" s="86">
        <v>27600</v>
      </c>
      <c r="C1201" s="86">
        <v>7530</v>
      </c>
      <c r="D1201">
        <v>11865000</v>
      </c>
    </row>
    <row r="1202" spans="1:4">
      <c r="A1202" s="76" t="s">
        <v>253</v>
      </c>
      <c r="B1202" s="86">
        <v>27600</v>
      </c>
      <c r="C1202" s="86">
        <v>7520</v>
      </c>
      <c r="D1202">
        <v>11860000</v>
      </c>
    </row>
    <row r="1203" spans="1:4">
      <c r="A1203" s="84">
        <v>0.625</v>
      </c>
      <c r="B1203" s="86">
        <v>27580</v>
      </c>
      <c r="C1203" s="86">
        <v>7510</v>
      </c>
      <c r="D1203" s="86">
        <v>11855000</v>
      </c>
    </row>
    <row r="1204" spans="1:4">
      <c r="A1204" s="77" t="s">
        <v>254</v>
      </c>
      <c r="B1204" s="86">
        <v>27580</v>
      </c>
      <c r="C1204" s="86">
        <v>7530</v>
      </c>
      <c r="D1204" s="86">
        <v>11840000</v>
      </c>
    </row>
    <row r="1205" spans="1:4">
      <c r="A1205" s="87">
        <v>0.70833333333333304</v>
      </c>
      <c r="B1205" s="86">
        <v>27580</v>
      </c>
      <c r="C1205" s="86">
        <v>7530</v>
      </c>
      <c r="D1205" s="86">
        <v>11840000</v>
      </c>
    </row>
    <row r="1209" spans="1:4">
      <c r="A1209" s="128" t="s">
        <v>443</v>
      </c>
      <c r="B1209" s="128"/>
      <c r="C1209" s="128"/>
      <c r="D1209" s="128"/>
    </row>
    <row r="1210" spans="1:4">
      <c r="A1210" s="86" t="s">
        <v>247</v>
      </c>
      <c r="B1210" s="86" t="s">
        <v>248</v>
      </c>
      <c r="C1210" s="86" t="s">
        <v>249</v>
      </c>
      <c r="D1210" s="86" t="s">
        <v>250</v>
      </c>
    </row>
    <row r="1211" spans="1:4">
      <c r="A1211" s="76">
        <v>0.45833333333333298</v>
      </c>
      <c r="B1211" s="86">
        <v>27550</v>
      </c>
      <c r="C1211" s="86">
        <v>7510</v>
      </c>
      <c r="D1211">
        <v>11815000</v>
      </c>
    </row>
    <row r="1212" spans="1:4">
      <c r="A1212" s="77" t="s">
        <v>251</v>
      </c>
      <c r="B1212" s="86">
        <v>27540</v>
      </c>
      <c r="C1212" s="86">
        <v>7520</v>
      </c>
      <c r="D1212">
        <v>11795000</v>
      </c>
    </row>
    <row r="1213" spans="1:4">
      <c r="A1213" s="78" t="s">
        <v>252</v>
      </c>
      <c r="B1213" s="86">
        <v>27540</v>
      </c>
      <c r="C1213" s="86">
        <v>7530</v>
      </c>
      <c r="D1213">
        <v>11810000</v>
      </c>
    </row>
    <row r="1214" spans="1:4">
      <c r="A1214" s="76" t="s">
        <v>253</v>
      </c>
      <c r="B1214" s="86">
        <v>27540</v>
      </c>
      <c r="C1214" s="86">
        <v>7530</v>
      </c>
      <c r="D1214">
        <v>11805000</v>
      </c>
    </row>
    <row r="1215" spans="1:4">
      <c r="A1215" s="84">
        <v>0.625</v>
      </c>
      <c r="B1215" s="86">
        <v>27540</v>
      </c>
      <c r="C1215" s="86">
        <v>7530</v>
      </c>
      <c r="D1215" s="86">
        <v>11805000</v>
      </c>
    </row>
    <row r="1216" spans="1:4">
      <c r="A1216" s="77" t="s">
        <v>254</v>
      </c>
      <c r="B1216" s="86">
        <v>27540</v>
      </c>
      <c r="C1216" s="86">
        <v>7530</v>
      </c>
      <c r="D1216" s="86">
        <v>11805000</v>
      </c>
    </row>
    <row r="1217" spans="1:5">
      <c r="A1217" s="87">
        <v>0.70833333333333304</v>
      </c>
      <c r="B1217" s="86">
        <v>27540</v>
      </c>
      <c r="C1217" s="86">
        <v>7520</v>
      </c>
      <c r="D1217" s="86">
        <v>11805000</v>
      </c>
    </row>
    <row r="1222" spans="1:5">
      <c r="A1222" s="128" t="s">
        <v>445</v>
      </c>
      <c r="B1222" s="128"/>
      <c r="C1222" s="128"/>
      <c r="D1222" s="128"/>
    </row>
    <row r="1223" spans="1:5">
      <c r="A1223" s="86" t="s">
        <v>247</v>
      </c>
      <c r="B1223" s="86" t="s">
        <v>248</v>
      </c>
      <c r="C1223" s="86" t="s">
        <v>249</v>
      </c>
      <c r="D1223" s="86" t="s">
        <v>250</v>
      </c>
    </row>
    <row r="1224" spans="1:5">
      <c r="A1224" s="76">
        <v>0.45833333333333298</v>
      </c>
      <c r="B1224" s="86">
        <v>27620</v>
      </c>
      <c r="C1224" s="86">
        <v>7530</v>
      </c>
      <c r="D1224">
        <v>11825000</v>
      </c>
      <c r="E1224">
        <v>11825000</v>
      </c>
    </row>
    <row r="1225" spans="1:5">
      <c r="A1225" s="77" t="s">
        <v>251</v>
      </c>
      <c r="B1225" s="86">
        <v>27620</v>
      </c>
      <c r="C1225" s="86">
        <v>7540</v>
      </c>
      <c r="D1225">
        <v>11835000</v>
      </c>
      <c r="E1225">
        <v>11865000</v>
      </c>
    </row>
    <row r="1226" spans="1:5">
      <c r="A1226" s="78" t="s">
        <v>252</v>
      </c>
      <c r="B1226" s="86">
        <v>27630</v>
      </c>
      <c r="C1226" s="86">
        <v>7550</v>
      </c>
      <c r="D1226">
        <v>11850000</v>
      </c>
      <c r="E1226">
        <v>11855000</v>
      </c>
    </row>
    <row r="1227" spans="1:5">
      <c r="A1227" s="76" t="s">
        <v>253</v>
      </c>
      <c r="B1227" s="86">
        <v>27670</v>
      </c>
      <c r="C1227" s="86">
        <v>7570</v>
      </c>
      <c r="D1227">
        <v>11870000</v>
      </c>
    </row>
    <row r="1228" spans="1:5">
      <c r="A1228" s="84">
        <v>0.625</v>
      </c>
      <c r="B1228" s="86">
        <v>27770</v>
      </c>
      <c r="C1228" s="86">
        <v>7590</v>
      </c>
      <c r="D1228" s="86">
        <v>11870000</v>
      </c>
    </row>
    <row r="1229" spans="1:5">
      <c r="A1229" s="77" t="s">
        <v>254</v>
      </c>
      <c r="B1229" s="86">
        <v>27820</v>
      </c>
      <c r="C1229" s="86">
        <v>7590</v>
      </c>
      <c r="D1229" s="86">
        <v>11865000</v>
      </c>
    </row>
    <row r="1230" spans="1:5">
      <c r="A1230" s="87">
        <v>0.70833333333333304</v>
      </c>
      <c r="B1230" s="86">
        <v>27800</v>
      </c>
      <c r="C1230" s="86">
        <v>7580</v>
      </c>
      <c r="D1230" s="86">
        <v>11865000</v>
      </c>
    </row>
    <row r="1234" spans="1:5">
      <c r="A1234" s="128" t="s">
        <v>447</v>
      </c>
      <c r="B1234" s="128"/>
      <c r="C1234" s="128"/>
      <c r="D1234" s="128"/>
    </row>
    <row r="1235" spans="1:5">
      <c r="A1235" s="86" t="s">
        <v>247</v>
      </c>
      <c r="B1235" s="86" t="s">
        <v>248</v>
      </c>
      <c r="C1235" s="86" t="s">
        <v>249</v>
      </c>
      <c r="D1235" s="86" t="s">
        <v>250</v>
      </c>
    </row>
    <row r="1236" spans="1:5">
      <c r="A1236" s="76">
        <v>0.45833333333333298</v>
      </c>
      <c r="B1236" s="86"/>
      <c r="C1236" s="86"/>
      <c r="E1236">
        <v>11830000</v>
      </c>
    </row>
    <row r="1237" spans="1:5">
      <c r="A1237" s="77" t="s">
        <v>251</v>
      </c>
      <c r="B1237" s="86"/>
      <c r="C1237" s="86"/>
      <c r="E1237">
        <v>11835000</v>
      </c>
    </row>
    <row r="1238" spans="1:5">
      <c r="A1238" s="78" t="s">
        <v>252</v>
      </c>
      <c r="B1238" s="86"/>
      <c r="C1238" s="86"/>
      <c r="E1238">
        <v>11815000</v>
      </c>
    </row>
    <row r="1239" spans="1:5">
      <c r="A1239" s="76" t="s">
        <v>253</v>
      </c>
      <c r="B1239" s="86"/>
      <c r="C1239" s="86"/>
    </row>
    <row r="1240" spans="1:5">
      <c r="A1240" s="84">
        <v>0.625</v>
      </c>
      <c r="B1240" s="86"/>
      <c r="C1240" s="86"/>
      <c r="D1240" s="86"/>
    </row>
    <row r="1241" spans="1:5">
      <c r="A1241" s="77" t="s">
        <v>254</v>
      </c>
      <c r="B1241" s="86"/>
      <c r="C1241" s="86"/>
      <c r="D1241" s="86"/>
    </row>
    <row r="1242" spans="1:5">
      <c r="A1242" s="87">
        <v>0.70833333333333304</v>
      </c>
      <c r="B1242" s="86"/>
      <c r="C1242" s="86"/>
      <c r="D1242" s="86"/>
    </row>
  </sheetData>
  <mergeCells count="111">
    <mergeCell ref="A1234:D1234"/>
    <mergeCell ref="A1209:D1209"/>
    <mergeCell ref="A1197:D1197"/>
    <mergeCell ref="A1173:D1173"/>
    <mergeCell ref="A1162:D1162"/>
    <mergeCell ref="A1149:D1149"/>
    <mergeCell ref="A1136:D1136"/>
    <mergeCell ref="A1123:D1123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45:D445"/>
    <mergeCell ref="A456:D456"/>
    <mergeCell ref="A357:D357"/>
    <mergeCell ref="A368:D368"/>
    <mergeCell ref="A379:D379"/>
    <mergeCell ref="A390:D390"/>
    <mergeCell ref="A401:D401"/>
    <mergeCell ref="A324:D324"/>
    <mergeCell ref="A335:D335"/>
    <mergeCell ref="A346:D346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53:D153"/>
    <mergeCell ref="A163:D163"/>
    <mergeCell ref="A173:D173"/>
    <mergeCell ref="A183:D183"/>
    <mergeCell ref="A193:D193"/>
    <mergeCell ref="A93:D93"/>
    <mergeCell ref="A103:D103"/>
    <mergeCell ref="A253:D253"/>
    <mergeCell ref="A263:D263"/>
    <mergeCell ref="A273:D273"/>
    <mergeCell ref="A283:D283"/>
    <mergeCell ref="A293:D293"/>
    <mergeCell ref="A303:D303"/>
    <mergeCell ref="A313:D313"/>
    <mergeCell ref="A113:D113"/>
    <mergeCell ref="A123:D123"/>
    <mergeCell ref="A133:D133"/>
    <mergeCell ref="A143:D143"/>
    <mergeCell ref="A203:D203"/>
    <mergeCell ref="A213:D213"/>
    <mergeCell ref="A223:D223"/>
    <mergeCell ref="A233:D233"/>
    <mergeCell ref="A243:D24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topLeftCell="B1" zoomScale="70" zoomScaleNormal="70" workbookViewId="0">
      <selection activeCell="E21" sqref="E21"/>
    </sheetView>
  </sheetViews>
  <sheetFormatPr defaultColWidth="8.5546875" defaultRowHeight="14.4"/>
  <cols>
    <col min="1" max="1" width="23.6640625" style="89" customWidth="1"/>
    <col min="2" max="2" width="22.109375" style="89" customWidth="1"/>
    <col min="3" max="3" width="22.5546875" style="89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29" t="s">
        <v>373</v>
      </c>
      <c r="B1" s="129"/>
      <c r="C1" s="129"/>
    </row>
    <row r="2" spans="1:6" ht="24.9" customHeight="1">
      <c r="A2" s="90"/>
      <c r="B2" s="90" t="s">
        <v>374</v>
      </c>
      <c r="C2" s="90" t="s">
        <v>375</v>
      </c>
    </row>
    <row r="3" spans="1:6" ht="24.9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102"/>
  <sheetViews>
    <sheetView zoomScale="85" zoomScaleNormal="85" workbookViewId="0">
      <selection activeCell="I22" sqref="I22"/>
    </sheetView>
  </sheetViews>
  <sheetFormatPr defaultColWidth="8.5546875" defaultRowHeight="14.4"/>
  <cols>
    <col min="2" max="2" width="20.109375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10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2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  <c r="J101">
        <v>-0.15</v>
      </c>
      <c r="K101">
        <v>-0.3</v>
      </c>
      <c r="L101">
        <v>-0.6</v>
      </c>
      <c r="M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2021-11-04T14:17:11Z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