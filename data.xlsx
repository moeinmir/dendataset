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set'!$A$1:$BN$222</definedName>
    <definedName name="_xlnm._FilterDatabase" localSheetId="1" hidden="1">weekly!$A$1:$K$53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45" i="5" l="1"/>
  <c r="G145" i="5"/>
  <c r="F145" i="5"/>
  <c r="H144" i="5" l="1"/>
  <c r="G144" i="5"/>
  <c r="F144" i="5"/>
  <c r="V224" i="1" l="1"/>
  <c r="X222" i="1" l="1"/>
  <c r="H143" i="5" l="1"/>
  <c r="G143" i="5"/>
  <c r="F143" i="5"/>
  <c r="E223" i="1"/>
  <c r="G40" i="2" l="1"/>
  <c r="E40" i="2"/>
  <c r="G220" i="1" l="1"/>
  <c r="K220" i="1"/>
  <c r="M216" i="1"/>
  <c r="L216" i="1"/>
  <c r="D1850" i="3" l="1"/>
  <c r="M215" i="1"/>
  <c r="L215" i="1"/>
  <c r="Y230" i="1"/>
  <c r="Y222" i="1"/>
  <c r="H142" i="5" l="1"/>
  <c r="G142" i="5"/>
  <c r="F142" i="5"/>
  <c r="M214" i="1" l="1"/>
  <c r="L214" i="1"/>
  <c r="I222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1" i="2" l="1"/>
  <c r="E43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26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2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27" i="1"/>
  <c r="N228" i="1"/>
  <c r="N229" i="1"/>
  <c r="N230" i="1"/>
  <c r="N231" i="1"/>
  <c r="N232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4" i="2" l="1"/>
  <c r="J43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2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2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3" i="2"/>
  <c r="G52" i="2"/>
  <c r="G51" i="2"/>
  <c r="G50" i="2"/>
  <c r="G49" i="2"/>
  <c r="G48" i="2"/>
  <c r="G47" i="2"/>
  <c r="G46" i="2"/>
  <c r="G45" i="2"/>
  <c r="C41" i="2"/>
  <c r="B41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5" i="2" s="1"/>
  <c r="G16" i="2"/>
  <c r="E16" i="2"/>
  <c r="C47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0" i="1" l="1"/>
  <c r="S1" i="1" s="1"/>
  <c r="M220" i="1"/>
  <c r="U1" i="1" s="1"/>
</calcChain>
</file>

<file path=xl/sharedStrings.xml><?xml version="1.0" encoding="utf-8"?>
<sst xmlns="http://schemas.openxmlformats.org/spreadsheetml/2006/main" count="1962" uniqueCount="561">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</sst>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1190816"/>
        <c:axId val="-561186464"/>
      </c:lineChart>
      <c:catAx>
        <c:axId val="-56119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86464"/>
        <c:crosses val="autoZero"/>
        <c:auto val="1"/>
        <c:lblAlgn val="ctr"/>
        <c:lblOffset val="100"/>
        <c:noMultiLvlLbl val="0"/>
      </c:catAx>
      <c:valAx>
        <c:axId val="-5611864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081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13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weekly!$B$27:$B$40</c15:sqref>
                  </c15:fullRef>
                </c:ext>
              </c:extLst>
              <c:f>weekly!$B$28:$B$40</c:f>
              <c:numCache>
                <c:formatCode>General</c:formatCode>
                <c:ptCount val="13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weekly!$H$27:$H$40</c15:sqref>
                  </c15:fullRef>
                </c:ext>
              </c:extLst>
              <c:f>weekly!$H$28:$H$40</c:f>
              <c:numCache>
                <c:formatCode>General</c:formatCode>
                <c:ptCount val="13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1198976"/>
        <c:axId val="-561185920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56119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85920"/>
        <c:crosses val="autoZero"/>
        <c:auto val="1"/>
        <c:lblAlgn val="ctr"/>
        <c:lblOffset val="100"/>
        <c:noMultiLvlLbl val="0"/>
      </c:catAx>
      <c:valAx>
        <c:axId val="-561185920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897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1199520"/>
        <c:axId val="-561195712"/>
      </c:lineChart>
      <c:catAx>
        <c:axId val="-56119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5712"/>
        <c:crosses val="autoZero"/>
        <c:auto val="1"/>
        <c:lblAlgn val="ctr"/>
        <c:lblOffset val="100"/>
        <c:noMultiLvlLbl val="0"/>
      </c:catAx>
      <c:valAx>
        <c:axId val="-5611957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952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1195168"/>
        <c:axId val="-561194624"/>
      </c:lineChart>
      <c:catAx>
        <c:axId val="-56119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4624"/>
        <c:crosses val="autoZero"/>
        <c:auto val="1"/>
        <c:lblAlgn val="ctr"/>
        <c:lblOffset val="100"/>
        <c:noMultiLvlLbl val="0"/>
      </c:catAx>
      <c:valAx>
        <c:axId val="-5611946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51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561193536"/>
        <c:axId val="-764351664"/>
      </c:lineChart>
      <c:catAx>
        <c:axId val="-561193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4351664"/>
        <c:crosses val="autoZero"/>
        <c:auto val="1"/>
        <c:lblAlgn val="ctr"/>
        <c:lblOffset val="100"/>
        <c:noMultiLvlLbl val="0"/>
      </c:catAx>
      <c:valAx>
        <c:axId val="-7643516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5611935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13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weekly!$C$27:$C$40</c15:sqref>
                  </c15:fullRef>
                </c:ext>
              </c:extLst>
              <c:f>weekly!$C$28:$C$40</c:f>
              <c:numCache>
                <c:formatCode>General</c:formatCode>
                <c:ptCount val="13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weekly!$A$27:$A$40</c15:sqref>
                  </c15:fullRef>
                </c:ext>
              </c:extLst>
              <c:f>weekly!$A$28:$A$40</c:f>
              <c:strCache>
                <c:ptCount val="13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weekly!$I$27:$I$40</c15:sqref>
                  </c15:fullRef>
                </c:ext>
              </c:extLst>
              <c:f>weekly!$I$28:$I$40</c:f>
              <c:numCache>
                <c:formatCode>General</c:formatCode>
                <c:ptCount val="13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64340240"/>
        <c:axId val="-472747168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weekly!$A$27:$A$40</c15:sqref>
                        </c15:fullRef>
                        <c15:formulaRef>
                          <c15:sqref>weekly!$A$28:$A$40</c15:sqref>
                        </c15:formulaRef>
                      </c:ext>
                    </c:extLst>
                    <c:strCache>
                      <c:ptCount val="13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764340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72747168"/>
        <c:crosses val="autoZero"/>
        <c:auto val="1"/>
        <c:lblAlgn val="ctr"/>
        <c:lblOffset val="100"/>
        <c:noMultiLvlLbl val="0"/>
      </c:catAx>
      <c:valAx>
        <c:axId val="-472747168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6434024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472758048"/>
        <c:axId val="-472757504"/>
      </c:barChart>
      <c:catAx>
        <c:axId val="-472758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72757504"/>
        <c:crosses val="autoZero"/>
        <c:auto val="1"/>
        <c:lblAlgn val="ctr"/>
        <c:lblOffset val="100"/>
        <c:noMultiLvlLbl val="0"/>
      </c:catAx>
      <c:valAx>
        <c:axId val="-4727575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7275804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 13 دی ماه سال 1400</a:t>
            </a:r>
            <a:r>
              <a:rPr lang="fa-IR" sz="1400" b="1" strike="noStrike" spc="-1">
                <a:solidFill>
                  <a:srgbClr val="595959"/>
                </a:solidFill>
                <a:latin typeface="Calibri"/>
              </a:rPr>
              <a:t>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3"/>
          <c:order val="6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change'!$F$145:$I$145</c:f>
              <c:numCache>
                <c:formatCode>General</c:formatCode>
                <c:ptCount val="4"/>
                <c:pt idx="0">
                  <c:v>-0.33898305084745761</c:v>
                </c:pt>
                <c:pt idx="1">
                  <c:v>7.6540375047837728E-2</c:v>
                </c:pt>
                <c:pt idx="2">
                  <c:v>-0.35645098798915148</c:v>
                </c:pt>
                <c:pt idx="3">
                  <c:v>-0.22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472748800"/>
        <c:axId val="-47276131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47274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72761312"/>
        <c:crosses val="autoZero"/>
        <c:auto val="1"/>
        <c:lblAlgn val="ctr"/>
        <c:lblOffset val="100"/>
        <c:noMultiLvlLbl val="0"/>
      </c:catAx>
      <c:valAx>
        <c:axId val="-472761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47274880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595</xdr:row>
      <xdr:rowOff>102960</xdr:rowOff>
    </xdr:from>
    <xdr:to>
      <xdr:col>11</xdr:col>
      <xdr:colOff>279360</xdr:colOff>
      <xdr:row>625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175</xdr:row>
      <xdr:rowOff>27711</xdr:rowOff>
    </xdr:from>
    <xdr:to>
      <xdr:col>41</xdr:col>
      <xdr:colOff>533400</xdr:colOff>
      <xdr:row>280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311</xdr:row>
      <xdr:rowOff>0</xdr:rowOff>
    </xdr:from>
    <xdr:to>
      <xdr:col>82</xdr:col>
      <xdr:colOff>0</xdr:colOff>
      <xdr:row>387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630</xdr:row>
      <xdr:rowOff>0</xdr:rowOff>
    </xdr:from>
    <xdr:to>
      <xdr:col>13</xdr:col>
      <xdr:colOff>354240</xdr:colOff>
      <xdr:row>660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410</xdr:row>
      <xdr:rowOff>0</xdr:rowOff>
    </xdr:from>
    <xdr:to>
      <xdr:col>83</xdr:col>
      <xdr:colOff>533400</xdr:colOff>
      <xdr:row>509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58</xdr:row>
      <xdr:rowOff>76321</xdr:rowOff>
    </xdr:from>
    <xdr:to>
      <xdr:col>44</xdr:col>
      <xdr:colOff>533400</xdr:colOff>
      <xdr:row>157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887051</xdr:colOff>
      <xdr:row>6</xdr:row>
      <xdr:rowOff>24833</xdr:rowOff>
    </xdr:from>
    <xdr:to>
      <xdr:col>7</xdr:col>
      <xdr:colOff>1155787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35"/>
  <sheetViews>
    <sheetView tabSelected="1" topLeftCell="W1" zoomScaleNormal="100" workbookViewId="0">
      <selection activeCell="Y219" sqref="Y219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L220/G220</f>
        <v>25525.574323740966</v>
      </c>
      <c r="T1" s="3" t="s">
        <v>15</v>
      </c>
      <c r="U1" s="3">
        <f>M220/K220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hidden="1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 hidden="1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 hidden="1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 hidden="1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hidden="1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 hidden="1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 hidden="1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 hidden="1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 hidden="1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 hidden="1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 hidden="1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 hidden="1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 hidden="1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 hidden="1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 hidden="1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 hidden="1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 hidden="1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 hidden="1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 hidden="1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 hidden="1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 hidden="1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hidden="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hidden="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hidden="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hidden="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hidden="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hidden="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hidden="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hidden="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hidden="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hidden="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hidden="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hidden="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hidden="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hidden="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hidden="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hidden="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hidden="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hidden="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hidden="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hidden="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hidden="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hidden="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hidden="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hidden="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hidden="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hidden="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hidden="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hidden="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hidden="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hidden="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hidden="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hidden="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hidden="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hidden="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hidden="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hidden="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hidden="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hidden="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hidden="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hidden="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hidden="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hidden="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hidden="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hidden="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hidden="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hidden="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hidden="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hidden="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hidden="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hidden="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hidden="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hidden="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hidden="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hidden="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hidden="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hidden="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hidden="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hidden="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hidden="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hidden="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hidden="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hidden="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hidden="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hidden="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hidden="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hidden="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hidden="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hidden="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hidden="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hidden="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hidden="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hidden="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hidden="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hidden="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hidden="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hidden="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hidden="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hidden="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hidden="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hidden="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hidden="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hidden="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hidden="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hidden="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hidden="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hidden="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hidden="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hidden="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hidden="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hidden="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hidden="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hidden="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hidden="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hidden="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hidden="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hidden="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hidden="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hidden="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hidden="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hidden="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hidden="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hidden="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hidden="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hidden="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hidden="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hidden="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hidden="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hidden="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hidden="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hidden="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hidden="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hidden="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 hidden="1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hidden="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hidden="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hidden="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hidden="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hidden="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hidden="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hidden="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hidden="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hidden="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hidden="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hidden="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hidden="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hidden="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hidden="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hidden="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hidden="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hidden="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hidden="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hidden="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hidden="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hidden="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hidden="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hidden="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hidden="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hidden="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hidden="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hidden="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hidden="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hidden="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hidden="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hidden="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hidden="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hidden="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hidden="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hidden="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hidden="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hidden="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hidden="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hidden="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hidden="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hidden="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hidden="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hidden="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hidden="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hidden="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hidden="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hidden="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hidden="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hidden="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hidden="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hidden="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hidden="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hidden="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hidden="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hidden="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hidden="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hidden="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hidden="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hidden="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hidden="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hidden="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 hidden="1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 hidden="1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 hidden="1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 hidden="1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 hidden="1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 hidden="1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 hidden="1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 hidden="1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6" customFormat="1" ht="18">
      <c r="B219" s="131" t="s">
        <v>559</v>
      </c>
      <c r="C219" s="104">
        <v>13</v>
      </c>
      <c r="D219" s="137">
        <v>27179</v>
      </c>
      <c r="E219" s="136">
        <v>27177</v>
      </c>
      <c r="F219" s="136">
        <v>27174</v>
      </c>
      <c r="H219" s="136">
        <v>30700</v>
      </c>
      <c r="I219" s="136">
        <v>30699</v>
      </c>
      <c r="J219" s="136">
        <v>30681</v>
      </c>
      <c r="L219" s="208"/>
      <c r="M219" s="208"/>
      <c r="N219" s="136">
        <v>27492</v>
      </c>
      <c r="O219" s="136">
        <v>31006</v>
      </c>
      <c r="P219" s="136">
        <v>27451</v>
      </c>
      <c r="Q219" s="136">
        <v>31007</v>
      </c>
      <c r="V219" s="136">
        <v>29490</v>
      </c>
      <c r="X219" s="136">
        <v>29400</v>
      </c>
      <c r="Y219" s="136">
        <v>33402</v>
      </c>
      <c r="Z219" s="138"/>
      <c r="AB219" s="137"/>
      <c r="AS219" s="137"/>
      <c r="AW219" s="137"/>
      <c r="BI219" s="177"/>
      <c r="BO219" s="151"/>
      <c r="BP219" s="151"/>
      <c r="BQ219" s="151"/>
    </row>
    <row r="220" spans="2:69" ht="18">
      <c r="D220" s="26"/>
      <c r="G220">
        <f>SUM(G2:G216)</f>
        <v>1507843699</v>
      </c>
      <c r="K220">
        <f>SUM(K2:K216)</f>
        <v>210358000</v>
      </c>
      <c r="L220" s="142">
        <f>SUM(L2:L216)</f>
        <v>38488576407409</v>
      </c>
      <c r="M220" s="142">
        <f>SUM(M2:M216)</f>
        <v>6182194847600</v>
      </c>
      <c r="V220" s="144">
        <v>29450</v>
      </c>
      <c r="Z220" s="25"/>
      <c r="AS220" s="26"/>
      <c r="AW220" s="30"/>
    </row>
    <row r="221" spans="2:69" ht="18">
      <c r="V221" s="144"/>
      <c r="Z221" s="25"/>
      <c r="AS221" s="26"/>
      <c r="AW221" s="30"/>
    </row>
    <row r="222" spans="2:69" ht="18">
      <c r="I222">
        <f>(G214-G220)/G214</f>
        <v>-187.200514110261</v>
      </c>
      <c r="J222">
        <f>J206-J205</f>
        <v>-347</v>
      </c>
      <c r="V222" s="144"/>
      <c r="W222" s="152"/>
      <c r="X222">
        <f>X217-X216</f>
        <v>-190</v>
      </c>
      <c r="Y222">
        <f>X215-X214</f>
        <v>170</v>
      </c>
      <c r="Z222" s="25"/>
      <c r="AS222" s="26"/>
      <c r="AW222" s="30"/>
    </row>
    <row r="223" spans="2:69" ht="18">
      <c r="D223" s="93"/>
      <c r="E223">
        <f>D217-F216</f>
        <v>54</v>
      </c>
      <c r="V223" s="129"/>
      <c r="W223" s="152"/>
      <c r="Z223" s="25"/>
      <c r="AW223" s="30"/>
    </row>
    <row r="224" spans="2:69" ht="17.25" customHeight="1">
      <c r="D224" s="93"/>
      <c r="P224" t="s">
        <v>523</v>
      </c>
      <c r="Q224" t="s">
        <v>524</v>
      </c>
      <c r="V224" s="25">
        <f>V218-X217</f>
        <v>-50</v>
      </c>
      <c r="W224" s="152"/>
      <c r="Z224" s="25"/>
    </row>
    <row r="225" spans="4:26" ht="18">
      <c r="D225" s="93"/>
      <c r="O225" s="126" t="s">
        <v>503</v>
      </c>
      <c r="P225">
        <v>-178</v>
      </c>
      <c r="Q225">
        <v>-180</v>
      </c>
      <c r="V225" s="25"/>
      <c r="W225" s="152"/>
      <c r="Z225" s="25"/>
    </row>
    <row r="226" spans="4:26" ht="18">
      <c r="D226" s="93"/>
      <c r="H226">
        <f>(27376-26532)/26532</f>
        <v>3.1810643750942259E-2</v>
      </c>
      <c r="O226" s="132" t="s">
        <v>505</v>
      </c>
      <c r="P226">
        <v>59</v>
      </c>
      <c r="Q226">
        <v>59</v>
      </c>
      <c r="V226" s="25"/>
      <c r="W226" s="152"/>
    </row>
    <row r="227" spans="4:26" ht="18">
      <c r="D227" s="93"/>
      <c r="N227">
        <f t="shared" ref="N227:N231" si="38">N199-N198</f>
        <v>-15</v>
      </c>
      <c r="O227" s="132" t="s">
        <v>507</v>
      </c>
      <c r="P227">
        <v>-17</v>
      </c>
      <c r="Q227">
        <v>-16</v>
      </c>
      <c r="V227" s="25"/>
      <c r="W227" s="152"/>
    </row>
    <row r="228" spans="4:26" ht="18">
      <c r="D228" s="107"/>
      <c r="N228">
        <f t="shared" si="38"/>
        <v>-12</v>
      </c>
      <c r="O228" s="132" t="s">
        <v>509</v>
      </c>
      <c r="P228">
        <v>-163</v>
      </c>
      <c r="Q228">
        <v>-165</v>
      </c>
      <c r="W228" s="144"/>
    </row>
    <row r="229" spans="4:26" ht="18">
      <c r="D229" s="107"/>
      <c r="N229">
        <f t="shared" si="38"/>
        <v>-137</v>
      </c>
      <c r="O229" s="132" t="s">
        <v>511</v>
      </c>
      <c r="P229">
        <v>50</v>
      </c>
      <c r="Q229">
        <v>50</v>
      </c>
      <c r="W229" s="144"/>
      <c r="X229" s="109"/>
    </row>
    <row r="230" spans="4:26" ht="18">
      <c r="D230" s="113"/>
      <c r="N230">
        <f t="shared" si="38"/>
        <v>-138</v>
      </c>
      <c r="O230" s="145" t="s">
        <v>513</v>
      </c>
      <c r="P230">
        <v>-15</v>
      </c>
      <c r="Q230">
        <v>-15</v>
      </c>
      <c r="W230" s="144"/>
      <c r="X230" s="109"/>
      <c r="Y230">
        <f>(W228-X215)/X215</f>
        <v>-1</v>
      </c>
    </row>
    <row r="231" spans="4:26" ht="18">
      <c r="D231" s="107"/>
      <c r="G231" s="9"/>
      <c r="N231">
        <f t="shared" si="38"/>
        <v>-43</v>
      </c>
      <c r="O231" s="145" t="s">
        <v>515</v>
      </c>
      <c r="P231">
        <v>-12</v>
      </c>
      <c r="Q231">
        <v>-12</v>
      </c>
      <c r="X231" s="109"/>
    </row>
    <row r="232" spans="4:26" ht="18">
      <c r="D232" s="103"/>
      <c r="G232" s="9"/>
      <c r="N232">
        <f>N220-N203</f>
        <v>-27379</v>
      </c>
      <c r="O232" s="148" t="s">
        <v>517</v>
      </c>
      <c r="P232">
        <v>-136</v>
      </c>
      <c r="Q232">
        <v>-137</v>
      </c>
      <c r="X232" s="109"/>
    </row>
    <row r="233" spans="4:26" ht="18">
      <c r="G233" s="9"/>
      <c r="O233" s="145" t="s">
        <v>519</v>
      </c>
      <c r="P233">
        <v>-137</v>
      </c>
      <c r="Q233">
        <v>-138</v>
      </c>
      <c r="X233" s="109"/>
    </row>
    <row r="234" spans="4:26" ht="18">
      <c r="G234" s="9"/>
      <c r="O234" s="131" t="s">
        <v>521</v>
      </c>
      <c r="P234">
        <v>-42</v>
      </c>
      <c r="Q234">
        <v>-43</v>
      </c>
      <c r="X234" s="109"/>
    </row>
    <row r="235" spans="4:26" ht="18">
      <c r="G235" s="9"/>
    </row>
  </sheetData>
  <autoFilter ref="A1:BN222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3"/>
  <sheetViews>
    <sheetView topLeftCell="B1" zoomScale="85" zoomScaleNormal="85" workbookViewId="0">
      <selection activeCell="D12" sqref="D12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>
      <c r="B41">
        <f>(B2-B8)/B2</f>
        <v>0.15346494762288476</v>
      </c>
      <c r="C41">
        <f>(C2-C8)/C2</f>
        <v>0.1154959674639829</v>
      </c>
      <c r="D41">
        <f>SUM(D2:D39)/38</f>
        <v>37702089.447368421</v>
      </c>
    </row>
    <row r="43" spans="1:11">
      <c r="E43">
        <f>(D39-D41)/D41</f>
        <v>0.21324840799221964</v>
      </c>
      <c r="J43">
        <f>(D36-D35)/D35</f>
        <v>-0.50773339408667473</v>
      </c>
    </row>
    <row r="44" spans="1:11">
      <c r="F44">
        <f>(F36-F35)/F35</f>
        <v>-0.62892307692307692</v>
      </c>
    </row>
    <row r="45" spans="1:11">
      <c r="D45">
        <v>5375132</v>
      </c>
      <c r="E45">
        <f>(E17-D45)/D45</f>
        <v>4.5958809321644006E-2</v>
      </c>
      <c r="G45">
        <f t="shared" ref="G45:G53" si="2">B3-B2</f>
        <v>-554</v>
      </c>
    </row>
    <row r="46" spans="1:11">
      <c r="G46">
        <f t="shared" si="2"/>
        <v>-302</v>
      </c>
    </row>
    <row r="47" spans="1:11">
      <c r="C47">
        <f>(D45-E16)/E16</f>
        <v>0.17110375179746395</v>
      </c>
      <c r="G47">
        <f t="shared" si="2"/>
        <v>-511</v>
      </c>
    </row>
    <row r="48" spans="1:11">
      <c r="G48">
        <f t="shared" si="2"/>
        <v>-362</v>
      </c>
    </row>
    <row r="49" spans="6:10">
      <c r="G49">
        <f t="shared" si="2"/>
        <v>-1699</v>
      </c>
    </row>
    <row r="50" spans="6:10">
      <c r="G50">
        <f t="shared" si="2"/>
        <v>-381</v>
      </c>
    </row>
    <row r="51" spans="6:10">
      <c r="G51">
        <f t="shared" si="2"/>
        <v>1075</v>
      </c>
    </row>
    <row r="52" spans="6:10">
      <c r="F52">
        <f>(F33-F32)/F32</f>
        <v>0.23948268173034043</v>
      </c>
      <c r="G52">
        <f t="shared" si="2"/>
        <v>151</v>
      </c>
      <c r="J52">
        <f>(F34-F35)/F34</f>
        <v>0.13877341459779063</v>
      </c>
    </row>
    <row r="53" spans="6:10">
      <c r="G53">
        <f t="shared" si="2"/>
        <v>1043</v>
      </c>
    </row>
  </sheetData>
  <autoFilter ref="A1:K53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86"/>
  <sheetViews>
    <sheetView topLeftCell="A1872" zoomScaleNormal="100" workbookViewId="0">
      <selection activeCell="B1888" sqref="B1888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</sheetData>
  <mergeCells count="163"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36:D1136"/>
    <mergeCell ref="A1294:D1294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197:D1197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441:D1441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878:C1878"/>
    <mergeCell ref="A1866:C1866"/>
    <mergeCell ref="A1854:C1854"/>
    <mergeCell ref="A1842:C1842"/>
    <mergeCell ref="A1816:C1816"/>
    <mergeCell ref="A1791:C1791"/>
    <mergeCell ref="A1779:C1779"/>
    <mergeCell ref="A1754:C1754"/>
    <mergeCell ref="A1742:C1742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C10" sqref="C10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45"/>
  <sheetViews>
    <sheetView zoomScale="85" zoomScaleNormal="85" workbookViewId="0">
      <selection activeCell="K18" sqref="K17:K18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45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45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45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2022-01-03T13:18:34Z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