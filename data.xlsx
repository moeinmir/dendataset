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set'!$A$1:$BL$192</definedName>
    <definedName name="_xlnm._FilterDatabase" localSheetId="1" hidden="1">weekly!$A$1:$K$48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192" i="1" l="1"/>
  <c r="H118" i="5"/>
  <c r="G118" i="5"/>
  <c r="F118" i="5"/>
  <c r="J4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88" i="1" l="1"/>
  <c r="F190" i="1" s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H191" i="1"/>
  <c r="M176" i="1" l="1"/>
  <c r="L176" i="1"/>
  <c r="H109" i="5" l="1"/>
  <c r="G109" i="5"/>
  <c r="F109" i="5"/>
  <c r="M175" i="1" l="1"/>
  <c r="L175" i="1"/>
  <c r="H108" i="5" l="1"/>
  <c r="G108" i="5"/>
  <c r="F108" i="5"/>
  <c r="F4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203" i="1"/>
  <c r="H102" i="5" l="1"/>
  <c r="G102" i="5"/>
  <c r="F102" i="5"/>
  <c r="I192" i="1" l="1"/>
  <c r="H101" i="5" l="1"/>
  <c r="G101" i="5"/>
  <c r="F101" i="5"/>
  <c r="G193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8" i="2"/>
  <c r="G47" i="2"/>
  <c r="G46" i="2"/>
  <c r="G45" i="2"/>
  <c r="G44" i="2"/>
  <c r="G43" i="2"/>
  <c r="G42" i="2"/>
  <c r="G41" i="2"/>
  <c r="G40" i="2"/>
  <c r="D36" i="2"/>
  <c r="C36" i="2"/>
  <c r="B3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0" i="2" s="1"/>
  <c r="G16" i="2"/>
  <c r="E16" i="2"/>
  <c r="C4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92" i="1"/>
  <c r="AW195" i="1" s="1"/>
  <c r="AU192" i="1"/>
  <c r="T192" i="1"/>
  <c r="BB191" i="1"/>
  <c r="AY190" i="1"/>
  <c r="BJ188" i="1"/>
  <c r="BI188" i="1"/>
  <c r="K188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88" i="1" l="1"/>
  <c r="U1" i="1" s="1"/>
  <c r="L188" i="1"/>
  <c r="S1" i="1" s="1"/>
</calcChain>
</file>

<file path=xl/sharedStrings.xml><?xml version="1.0" encoding="utf-8"?>
<sst xmlns="http://schemas.openxmlformats.org/spreadsheetml/2006/main" count="1638" uniqueCount="490">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</sst>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0486320"/>
        <c:axId val="1090490128"/>
      </c:lineChart>
      <c:catAx>
        <c:axId val="109048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90128"/>
        <c:crosses val="autoZero"/>
        <c:auto val="1"/>
        <c:lblAlgn val="ctr"/>
        <c:lblOffset val="100"/>
        <c:noMultiLvlLbl val="0"/>
      </c:catAx>
      <c:valAx>
        <c:axId val="10904901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863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weekly!$B$27:$B$35</c15:sqref>
                  </c15:fullRef>
                </c:ext>
              </c:extLst>
              <c:f>weekly!$B$28:$B$35</c:f>
              <c:numCache>
                <c:formatCode>General</c:formatCode>
                <c:ptCount val="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weekly!$H$27:$H$35</c15:sqref>
                  </c15:fullRef>
                </c:ext>
              </c:extLst>
              <c:f>weekly!$H$28:$H$35</c:f>
              <c:numCache>
                <c:formatCode>General</c:formatCode>
                <c:ptCount val="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weekly!$J$27:$J$35</c15:sqref>
                  </c15:fullRef>
                </c:ext>
              </c:extLst>
              <c:f>weekly!$J$28:$J$35</c:f>
              <c:numCache>
                <c:formatCode>General</c:formatCode>
                <c:ptCount val="8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0496112"/>
        <c:axId val="1090490672"/>
      </c:lineChart>
      <c:catAx>
        <c:axId val="109049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90672"/>
        <c:crosses val="autoZero"/>
        <c:auto val="1"/>
        <c:lblAlgn val="ctr"/>
        <c:lblOffset val="100"/>
        <c:noMultiLvlLbl val="0"/>
      </c:catAx>
      <c:valAx>
        <c:axId val="109049067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961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پنجم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weekly!$D$2:$D$35</c:f>
              <c:numCache>
                <c:formatCode>General</c:formatCode>
                <c:ptCount val="3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0486864"/>
        <c:axId val="1090487408"/>
      </c:lineChart>
      <c:catAx>
        <c:axId val="109048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87408"/>
        <c:crosses val="autoZero"/>
        <c:auto val="1"/>
        <c:lblAlgn val="ctr"/>
        <c:lblOffset val="100"/>
        <c:noMultiLvlLbl val="0"/>
      </c:catAx>
      <c:valAx>
        <c:axId val="10904874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86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0491760"/>
        <c:axId val="1090492304"/>
      </c:lineChart>
      <c:catAx>
        <c:axId val="109049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92304"/>
        <c:crosses val="autoZero"/>
        <c:auto val="1"/>
        <c:lblAlgn val="ctr"/>
        <c:lblOffset val="100"/>
        <c:noMultiLvlLbl val="0"/>
      </c:catAx>
      <c:valAx>
        <c:axId val="1090492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917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پنجم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weekly!$F$2:$F$35</c:f>
              <c:numCache>
                <c:formatCode>General</c:formatCode>
                <c:ptCount val="3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0493392"/>
        <c:axId val="1090492848"/>
      </c:lineChart>
      <c:catAx>
        <c:axId val="109049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92848"/>
        <c:crosses val="autoZero"/>
        <c:auto val="1"/>
        <c:lblAlgn val="ctr"/>
        <c:lblOffset val="100"/>
        <c:noMultiLvlLbl val="0"/>
      </c:catAx>
      <c:valAx>
        <c:axId val="10904928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93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weekly!$C$27:$C$35</c15:sqref>
                  </c15:fullRef>
                </c:ext>
              </c:extLst>
              <c:f>weekly!$C$28:$C$35</c:f>
              <c:numCache>
                <c:formatCode>General</c:formatCode>
                <c:ptCount val="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weekly!$K$27:$K$35</c15:sqref>
                  </c15:fullRef>
                </c:ext>
              </c:extLst>
              <c:f>weekly!$K$28:$K$35</c:f>
              <c:numCache>
                <c:formatCode>General</c:formatCode>
                <c:ptCount val="8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weekly!$I$27:$I$35</c15:sqref>
                  </c15:fullRef>
                </c:ext>
              </c:extLst>
              <c:f>weekly!$I$28:$I$35</c:f>
              <c:numCache>
                <c:formatCode>General</c:formatCode>
                <c:ptCount val="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90475904"/>
        <c:axId val="1090469920"/>
      </c:lineChart>
      <c:catAx>
        <c:axId val="10904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69920"/>
        <c:crosses val="autoZero"/>
        <c:auto val="1"/>
        <c:lblAlgn val="ctr"/>
        <c:lblOffset val="100"/>
        <c:noMultiLvlLbl val="0"/>
      </c:catAx>
      <c:valAx>
        <c:axId val="1090469920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759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0467200"/>
        <c:axId val="1090465568"/>
      </c:barChart>
      <c:catAx>
        <c:axId val="109046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65568"/>
        <c:crosses val="autoZero"/>
        <c:auto val="1"/>
        <c:lblAlgn val="ctr"/>
        <c:lblOffset val="100"/>
        <c:noMultiLvlLbl val="0"/>
      </c:catAx>
      <c:valAx>
        <c:axId val="10904655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672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1400" b="1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36"/>
          <c:order val="3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change'!$F$118:$I$118</c:f>
              <c:numCache>
                <c:formatCode>General</c:formatCode>
                <c:ptCount val="4"/>
                <c:pt idx="0">
                  <c:v>0.34423407917383819</c:v>
                </c:pt>
                <c:pt idx="1">
                  <c:v>-0.74921135646687698</c:v>
                </c:pt>
                <c:pt idx="2">
                  <c:v>0.92176979801218339</c:v>
                </c:pt>
                <c:pt idx="3">
                  <c:v>-1.97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90476448"/>
        <c:axId val="10904704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</c:ext>
        </c:extLst>
      </c:barChart>
      <c:catAx>
        <c:axId val="1090476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70464"/>
        <c:crosses val="autoZero"/>
        <c:auto val="1"/>
        <c:lblAlgn val="ctr"/>
        <c:lblOffset val="100"/>
        <c:noMultiLvlLbl val="0"/>
      </c:catAx>
      <c:valAx>
        <c:axId val="10904704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904764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590</xdr:row>
      <xdr:rowOff>102960</xdr:rowOff>
    </xdr:from>
    <xdr:to>
      <xdr:col>11</xdr:col>
      <xdr:colOff>279360</xdr:colOff>
      <xdr:row>620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170</xdr:row>
      <xdr:rowOff>27711</xdr:rowOff>
    </xdr:from>
    <xdr:to>
      <xdr:col>41</xdr:col>
      <xdr:colOff>533400</xdr:colOff>
      <xdr:row>275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306</xdr:row>
      <xdr:rowOff>0</xdr:rowOff>
    </xdr:from>
    <xdr:to>
      <xdr:col>82</xdr:col>
      <xdr:colOff>0</xdr:colOff>
      <xdr:row>382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625</xdr:row>
      <xdr:rowOff>0</xdr:rowOff>
    </xdr:from>
    <xdr:to>
      <xdr:col>13</xdr:col>
      <xdr:colOff>354240</xdr:colOff>
      <xdr:row>655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405</xdr:row>
      <xdr:rowOff>0</xdr:rowOff>
    </xdr:from>
    <xdr:to>
      <xdr:col>83</xdr:col>
      <xdr:colOff>533400</xdr:colOff>
      <xdr:row>504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53</xdr:row>
      <xdr:rowOff>76321</xdr:rowOff>
    </xdr:from>
    <xdr:to>
      <xdr:col>44</xdr:col>
      <xdr:colOff>533400</xdr:colOff>
      <xdr:row>152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5"/>
  <sheetViews>
    <sheetView tabSelected="1" topLeftCell="B96" zoomScale="85" zoomScaleNormal="85" workbookViewId="0">
      <selection activeCell="E103" sqref="E103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L188/G188</f>
        <v>4744477.4245468983</v>
      </c>
      <c r="T1" s="3" t="s">
        <v>15</v>
      </c>
      <c r="U1" s="3">
        <f>M188/K188</f>
        <v>44902.766315506124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K188/K62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6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86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2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2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3"/>
        <v>338444332800</v>
      </c>
      <c r="M185" s="99">
        <f t="shared" si="22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</row>
    <row r="186" spans="1:62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3"/>
        <v>209181897600</v>
      </c>
      <c r="M186" s="99">
        <f t="shared" si="22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</row>
    <row r="187" spans="1:62" s="113" customFormat="1" ht="21" customHeight="1">
      <c r="A187" s="109"/>
      <c r="B187" s="110" t="s">
        <v>488</v>
      </c>
      <c r="C187" s="111">
        <v>6</v>
      </c>
      <c r="D187" s="112">
        <v>27760</v>
      </c>
      <c r="E187" s="111">
        <v>26482</v>
      </c>
      <c r="F187" s="111"/>
      <c r="G187" s="111">
        <v>3812700</v>
      </c>
      <c r="H187" s="111">
        <v>31765</v>
      </c>
      <c r="I187" s="111">
        <v>30300</v>
      </c>
      <c r="K187" s="111">
        <v>280400</v>
      </c>
      <c r="L187" s="137"/>
      <c r="M187" s="137"/>
      <c r="N187" s="113">
        <v>26746</v>
      </c>
      <c r="O187" s="113">
        <v>30603</v>
      </c>
      <c r="P187" s="113">
        <v>28037</v>
      </c>
      <c r="Q187" s="113">
        <v>32083</v>
      </c>
      <c r="R187" s="111"/>
      <c r="S187" s="111"/>
      <c r="T187" s="111"/>
      <c r="U187" s="111"/>
      <c r="V187" s="113">
        <v>29270</v>
      </c>
      <c r="X187" s="113">
        <v>29150</v>
      </c>
      <c r="Y187" s="113">
        <v>33100</v>
      </c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/>
      <c r="AP187" s="111"/>
      <c r="AQ187" s="111"/>
      <c r="AR187" s="111"/>
      <c r="AS187" s="112"/>
      <c r="AT187" s="112"/>
      <c r="AU187" s="112"/>
      <c r="AV187" s="112"/>
      <c r="AW187" s="112"/>
      <c r="AX187" s="112"/>
      <c r="AY187" s="111"/>
      <c r="AZ187" s="111"/>
      <c r="BA187" s="111"/>
      <c r="BB187" s="111"/>
      <c r="BC187" s="111"/>
      <c r="BE187" s="114"/>
      <c r="BF187" s="114"/>
      <c r="BG187" s="114"/>
      <c r="BH187" s="114"/>
    </row>
    <row r="188" spans="1:62" ht="18">
      <c r="A188" s="7"/>
      <c r="B188" s="8"/>
      <c r="C188" s="8"/>
      <c r="D188" s="26"/>
      <c r="E188" s="8"/>
      <c r="F188" s="8"/>
      <c r="G188" s="8">
        <f>SUM(G2:G182)/181</f>
        <v>6809377.3425414367</v>
      </c>
      <c r="H188" s="8"/>
      <c r="I188" s="8"/>
      <c r="J188" s="8"/>
      <c r="K188" s="8">
        <f>SUM(K2:K126)</f>
        <v>125564600</v>
      </c>
      <c r="L188" s="8">
        <f>SUM(L2:L186)</f>
        <v>32306937076909</v>
      </c>
      <c r="M188" s="9">
        <f>SUM(M2:M186)</f>
        <v>5638197891300</v>
      </c>
      <c r="N188" s="9"/>
      <c r="O188" s="9"/>
      <c r="P188" s="9"/>
      <c r="Q188" s="9"/>
      <c r="R188" s="9"/>
      <c r="S188" s="9"/>
      <c r="T188" s="9"/>
      <c r="U188" s="9"/>
      <c r="V188" s="119">
        <v>29260</v>
      </c>
      <c r="W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Y188" s="9"/>
      <c r="AZ188" s="9"/>
      <c r="BA188" s="9"/>
      <c r="BB188" s="9"/>
      <c r="BC188" s="9"/>
      <c r="BD188" s="9"/>
      <c r="BE188" s="10"/>
      <c r="BF188" s="10"/>
      <c r="BG188" s="10"/>
      <c r="BH188" s="10"/>
      <c r="BI188" t="e">
        <f>#REF!-N188</f>
        <v>#REF!</v>
      </c>
      <c r="BJ188" t="e">
        <f>(Y188-O188)/O188</f>
        <v>#DIV/0!</v>
      </c>
    </row>
    <row r="189" spans="1:62" ht="18">
      <c r="D189" s="26"/>
      <c r="V189" s="135">
        <v>29300</v>
      </c>
      <c r="Z189" s="25"/>
      <c r="AB189" s="25"/>
      <c r="AS189" s="25"/>
      <c r="AW189" s="30"/>
    </row>
    <row r="190" spans="1:62" ht="18">
      <c r="D190" s="26"/>
      <c r="F190">
        <f>(G182-G188)/G188</f>
        <v>0.67541016250129726</v>
      </c>
      <c r="V190" s="135">
        <v>29260</v>
      </c>
      <c r="Z190" s="25"/>
      <c r="AS190" s="26"/>
      <c r="AW190" s="30"/>
      <c r="AY190">
        <f>AY51-AY50</f>
        <v>35000</v>
      </c>
    </row>
    <row r="191" spans="1:62" ht="18">
      <c r="H191">
        <f>(G176-G188)/G188</f>
        <v>0.72509165068766612</v>
      </c>
      <c r="V191" s="134"/>
      <c r="Z191" s="25"/>
      <c r="AS191" s="26">
        <v>10290000</v>
      </c>
      <c r="AW191" s="30"/>
      <c r="BB191">
        <f>AY60-AY59</f>
        <v>70000</v>
      </c>
    </row>
    <row r="192" spans="1:62" ht="18">
      <c r="I192">
        <f>(G166-G188)/G188</f>
        <v>0.53925968157436099</v>
      </c>
      <c r="T192">
        <f>V137-X140</f>
        <v>-620</v>
      </c>
      <c r="V192" s="25"/>
      <c r="W192">
        <f>(V187-V181)/V181</f>
        <v>3.8679914833215048E-2</v>
      </c>
      <c r="Z192" s="25"/>
      <c r="AS192" s="26"/>
      <c r="AU192">
        <f>AS191-AS49</f>
        <v>195000</v>
      </c>
      <c r="AW192" s="30">
        <f>AC52-AY51</f>
        <v>305000</v>
      </c>
    </row>
    <row r="193" spans="4:49" ht="18">
      <c r="D193" s="99">
        <v>9387100</v>
      </c>
      <c r="G193">
        <f>(G165-G188)/G188</f>
        <v>0.64878511429500496</v>
      </c>
      <c r="V193" s="25"/>
      <c r="Z193" s="25"/>
      <c r="AW193" s="30"/>
    </row>
    <row r="194" spans="4:49" ht="17.25" customHeight="1">
      <c r="D194" s="99">
        <v>7622400</v>
      </c>
      <c r="V194" s="25"/>
      <c r="Z194" s="25"/>
    </row>
    <row r="195" spans="4:49" ht="18">
      <c r="D195" s="99">
        <v>9805000</v>
      </c>
      <c r="V195" s="25"/>
      <c r="Z195" s="25"/>
      <c r="AW195">
        <f>AW192/AY51</f>
        <v>2.9539951573849879E-2</v>
      </c>
    </row>
    <row r="196" spans="4:49" ht="18">
      <c r="D196" s="99">
        <v>12098700</v>
      </c>
      <c r="V196" s="25"/>
    </row>
    <row r="197" spans="4:49" ht="18">
      <c r="D197" s="99">
        <v>8231300</v>
      </c>
      <c r="V197" s="25"/>
    </row>
    <row r="198" spans="4:49" ht="18">
      <c r="D198" s="117">
        <v>8525400</v>
      </c>
    </row>
    <row r="199" spans="4:49" ht="18">
      <c r="D199" s="117">
        <v>8525400</v>
      </c>
    </row>
    <row r="200" spans="4:49" ht="18">
      <c r="D200" s="123">
        <v>11227200</v>
      </c>
    </row>
    <row r="201" spans="4:49" ht="18">
      <c r="D201" s="117">
        <v>10481400</v>
      </c>
      <c r="G201" s="9">
        <v>8861800</v>
      </c>
    </row>
    <row r="202" spans="4:49" ht="18">
      <c r="D202" s="111">
        <v>10300800</v>
      </c>
      <c r="G202" s="9">
        <v>8230700</v>
      </c>
    </row>
    <row r="203" spans="4:49" ht="18">
      <c r="D203">
        <f>SUM(D193:D202)/10</f>
        <v>9620470</v>
      </c>
      <c r="G203" s="9">
        <v>8995300</v>
      </c>
    </row>
    <row r="204" spans="4:49" ht="18">
      <c r="G204" s="9"/>
    </row>
    <row r="205" spans="4:49" ht="18">
      <c r="G205" s="9"/>
    </row>
  </sheetData>
  <autoFilter ref="A1:BL192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22" zoomScale="70" zoomScaleNormal="70" workbookViewId="0">
      <selection activeCell="B48" sqref="B4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5" si="0">D29/6</f>
        <v>7281166.666666667</v>
      </c>
      <c r="F29" s="73">
        <v>5993000</v>
      </c>
      <c r="G29" s="73">
        <f t="shared" ref="G29:G35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>
      <c r="B36">
        <f>(B2-B8)/B2</f>
        <v>0.15346494762288476</v>
      </c>
      <c r="C36">
        <f>(C2-C8)/C2</f>
        <v>0.1154959674639829</v>
      </c>
      <c r="D36">
        <f>SUM(D2:D16)/15</f>
        <v>29639479.933333334</v>
      </c>
    </row>
    <row r="40" spans="1:11">
      <c r="D40">
        <v>5375132</v>
      </c>
      <c r="E40">
        <f>(E17-D40)/D40</f>
        <v>4.5958809321644006E-2</v>
      </c>
      <c r="G40">
        <f t="shared" ref="G40:G48" si="2">B3-B2</f>
        <v>-554</v>
      </c>
    </row>
    <row r="41" spans="1:11">
      <c r="G41">
        <f t="shared" si="2"/>
        <v>-302</v>
      </c>
    </row>
    <row r="42" spans="1:11">
      <c r="C42">
        <f>(D40-E16)/E16</f>
        <v>0.17110375179746395</v>
      </c>
      <c r="G42">
        <f t="shared" si="2"/>
        <v>-511</v>
      </c>
    </row>
    <row r="43" spans="1:11">
      <c r="G43">
        <f t="shared" si="2"/>
        <v>-362</v>
      </c>
    </row>
    <row r="44" spans="1:11">
      <c r="G44">
        <f t="shared" si="2"/>
        <v>-1699</v>
      </c>
    </row>
    <row r="45" spans="1:11">
      <c r="G45">
        <f t="shared" si="2"/>
        <v>-381</v>
      </c>
    </row>
    <row r="46" spans="1:11">
      <c r="G46">
        <f t="shared" si="2"/>
        <v>1075</v>
      </c>
    </row>
    <row r="47" spans="1:11">
      <c r="F47">
        <f>(F33-F32)/F32</f>
        <v>0.23948268173034043</v>
      </c>
      <c r="G47">
        <f t="shared" si="2"/>
        <v>151</v>
      </c>
      <c r="J47">
        <f>(F34-F35)/F34</f>
        <v>0.13877341459779063</v>
      </c>
    </row>
    <row r="48" spans="1:11">
      <c r="G48">
        <f t="shared" si="2"/>
        <v>1043</v>
      </c>
    </row>
  </sheetData>
  <autoFilter ref="A1:K4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73"/>
  <sheetViews>
    <sheetView topLeftCell="A1459" zoomScale="85" zoomScaleNormal="85" workbookViewId="0">
      <selection activeCell="I1465" sqref="I146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480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481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482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38" t="s">
        <v>489</v>
      </c>
      <c r="B1465" s="138"/>
      <c r="C1465" s="138"/>
      <c r="D1465" s="13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6">
        <v>12585000</v>
      </c>
    </row>
  </sheetData>
  <mergeCells count="130">
    <mergeCell ref="A1380:D1380"/>
    <mergeCell ref="A1355:D1355"/>
    <mergeCell ref="A1318:D1318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1453:D1453"/>
    <mergeCell ref="A1428:D1428"/>
    <mergeCell ref="A1392:D139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9" t="s">
        <v>373</v>
      </c>
      <c r="B1" s="139"/>
      <c r="C1" s="13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18"/>
  <sheetViews>
    <sheetView zoomScale="85" zoomScaleNormal="85" workbookViewId="0">
      <selection activeCell="A5" sqref="A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8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8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2021-11-27T13:13:49Z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