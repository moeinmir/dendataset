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set'!$A$1:$BN$224</definedName>
    <definedName name="_xlnm._FilterDatabase" localSheetId="1" hidden="1">weekly!$A$1:$K$54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E225" i="1"/>
  <c r="G40" i="2" l="1"/>
  <c r="E40" i="2"/>
  <c r="G222" i="1" l="1"/>
  <c r="K222" i="1"/>
  <c r="M216" i="1"/>
  <c r="L216" i="1"/>
  <c r="D1850" i="3" l="1"/>
  <c r="M215" i="1"/>
  <c r="L215" i="1"/>
  <c r="Y232" i="1"/>
  <c r="H142" i="5" l="1"/>
  <c r="G142" i="5"/>
  <c r="F142" i="5"/>
  <c r="M214" i="1" l="1"/>
  <c r="L214" i="1"/>
  <c r="I224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2" i="2" l="1"/>
  <c r="E44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28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4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29" i="1"/>
  <c r="N230" i="1"/>
  <c r="N231" i="1"/>
  <c r="N232" i="1"/>
  <c r="N233" i="1"/>
  <c r="N234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5" i="2" l="1"/>
  <c r="J44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3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3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4" i="2"/>
  <c r="G53" i="2"/>
  <c r="G52" i="2"/>
  <c r="G51" i="2"/>
  <c r="G50" i="2"/>
  <c r="G49" i="2"/>
  <c r="G48" i="2"/>
  <c r="G47" i="2"/>
  <c r="G46" i="2"/>
  <c r="C42" i="2"/>
  <c r="B4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6" i="2" s="1"/>
  <c r="G16" i="2"/>
  <c r="E16" i="2"/>
  <c r="C4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2" i="1" l="1"/>
  <c r="S1" i="1" s="1"/>
  <c r="M222" i="1"/>
  <c r="U1" i="1" s="1"/>
</calcChain>
</file>

<file path=xl/sharedStrings.xml><?xml version="1.0" encoding="utf-8"?>
<sst xmlns="http://schemas.openxmlformats.org/spreadsheetml/2006/main" count="1982" uniqueCount="567">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</sst>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6134144"/>
        <c:axId val="-146135232"/>
      </c:lineChart>
      <c:catAx>
        <c:axId val="-14613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6135232"/>
        <c:crosses val="autoZero"/>
        <c:auto val="1"/>
        <c:lblAlgn val="ctr"/>
        <c:lblOffset val="100"/>
        <c:noMultiLvlLbl val="0"/>
      </c:catAx>
      <c:valAx>
        <c:axId val="-1461352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61341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weekly!$B$27:$B$41</c15:sqref>
                  </c15:fullRef>
                </c:ext>
              </c:extLst>
              <c:f>weekly!$B$28:$B$41</c:f>
              <c:numCache>
                <c:formatCode>General</c:formatCode>
                <c:ptCount val="1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weekly!$H$27:$H$41</c15:sqref>
                  </c15:fullRef>
                </c:ext>
              </c:extLst>
              <c:f>weekly!$H$28:$H$41</c:f>
              <c:numCache>
                <c:formatCode>General</c:formatCode>
                <c:ptCount val="1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8144064"/>
        <c:axId val="-12814188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2814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1888"/>
        <c:crosses val="autoZero"/>
        <c:auto val="1"/>
        <c:lblAlgn val="ctr"/>
        <c:lblOffset val="100"/>
        <c:noMultiLvlLbl val="0"/>
      </c:catAx>
      <c:valAx>
        <c:axId val="-12814188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40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8146784"/>
        <c:axId val="-128143520"/>
      </c:lineChart>
      <c:catAx>
        <c:axId val="-128146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3520"/>
        <c:crosses val="autoZero"/>
        <c:auto val="1"/>
        <c:lblAlgn val="ctr"/>
        <c:lblOffset val="100"/>
        <c:noMultiLvlLbl val="0"/>
      </c:catAx>
      <c:valAx>
        <c:axId val="-1281435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67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8141344"/>
        <c:axId val="-128142432"/>
      </c:lineChart>
      <c:catAx>
        <c:axId val="-12814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2432"/>
        <c:crosses val="autoZero"/>
        <c:auto val="1"/>
        <c:lblAlgn val="ctr"/>
        <c:lblOffset val="100"/>
        <c:noMultiLvlLbl val="0"/>
      </c:catAx>
      <c:valAx>
        <c:axId val="-128142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13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8142976"/>
        <c:axId val="-128139712"/>
      </c:lineChart>
      <c:catAx>
        <c:axId val="-12814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39712"/>
        <c:crosses val="autoZero"/>
        <c:auto val="1"/>
        <c:lblAlgn val="ctr"/>
        <c:lblOffset val="100"/>
        <c:noMultiLvlLbl val="0"/>
      </c:catAx>
      <c:valAx>
        <c:axId val="-128139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29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weekly!$C$27:$C$41</c15:sqref>
                  </c15:fullRef>
                </c:ext>
              </c:extLst>
              <c:f>weekly!$C$28:$C$41</c:f>
              <c:numCache>
                <c:formatCode>General</c:formatCode>
                <c:ptCount val="1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weekly!$I$27:$I$41</c15:sqref>
                  </c15:fullRef>
                </c:ext>
              </c:extLst>
              <c:f>weekly!$I$28:$I$41</c:f>
              <c:numCache>
                <c:formatCode>General</c:formatCode>
                <c:ptCount val="1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8145696"/>
        <c:axId val="-12814080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2814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0800"/>
        <c:crosses val="autoZero"/>
        <c:auto val="1"/>
        <c:lblAlgn val="ctr"/>
        <c:lblOffset val="100"/>
        <c:noMultiLvlLbl val="0"/>
      </c:catAx>
      <c:valAx>
        <c:axId val="-12814080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56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28140256"/>
        <c:axId val="-128146240"/>
      </c:barChart>
      <c:catAx>
        <c:axId val="-12814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6240"/>
        <c:crosses val="autoZero"/>
        <c:auto val="1"/>
        <c:lblAlgn val="ctr"/>
        <c:lblOffset val="100"/>
        <c:noMultiLvlLbl val="0"/>
      </c:catAx>
      <c:valAx>
        <c:axId val="-1281462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025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15 دی ماه سال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5"/>
          <c:order val="6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change'!$F$147:$I$147</c:f>
              <c:numCache>
                <c:formatCode>General</c:formatCode>
                <c:ptCount val="4"/>
                <c:pt idx="0">
                  <c:v>-2.2260273972602738</c:v>
                </c:pt>
                <c:pt idx="1">
                  <c:v>-0.23255813953488372</c:v>
                </c:pt>
                <c:pt idx="2">
                  <c:v>-1.8044055616309951</c:v>
                </c:pt>
                <c:pt idx="3">
                  <c:v>0.02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8145152"/>
        <c:axId val="-12814460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2814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4608"/>
        <c:crosses val="autoZero"/>
        <c:auto val="1"/>
        <c:lblAlgn val="ctr"/>
        <c:lblOffset val="100"/>
        <c:noMultiLvlLbl val="0"/>
      </c:catAx>
      <c:valAx>
        <c:axId val="-128144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814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596</xdr:row>
      <xdr:rowOff>102960</xdr:rowOff>
    </xdr:from>
    <xdr:to>
      <xdr:col>11</xdr:col>
      <xdr:colOff>279360</xdr:colOff>
      <xdr:row>626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176</xdr:row>
      <xdr:rowOff>27711</xdr:rowOff>
    </xdr:from>
    <xdr:to>
      <xdr:col>41</xdr:col>
      <xdr:colOff>533400</xdr:colOff>
      <xdr:row>281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312</xdr:row>
      <xdr:rowOff>0</xdr:rowOff>
    </xdr:from>
    <xdr:to>
      <xdr:col>82</xdr:col>
      <xdr:colOff>0</xdr:colOff>
      <xdr:row>388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631</xdr:row>
      <xdr:rowOff>0</xdr:rowOff>
    </xdr:from>
    <xdr:to>
      <xdr:col>13</xdr:col>
      <xdr:colOff>354240</xdr:colOff>
      <xdr:row>661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411</xdr:row>
      <xdr:rowOff>0</xdr:rowOff>
    </xdr:from>
    <xdr:to>
      <xdr:col>83</xdr:col>
      <xdr:colOff>533400</xdr:colOff>
      <xdr:row>510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59</xdr:row>
      <xdr:rowOff>76321</xdr:rowOff>
    </xdr:from>
    <xdr:to>
      <xdr:col>44</xdr:col>
      <xdr:colOff>533400</xdr:colOff>
      <xdr:row>158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7"/>
  <sheetViews>
    <sheetView tabSelected="1" topLeftCell="B205" zoomScaleNormal="100" workbookViewId="0">
      <selection activeCell="F213" sqref="F213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L222/G222</f>
        <v>25525.574323740966</v>
      </c>
      <c r="T1" s="3" t="s">
        <v>15</v>
      </c>
      <c r="U1" s="3">
        <f>M222/K222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</row>
    <row r="218" spans="2:69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</row>
    <row r="219" spans="2:69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</row>
    <row r="220" spans="2:69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</row>
    <row r="221" spans="2:69" s="136" customFormat="1" ht="18">
      <c r="B221" s="131" t="s">
        <v>563</v>
      </c>
      <c r="C221" s="104">
        <v>15</v>
      </c>
      <c r="D221" s="137">
        <v>26003</v>
      </c>
      <c r="E221" s="136">
        <v>25807</v>
      </c>
      <c r="F221" s="136">
        <v>25965</v>
      </c>
      <c r="H221" s="136">
        <v>30410</v>
      </c>
      <c r="I221" s="136">
        <v>30100</v>
      </c>
      <c r="J221" s="136">
        <v>30226</v>
      </c>
      <c r="L221" s="208"/>
      <c r="M221" s="208"/>
      <c r="N221" s="136">
        <v>26065</v>
      </c>
      <c r="O221" s="136">
        <v>30401</v>
      </c>
      <c r="P221" s="136">
        <v>26263</v>
      </c>
      <c r="Q221" s="136">
        <v>30714</v>
      </c>
      <c r="V221" s="136">
        <v>28950</v>
      </c>
      <c r="X221" s="136">
        <v>28550</v>
      </c>
      <c r="Y221" s="136">
        <v>32544</v>
      </c>
      <c r="Z221" s="138"/>
      <c r="AB221" s="137"/>
      <c r="AS221" s="137"/>
      <c r="AW221" s="137"/>
      <c r="BI221" s="177"/>
      <c r="BO221" s="151"/>
      <c r="BP221" s="151"/>
      <c r="BQ221" s="151"/>
    </row>
    <row r="222" spans="2:69" ht="18">
      <c r="D222" s="26"/>
      <c r="G222">
        <f>SUM(G2:G216)</f>
        <v>1507843699</v>
      </c>
      <c r="K222">
        <f>SUM(K2:K216)</f>
        <v>210358000</v>
      </c>
      <c r="L222" s="142">
        <f>SUM(L2:L216)</f>
        <v>38488576407409</v>
      </c>
      <c r="M222" s="142">
        <f>SUM(M2:M216)</f>
        <v>6182194847600</v>
      </c>
      <c r="V222" s="144">
        <v>28920</v>
      </c>
      <c r="Z222" s="25"/>
      <c r="AS222" s="26"/>
      <c r="AW222" s="30"/>
    </row>
    <row r="223" spans="2:69" ht="18">
      <c r="V223" s="144">
        <v>28840</v>
      </c>
      <c r="Z223" s="25"/>
      <c r="AS223" s="26"/>
      <c r="AW223" s="30"/>
    </row>
    <row r="224" spans="2:69" ht="18">
      <c r="I224">
        <f>(G214-G222)/G214</f>
        <v>-187.200514110261</v>
      </c>
      <c r="J224">
        <f>J206-J205</f>
        <v>-347</v>
      </c>
      <c r="V224" s="144">
        <v>28830</v>
      </c>
      <c r="W224" s="152"/>
      <c r="Z224" s="25"/>
      <c r="AS224" s="26"/>
      <c r="AW224" s="30"/>
    </row>
    <row r="225" spans="4:49" ht="18">
      <c r="D225" s="93"/>
      <c r="E225">
        <f>D217-F216</f>
        <v>54</v>
      </c>
      <c r="V225" s="129"/>
      <c r="W225" s="152"/>
      <c r="Z225" s="25"/>
      <c r="AW225" s="30"/>
    </row>
    <row r="226" spans="4:49" ht="17.25" customHeight="1">
      <c r="D226" s="93"/>
      <c r="P226" t="s">
        <v>523</v>
      </c>
      <c r="Q226" t="s">
        <v>524</v>
      </c>
      <c r="V226" s="25"/>
      <c r="W226" s="152"/>
      <c r="Z226" s="25"/>
    </row>
    <row r="227" spans="4:49" ht="18">
      <c r="D227" s="93"/>
      <c r="O227" s="126" t="s">
        <v>503</v>
      </c>
      <c r="P227">
        <v>-178</v>
      </c>
      <c r="Q227">
        <v>-180</v>
      </c>
      <c r="V227" s="25"/>
      <c r="W227" s="152"/>
      <c r="Z227" s="25"/>
    </row>
    <row r="228" spans="4:49" ht="18">
      <c r="D228" s="93"/>
      <c r="H228">
        <f>(27376-26532)/26532</f>
        <v>3.1810643750942259E-2</v>
      </c>
      <c r="O228" s="132" t="s">
        <v>505</v>
      </c>
      <c r="P228">
        <v>59</v>
      </c>
      <c r="Q228">
        <v>59</v>
      </c>
      <c r="V228" s="25"/>
      <c r="W228" s="152"/>
    </row>
    <row r="229" spans="4:49" ht="18">
      <c r="D229" s="93"/>
      <c r="N229">
        <f t="shared" ref="N229:N233" si="38">N199-N198</f>
        <v>-15</v>
      </c>
      <c r="O229" s="132" t="s">
        <v>507</v>
      </c>
      <c r="P229">
        <v>-17</v>
      </c>
      <c r="Q229">
        <v>-16</v>
      </c>
      <c r="V229" s="25"/>
      <c r="W229" s="152"/>
    </row>
    <row r="230" spans="4:49" ht="18">
      <c r="D230" s="107"/>
      <c r="N230">
        <f t="shared" si="38"/>
        <v>-12</v>
      </c>
      <c r="O230" s="132" t="s">
        <v>509</v>
      </c>
      <c r="P230">
        <v>-163</v>
      </c>
      <c r="Q230">
        <v>-165</v>
      </c>
      <c r="W230" s="144"/>
    </row>
    <row r="231" spans="4:49" ht="18">
      <c r="D231" s="107"/>
      <c r="N231">
        <f t="shared" si="38"/>
        <v>-137</v>
      </c>
      <c r="O231" s="132" t="s">
        <v>511</v>
      </c>
      <c r="P231">
        <v>50</v>
      </c>
      <c r="Q231">
        <v>50</v>
      </c>
      <c r="W231" s="144"/>
      <c r="X231" s="109"/>
    </row>
    <row r="232" spans="4:49" ht="18">
      <c r="D232" s="113"/>
      <c r="N232">
        <f t="shared" si="38"/>
        <v>-138</v>
      </c>
      <c r="O232" s="145" t="s">
        <v>513</v>
      </c>
      <c r="P232">
        <v>-15</v>
      </c>
      <c r="Q232">
        <v>-15</v>
      </c>
      <c r="W232" s="144"/>
      <c r="X232" s="109"/>
      <c r="Y232">
        <f>(W230-X215)/X215</f>
        <v>-1</v>
      </c>
    </row>
    <row r="233" spans="4:49" ht="18">
      <c r="D233" s="107"/>
      <c r="G233" s="9"/>
      <c r="N233">
        <f t="shared" si="38"/>
        <v>-43</v>
      </c>
      <c r="O233" s="145" t="s">
        <v>515</v>
      </c>
      <c r="P233">
        <v>-12</v>
      </c>
      <c r="Q233">
        <v>-12</v>
      </c>
      <c r="X233" s="109"/>
    </row>
    <row r="234" spans="4:49" ht="18">
      <c r="D234" s="103"/>
      <c r="G234" s="9"/>
      <c r="N234">
        <f>N222-N203</f>
        <v>-27379</v>
      </c>
      <c r="O234" s="148" t="s">
        <v>517</v>
      </c>
      <c r="P234">
        <v>-136</v>
      </c>
      <c r="Q234">
        <v>-137</v>
      </c>
      <c r="X234" s="109"/>
    </row>
    <row r="235" spans="4:49" ht="18">
      <c r="G235" s="9"/>
      <c r="O235" s="145" t="s">
        <v>519</v>
      </c>
      <c r="P235">
        <v>-137</v>
      </c>
      <c r="Q235">
        <v>-138</v>
      </c>
      <c r="X235" s="109"/>
    </row>
    <row r="236" spans="4:49" ht="18">
      <c r="G236" s="9"/>
      <c r="O236" s="131" t="s">
        <v>521</v>
      </c>
      <c r="P236">
        <v>-42</v>
      </c>
      <c r="Q236">
        <v>-43</v>
      </c>
      <c r="X236" s="109"/>
    </row>
    <row r="237" spans="4:49" ht="18">
      <c r="G237" s="9"/>
    </row>
  </sheetData>
  <autoFilter ref="A1:BN22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opLeftCell="A160" zoomScale="40" zoomScaleNormal="40" workbookViewId="0">
      <selection activeCell="H169" sqref="H16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>
      <c r="B42">
        <f>(B2-B8)/B2</f>
        <v>0.15346494762288476</v>
      </c>
      <c r="C42">
        <f>(C2-C8)/C2</f>
        <v>0.1154959674639829</v>
      </c>
      <c r="D42">
        <f>SUM(D2:D39)/38</f>
        <v>37702089.447368421</v>
      </c>
    </row>
    <row r="44" spans="1:11">
      <c r="E44">
        <f>(D39-D42)/D42</f>
        <v>0.21324840799221964</v>
      </c>
      <c r="J44">
        <f>(D36-D35)/D35</f>
        <v>-0.50773339408667473</v>
      </c>
    </row>
    <row r="45" spans="1:11">
      <c r="F45">
        <f>(F36-F35)/F35</f>
        <v>-0.62892307692307692</v>
      </c>
    </row>
    <row r="46" spans="1:11">
      <c r="D46">
        <v>5375132</v>
      </c>
      <c r="E46">
        <f>(E17-D46)/D46</f>
        <v>4.5958809321644006E-2</v>
      </c>
      <c r="G46">
        <f t="shared" ref="G46:G54" si="2">B3-B2</f>
        <v>-554</v>
      </c>
    </row>
    <row r="47" spans="1:11">
      <c r="G47">
        <f t="shared" si="2"/>
        <v>-302</v>
      </c>
    </row>
    <row r="48" spans="1:11">
      <c r="C48">
        <f>(D46-E16)/E16</f>
        <v>0.17110375179746395</v>
      </c>
      <c r="G48">
        <f t="shared" si="2"/>
        <v>-511</v>
      </c>
    </row>
    <row r="49" spans="6:10">
      <c r="G49">
        <f t="shared" si="2"/>
        <v>-362</v>
      </c>
    </row>
    <row r="50" spans="6:10">
      <c r="G50">
        <f t="shared" si="2"/>
        <v>-1699</v>
      </c>
    </row>
    <row r="51" spans="6:10">
      <c r="G51">
        <f t="shared" si="2"/>
        <v>-381</v>
      </c>
    </row>
    <row r="52" spans="6:10">
      <c r="G52">
        <f t="shared" si="2"/>
        <v>1075</v>
      </c>
    </row>
    <row r="53" spans="6:10">
      <c r="F53">
        <f>(F33-F32)/F32</f>
        <v>0.23948268173034043</v>
      </c>
      <c r="G53">
        <f t="shared" si="2"/>
        <v>151</v>
      </c>
      <c r="J53">
        <f>(F34-F35)/F34</f>
        <v>0.13877341459779063</v>
      </c>
    </row>
    <row r="54" spans="6:10">
      <c r="G54">
        <f t="shared" si="2"/>
        <v>1043</v>
      </c>
    </row>
  </sheetData>
  <autoFilter ref="A1:K5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11"/>
  <sheetViews>
    <sheetView topLeftCell="A1896" zoomScaleNormal="100" workbookViewId="0">
      <selection activeCell="D1910" sqref="D191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2" t="s">
        <v>562</v>
      </c>
      <c r="B1890" s="212"/>
      <c r="C1890" s="212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2" t="s">
        <v>564</v>
      </c>
      <c r="B1903" s="212"/>
      <c r="C1903" s="212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</sheetData>
  <mergeCells count="165">
    <mergeCell ref="A1890:C1890"/>
    <mergeCell ref="A1878:C1878"/>
    <mergeCell ref="A1866:C1866"/>
    <mergeCell ref="A1854:C1854"/>
    <mergeCell ref="A1842:C1842"/>
    <mergeCell ref="A1816:C1816"/>
    <mergeCell ref="A1791:C1791"/>
    <mergeCell ref="A1779:C1779"/>
    <mergeCell ref="A1754:C1754"/>
    <mergeCell ref="A1742:C1742"/>
    <mergeCell ref="A1729:C1729"/>
    <mergeCell ref="A1716:C1716"/>
    <mergeCell ref="A1703:C1703"/>
    <mergeCell ref="A1829:C1829"/>
    <mergeCell ref="A1453:D1453"/>
    <mergeCell ref="A1803:C1803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10" sqref="C10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7"/>
  <sheetViews>
    <sheetView topLeftCell="A40" zoomScale="85" zoomScaleNormal="85" workbookViewId="0">
      <selection activeCell="J18" sqref="J18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7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2022-01-05T13:38:56Z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