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set'!$A$1:$BL$145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59" i="1" l="1"/>
  <c r="H78" i="4" l="1"/>
  <c r="H79" i="4"/>
  <c r="G78" i="4"/>
  <c r="G79" i="4"/>
  <c r="F79" i="4"/>
  <c r="T145" i="1"/>
  <c r="M140" i="1" l="1"/>
  <c r="L140" i="1"/>
  <c r="F78" i="4" l="1"/>
  <c r="G141" i="1" l="1"/>
  <c r="G144" i="1" s="1"/>
  <c r="M139" i="1" l="1"/>
  <c r="L139" i="1"/>
  <c r="H77" i="4" l="1"/>
  <c r="G77" i="4"/>
  <c r="F77" i="4"/>
  <c r="M138" i="1" l="1"/>
  <c r="L138" i="1"/>
  <c r="H76" i="4" l="1"/>
  <c r="G76" i="4"/>
  <c r="F76" i="4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21" i="5"/>
  <c r="B12" i="5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9" i="2"/>
  <c r="G38" i="2"/>
  <c r="G37" i="2"/>
  <c r="G36" i="2"/>
  <c r="G35" i="2"/>
  <c r="G34" i="2"/>
  <c r="G33" i="2"/>
  <c r="G32" i="2"/>
  <c r="G31" i="2"/>
  <c r="D27" i="2"/>
  <c r="C27" i="2"/>
  <c r="B27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1" i="2" s="1"/>
  <c r="G16" i="2"/>
  <c r="E16" i="2"/>
  <c r="C3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5" i="1"/>
  <c r="AW148" i="1" s="1"/>
  <c r="AU145" i="1"/>
  <c r="BB144" i="1"/>
  <c r="AY143" i="1"/>
  <c r="BJ141" i="1"/>
  <c r="BI141" i="1"/>
  <c r="K141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41" i="1" s="1"/>
  <c r="M141" i="1" l="1"/>
  <c r="U1" i="1" s="1"/>
  <c r="S1" i="1"/>
</calcChain>
</file>

<file path=xl/sharedStrings.xml><?xml version="1.0" encoding="utf-8"?>
<sst xmlns="http://schemas.openxmlformats.org/spreadsheetml/2006/main" count="1159" uniqueCount="387">
  <si>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</si>
  <si>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</si>
  <si>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</si>
  <si>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</si>
  <si>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</si>
  <si>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</si>
  <si>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</si>
  <si>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</si>
  <si>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</si>
  <si>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</si>
  <si>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</si>
  <si>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</si>
  <si>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</si>
  <si>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</si>
  <si>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</si>
  <si>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</si>
  <si>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</si>
  <si>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</si>
  <si>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</si>
  <si>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</si>
  <si>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</si>
  <si>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</si>
  <si>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</si>
  <si>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</si>
  <si>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</si>
  <si>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</si>
  <si>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</si>
  <si>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</si>
  <si>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</si>
  <si>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</si>
  <si>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</si>
  <si>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</si>
  <si>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</si>
  <si>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</si>
  <si>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</si>
  <si>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</si>
  <si>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</si>
  <si>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</si>
  <si>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</si>
  <si>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</si>
  <si>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</si>
  <si>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</si>
  <si>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</si>
  <si>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</si>
  <si>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</si>
  <si>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</si>
  <si>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</si>
  <si>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</si>
  <si>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</si>
  <si>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</si>
  <si>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</si>
  <si>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</si>
  <si>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</si>
  <si>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</si>
  <si>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</si>
  <si>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</si>
  <si>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</si>
  <si>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</si>
  <si>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</si>
  <si>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</si>
  <si>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</si>
  <si>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</si>
  <si>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</si>
  <si>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</si>
  <si>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</si>
  <si>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</si>
  <si>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</si>
  <si>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</si>
  <si>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</si>
  <si>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</si>
  <si>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</si>
  <si>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</si>
  <si>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</si>
  <si>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</si>
  <si>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</si>
  <si>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</si>
  <si>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</si>
  <si>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</si>
  <si>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</si>
  <si>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</si>
  <si>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</si>
  <si>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</si>
  <si>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</si>
  <si>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</si>
  <si>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</si>
  <si>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</si>
  <si>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</si>
  <si>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</si>
  <si>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</si>
  <si>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</si>
  <si>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</si>
  <si>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</si>
  <si>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</si>
  <si>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</si>
  <si>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</si>
  <si>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</si>
  <si>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</si>
  <si>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</si>
  <si>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</si>
  <si>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</si>
  <si>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</si>
  <si>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</si>
  <si>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</si>
  <si>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</si>
  <si>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</si>
  <si>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</si>
  <si>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</si>
  <si>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</si>
  <si>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</si>
  <si>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</si>
  <si>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</si>
  <si>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</si>
  <si>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</si>
  <si>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</si>
  <si>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</si>
  <si>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</si>
  <si>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</si>
  <si>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</si>
  <si>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</si>
  <si>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</si>
  <si>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</si>
  <si>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</si>
  <si>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</si>
  <si>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</si>
  <si>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</si>
  <si>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</si>
  <si>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</si>
  <si>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</si>
  <si>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</si>
  <si>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</si>
  <si>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</si>
  <si>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</si>
  <si>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</si>
  <si>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</si>
  <si>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</si>
  <si>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</si>
  <si>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</si>
  <si>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</si>
  <si>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</si>
  <si>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</si>
  <si>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</si>
  <si>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</si>
  <si>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</si>
  <si>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</si>
  <si>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</si>
  <si>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</si>
  <si>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</si>
  <si>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</si>
  <si>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</si>
  <si>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</si>
  <si>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</si>
  <si>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</si>
  <si>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</si>
  <si>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</si>
  <si>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</si>
  <si>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</si>
  <si>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</si>
  <si>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</si>
  <si>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</si>
  <si>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</si>
  <si>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</si>
  <si>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</si>
  <si>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</si>
  <si>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</si>
  <si>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</si>
  <si>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</si>
  <si>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</si>
  <si>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</si>
  <si>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</si>
  <si>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</si>
  <si>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</si>
  <si>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</si>
  <si>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</si>
  <si>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</si>
  <si>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</si>
  <si>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</si>
  <si>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</si>
  <si>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</si>
  <si>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</si>
  <si>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</si>
  <si>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</si>
  <si>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</si>
  <si>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</si>
  <si>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</si>
  <si>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</si>
  <si>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</si>
  <si>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</si>
  <si>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</si>
  <si>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</si>
  <si>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</si>
  <si>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</si>
  <si>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</si>
  <si>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</si>
  <si>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</si>
  <si>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</si>
  <si>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</si>
  <si>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</si>
  <si>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</si>
  <si>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</si>
  <si>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</si>
  <si>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</si>
  <si>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</si>
  <si>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</si>
  <si>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</si>
  <si>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</si>
  <si>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</si>
  <si>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</si>
  <si>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</si>
  <si>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</si>
  <si>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</si>
  <si>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</si>
  <si>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</si>
  <si>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</si>
  <si>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</si>
  <si>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</si>
  <si>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</si>
  <si>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</si>
  <si>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</si>
  <si>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</si>
  <si>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</si>
  <si>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</si>
  <si>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</si>
  <si>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</si>
  <si>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</si>
  <si>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</si>
  <si>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</si>
  <si>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</si>
  <si>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</si>
  <si>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</si>
  <si>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</si>
  <si>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</si>
  <si>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</si>
  <si>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</si>
  <si>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</si>
  <si>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</si>
  <si>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</si>
  <si>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</si>
  <si>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</si>
  <si>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</si>
  <si>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</si>
  <si>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</si>
  <si>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</si>
  <si>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</si>
  <si>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</si>
  <si>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</si>
  <si>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</si>
  <si>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</si>
  <si>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</si>
  <si>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</si>
  <si>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</si>
  <si>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</si>
  <si>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</si>
  <si>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</si>
  <si>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</si>
  <si>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</si>
  <si>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</si>
  <si>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</si>
  <si>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</si>
  <si>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</si>
  <si>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</si>
  <si>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</si>
  <si>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</si>
  <si>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</si>
  <si>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</si>
  <si>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</si>
  <si>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</si>
  <si>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</si>
  <si>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</si>
  <si>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</si>
  <si>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</si>
  <si>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</si>
  <si>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</si>
  <si>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</si>
  <si>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</si>
  <si>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</si>
  <si>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</si>
  <si>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</si>
  <si>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</si>
  <si>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</si>
  <si>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</si>
  <si>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</si>
  <si>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</si>
  <si>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</si>
  <si>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</si>
  <si>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</si>
  <si>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</si>
  <si>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</si>
  <si>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</si>
  <si>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</si>
  <si>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</si>
  <si>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</si>
  <si>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</si>
  <si>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</si>
  <si>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</si>
  <si>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</si>
  <si>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</si>
  <si>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</si>
  <si>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</si>
  <si>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</si>
  <si>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</si>
  <si>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</si>
  <si>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</si>
  <si>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</si>
  <si>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</si>
  <si>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</si>
  <si>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</si>
  <si>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</si>
  <si>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</si>
  <si>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</si>
  <si>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</si>
  <si>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</si>
  <si>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</si>
  <si>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</si>
  <si>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</si>
  <si>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</si>
  <si>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</si>
  <si>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</si>
  <si>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</si>
  <si>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</si>
  <si>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</si>
  <si>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</si>
  <si>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</si>
  <si>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</si>
  <si>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</si>
  <si>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</si>
  <si>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</si>
  <si>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</si>
  <si>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</si>
  <si>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</si>
  <si>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</si>
  <si>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</si>
  <si>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</si>
  <si>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</si>
  <si>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</si>
  <si>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</si>
  <si>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</si>
  <si>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</si>
  <si>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</si>
  <si>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</si>
  <si>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</si>
  <si>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</si>
  <si>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</si>
  <si>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</si>
  <si>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</si>
  <si>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</si>
  <si>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</si>
  <si>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</si>
  <si>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</si>
  <si>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</si>
  <si>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</si>
  <si>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</si>
  <si>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</si>
  <si>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</si>
  <si>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</si>
  <si>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</si>
  <si>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</si>
  <si>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هفته بیست و ششم شال 1400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</si>
  <si>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</si>
  <si>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</si>
  <si>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</si>
  <si>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</si>
  <si>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</si>
  <si>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</si>
  <si>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</si>
  <si>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</si>
  <si>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</si>
  <si>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</si>
  <si>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</si>
  <si>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</si>
  <si>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</si>
  <si>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</si>
  <si>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</si>
  <si>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</si>
  <si>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</si>
  <si>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</si>
  <si>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</si>
  <si>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</si>
  <si>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</si>
  <si>
    <t>03مهر1400</t>
  </si>
  <si>
    <t>04مهر1400</t>
  </si>
  <si>
    <t>روند روزانه بهای سکه و ارز  یکشنبه 04 مهر 1400)</t>
  </si>
  <si>
    <t>06مهر1400</t>
  </si>
  <si>
    <t>11 27</t>
  </si>
  <si>
    <t>11 52</t>
  </si>
  <si>
    <t>روند روزانه بهای سکه و ارز  یکشنبه 06 مهر 1400)</t>
  </si>
  <si>
    <t>07مهر1400</t>
  </si>
  <si>
    <t>روند روزانه بهای سکه و ارز  چهارشنبه 07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</si>
</sst>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Fill="1" applyBorder="1"/>
    <xf numFmtId="20" fontId="0" fillId="0" borderId="2" xfId="0" applyNumberFormat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42688"/>
        <c:axId val="-467135616"/>
      </c:lineChart>
      <c:catAx>
        <c:axId val="-46714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5616"/>
        <c:crosses val="autoZero"/>
        <c:auto val="1"/>
        <c:lblAlgn val="ctr"/>
        <c:lblOffset val="100"/>
        <c:noMultiLvlLbl val="0"/>
      </c:catAx>
      <c:valAx>
        <c:axId val="-4671356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4268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23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weekly!$B$4:$B$26</c:f>
              <c:numCache>
                <c:formatCode>General</c:formatCode>
                <c:ptCount val="23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dLbl>
              <c:idx val="1"/>
              <c:layout>
                <c:manualLayout>
                  <c:x val="5.0982572671341893E-4"/>
                  <c:y val="-1.1410787372032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7"/>
              <c:layout>
                <c:manualLayout>
                  <c:x val="-1.0196514534268379E-3"/>
                  <c:y val="-1.52143831627093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7.4773576127236001E-17"/>
                  <c:y val="-5.70539368601608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E639-41DE-AF10-B9EA1EF96DD5}"/>
                </c:ext>
                <c:ext xmlns:c15="http://schemas.microsoft.com/office/drawing/2012/chart" uri="{CE6537A1-D6FC-4f65-9D91-7224C49458BB}"/>
              </c:extLst>
            </c:dLbl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weekly!$H$4:$H$26</c:f>
              <c:numCache>
                <c:formatCode>General</c:formatCode>
                <c:ptCount val="23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3"/>
              <c:layout>
                <c:manualLayout>
                  <c:x val="0"/>
                  <c:y val="-1.9968877901056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6.1294500509885943E-3"/>
                  <c:y val="-4.27904526451207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2.8245629860179689E-2"/>
                      <c:h val="2.147294546489711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weekly!$J$4:$J$26</c:f>
              <c:numCache>
                <c:formatCode>General</c:formatCode>
                <c:ptCount val="23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42144"/>
        <c:axId val="-467130720"/>
      </c:lineChart>
      <c:catAx>
        <c:axId val="-46714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467130720"/>
        <c:crosses val="autoZero"/>
        <c:auto val="1"/>
        <c:lblAlgn val="ctr"/>
        <c:lblOffset val="100"/>
        <c:noMultiLvlLbl val="0"/>
      </c:catAx>
      <c:valAx>
        <c:axId val="-467130720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4214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2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ششم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weekly!$D$2:$D$26</c:f>
              <c:numCache>
                <c:formatCode>General</c:formatCode>
                <c:ptCount val="2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36704"/>
        <c:axId val="-467141600"/>
      </c:lineChart>
      <c:catAx>
        <c:axId val="-46713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41600"/>
        <c:crosses val="autoZero"/>
        <c:auto val="1"/>
        <c:lblAlgn val="ctr"/>
        <c:lblOffset val="100"/>
        <c:noMultiLvlLbl val="0"/>
      </c:catAx>
      <c:valAx>
        <c:axId val="-467141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670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33984"/>
        <c:axId val="-467131808"/>
      </c:lineChart>
      <c:catAx>
        <c:axId val="-46713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1808"/>
        <c:crosses val="autoZero"/>
        <c:auto val="1"/>
        <c:lblAlgn val="ctr"/>
        <c:lblOffset val="100"/>
        <c:noMultiLvlLbl val="0"/>
      </c:catAx>
      <c:valAx>
        <c:axId val="-4671318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398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ششم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weekly!$F$2:$F$26</c:f>
              <c:numCache>
                <c:formatCode>General</c:formatCode>
                <c:ptCount val="2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39424"/>
        <c:axId val="-467131264"/>
      </c:lineChart>
      <c:catAx>
        <c:axId val="-46713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1264"/>
        <c:crosses val="autoZero"/>
        <c:auto val="1"/>
        <c:lblAlgn val="ctr"/>
        <c:lblOffset val="100"/>
        <c:noMultiLvlLbl val="0"/>
      </c:catAx>
      <c:valAx>
        <c:axId val="-467131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942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467157456"/>
        <c:axId val="-467149840"/>
      </c:barChart>
      <c:catAx>
        <c:axId val="-46715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67149840"/>
        <c:crosses val="autoZero"/>
        <c:auto val="1"/>
        <c:lblAlgn val="ctr"/>
        <c:lblOffset val="100"/>
        <c:noMultiLvlLbl val="0"/>
      </c:catAx>
      <c:valAx>
        <c:axId val="-46714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6715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بازارها(چهارشنبه 07 مهر سال 1400)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9"/>
          <c:order val="9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change'!$F$79:$I$79</c:f>
              <c:numCache>
                <c:formatCode>General</c:formatCode>
                <c:ptCount val="4"/>
                <c:pt idx="0">
                  <c:v>1.4336917562724014</c:v>
                </c:pt>
                <c:pt idx="1">
                  <c:v>0.62656641604010022</c:v>
                </c:pt>
                <c:pt idx="2">
                  <c:v>0.78451882845188281</c:v>
                </c:pt>
                <c:pt idx="3">
                  <c:v>0.81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467155280"/>
        <c:axId val="-46716126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change'!$F$75:$I$75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0.62157221206581348</c:v>
                      </c:pt>
                      <c:pt idx="1">
                        <c:v>0.68669527896995708</c:v>
                      </c:pt>
                      <c:pt idx="2">
                        <c:v>0.95180698582465517</c:v>
                      </c:pt>
                      <c:pt idx="3">
                        <c:v>-0.34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change'!$F$76:$I$76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7.2674418604651167E-2</c:v>
                      </c:pt>
                      <c:pt idx="1">
                        <c:v>0.17050298380221654</c:v>
                      </c:pt>
                      <c:pt idx="2">
                        <c:v>-0.78242107357834245</c:v>
                      </c:pt>
                      <c:pt idx="3">
                        <c:v>2.57</c:v>
                      </c:pt>
                    </c:numCache>
                  </c:numRef>
                </c:val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change'!$F$77:$I$77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0.39941902687000724</c:v>
                      </c:pt>
                      <c:pt idx="1">
                        <c:v>0.1702127659574468</c:v>
                      </c:pt>
                      <c:pt idx="2">
                        <c:v>0.18199605354082168</c:v>
                      </c:pt>
                      <c:pt idx="3">
                        <c:v>0.18</c:v>
                      </c:pt>
                    </c:numCache>
                  </c:numRef>
                </c:val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change'!$F$78:$I$78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0.9041591320072333</c:v>
                      </c:pt>
                      <c:pt idx="1">
                        <c:v>1.6992353440951571</c:v>
                      </c:pt>
                      <c:pt idx="2">
                        <c:v>0.29190609698206338</c:v>
                      </c:pt>
                      <c:pt idx="3">
                        <c:v>0.05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46715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61264"/>
        <c:crosses val="autoZero"/>
        <c:auto val="1"/>
        <c:lblAlgn val="ctr"/>
        <c:lblOffset val="100"/>
        <c:noMultiLvlLbl val="0"/>
      </c:catAx>
      <c:valAx>
        <c:axId val="-467161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552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1485900</xdr:colOff>
      <xdr:row>450</xdr:row>
      <xdr:rowOff>26640</xdr:rowOff>
    </xdr:from>
    <xdr:to>
      <xdr:col>14</xdr:col>
      <xdr:colOff>599430</xdr:colOff>
      <xdr:row>480</xdr:row>
      <xdr:rowOff>26279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83126</xdr:colOff>
      <xdr:row>28</xdr:row>
      <xdr:rowOff>180108</xdr:rowOff>
    </xdr:from>
    <xdr:to>
      <xdr:col>48</xdr:col>
      <xdr:colOff>60960</xdr:colOff>
      <xdr:row>128</xdr:row>
      <xdr:rowOff>55418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990600</xdr:colOff>
      <xdr:row>239</xdr:row>
      <xdr:rowOff>76200</xdr:rowOff>
    </xdr:from>
    <xdr:to>
      <xdr:col>47</xdr:col>
      <xdr:colOff>228599</xdr:colOff>
      <xdr:row>336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1369462</xdr:colOff>
      <xdr:row>487</xdr:row>
      <xdr:rowOff>0</xdr:rowOff>
    </xdr:from>
    <xdr:to>
      <xdr:col>15</xdr:col>
      <xdr:colOff>361950</xdr:colOff>
      <xdr:row>516</xdr:row>
      <xdr:rowOff>130173</xdr:rowOff>
    </xdr:to>
    <xdr:graphicFrame macro="">
      <xdr:nvGraphicFramePr>
        <xdr:cNvPr id="6" name="Chart 7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857250</xdr:colOff>
      <xdr:row>353</xdr:row>
      <xdr:rowOff>0</xdr:rowOff>
    </xdr:from>
    <xdr:to>
      <xdr:col>47</xdr:col>
      <xdr:colOff>228599</xdr:colOff>
      <xdr:row>439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180825</xdr:colOff>
      <xdr:row>0</xdr:row>
      <xdr:rowOff>114389</xdr:rowOff>
    </xdr:from>
    <xdr:to>
      <xdr:col>7</xdr:col>
      <xdr:colOff>494850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59"/>
  <sheetViews>
    <sheetView tabSelected="1" topLeftCell="B142" zoomScaleNormal="100" workbookViewId="0">
      <selection activeCell="G159" sqref="G159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L141/G141</f>
        <v>3410313.0221006642</v>
      </c>
      <c r="T1" s="4" t="s">
        <v>15</v>
      </c>
      <c r="U1" s="4">
        <f>M141/K141</f>
        <v>31021.09639818866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K141/K62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40" si="19">F98*G98</f>
        <v>92308365600</v>
      </c>
      <c r="M98" s="13">
        <f t="shared" ref="M98:M140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customHeight="1">
      <c r="A133" s="89"/>
      <c r="B133" s="95" t="s">
        <v>348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customHeight="1">
      <c r="A134" s="89"/>
      <c r="B134" s="95" t="s">
        <v>350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21" customHeight="1">
      <c r="A135" s="89"/>
      <c r="B135" s="95" t="s">
        <v>352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100" customFormat="1" ht="21" customHeight="1">
      <c r="A136" s="96"/>
      <c r="B136" s="97" t="s">
        <v>354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2" s="108" customFormat="1" ht="21" customHeight="1">
      <c r="A137" s="104"/>
      <c r="B137" s="105" t="s">
        <v>378</v>
      </c>
      <c r="C137" s="106">
        <v>3</v>
      </c>
      <c r="D137" s="107">
        <v>26530</v>
      </c>
      <c r="E137" s="106">
        <v>26568</v>
      </c>
      <c r="F137" s="106">
        <v>26572</v>
      </c>
      <c r="G137" s="106">
        <v>9541500</v>
      </c>
      <c r="H137" s="106">
        <v>31168</v>
      </c>
      <c r="I137" s="106">
        <v>31185</v>
      </c>
      <c r="J137" s="106">
        <v>31146</v>
      </c>
      <c r="K137" s="106">
        <v>1141700</v>
      </c>
      <c r="L137" s="106">
        <f t="shared" si="19"/>
        <v>253536738000</v>
      </c>
      <c r="M137" s="106">
        <f t="shared" si="20"/>
        <v>35559388200</v>
      </c>
      <c r="N137" s="108">
        <v>26834</v>
      </c>
      <c r="O137" s="108">
        <v>31497</v>
      </c>
      <c r="P137" s="108">
        <v>26796</v>
      </c>
      <c r="Q137" s="108">
        <v>31480</v>
      </c>
      <c r="R137" s="106"/>
      <c r="S137" s="106"/>
      <c r="T137" s="106"/>
      <c r="U137" s="106"/>
      <c r="V137" s="108">
        <v>27680</v>
      </c>
      <c r="X137" s="108">
        <v>27540</v>
      </c>
      <c r="Y137" s="108">
        <v>32349</v>
      </c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7"/>
      <c r="AT137" s="107"/>
      <c r="AU137" s="107"/>
      <c r="AV137" s="107"/>
      <c r="AW137" s="107"/>
      <c r="AX137" s="107"/>
      <c r="AY137" s="106"/>
      <c r="AZ137" s="106"/>
      <c r="BA137" s="106"/>
      <c r="BB137" s="106"/>
      <c r="BC137" s="106"/>
      <c r="BE137" s="109"/>
      <c r="BF137" s="109"/>
      <c r="BG137" s="109"/>
      <c r="BH137" s="109"/>
    </row>
    <row r="138" spans="1:62" s="108" customFormat="1" ht="21" customHeight="1">
      <c r="A138" s="104"/>
      <c r="B138" s="105" t="s">
        <v>379</v>
      </c>
      <c r="C138" s="106">
        <v>4</v>
      </c>
      <c r="D138" s="107">
        <v>26563</v>
      </c>
      <c r="E138" s="106">
        <v>26763</v>
      </c>
      <c r="F138" s="106">
        <v>26641</v>
      </c>
      <c r="G138" s="106">
        <v>9198200</v>
      </c>
      <c r="H138" s="106">
        <v>31185</v>
      </c>
      <c r="I138" s="106">
        <v>31265</v>
      </c>
      <c r="J138" s="106">
        <v>31207</v>
      </c>
      <c r="K138" s="106">
        <v>800500</v>
      </c>
      <c r="L138" s="106">
        <f t="shared" si="19"/>
        <v>245049246200</v>
      </c>
      <c r="M138" s="106">
        <f t="shared" si="20"/>
        <v>24981203500</v>
      </c>
      <c r="N138" s="108">
        <v>27030</v>
      </c>
      <c r="O138" s="108">
        <v>31578</v>
      </c>
      <c r="P138" s="108">
        <v>26829</v>
      </c>
      <c r="Q138" s="108">
        <v>31497</v>
      </c>
      <c r="R138" s="106"/>
      <c r="S138" s="106"/>
      <c r="T138" s="106"/>
      <c r="U138" s="106"/>
      <c r="V138" s="108">
        <v>27600</v>
      </c>
      <c r="X138" s="108">
        <v>27650</v>
      </c>
      <c r="Y138" s="108">
        <v>32256</v>
      </c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7"/>
      <c r="AT138" s="107"/>
      <c r="AU138" s="107"/>
      <c r="AV138" s="107"/>
      <c r="AW138" s="107"/>
      <c r="AX138" s="107"/>
      <c r="AY138" s="106"/>
      <c r="AZ138" s="106"/>
      <c r="BA138" s="106"/>
      <c r="BB138" s="106"/>
      <c r="BC138" s="106"/>
      <c r="BE138" s="109"/>
      <c r="BF138" s="109"/>
      <c r="BG138" s="109"/>
      <c r="BH138" s="109"/>
    </row>
    <row r="139" spans="1:62" s="108" customFormat="1" ht="21" customHeight="1">
      <c r="A139" s="104"/>
      <c r="B139" s="105" t="s">
        <v>381</v>
      </c>
      <c r="C139" s="106">
        <v>6</v>
      </c>
      <c r="D139" s="107">
        <v>26902</v>
      </c>
      <c r="E139" s="106">
        <v>27230</v>
      </c>
      <c r="F139" s="106">
        <v>27169</v>
      </c>
      <c r="G139" s="106">
        <v>7757800</v>
      </c>
      <c r="H139" s="106">
        <v>31265</v>
      </c>
      <c r="I139" s="106">
        <v>31900</v>
      </c>
      <c r="J139" s="106">
        <v>31623</v>
      </c>
      <c r="K139" s="106">
        <v>961200</v>
      </c>
      <c r="L139" s="106">
        <f t="shared" si="19"/>
        <v>210771668200</v>
      </c>
      <c r="M139" s="106">
        <f t="shared" si="20"/>
        <v>30396027600</v>
      </c>
      <c r="N139" s="108">
        <v>27502</v>
      </c>
      <c r="O139" s="108">
        <v>32219</v>
      </c>
      <c r="P139" s="108">
        <v>27171</v>
      </c>
      <c r="Q139" s="108">
        <v>31578</v>
      </c>
      <c r="R139" s="106"/>
      <c r="S139" s="106"/>
      <c r="T139" s="106"/>
      <c r="U139" s="106"/>
      <c r="V139" s="108">
        <v>27850</v>
      </c>
      <c r="X139" s="108">
        <v>27900</v>
      </c>
      <c r="Y139" s="108">
        <v>32455</v>
      </c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7"/>
      <c r="AT139" s="107"/>
      <c r="AU139" s="107"/>
      <c r="AV139" s="107"/>
      <c r="AW139" s="107"/>
      <c r="AX139" s="107"/>
      <c r="AY139" s="106"/>
      <c r="AZ139" s="106"/>
      <c r="BA139" s="106"/>
      <c r="BB139" s="106"/>
      <c r="BC139" s="106"/>
      <c r="BE139" s="109"/>
      <c r="BF139" s="109"/>
      <c r="BG139" s="109"/>
      <c r="BH139" s="109"/>
    </row>
    <row r="140" spans="1:62" s="86" customFormat="1" ht="21" customHeight="1">
      <c r="A140" s="83"/>
      <c r="B140" s="94" t="s">
        <v>385</v>
      </c>
      <c r="C140" s="84">
        <v>7</v>
      </c>
      <c r="D140" s="85">
        <v>27419</v>
      </c>
      <c r="E140" s="84">
        <v>27633</v>
      </c>
      <c r="F140" s="84">
        <v>27449</v>
      </c>
      <c r="G140" s="84">
        <v>9393600</v>
      </c>
      <c r="H140" s="84">
        <v>31900</v>
      </c>
      <c r="I140" s="84">
        <v>32220</v>
      </c>
      <c r="J140" s="84">
        <v>31790</v>
      </c>
      <c r="K140" s="84">
        <v>863400</v>
      </c>
      <c r="L140" s="106">
        <f t="shared" si="19"/>
        <v>257844926400</v>
      </c>
      <c r="M140" s="106">
        <f t="shared" si="20"/>
        <v>27447486000</v>
      </c>
      <c r="N140" s="86">
        <v>27909</v>
      </c>
      <c r="O140" s="86">
        <v>32543</v>
      </c>
      <c r="P140" s="86">
        <v>27693</v>
      </c>
      <c r="Q140" s="86">
        <v>32219</v>
      </c>
      <c r="R140" s="84"/>
      <c r="S140" s="84"/>
      <c r="T140" s="84"/>
      <c r="U140" s="84"/>
      <c r="V140" s="86">
        <v>28180</v>
      </c>
      <c r="X140" s="86">
        <v>28300</v>
      </c>
      <c r="Y140" s="86">
        <v>32854</v>
      </c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  <c r="AL140" s="84"/>
      <c r="AM140" s="84"/>
      <c r="AN140" s="84"/>
      <c r="AO140" s="84"/>
      <c r="AP140" s="84"/>
      <c r="AQ140" s="84"/>
      <c r="AR140" s="84"/>
      <c r="AS140" s="85"/>
      <c r="AT140" s="85"/>
      <c r="AU140" s="85"/>
      <c r="AV140" s="85"/>
      <c r="AW140" s="85"/>
      <c r="AX140" s="85"/>
      <c r="AY140" s="84"/>
      <c r="AZ140" s="84"/>
      <c r="BA140" s="84"/>
      <c r="BB140" s="84"/>
      <c r="BC140" s="84"/>
      <c r="BE140" s="87"/>
      <c r="BF140" s="87"/>
      <c r="BG140" s="87"/>
      <c r="BH140" s="87"/>
    </row>
    <row r="141" spans="1:62" ht="18">
      <c r="A141" s="8"/>
      <c r="B141" s="9"/>
      <c r="C141" s="9"/>
      <c r="D141" s="27"/>
      <c r="E141" s="9"/>
      <c r="F141" s="9"/>
      <c r="G141" s="9">
        <f>SUM(G2:G139)/138</f>
        <v>6125809.4130434785</v>
      </c>
      <c r="H141" s="9"/>
      <c r="I141" s="9"/>
      <c r="J141" s="9"/>
      <c r="K141" s="9">
        <f>SUM(K2:K126)</f>
        <v>125564600</v>
      </c>
      <c r="L141" s="9">
        <f>SUM(L2:L140)</f>
        <v>20890927612209</v>
      </c>
      <c r="M141" s="10">
        <f>SUM(M2:M140)</f>
        <v>3895151560800</v>
      </c>
      <c r="N141" s="10"/>
      <c r="O141" s="10"/>
      <c r="P141" s="10"/>
      <c r="Q141" s="10"/>
      <c r="R141" s="10"/>
      <c r="S141" s="10"/>
      <c r="T141" s="10"/>
      <c r="U141" s="10"/>
      <c r="V141" s="60">
        <v>28170</v>
      </c>
      <c r="W141" s="10"/>
      <c r="X141">
        <v>28300</v>
      </c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Y141" s="10"/>
      <c r="AZ141" s="10"/>
      <c r="BA141" s="10"/>
      <c r="BB141" s="10"/>
      <c r="BC141" s="10"/>
      <c r="BD141" s="10"/>
      <c r="BE141" s="11"/>
      <c r="BF141" s="11"/>
      <c r="BG141" s="11"/>
      <c r="BH141" s="11"/>
      <c r="BI141" t="e">
        <f>#REF!-N141</f>
        <v>#REF!</v>
      </c>
      <c r="BJ141" t="e">
        <f>(Y141-O141)/O141</f>
        <v>#DIV/0!</v>
      </c>
    </row>
    <row r="142" spans="1:62" ht="18">
      <c r="D142" s="27"/>
      <c r="V142" s="66"/>
      <c r="Z142" s="26"/>
      <c r="AB142" s="26"/>
      <c r="AS142" s="26"/>
      <c r="AW142" s="31"/>
    </row>
    <row r="143" spans="1:62" ht="18">
      <c r="D143" s="27"/>
      <c r="Z143" s="26"/>
      <c r="AS143" s="27"/>
      <c r="AW143" s="31"/>
      <c r="AY143">
        <f>AY51-AY50</f>
        <v>35000</v>
      </c>
    </row>
    <row r="144" spans="1:62" ht="18">
      <c r="G144">
        <f>(G140-G141)/G141</f>
        <v>0.53344633608719949</v>
      </c>
      <c r="Z144" s="26"/>
      <c r="AS144" s="27">
        <v>10290000</v>
      </c>
      <c r="AW144" s="31"/>
      <c r="BB144">
        <f>AY60-AY59</f>
        <v>70000</v>
      </c>
    </row>
    <row r="145" spans="6:49" ht="18">
      <c r="F145" s="1"/>
      <c r="T145">
        <f>V137-X140</f>
        <v>-620</v>
      </c>
      <c r="V145" s="26"/>
      <c r="Z145" s="26"/>
      <c r="AS145" s="27"/>
      <c r="AU145">
        <f>AS144-AS49</f>
        <v>195000</v>
      </c>
      <c r="AW145" s="31">
        <f>AC52-AY51</f>
        <v>305000</v>
      </c>
    </row>
    <row r="146" spans="6:49" ht="18">
      <c r="F146" s="1"/>
      <c r="V146" s="26"/>
      <c r="Z146" s="26"/>
      <c r="AW146" s="31"/>
    </row>
    <row r="147" spans="6:49" ht="17.25" customHeight="1">
      <c r="F147" s="1"/>
      <c r="V147" s="26"/>
      <c r="Z147" s="26"/>
    </row>
    <row r="148" spans="6:49" ht="18">
      <c r="F148" s="1"/>
      <c r="V148" s="26"/>
      <c r="Z148" s="26"/>
      <c r="AW148">
        <f>AW145/AY51</f>
        <v>2.9539951573849879E-2</v>
      </c>
    </row>
    <row r="149" spans="6:49" ht="18">
      <c r="V149" s="26"/>
    </row>
    <row r="150" spans="6:49" ht="18">
      <c r="V150" s="26"/>
    </row>
    <row r="154" spans="6:49" ht="18">
      <c r="G154" s="90">
        <v>8861800</v>
      </c>
    </row>
    <row r="155" spans="6:49" ht="18">
      <c r="G155" s="90">
        <v>8230700</v>
      </c>
    </row>
    <row r="156" spans="6:49" ht="18">
      <c r="G156" s="90">
        <v>8995300</v>
      </c>
    </row>
    <row r="157" spans="6:49" ht="18">
      <c r="G157" s="90">
        <v>10062100</v>
      </c>
    </row>
    <row r="158" spans="6:49" ht="18">
      <c r="G158" s="90">
        <v>8462400</v>
      </c>
    </row>
    <row r="159" spans="6:49">
      <c r="G159">
        <f>SUM(G154:G158)</f>
        <v>44612300</v>
      </c>
    </row>
  </sheetData>
  <autoFilter ref="A1:BL14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289" zoomScale="25" zoomScaleNormal="25" workbookViewId="0">
      <selection activeCell="BA310" sqref="BA31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" customHeight="1">
      <c r="A26" s="82" t="s">
        <v>356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>
      <c r="B27">
        <f>(B2-B8)/B2</f>
        <v>0.15346494762288476</v>
      </c>
      <c r="C27">
        <f>(C2-C8)/C2</f>
        <v>0.1154959674639829</v>
      </c>
      <c r="D27">
        <f>SUM(D2:D16)/15</f>
        <v>29639479.933333334</v>
      </c>
    </row>
    <row r="31" spans="1:11">
      <c r="D31">
        <v>5375132</v>
      </c>
      <c r="E31">
        <f>(E17-D31)/D31</f>
        <v>4.5958809321644006E-2</v>
      </c>
      <c r="G31">
        <f t="shared" ref="G31:G39" si="0">B3-B2</f>
        <v>-554</v>
      </c>
    </row>
    <row r="32" spans="1:11">
      <c r="G32">
        <f t="shared" si="0"/>
        <v>-302</v>
      </c>
    </row>
    <row r="33" spans="3:7">
      <c r="C33">
        <f>(D31-E16)/E16</f>
        <v>0.17110375179746395</v>
      </c>
      <c r="G33">
        <f t="shared" si="0"/>
        <v>-511</v>
      </c>
    </row>
    <row r="34" spans="3:7">
      <c r="G34">
        <f t="shared" si="0"/>
        <v>-362</v>
      </c>
    </row>
    <row r="35" spans="3:7">
      <c r="G35">
        <f t="shared" si="0"/>
        <v>-1699</v>
      </c>
    </row>
    <row r="36" spans="3:7">
      <c r="G36">
        <f t="shared" si="0"/>
        <v>-381</v>
      </c>
    </row>
    <row r="37" spans="3:7">
      <c r="G37">
        <f t="shared" si="0"/>
        <v>1075</v>
      </c>
    </row>
    <row r="38" spans="3:7">
      <c r="G38">
        <f t="shared" si="0"/>
        <v>151</v>
      </c>
    </row>
    <row r="39" spans="3:7">
      <c r="G39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4"/>
  <sheetViews>
    <sheetView topLeftCell="A885" zoomScaleNormal="100" workbookViewId="0">
      <selection activeCell="E896" sqref="E89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14" t="s">
        <v>227</v>
      </c>
      <c r="B1" s="114"/>
      <c r="C1" s="114"/>
      <c r="D1" s="114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14" t="s">
        <v>237</v>
      </c>
      <c r="B11" s="114"/>
      <c r="C11" s="114"/>
      <c r="D11" s="114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114" t="s">
        <v>239</v>
      </c>
      <c r="B21" s="114"/>
      <c r="C21" s="114"/>
      <c r="D21" s="114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114" t="s">
        <v>240</v>
      </c>
      <c r="B31" s="114"/>
      <c r="C31" s="114"/>
      <c r="D31" s="114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114" t="s">
        <v>241</v>
      </c>
      <c r="B41" s="114"/>
      <c r="C41" s="114"/>
      <c r="D41" s="114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114" t="s">
        <v>243</v>
      </c>
      <c r="B51" s="114"/>
      <c r="C51" s="114"/>
      <c r="D51" s="114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114" t="s">
        <v>244</v>
      </c>
      <c r="B61" s="114"/>
      <c r="C61" s="114"/>
      <c r="D61" s="114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114" t="s">
        <v>245</v>
      </c>
      <c r="B71" s="114"/>
      <c r="C71" s="114"/>
      <c r="D71" s="114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114" t="s">
        <v>246</v>
      </c>
      <c r="B81" s="114"/>
      <c r="C81" s="114"/>
      <c r="D81" s="114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114" t="s">
        <v>250</v>
      </c>
      <c r="B93" s="114"/>
      <c r="C93" s="114"/>
      <c r="D93" s="114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114" t="s">
        <v>251</v>
      </c>
      <c r="B103" s="114"/>
      <c r="C103" s="114"/>
      <c r="D103" s="114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114" t="s">
        <v>253</v>
      </c>
      <c r="B113" s="114"/>
      <c r="C113" s="114"/>
      <c r="D113" s="114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14" t="s">
        <v>254</v>
      </c>
      <c r="B123" s="114"/>
      <c r="C123" s="114"/>
      <c r="D123" s="114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114" t="s">
        <v>255</v>
      </c>
      <c r="B133" s="114"/>
      <c r="C133" s="114"/>
      <c r="D133" s="114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114" t="s">
        <v>256</v>
      </c>
      <c r="B143" s="114"/>
      <c r="C143" s="114"/>
      <c r="D143" s="114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114" t="s">
        <v>258</v>
      </c>
      <c r="B153" s="114"/>
      <c r="C153" s="114"/>
      <c r="D153" s="114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114" t="s">
        <v>259</v>
      </c>
      <c r="B163" s="114"/>
      <c r="C163" s="114"/>
      <c r="D163" s="114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114" t="s">
        <v>260</v>
      </c>
      <c r="B173" s="114"/>
      <c r="C173" s="114"/>
      <c r="D173" s="114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4" t="s">
        <v>261</v>
      </c>
      <c r="B183" s="114"/>
      <c r="C183" s="114"/>
      <c r="D183" s="114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114" t="s">
        <v>262</v>
      </c>
      <c r="B193" s="114"/>
      <c r="C193" s="114"/>
      <c r="D193" s="114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114" t="s">
        <v>263</v>
      </c>
      <c r="B203" s="114"/>
      <c r="C203" s="114"/>
      <c r="D203" s="114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114" t="s">
        <v>264</v>
      </c>
      <c r="B213" s="114"/>
      <c r="C213" s="114"/>
      <c r="D213" s="114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114" t="s">
        <v>265</v>
      </c>
      <c r="B223" s="114"/>
      <c r="C223" s="114"/>
      <c r="D223" s="114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114" t="s">
        <v>266</v>
      </c>
      <c r="B233" s="114"/>
      <c r="C233" s="114"/>
      <c r="D233" s="114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114" t="s">
        <v>267</v>
      </c>
      <c r="B243" s="114"/>
      <c r="C243" s="114"/>
      <c r="D243" s="114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14" t="s">
        <v>268</v>
      </c>
      <c r="B253" s="114"/>
      <c r="C253" s="114"/>
      <c r="D253" s="114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114" t="s">
        <v>269</v>
      </c>
      <c r="B263" s="114"/>
      <c r="C263" s="114"/>
      <c r="D263" s="114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114" t="s">
        <v>270</v>
      </c>
      <c r="B273" s="114"/>
      <c r="C273" s="114"/>
      <c r="D273" s="114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114" t="s">
        <v>271</v>
      </c>
      <c r="B283" s="114"/>
      <c r="C283" s="114"/>
      <c r="D283" s="114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114" t="s">
        <v>272</v>
      </c>
      <c r="B293" s="114"/>
      <c r="C293" s="114"/>
      <c r="D293" s="114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14" t="s">
        <v>273</v>
      </c>
      <c r="B303" s="114"/>
      <c r="C303" s="114"/>
      <c r="D303" s="114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114" t="s">
        <v>277</v>
      </c>
      <c r="B313" s="114"/>
      <c r="C313" s="114"/>
      <c r="D313" s="114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114" t="s">
        <v>281</v>
      </c>
      <c r="B324" s="114"/>
      <c r="C324" s="114"/>
      <c r="D324" s="114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114" t="s">
        <v>284</v>
      </c>
      <c r="B335" s="114"/>
      <c r="C335" s="114"/>
      <c r="D335" s="114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114" t="s">
        <v>285</v>
      </c>
      <c r="B346" s="114"/>
      <c r="C346" s="114"/>
      <c r="D346" s="114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114" t="s">
        <v>286</v>
      </c>
      <c r="B357" s="114"/>
      <c r="C357" s="114"/>
      <c r="D357" s="114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114" t="s">
        <v>287</v>
      </c>
      <c r="B368" s="114"/>
      <c r="C368" s="114"/>
      <c r="D368" s="114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114" t="s">
        <v>288</v>
      </c>
      <c r="B379" s="114"/>
      <c r="C379" s="114"/>
      <c r="D379" s="114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114" t="s">
        <v>289</v>
      </c>
      <c r="B390" s="114"/>
      <c r="C390" s="114"/>
      <c r="D390" s="114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114" t="s">
        <v>290</v>
      </c>
      <c r="B401" s="114"/>
      <c r="C401" s="114"/>
      <c r="D401" s="114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114" t="s">
        <v>291</v>
      </c>
      <c r="B412" s="114"/>
      <c r="C412" s="114"/>
      <c r="D412" s="114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114" t="s">
        <v>292</v>
      </c>
      <c r="B423" s="114"/>
      <c r="C423" s="114"/>
      <c r="D423" s="114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114" t="s">
        <v>296</v>
      </c>
      <c r="B434" s="114"/>
      <c r="C434" s="114"/>
      <c r="D434" s="114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114" t="s">
        <v>297</v>
      </c>
      <c r="B445" s="114"/>
      <c r="C445" s="114"/>
      <c r="D445" s="114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114" t="s">
        <v>298</v>
      </c>
      <c r="B456" s="114"/>
      <c r="C456" s="114"/>
      <c r="D456" s="114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114" t="s">
        <v>299</v>
      </c>
      <c r="B467" s="114"/>
      <c r="C467" s="114"/>
      <c r="D467" s="114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114" t="s">
        <v>300</v>
      </c>
      <c r="B478" s="114"/>
      <c r="C478" s="114"/>
      <c r="D478" s="114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114" t="s">
        <v>301</v>
      </c>
      <c r="B489" s="114"/>
      <c r="C489" s="114"/>
      <c r="D489" s="114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114" t="s">
        <v>304</v>
      </c>
      <c r="B500" s="114"/>
      <c r="C500" s="114"/>
      <c r="D500" s="114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114" t="s">
        <v>305</v>
      </c>
      <c r="B511" s="114"/>
      <c r="C511" s="114"/>
      <c r="D511" s="114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114" t="s">
        <v>306</v>
      </c>
      <c r="B522" s="114"/>
      <c r="C522" s="114"/>
      <c r="D522" s="114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114" t="s">
        <v>307</v>
      </c>
      <c r="B533" s="114"/>
      <c r="C533" s="114"/>
      <c r="D533" s="114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114" t="s">
        <v>308</v>
      </c>
      <c r="B544" s="114"/>
      <c r="C544" s="114"/>
      <c r="D544" s="114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114" t="s">
        <v>309</v>
      </c>
      <c r="B555" s="114"/>
      <c r="C555" s="114"/>
      <c r="D555" s="114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114" t="s">
        <v>309</v>
      </c>
      <c r="B567" s="114"/>
      <c r="C567" s="114"/>
      <c r="D567" s="114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114" t="s">
        <v>314</v>
      </c>
      <c r="B579" s="114"/>
      <c r="C579" s="114"/>
      <c r="D579" s="114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114" t="s">
        <v>315</v>
      </c>
      <c r="B590" s="114"/>
      <c r="C590" s="114"/>
      <c r="D590" s="114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114" t="s">
        <v>316</v>
      </c>
      <c r="B601" s="114"/>
      <c r="C601" s="114"/>
      <c r="D601" s="114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114" t="s">
        <v>317</v>
      </c>
      <c r="B612" s="114"/>
      <c r="C612" s="114"/>
      <c r="D612" s="114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114" t="s">
        <v>318</v>
      </c>
      <c r="B623" s="114"/>
      <c r="C623" s="114"/>
      <c r="D623" s="114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114" t="s">
        <v>319</v>
      </c>
      <c r="B635" s="114"/>
      <c r="C635" s="114"/>
      <c r="D635" s="114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114" t="s">
        <v>321</v>
      </c>
      <c r="B647" s="114"/>
      <c r="C647" s="114"/>
      <c r="D647" s="114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114" t="s">
        <v>322</v>
      </c>
      <c r="B658" s="114"/>
      <c r="C658" s="114"/>
      <c r="D658" s="114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114" t="s">
        <v>323</v>
      </c>
      <c r="B670" s="114"/>
      <c r="C670" s="114"/>
      <c r="D670" s="114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114" t="s">
        <v>324</v>
      </c>
      <c r="B681" s="114"/>
      <c r="C681" s="114"/>
      <c r="D681" s="114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114" t="s">
        <v>325</v>
      </c>
      <c r="B692" s="114"/>
      <c r="C692" s="114"/>
      <c r="D692" s="114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114" t="s">
        <v>326</v>
      </c>
      <c r="B703" s="114"/>
      <c r="C703" s="114"/>
      <c r="D703" s="114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114" t="s">
        <v>329</v>
      </c>
      <c r="B715" s="114"/>
      <c r="C715" s="114"/>
      <c r="D715" s="114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114" t="s">
        <v>330</v>
      </c>
      <c r="B726" s="114"/>
      <c r="C726" s="114"/>
      <c r="D726" s="114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114" t="s">
        <v>331</v>
      </c>
      <c r="B738" s="114"/>
      <c r="C738" s="114"/>
      <c r="D738" s="114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114" t="s">
        <v>332</v>
      </c>
      <c r="B749" s="114"/>
      <c r="C749" s="114"/>
      <c r="D749" s="114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114" t="s">
        <v>333</v>
      </c>
      <c r="B760" s="114"/>
      <c r="C760" s="114"/>
      <c r="D760" s="114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114" t="s">
        <v>341</v>
      </c>
      <c r="B772" s="114"/>
      <c r="C772" s="114"/>
      <c r="D772" s="114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114" t="s">
        <v>344</v>
      </c>
      <c r="B784" s="114"/>
      <c r="C784" s="114"/>
      <c r="D784" s="114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14" t="s">
        <v>346</v>
      </c>
      <c r="B796" s="114"/>
      <c r="C796" s="114"/>
      <c r="D796" s="114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14" t="s">
        <v>349</v>
      </c>
      <c r="B809" s="114"/>
      <c r="C809" s="114"/>
      <c r="D809" s="114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14" t="s">
        <v>351</v>
      </c>
      <c r="B820" s="114"/>
      <c r="C820" s="114"/>
      <c r="D820" s="114"/>
    </row>
    <row r="821" spans="1:5">
      <c r="A821" s="11" t="s">
        <v>228</v>
      </c>
      <c r="B821" s="11" t="s">
        <v>229</v>
      </c>
      <c r="C821" s="11" t="s">
        <v>230</v>
      </c>
      <c r="D821" s="11" t="s">
        <v>231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232</v>
      </c>
      <c r="B823" s="11">
        <v>27540</v>
      </c>
      <c r="C823" s="11">
        <v>7500</v>
      </c>
      <c r="D823" s="1">
        <v>11650000</v>
      </c>
    </row>
    <row r="824" spans="1:5">
      <c r="A824" s="70" t="s">
        <v>233</v>
      </c>
      <c r="B824" s="11">
        <v>27550</v>
      </c>
      <c r="C824" s="11">
        <v>7510</v>
      </c>
      <c r="D824" s="1">
        <v>11700000</v>
      </c>
    </row>
    <row r="825" spans="1:5">
      <c r="A825" s="68" t="s">
        <v>234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235</v>
      </c>
      <c r="B827" s="11">
        <v>27540</v>
      </c>
      <c r="C827" s="11">
        <v>7510</v>
      </c>
      <c r="D827" s="88">
        <v>11650000</v>
      </c>
    </row>
    <row r="828" spans="1:5">
      <c r="A828" s="69" t="s">
        <v>236</v>
      </c>
      <c r="B828" s="11">
        <v>27350</v>
      </c>
      <c r="C828" s="11">
        <v>7510</v>
      </c>
      <c r="D828" s="88">
        <v>11650000</v>
      </c>
    </row>
    <row r="831" spans="1:5">
      <c r="A831" s="114" t="s">
        <v>353</v>
      </c>
      <c r="B831" s="114"/>
      <c r="C831" s="114"/>
      <c r="D831" s="114"/>
    </row>
    <row r="832" spans="1:5">
      <c r="A832" s="11" t="s">
        <v>228</v>
      </c>
      <c r="B832" s="11" t="s">
        <v>229</v>
      </c>
      <c r="C832" s="11" t="s">
        <v>230</v>
      </c>
      <c r="D832" s="11" t="s">
        <v>231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232</v>
      </c>
      <c r="B834" s="11">
        <v>27550</v>
      </c>
      <c r="C834" s="11">
        <v>7515</v>
      </c>
      <c r="D834">
        <v>11730000</v>
      </c>
    </row>
    <row r="835" spans="1:6">
      <c r="A835" s="70" t="s">
        <v>233</v>
      </c>
      <c r="B835" s="11">
        <v>27520</v>
      </c>
      <c r="C835" s="11">
        <v>7515</v>
      </c>
      <c r="D835">
        <v>11750000</v>
      </c>
    </row>
    <row r="836" spans="1:6">
      <c r="A836" s="68" t="s">
        <v>234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235</v>
      </c>
      <c r="B838" s="11">
        <v>27520</v>
      </c>
      <c r="C838" s="11">
        <v>7505</v>
      </c>
      <c r="D838" s="88">
        <v>11730000</v>
      </c>
    </row>
    <row r="839" spans="1:6">
      <c r="A839" s="69" t="s">
        <v>236</v>
      </c>
      <c r="B839" s="11">
        <v>27520</v>
      </c>
      <c r="C839" s="11">
        <v>7505</v>
      </c>
      <c r="D839" s="88">
        <v>11730000</v>
      </c>
    </row>
    <row r="842" spans="1:6">
      <c r="A842" s="114" t="s">
        <v>355</v>
      </c>
      <c r="B842" s="114"/>
      <c r="C842" s="114"/>
      <c r="D842" s="114"/>
    </row>
    <row r="843" spans="1:6">
      <c r="A843" s="11" t="s">
        <v>228</v>
      </c>
      <c r="B843" s="11" t="s">
        <v>229</v>
      </c>
      <c r="C843" s="11" t="s">
        <v>230</v>
      </c>
      <c r="D843" s="11" t="s">
        <v>231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280</v>
      </c>
    </row>
    <row r="845" spans="1:6">
      <c r="A845" s="69" t="s">
        <v>232</v>
      </c>
      <c r="B845" s="11"/>
      <c r="C845" s="11"/>
      <c r="D845" s="1"/>
    </row>
    <row r="846" spans="1:6">
      <c r="A846" s="70" t="s">
        <v>233</v>
      </c>
      <c r="B846" s="11"/>
      <c r="C846" s="11"/>
      <c r="D846" s="1"/>
    </row>
    <row r="847" spans="1:6">
      <c r="A847" s="68" t="s">
        <v>234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235</v>
      </c>
      <c r="B849" s="11"/>
      <c r="C849" s="11"/>
      <c r="D849" s="88"/>
    </row>
    <row r="850" spans="1:7">
      <c r="A850" s="69" t="s">
        <v>236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4" t="s">
        <v>376</v>
      </c>
      <c r="B854" s="114"/>
      <c r="C854" s="114"/>
      <c r="D854" s="114"/>
    </row>
    <row r="855" spans="1:7">
      <c r="A855" s="11" t="s">
        <v>228</v>
      </c>
      <c r="B855" s="11" t="s">
        <v>229</v>
      </c>
      <c r="C855" s="11" t="s">
        <v>230</v>
      </c>
      <c r="D855" s="11" t="s">
        <v>377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232</v>
      </c>
      <c r="B857" s="11">
        <v>27600</v>
      </c>
      <c r="C857" s="11">
        <v>7550</v>
      </c>
      <c r="D857" s="1">
        <v>11760000</v>
      </c>
    </row>
    <row r="858" spans="1:7">
      <c r="A858" s="70" t="s">
        <v>233</v>
      </c>
      <c r="B858" s="11">
        <v>27540</v>
      </c>
      <c r="C858" s="11">
        <v>7545</v>
      </c>
      <c r="D858" s="1">
        <v>11720000</v>
      </c>
    </row>
    <row r="859" spans="1:7">
      <c r="A859" s="68" t="s">
        <v>234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235</v>
      </c>
      <c r="B861" s="11">
        <v>27540</v>
      </c>
      <c r="C861" s="11">
        <v>7535</v>
      </c>
      <c r="D861" s="1">
        <v>11750000</v>
      </c>
    </row>
    <row r="865" spans="1:7">
      <c r="A865" s="114" t="s">
        <v>380</v>
      </c>
      <c r="B865" s="114"/>
      <c r="C865" s="114"/>
      <c r="D865" s="114"/>
    </row>
    <row r="866" spans="1:7">
      <c r="A866" s="11" t="s">
        <v>228</v>
      </c>
      <c r="B866" s="11" t="s">
        <v>229</v>
      </c>
      <c r="C866" s="11" t="s">
        <v>230</v>
      </c>
      <c r="D866" s="11" t="s">
        <v>231</v>
      </c>
    </row>
    <row r="867" spans="1:7">
      <c r="A867" s="68">
        <v>0.45833333333333298</v>
      </c>
      <c r="B867" s="11">
        <v>27600</v>
      </c>
      <c r="C867" s="11">
        <v>7560</v>
      </c>
      <c r="D867" s="1">
        <v>11750000</v>
      </c>
    </row>
    <row r="868" spans="1:7">
      <c r="A868" s="69" t="s">
        <v>232</v>
      </c>
      <c r="B868" s="11">
        <v>27470</v>
      </c>
      <c r="C868" s="11">
        <v>7550</v>
      </c>
      <c r="D868" s="1">
        <v>11760000</v>
      </c>
    </row>
    <row r="869" spans="1:7">
      <c r="A869" s="70" t="s">
        <v>233</v>
      </c>
      <c r="B869" s="11">
        <v>27620</v>
      </c>
      <c r="C869" s="11">
        <v>7560</v>
      </c>
      <c r="D869" s="1">
        <v>11760000</v>
      </c>
    </row>
    <row r="870" spans="1:7">
      <c r="A870" s="68" t="s">
        <v>234</v>
      </c>
      <c r="B870" s="11">
        <v>27650</v>
      </c>
      <c r="C870" s="11">
        <v>7560</v>
      </c>
      <c r="D870" s="1">
        <v>11770000</v>
      </c>
    </row>
    <row r="871" spans="1:7">
      <c r="A871" s="68">
        <v>0.625</v>
      </c>
      <c r="B871" s="11">
        <v>27650</v>
      </c>
      <c r="C871" s="11">
        <v>7560</v>
      </c>
      <c r="D871" s="88">
        <v>11770000</v>
      </c>
      <c r="E871" s="88"/>
    </row>
    <row r="872" spans="1:7">
      <c r="A872" s="69" t="s">
        <v>235</v>
      </c>
      <c r="B872" s="11">
        <v>27650</v>
      </c>
      <c r="C872" s="11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14" t="s">
        <v>384</v>
      </c>
      <c r="B876" s="114"/>
      <c r="C876" s="114"/>
      <c r="D876" s="114"/>
      <c r="G876">
        <v>11888000</v>
      </c>
    </row>
    <row r="877" spans="1:7">
      <c r="A877" s="11" t="s">
        <v>228</v>
      </c>
      <c r="B877" s="11" t="s">
        <v>229</v>
      </c>
      <c r="C877" s="11" t="s">
        <v>230</v>
      </c>
      <c r="D877" s="11" t="s">
        <v>231</v>
      </c>
    </row>
    <row r="878" spans="1:7">
      <c r="A878" s="68">
        <v>0.45833333333333298</v>
      </c>
      <c r="B878" s="11">
        <v>27850</v>
      </c>
      <c r="C878" s="11">
        <v>7620</v>
      </c>
      <c r="D878" s="11"/>
      <c r="E878">
        <v>11800000</v>
      </c>
      <c r="F878" t="s">
        <v>382</v>
      </c>
      <c r="G878">
        <v>11970000</v>
      </c>
    </row>
    <row r="879" spans="1:7">
      <c r="A879" s="69" t="s">
        <v>232</v>
      </c>
      <c r="B879" s="11">
        <v>27850</v>
      </c>
      <c r="C879" s="11">
        <v>7620</v>
      </c>
      <c r="D879" s="11"/>
      <c r="E879">
        <v>11820000</v>
      </c>
      <c r="F879" t="s">
        <v>383</v>
      </c>
      <c r="G879">
        <v>11965000</v>
      </c>
    </row>
    <row r="880" spans="1:7">
      <c r="A880" s="70" t="s">
        <v>233</v>
      </c>
      <c r="B880" s="11">
        <v>27900</v>
      </c>
      <c r="C880" s="11">
        <v>7620</v>
      </c>
      <c r="D880" s="11"/>
      <c r="E880">
        <v>11790000</v>
      </c>
      <c r="F880" t="s">
        <v>342</v>
      </c>
      <c r="G880">
        <v>11960000</v>
      </c>
    </row>
    <row r="881" spans="1:4">
      <c r="A881" s="68" t="s">
        <v>234</v>
      </c>
      <c r="B881" s="11">
        <v>27900</v>
      </c>
      <c r="C881" s="11">
        <v>7650</v>
      </c>
      <c r="D881" s="11"/>
    </row>
    <row r="882" spans="1:4">
      <c r="A882" s="110">
        <v>0.625</v>
      </c>
      <c r="B882" s="111">
        <v>27900</v>
      </c>
      <c r="C882" s="111">
        <v>7620</v>
      </c>
      <c r="D882" s="112"/>
    </row>
    <row r="883" spans="1:4">
      <c r="A883" s="69" t="s">
        <v>235</v>
      </c>
      <c r="B883" s="11">
        <v>27900</v>
      </c>
      <c r="C883" s="11">
        <v>7620</v>
      </c>
      <c r="D883" s="112"/>
    </row>
    <row r="884" spans="1:4">
      <c r="A884" s="113">
        <v>0.70833333333333337</v>
      </c>
      <c r="B884" s="11">
        <v>27900</v>
      </c>
      <c r="C884" s="11">
        <v>7620</v>
      </c>
      <c r="D884" s="11"/>
    </row>
    <row r="888" spans="1:4">
      <c r="A888" s="114" t="s">
        <v>386</v>
      </c>
      <c r="B888" s="114"/>
      <c r="C888" s="114"/>
      <c r="D888" s="114"/>
    </row>
    <row r="889" spans="1:4">
      <c r="A889" s="11" t="s">
        <v>228</v>
      </c>
      <c r="B889" s="11" t="s">
        <v>229</v>
      </c>
      <c r="C889" s="11" t="s">
        <v>230</v>
      </c>
      <c r="D889" s="11" t="s">
        <v>231</v>
      </c>
    </row>
    <row r="890" spans="1:4">
      <c r="A890" s="68">
        <v>0.45833333333333298</v>
      </c>
      <c r="B890" s="11">
        <v>28180</v>
      </c>
      <c r="C890" s="11">
        <v>7720</v>
      </c>
      <c r="D890" s="11">
        <v>12000000</v>
      </c>
    </row>
    <row r="891" spans="1:4">
      <c r="A891" s="69" t="s">
        <v>232</v>
      </c>
      <c r="B891" s="11">
        <v>28160</v>
      </c>
      <c r="C891" s="11">
        <v>7690</v>
      </c>
      <c r="D891" s="11">
        <v>11990000</v>
      </c>
    </row>
    <row r="892" spans="1:4">
      <c r="A892" s="70" t="s">
        <v>233</v>
      </c>
      <c r="B892" s="11">
        <v>28230</v>
      </c>
      <c r="C892" s="11">
        <v>7710</v>
      </c>
      <c r="D892" s="11">
        <v>12040000</v>
      </c>
    </row>
    <row r="893" spans="1:4">
      <c r="A893" s="68" t="s">
        <v>234</v>
      </c>
      <c r="B893" s="11">
        <v>28300</v>
      </c>
      <c r="C893" s="11">
        <v>7720</v>
      </c>
      <c r="D893" s="11">
        <v>12030000</v>
      </c>
    </row>
    <row r="894" spans="1:4">
      <c r="A894" s="110">
        <v>0.625</v>
      </c>
      <c r="B894" s="11">
        <v>28300</v>
      </c>
      <c r="C894" s="11">
        <v>7720</v>
      </c>
      <c r="D894" s="112">
        <v>12030000</v>
      </c>
    </row>
    <row r="895" spans="1:4">
      <c r="A895" s="69" t="s">
        <v>235</v>
      </c>
      <c r="B895" s="11">
        <v>28300</v>
      </c>
      <c r="C895" s="11">
        <v>7720</v>
      </c>
      <c r="D895" s="112">
        <v>12045000</v>
      </c>
    </row>
    <row r="896" spans="1:4">
      <c r="A896" s="113">
        <v>0.70833333333333337</v>
      </c>
      <c r="B896" s="11">
        <v>28300</v>
      </c>
      <c r="C896" s="11">
        <v>7720</v>
      </c>
      <c r="D896" s="11">
        <v>12045000</v>
      </c>
    </row>
    <row r="899" spans="3:4">
      <c r="C899" s="1"/>
      <c r="D899" s="1"/>
    </row>
    <row r="900" spans="3:4">
      <c r="C900" s="1"/>
      <c r="D900" s="1"/>
    </row>
    <row r="901" spans="3:4">
      <c r="C901" s="1"/>
      <c r="D901" s="1"/>
    </row>
    <row r="902" spans="3:4">
      <c r="C902" s="1"/>
      <c r="D902" s="1"/>
    </row>
    <row r="903" spans="3:4">
      <c r="C903" s="1"/>
      <c r="D903" s="1"/>
    </row>
    <row r="904" spans="3:4">
      <c r="C904" s="1"/>
      <c r="D904" s="1"/>
    </row>
  </sheetData>
  <mergeCells count="83">
    <mergeCell ref="A888:D888"/>
    <mergeCell ref="A842:D842"/>
    <mergeCell ref="A831:D831"/>
    <mergeCell ref="A796:D796"/>
    <mergeCell ref="A749:D749"/>
    <mergeCell ref="A760:D760"/>
    <mergeCell ref="A772:D772"/>
    <mergeCell ref="A784:D784"/>
    <mergeCell ref="A820:D820"/>
    <mergeCell ref="A809:D809"/>
    <mergeCell ref="A876:D876"/>
    <mergeCell ref="A865:D865"/>
    <mergeCell ref="A854:D854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193:D193"/>
    <mergeCell ref="A1:D1"/>
    <mergeCell ref="A11:D11"/>
    <mergeCell ref="A21:D21"/>
    <mergeCell ref="A31:D31"/>
    <mergeCell ref="A41:D41"/>
    <mergeCell ref="A335:D335"/>
    <mergeCell ref="A346:D346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203:D203"/>
    <mergeCell ref="A213:D213"/>
    <mergeCell ref="A223:D223"/>
    <mergeCell ref="A233:D233"/>
    <mergeCell ref="A243:D243"/>
    <mergeCell ref="A303:D303"/>
    <mergeCell ref="A313:D313"/>
    <mergeCell ref="A324:D324"/>
    <mergeCell ref="A253:D253"/>
    <mergeCell ref="A263:D263"/>
    <mergeCell ref="A273:D273"/>
    <mergeCell ref="A283:D283"/>
    <mergeCell ref="A293:D29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85" zoomScaleNormal="85" workbookViewId="0">
      <selection activeCell="C17" sqref="C17"/>
    </sheetView>
  </sheetViews>
  <sheetFormatPr defaultRowHeight="15"/>
  <cols>
    <col min="1" max="1" width="23.7109375" style="102" customWidth="1"/>
    <col min="2" max="2" width="22.140625" style="102" customWidth="1"/>
    <col min="3" max="3" width="22.5703125" style="102" customWidth="1"/>
    <col min="4" max="4" width="38.85546875" customWidth="1"/>
    <col min="5" max="5" width="22" customWidth="1"/>
    <col min="6" max="6" width="20.7109375" customWidth="1"/>
  </cols>
  <sheetData>
    <row r="1" spans="1:6" s="1" customFormat="1" ht="24.95" customHeight="1">
      <c r="A1" s="115" t="s">
        <v>367</v>
      </c>
      <c r="B1" s="115"/>
      <c r="C1" s="115"/>
    </row>
    <row r="2" spans="1:6" ht="24.95" customHeight="1">
      <c r="A2" s="103"/>
      <c r="B2" s="103" t="s">
        <v>357</v>
      </c>
      <c r="C2" s="103" t="s">
        <v>358</v>
      </c>
    </row>
    <row r="3" spans="1:6" ht="24.95" customHeight="1">
      <c r="A3" s="103" t="s">
        <v>359</v>
      </c>
      <c r="B3" s="103">
        <v>10250000</v>
      </c>
      <c r="C3" s="103">
        <v>11920000</v>
      </c>
      <c r="D3" s="102" t="s">
        <v>368</v>
      </c>
      <c r="E3">
        <f>100*(C3-B3)/B3</f>
        <v>16.292682926829269</v>
      </c>
      <c r="F3">
        <v>16</v>
      </c>
    </row>
    <row r="4" spans="1:6" ht="24.95" customHeight="1">
      <c r="A4" s="103" t="s">
        <v>360</v>
      </c>
      <c r="B4" s="103">
        <v>1018000</v>
      </c>
      <c r="C4" s="103">
        <v>1140000</v>
      </c>
      <c r="D4" s="102" t="s">
        <v>369</v>
      </c>
      <c r="E4" s="1">
        <f t="shared" ref="E4:E10" si="0">100*(C4-B4)/B4</f>
        <v>11.984282907662083</v>
      </c>
      <c r="F4">
        <v>12</v>
      </c>
    </row>
    <row r="5" spans="1:6" ht="24.95" customHeight="1">
      <c r="A5" s="103" t="s">
        <v>361</v>
      </c>
      <c r="B5" s="103">
        <v>23930</v>
      </c>
      <c r="C5" s="103">
        <v>27520</v>
      </c>
      <c r="D5" s="102" t="s">
        <v>370</v>
      </c>
      <c r="E5" s="1">
        <f t="shared" si="0"/>
        <v>15.002089427496866</v>
      </c>
      <c r="F5">
        <v>15</v>
      </c>
    </row>
    <row r="6" spans="1:6" ht="24.95" customHeight="1">
      <c r="A6" s="103" t="s">
        <v>362</v>
      </c>
      <c r="B6" s="103">
        <v>28324</v>
      </c>
      <c r="C6" s="103">
        <v>32347</v>
      </c>
      <c r="D6" s="102" t="s">
        <v>371</v>
      </c>
      <c r="E6" s="1">
        <f t="shared" si="0"/>
        <v>14.203502330179353</v>
      </c>
      <c r="F6">
        <v>14</v>
      </c>
    </row>
    <row r="7" spans="1:6" ht="24.95" customHeight="1">
      <c r="A7" s="103" t="s">
        <v>363</v>
      </c>
      <c r="B7" s="103">
        <v>23779</v>
      </c>
      <c r="C7" s="103">
        <v>26523</v>
      </c>
      <c r="D7" s="102" t="s">
        <v>372</v>
      </c>
      <c r="E7" s="1">
        <f t="shared" si="0"/>
        <v>11.539593759199294</v>
      </c>
      <c r="F7">
        <v>12</v>
      </c>
    </row>
    <row r="8" spans="1:6" ht="24.95" customHeight="1">
      <c r="A8" s="103" t="s">
        <v>364</v>
      </c>
      <c r="B8" s="103">
        <v>28081</v>
      </c>
      <c r="C8" s="103">
        <v>31394</v>
      </c>
      <c r="D8" s="102" t="s">
        <v>373</v>
      </c>
      <c r="E8" s="1">
        <f t="shared" si="0"/>
        <v>11.7980128912788</v>
      </c>
      <c r="F8">
        <v>12</v>
      </c>
    </row>
    <row r="9" spans="1:6" ht="24.95" customHeight="1">
      <c r="A9" s="103" t="s">
        <v>365</v>
      </c>
      <c r="B9" s="103">
        <v>23364</v>
      </c>
      <c r="C9" s="103">
        <v>26260</v>
      </c>
      <c r="D9" s="102" t="s">
        <v>374</v>
      </c>
      <c r="E9" s="1">
        <f t="shared" si="0"/>
        <v>12.395137818866633</v>
      </c>
      <c r="F9">
        <v>12</v>
      </c>
    </row>
    <row r="10" spans="1:6" ht="24.95" customHeight="1">
      <c r="A10" s="103" t="s">
        <v>366</v>
      </c>
      <c r="B10" s="103">
        <v>27693</v>
      </c>
      <c r="C10" s="103">
        <v>31147</v>
      </c>
      <c r="D10" s="102" t="s">
        <v>375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9"/>
  <sheetViews>
    <sheetView topLeftCell="C1" zoomScaleNormal="100" workbookViewId="0">
      <selection activeCell="N79" sqref="N79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9" si="3">(C35-C34)*100/C34</f>
        <v>-1.0141987829614605</v>
      </c>
      <c r="G35">
        <f t="shared" ref="G35:G79" si="4">(D35-D34)*100/D34</f>
        <v>-9.5057034220532313E-2</v>
      </c>
      <c r="H35">
        <f t="shared" ref="H35:H79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13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13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</row>
    <row r="77" spans="2:13">
      <c r="B77">
        <v>14000704</v>
      </c>
      <c r="C77" s="88">
        <v>27650</v>
      </c>
      <c r="D77">
        <v>11770000</v>
      </c>
      <c r="E77">
        <v>1143861</v>
      </c>
      <c r="F77" s="1">
        <f t="shared" si="3"/>
        <v>0.39941902687000724</v>
      </c>
      <c r="G77" s="1">
        <f t="shared" si="4"/>
        <v>0.1702127659574468</v>
      </c>
      <c r="H77" s="1">
        <f t="shared" si="5"/>
        <v>0.18199605354082168</v>
      </c>
      <c r="I77">
        <v>0.18</v>
      </c>
    </row>
    <row r="78" spans="2:13">
      <c r="B78">
        <v>14000706</v>
      </c>
      <c r="C78" s="88">
        <v>27900</v>
      </c>
      <c r="D78">
        <v>11970000</v>
      </c>
      <c r="E78">
        <v>1147200</v>
      </c>
      <c r="F78" s="1">
        <f t="shared" si="3"/>
        <v>0.9041591320072333</v>
      </c>
      <c r="G78" s="1">
        <f t="shared" si="4"/>
        <v>1.6992353440951571</v>
      </c>
      <c r="H78" s="1">
        <f t="shared" si="5"/>
        <v>0.29190609698206338</v>
      </c>
      <c r="I78">
        <v>0.05</v>
      </c>
    </row>
    <row r="79" spans="2:13">
      <c r="B79">
        <v>14000707</v>
      </c>
      <c r="C79" s="88">
        <v>28300</v>
      </c>
      <c r="D79">
        <v>12045000</v>
      </c>
      <c r="E79">
        <v>1156200</v>
      </c>
      <c r="F79" s="1">
        <f t="shared" si="3"/>
        <v>1.4336917562724014</v>
      </c>
      <c r="G79" s="1">
        <f t="shared" si="4"/>
        <v>0.62656641604010022</v>
      </c>
      <c r="H79" s="1">
        <f t="shared" si="5"/>
        <v>0.78451882845188281</v>
      </c>
      <c r="I79">
        <v>0.81</v>
      </c>
      <c r="J79">
        <v>1.43</v>
      </c>
      <c r="K79">
        <v>0.63</v>
      </c>
      <c r="L79">
        <v>0.78</v>
      </c>
      <c r="M79">
        <v>0.81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2021-09-29T13:30:54Z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