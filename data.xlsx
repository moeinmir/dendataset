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5444F8EA-5EEC-4D81-9482-A3028BF1AC95}" xr6:coauthVersionLast="46" xr6:coauthVersionMax="46" xr10:uidLastSave="{00000000-0000-0000-0000-000000000000}"/>
  <bookViews>
    <workbookView xWindow="14328" yWindow="3396" windowWidth="17280" windowHeight="8964" xr2:uid="{00000000-000D-0000-FFFF-FFFF00000000}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21" i="1" l="1"/>
  <c r="L121" i="1"/>
  <c r="H65" i="7"/>
  <c r="G65" i="7"/>
  <c r="F65" i="7"/>
  <c r="H64" i="7" l="1"/>
  <c r="G64" i="7"/>
  <c r="F64" i="7"/>
  <c r="M120" i="1"/>
  <c r="L120" i="1"/>
  <c r="H63" i="7" l="1"/>
  <c r="G63" i="7"/>
  <c r="F63" i="7"/>
  <c r="G122" i="1"/>
  <c r="K122" i="1"/>
  <c r="M119" i="1" l="1"/>
  <c r="L119" i="1"/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H57" i="7" l="1"/>
  <c r="G57" i="7"/>
  <c r="F57" i="7"/>
  <c r="M113" i="1" l="1"/>
  <c r="L113" i="1"/>
  <c r="H56" i="7" l="1"/>
  <c r="G56" i="7"/>
  <c r="F56" i="7"/>
  <c r="M112" i="1" l="1"/>
  <c r="L112" i="1"/>
  <c r="D129" i="1" l="1"/>
  <c r="F128" i="1" l="1"/>
  <c r="G22" i="5" l="1"/>
  <c r="E22" i="5"/>
  <c r="E573" i="6"/>
  <c r="H55" i="7"/>
  <c r="G55" i="7"/>
  <c r="F55" i="7"/>
  <c r="M111" i="1" l="1"/>
  <c r="L111" i="1"/>
  <c r="H54" i="7"/>
  <c r="G54" i="7"/>
  <c r="F54" i="7"/>
  <c r="G126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5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2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2" i="1"/>
  <c r="BI2" i="1"/>
  <c r="M53" i="1" l="1"/>
  <c r="L53" i="1"/>
  <c r="M52" i="1" l="1"/>
  <c r="L52" i="1"/>
  <c r="AW126" i="1" l="1"/>
  <c r="AW129" i="1" s="1"/>
  <c r="G10" i="5" l="1"/>
  <c r="E10" i="5"/>
  <c r="M51" i="1"/>
  <c r="L51" i="1"/>
  <c r="AY124" i="1"/>
  <c r="M50" i="1" l="1"/>
  <c r="L50" i="1"/>
  <c r="AU126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2" i="1" l="1"/>
  <c r="U1" i="1" s="1"/>
  <c r="L122" i="1"/>
  <c r="S1" i="1" s="1"/>
</calcChain>
</file>

<file path=xl/sharedStrings.xml><?xml version="1.0" encoding="utf-8"?>
<sst xmlns="http://schemas.openxmlformats.org/spreadsheetml/2006/main" count="945" uniqueCount="323">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</sst>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2784"/>
        <c:axId val="723857344"/>
      </c:barChart>
      <c:catAx>
        <c:axId val="72386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344"/>
        <c:crosses val="autoZero"/>
        <c:auto val="1"/>
        <c:lblAlgn val="ctr"/>
        <c:lblOffset val="100"/>
        <c:noMultiLvlLbl val="0"/>
      </c:catAx>
      <c:valAx>
        <c:axId val="7238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0272"/>
        <c:axId val="7238600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7238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0064"/>
        <c:crosses val="autoZero"/>
        <c:auto val="1"/>
        <c:lblAlgn val="ctr"/>
        <c:lblOffset val="100"/>
        <c:noMultiLvlLbl val="0"/>
      </c:catAx>
      <c:valAx>
        <c:axId val="7238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152"/>
        <c:axId val="7238513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7238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360"/>
        <c:crosses val="autoZero"/>
        <c:auto val="1"/>
        <c:lblAlgn val="ctr"/>
        <c:lblOffset val="100"/>
        <c:noMultiLvlLbl val="0"/>
      </c:catAx>
      <c:valAx>
        <c:axId val="7238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1904"/>
        <c:axId val="723859520"/>
      </c:barChart>
      <c:catAx>
        <c:axId val="72385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9520"/>
        <c:crosses val="autoZero"/>
        <c:auto val="1"/>
        <c:lblAlgn val="ctr"/>
        <c:lblOffset val="100"/>
        <c:noMultiLvlLbl val="0"/>
      </c:catAx>
      <c:valAx>
        <c:axId val="72385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61696"/>
        <c:axId val="723862240"/>
      </c:barChart>
      <c:catAx>
        <c:axId val="7238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2240"/>
        <c:crosses val="autoZero"/>
        <c:auto val="1"/>
        <c:lblAlgn val="ctr"/>
        <c:lblOffset val="100"/>
        <c:noMultiLvlLbl val="0"/>
      </c:catAx>
      <c:valAx>
        <c:axId val="7238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2448"/>
        <c:axId val="723855712"/>
      </c:barChart>
      <c:catAx>
        <c:axId val="72385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5712"/>
        <c:crosses val="autoZero"/>
        <c:auto val="1"/>
        <c:lblAlgn val="ctr"/>
        <c:lblOffset val="100"/>
        <c:noMultiLvlLbl val="0"/>
      </c:catAx>
      <c:valAx>
        <c:axId val="7238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چهارشنبه 17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3"/>
          <c:order val="63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change'!$F$65:$I$65</c:f>
              <c:numCache>
                <c:formatCode>General</c:formatCode>
                <c:ptCount val="4"/>
                <c:pt idx="0">
                  <c:v>1.5117994100294985</c:v>
                </c:pt>
                <c:pt idx="1">
                  <c:v>0.49423393739703458</c:v>
                </c:pt>
                <c:pt idx="2">
                  <c:v>9.8365211105892622E-2</c:v>
                </c:pt>
                <c:pt idx="3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9-4F3B-912C-01B0C4C2DC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23854624"/>
        <c:axId val="7238578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</c:ext>
        </c:extLst>
      </c:barChart>
      <c:catAx>
        <c:axId val="72385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7888"/>
        <c:crosses val="autoZero"/>
        <c:auto val="1"/>
        <c:lblAlgn val="ctr"/>
        <c:lblOffset val="100"/>
        <c:noMultiLvlLbl val="0"/>
      </c:catAx>
      <c:valAx>
        <c:axId val="72385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85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31"/>
  <sheetViews>
    <sheetView tabSelected="1" topLeftCell="W1" zoomScaleNormal="100" workbookViewId="0">
      <selection activeCell="X122" sqref="X122"/>
    </sheetView>
  </sheetViews>
  <sheetFormatPr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L122/G122</f>
        <v>2857574.5682051666</v>
      </c>
      <c r="T1" s="9" t="s">
        <v>32</v>
      </c>
      <c r="U1" s="9">
        <f>M122/K122</f>
        <v>28515.368633872931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2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K122/K62</f>
        <v>136.05209774089442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1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1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3" customFormat="1" ht="21" customHeight="1">
      <c r="A118" s="60"/>
      <c r="B118" s="61" t="s">
        <v>315</v>
      </c>
      <c r="C118" s="61">
        <v>14</v>
      </c>
      <c r="D118" s="62">
        <v>26441</v>
      </c>
      <c r="E118" s="61">
        <v>26423</v>
      </c>
      <c r="F118" s="61">
        <v>26453</v>
      </c>
      <c r="G118" s="61">
        <v>6934900</v>
      </c>
      <c r="H118" s="61">
        <v>31300</v>
      </c>
      <c r="I118" s="61">
        <v>31047</v>
      </c>
      <c r="J118" s="61">
        <v>31045</v>
      </c>
      <c r="K118" s="61">
        <v>1267000</v>
      </c>
      <c r="L118" s="61">
        <f t="shared" si="14"/>
        <v>183448909700</v>
      </c>
      <c r="M118" s="61">
        <f t="shared" si="13"/>
        <v>39334015000</v>
      </c>
      <c r="N118" s="63">
        <v>26687</v>
      </c>
      <c r="O118" s="63">
        <v>31358</v>
      </c>
      <c r="P118" s="61">
        <v>26705</v>
      </c>
      <c r="Q118" s="63">
        <v>31613</v>
      </c>
      <c r="R118" s="61"/>
      <c r="S118" s="61"/>
      <c r="T118" s="61"/>
      <c r="U118" s="61"/>
      <c r="V118" s="64">
        <v>27170</v>
      </c>
      <c r="X118" s="63">
        <v>27190</v>
      </c>
      <c r="Y118" s="63">
        <v>32356</v>
      </c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2"/>
      <c r="AT118" s="62"/>
      <c r="AU118" s="62"/>
      <c r="AV118" s="62"/>
      <c r="AW118" s="62"/>
      <c r="AX118" s="62"/>
      <c r="AY118" s="61"/>
      <c r="AZ118" s="61"/>
      <c r="BA118" s="61"/>
      <c r="BB118" s="61"/>
      <c r="BC118" s="61"/>
      <c r="BE118" s="65"/>
      <c r="BF118" s="65"/>
      <c r="BG118" s="65"/>
      <c r="BH118" s="65"/>
    </row>
    <row r="119" spans="1:62" s="69" customFormat="1" ht="21" customHeight="1">
      <c r="A119" s="66"/>
      <c r="B119" s="67" t="s">
        <v>317</v>
      </c>
      <c r="C119" s="67">
        <v>15</v>
      </c>
      <c r="D119" s="68">
        <v>26450</v>
      </c>
      <c r="E119" s="67">
        <v>26328</v>
      </c>
      <c r="F119" s="67">
        <v>26359</v>
      </c>
      <c r="G119" s="67">
        <v>5658100</v>
      </c>
      <c r="H119" s="67">
        <v>30950</v>
      </c>
      <c r="I119" s="67">
        <v>31104</v>
      </c>
      <c r="J119" s="67">
        <v>31137</v>
      </c>
      <c r="K119" s="67">
        <v>702100</v>
      </c>
      <c r="L119" s="67">
        <f t="shared" si="14"/>
        <v>149141857900</v>
      </c>
      <c r="M119" s="67">
        <f t="shared" si="13"/>
        <v>21861287700</v>
      </c>
      <c r="N119" s="69">
        <v>26591</v>
      </c>
      <c r="O119" s="69">
        <v>31415</v>
      </c>
      <c r="P119" s="67">
        <v>26714</v>
      </c>
      <c r="Q119" s="69">
        <v>31259</v>
      </c>
      <c r="R119" s="67"/>
      <c r="S119" s="67"/>
      <c r="T119" s="67"/>
      <c r="U119" s="67"/>
      <c r="V119" s="70">
        <v>27070</v>
      </c>
      <c r="X119" s="69">
        <v>27010</v>
      </c>
      <c r="Y119" s="69">
        <v>32081</v>
      </c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67"/>
      <c r="AR119" s="67"/>
      <c r="AS119" s="68"/>
      <c r="AT119" s="68"/>
      <c r="AU119" s="68"/>
      <c r="AV119" s="68"/>
      <c r="AW119" s="68"/>
      <c r="AX119" s="68"/>
      <c r="AY119" s="67"/>
      <c r="AZ119" s="67"/>
      <c r="BA119" s="67"/>
      <c r="BB119" s="67"/>
      <c r="BC119" s="67"/>
      <c r="BE119" s="71"/>
      <c r="BF119" s="71"/>
      <c r="BG119" s="71"/>
      <c r="BH119" s="71"/>
    </row>
    <row r="120" spans="1:62" s="69" customFormat="1" ht="21" customHeight="1">
      <c r="A120" s="66"/>
      <c r="B120" s="67" t="s">
        <v>320</v>
      </c>
      <c r="C120" s="67">
        <v>16</v>
      </c>
      <c r="D120" s="68">
        <v>26570</v>
      </c>
      <c r="E120" s="67">
        <v>26360</v>
      </c>
      <c r="F120" s="67">
        <v>26384</v>
      </c>
      <c r="G120" s="67">
        <v>7781600</v>
      </c>
      <c r="H120" s="67">
        <v>31212</v>
      </c>
      <c r="I120" s="67">
        <v>31350</v>
      </c>
      <c r="J120" s="67">
        <v>31111</v>
      </c>
      <c r="K120" s="67">
        <v>1167200</v>
      </c>
      <c r="L120" s="67">
        <f t="shared" si="14"/>
        <v>205309734400</v>
      </c>
      <c r="M120" s="67">
        <f t="shared" si="13"/>
        <v>36312759200</v>
      </c>
      <c r="N120" s="69">
        <v>26623</v>
      </c>
      <c r="O120" s="69">
        <v>31663</v>
      </c>
      <c r="P120" s="67">
        <v>26836</v>
      </c>
      <c r="Q120" s="69">
        <v>31525</v>
      </c>
      <c r="R120" s="67"/>
      <c r="S120" s="67"/>
      <c r="T120" s="67"/>
      <c r="U120" s="67"/>
      <c r="V120" s="69">
        <v>27180</v>
      </c>
      <c r="X120" s="69">
        <v>27120</v>
      </c>
      <c r="Y120" s="69">
        <v>32297</v>
      </c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  <c r="AO120" s="67"/>
      <c r="AP120" s="67"/>
      <c r="AQ120" s="67"/>
      <c r="AR120" s="67"/>
      <c r="AS120" s="68"/>
      <c r="AT120" s="68"/>
      <c r="AU120" s="68"/>
      <c r="AV120" s="68"/>
      <c r="AW120" s="68"/>
      <c r="AX120" s="68"/>
      <c r="AY120" s="67"/>
      <c r="AZ120" s="67"/>
      <c r="BA120" s="67"/>
      <c r="BB120" s="67"/>
      <c r="BC120" s="67"/>
      <c r="BE120" s="71"/>
      <c r="BF120" s="71"/>
      <c r="BG120" s="71"/>
      <c r="BH120" s="71"/>
    </row>
    <row r="121" spans="1:62" s="58" customFormat="1" ht="21" customHeight="1">
      <c r="A121" s="55"/>
      <c r="B121" s="56" t="s">
        <v>321</v>
      </c>
      <c r="C121" s="56">
        <v>17</v>
      </c>
      <c r="D121" s="57">
        <v>26681</v>
      </c>
      <c r="E121" s="56">
        <v>26582</v>
      </c>
      <c r="F121" s="56">
        <v>26514</v>
      </c>
      <c r="G121" s="56">
        <v>10053900</v>
      </c>
      <c r="H121" s="56">
        <v>31234</v>
      </c>
      <c r="I121" s="56">
        <v>31217</v>
      </c>
      <c r="J121" s="56">
        <v>31159</v>
      </c>
      <c r="K121" s="56">
        <v>1549100</v>
      </c>
      <c r="L121" s="67">
        <f t="shared" si="14"/>
        <v>266569104600</v>
      </c>
      <c r="M121" s="67">
        <f t="shared" si="13"/>
        <v>48268406900</v>
      </c>
      <c r="N121" s="58">
        <v>26852</v>
      </c>
      <c r="O121" s="58">
        <v>31530</v>
      </c>
      <c r="P121" s="56">
        <v>26948</v>
      </c>
      <c r="Q121" s="58">
        <v>31547</v>
      </c>
      <c r="R121" s="56"/>
      <c r="S121" s="56"/>
      <c r="T121" s="56"/>
      <c r="U121" s="56"/>
      <c r="V121" s="58">
        <v>27570</v>
      </c>
      <c r="X121" s="58">
        <v>27530</v>
      </c>
      <c r="Y121" s="58">
        <v>32539</v>
      </c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7"/>
      <c r="AT121" s="57"/>
      <c r="AU121" s="57"/>
      <c r="AV121" s="57"/>
      <c r="AW121" s="57"/>
      <c r="AX121" s="57"/>
      <c r="AY121" s="56"/>
      <c r="AZ121" s="56"/>
      <c r="BA121" s="56"/>
      <c r="BB121" s="56"/>
      <c r="BC121" s="56"/>
      <c r="BE121" s="59"/>
      <c r="BF121" s="59"/>
      <c r="BG121" s="59"/>
      <c r="BH121" s="59"/>
    </row>
    <row r="122" spans="1:62" ht="18">
      <c r="A122" s="6"/>
      <c r="B122" s="7"/>
      <c r="C122" s="7"/>
      <c r="D122" s="19"/>
      <c r="E122" s="7"/>
      <c r="F122" s="7"/>
      <c r="G122" s="7">
        <f>SUM(G2:G119)/118</f>
        <v>5801599.1440677969</v>
      </c>
      <c r="H122" s="7"/>
      <c r="I122" s="7"/>
      <c r="J122" s="7"/>
      <c r="K122" s="7">
        <f>SUM(K2:K119)</f>
        <v>118038800</v>
      </c>
      <c r="L122" s="7">
        <f>SUM(L2:L120)</f>
        <v>16578502169009</v>
      </c>
      <c r="M122" s="4">
        <f>SUM(M2:M120)</f>
        <v>3365919895100</v>
      </c>
      <c r="N122" s="4"/>
      <c r="O122" s="4"/>
      <c r="P122" s="4"/>
      <c r="Q122" s="4"/>
      <c r="R122" s="4"/>
      <c r="S122" s="4"/>
      <c r="T122" s="4"/>
      <c r="U122" s="4"/>
      <c r="W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Y122" s="4"/>
      <c r="AZ122" s="4"/>
      <c r="BA122" s="4"/>
      <c r="BB122" s="4"/>
      <c r="BC122" s="4"/>
      <c r="BD122" s="4"/>
      <c r="BE122" s="3"/>
      <c r="BF122" s="3"/>
      <c r="BG122" s="3"/>
      <c r="BH122" s="3"/>
      <c r="BI122" t="e">
        <f>#REF!-N122</f>
        <v>#REF!</v>
      </c>
      <c r="BJ122" t="e">
        <f t="shared" si="3"/>
        <v>#DIV/0!</v>
      </c>
    </row>
    <row r="123" spans="1:62" ht="18">
      <c r="D123" s="19"/>
      <c r="Z123" s="12"/>
      <c r="AB123" s="12"/>
      <c r="AS123" s="12"/>
      <c r="AW123" s="29"/>
    </row>
    <row r="124" spans="1:62" ht="18">
      <c r="D124" s="19"/>
      <c r="Z124" s="12"/>
      <c r="AS124" s="19"/>
      <c r="AW124" s="29"/>
      <c r="AY124">
        <f>AY51-AY50</f>
        <v>35000</v>
      </c>
    </row>
    <row r="125" spans="1:62" ht="18">
      <c r="Z125" s="12"/>
      <c r="AS125" s="19">
        <v>10290000</v>
      </c>
      <c r="AW125" s="29"/>
      <c r="BB125">
        <f>AY60-AY59</f>
        <v>70000</v>
      </c>
    </row>
    <row r="126" spans="1:62" ht="18">
      <c r="G126">
        <f>(G110-G122)/G122</f>
        <v>0.62241474570412092</v>
      </c>
      <c r="V126" s="12"/>
      <c r="Z126" s="12"/>
      <c r="AS126" s="19"/>
      <c r="AU126">
        <f>AS125-AS49</f>
        <v>195000</v>
      </c>
      <c r="AW126" s="29">
        <f>AC52-AY51</f>
        <v>305000</v>
      </c>
    </row>
    <row r="127" spans="1:62" ht="18">
      <c r="V127" s="12"/>
      <c r="Z127" s="12"/>
      <c r="AW127" s="29"/>
    </row>
    <row r="128" spans="1:62" ht="17.25" customHeight="1">
      <c r="F128">
        <f>(D112-F111)/F111</f>
        <v>3.7955768081291093E-2</v>
      </c>
      <c r="V128" s="12"/>
      <c r="Z128" s="12"/>
    </row>
    <row r="129" spans="4:49" ht="18">
      <c r="D129">
        <f>(D112-F111)/F111</f>
        <v>3.7955768081291093E-2</v>
      </c>
      <c r="V129" s="12"/>
      <c r="Z129" s="12"/>
      <c r="AW129">
        <f>AW126/AY51</f>
        <v>2.9539951573849879E-2</v>
      </c>
    </row>
    <row r="130" spans="4:49" ht="18">
      <c r="V130" s="12"/>
    </row>
    <row r="131" spans="4:49" ht="18">
      <c r="V131" s="12"/>
    </row>
  </sheetData>
  <autoFilter ref="A1:BL126" xr:uid="{00000000-0009-0000-0000-000000000000}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topLeftCell="A214" zoomScale="70" zoomScaleNormal="70" workbookViewId="0">
      <selection activeCell="B240" sqref="B240"/>
    </sheetView>
  </sheetViews>
  <sheetFormatPr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5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5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00"/>
  <sheetViews>
    <sheetView topLeftCell="A679" workbookViewId="0">
      <selection activeCell="C691" sqref="C691"/>
    </sheetView>
  </sheetViews>
  <sheetFormatPr defaultRowHeight="14.4"/>
  <cols>
    <col min="2" max="3" width="19.6640625" customWidth="1"/>
    <col min="4" max="4" width="15.88671875" bestFit="1" customWidth="1"/>
    <col min="5" max="5" width="10" bestFit="1" customWidth="1"/>
    <col min="7" max="7" width="13.44140625" customWidth="1"/>
    <col min="8" max="8" width="15.88671875" bestFit="1" customWidth="1"/>
    <col min="9" max="9" width="10.6640625" bestFit="1" customWidth="1"/>
  </cols>
  <sheetData>
    <row r="1" spans="1:4" ht="20.100000000000001" customHeight="1">
      <c r="A1" s="72" t="s">
        <v>162</v>
      </c>
      <c r="B1" s="72"/>
      <c r="C1" s="72"/>
      <c r="D1" s="72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72" t="s">
        <v>169</v>
      </c>
      <c r="B11" s="72"/>
      <c r="C11" s="72"/>
      <c r="D11" s="72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72" t="s">
        <v>170</v>
      </c>
      <c r="B21" s="72"/>
      <c r="C21" s="72"/>
      <c r="D21" s="72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72" t="s">
        <v>172</v>
      </c>
      <c r="B31" s="72"/>
      <c r="C31" s="72"/>
      <c r="D31" s="72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72" t="s">
        <v>173</v>
      </c>
      <c r="B41" s="72"/>
      <c r="C41" s="72"/>
      <c r="D41" s="72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72" t="s">
        <v>177</v>
      </c>
      <c r="B51" s="72"/>
      <c r="C51" s="72"/>
      <c r="D51" s="72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72" t="s">
        <v>179</v>
      </c>
      <c r="B61" s="72"/>
      <c r="C61" s="72"/>
      <c r="D61" s="72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72" t="s">
        <v>182</v>
      </c>
      <c r="B71" s="72"/>
      <c r="C71" s="72"/>
      <c r="D71" s="72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72" t="s">
        <v>184</v>
      </c>
      <c r="B81" s="72"/>
      <c r="C81" s="72"/>
      <c r="D81" s="72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72" t="s">
        <v>190</v>
      </c>
      <c r="B93" s="72"/>
      <c r="C93" s="72"/>
      <c r="D93" s="72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72" t="s">
        <v>191</v>
      </c>
      <c r="B103" s="72"/>
      <c r="C103" s="72"/>
      <c r="D103" s="72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72" t="s">
        <v>194</v>
      </c>
      <c r="B113" s="72"/>
      <c r="C113" s="72"/>
      <c r="D113" s="72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72" t="s">
        <v>197</v>
      </c>
      <c r="B123" s="72"/>
      <c r="C123" s="72"/>
      <c r="D123" s="72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72" t="s">
        <v>199</v>
      </c>
      <c r="B133" s="72"/>
      <c r="C133" s="72"/>
      <c r="D133" s="72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72" t="s">
        <v>201</v>
      </c>
      <c r="B143" s="72"/>
      <c r="C143" s="72"/>
      <c r="D143" s="72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72" t="s">
        <v>205</v>
      </c>
      <c r="B153" s="72"/>
      <c r="C153" s="72"/>
      <c r="D153" s="72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72" t="s">
        <v>207</v>
      </c>
      <c r="B163" s="72"/>
      <c r="C163" s="72"/>
      <c r="D163" s="72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72" t="s">
        <v>209</v>
      </c>
      <c r="B173" s="72"/>
      <c r="C173" s="72"/>
      <c r="D173" s="72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72" t="s">
        <v>210</v>
      </c>
      <c r="B183" s="72"/>
      <c r="C183" s="72"/>
      <c r="D183" s="72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72" t="s">
        <v>212</v>
      </c>
      <c r="B193" s="72"/>
      <c r="C193" s="72"/>
      <c r="D193" s="72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72" t="s">
        <v>214</v>
      </c>
      <c r="B203" s="72"/>
      <c r="C203" s="72"/>
      <c r="D203" s="72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72" t="s">
        <v>216</v>
      </c>
      <c r="B213" s="72"/>
      <c r="C213" s="72"/>
      <c r="D213" s="72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72" t="s">
        <v>217</v>
      </c>
      <c r="B223" s="72"/>
      <c r="C223" s="72"/>
      <c r="D223" s="72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72" t="s">
        <v>221</v>
      </c>
      <c r="B233" s="72"/>
      <c r="C233" s="72"/>
      <c r="D233" s="72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72" t="s">
        <v>222</v>
      </c>
      <c r="B243" s="72"/>
      <c r="C243" s="72"/>
      <c r="D243" s="72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72" t="s">
        <v>224</v>
      </c>
      <c r="B253" s="72"/>
      <c r="C253" s="72"/>
      <c r="D253" s="72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72" t="s">
        <v>226</v>
      </c>
      <c r="B263" s="72"/>
      <c r="C263" s="72"/>
      <c r="D263" s="72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72" t="s">
        <v>229</v>
      </c>
      <c r="B273" s="72"/>
      <c r="C273" s="72"/>
      <c r="D273" s="72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72" t="s">
        <v>231</v>
      </c>
      <c r="B283" s="72"/>
      <c r="C283" s="72"/>
      <c r="D283" s="72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72" t="s">
        <v>232</v>
      </c>
      <c r="B293" s="72"/>
      <c r="C293" s="72"/>
      <c r="D293" s="72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72" t="s">
        <v>234</v>
      </c>
      <c r="B303" s="72"/>
      <c r="C303" s="72"/>
      <c r="D303" s="72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72" t="s">
        <v>240</v>
      </c>
      <c r="B313" s="72"/>
      <c r="C313" s="72"/>
      <c r="D313" s="72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72" t="s">
        <v>245</v>
      </c>
      <c r="B324" s="72"/>
      <c r="C324" s="72"/>
      <c r="D324" s="72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72" t="s">
        <v>246</v>
      </c>
      <c r="B335" s="72"/>
      <c r="C335" s="72"/>
      <c r="D335" s="72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72" t="s">
        <v>247</v>
      </c>
      <c r="B346" s="72"/>
      <c r="C346" s="72"/>
      <c r="D346" s="72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72" t="s">
        <v>249</v>
      </c>
      <c r="B357" s="72"/>
      <c r="C357" s="72"/>
      <c r="D357" s="72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72" t="s">
        <v>250</v>
      </c>
      <c r="B368" s="72"/>
      <c r="C368" s="72"/>
      <c r="D368" s="72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72" t="s">
        <v>251</v>
      </c>
      <c r="B379" s="72"/>
      <c r="C379" s="72"/>
      <c r="D379" s="72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72" t="s">
        <v>252</v>
      </c>
      <c r="B390" s="72"/>
      <c r="C390" s="72"/>
      <c r="D390" s="72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72" t="s">
        <v>253</v>
      </c>
      <c r="B401" s="72"/>
      <c r="C401" s="72"/>
      <c r="D401" s="72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72" t="s">
        <v>254</v>
      </c>
      <c r="B412" s="72"/>
      <c r="C412" s="72"/>
      <c r="D412" s="72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72" t="s">
        <v>255</v>
      </c>
      <c r="B423" s="72"/>
      <c r="C423" s="72"/>
      <c r="D423" s="72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72" t="s">
        <v>260</v>
      </c>
      <c r="B434" s="72"/>
      <c r="C434" s="72"/>
      <c r="D434" s="72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72" t="s">
        <v>261</v>
      </c>
      <c r="B445" s="72"/>
      <c r="C445" s="72"/>
      <c r="D445" s="72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72" t="s">
        <v>262</v>
      </c>
      <c r="B456" s="72"/>
      <c r="C456" s="72"/>
      <c r="D456" s="72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72" t="s">
        <v>263</v>
      </c>
      <c r="B467" s="72"/>
      <c r="C467" s="72"/>
      <c r="D467" s="72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72" t="s">
        <v>277</v>
      </c>
      <c r="B478" s="72"/>
      <c r="C478" s="72"/>
      <c r="D478" s="72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72" t="s">
        <v>278</v>
      </c>
      <c r="B489" s="72"/>
      <c r="C489" s="72"/>
      <c r="D489" s="72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72" t="s">
        <v>282</v>
      </c>
      <c r="B500" s="72"/>
      <c r="C500" s="72"/>
      <c r="D500" s="72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72" t="s">
        <v>287</v>
      </c>
      <c r="B511" s="72"/>
      <c r="C511" s="72"/>
      <c r="D511" s="72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72" t="s">
        <v>288</v>
      </c>
      <c r="B522" s="72"/>
      <c r="C522" s="72"/>
      <c r="D522" s="72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72" t="s">
        <v>290</v>
      </c>
      <c r="B533" s="72"/>
      <c r="C533" s="72"/>
      <c r="D533" s="72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72" t="s">
        <v>291</v>
      </c>
      <c r="B544" s="72"/>
      <c r="C544" s="72"/>
      <c r="D544" s="72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72" t="s">
        <v>294</v>
      </c>
      <c r="B555" s="72"/>
      <c r="C555" s="72"/>
      <c r="D555" s="72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72" t="s">
        <v>294</v>
      </c>
      <c r="B567" s="72"/>
      <c r="C567" s="72"/>
      <c r="D567" s="72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72" t="s">
        <v>301</v>
      </c>
      <c r="B579" s="72"/>
      <c r="C579" s="72"/>
      <c r="D579" s="72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72" t="s">
        <v>302</v>
      </c>
      <c r="B590" s="72"/>
      <c r="C590" s="72"/>
      <c r="D590" s="72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72" t="s">
        <v>305</v>
      </c>
      <c r="B601" s="72"/>
      <c r="C601" s="72"/>
      <c r="D601" s="72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72" t="s">
        <v>306</v>
      </c>
      <c r="B612" s="72"/>
      <c r="C612" s="72"/>
      <c r="D612" s="72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72" t="s">
        <v>309</v>
      </c>
      <c r="B623" s="72"/>
      <c r="C623" s="72"/>
      <c r="D623" s="72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72" t="s">
        <v>310</v>
      </c>
      <c r="B635" s="72"/>
      <c r="C635" s="72"/>
      <c r="D635" s="72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72" t="s">
        <v>314</v>
      </c>
      <c r="B647" s="72"/>
      <c r="C647" s="72"/>
      <c r="D647" s="72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72" t="s">
        <v>316</v>
      </c>
      <c r="B658" s="72"/>
      <c r="C658" s="72"/>
      <c r="D658" s="72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72" t="s">
        <v>318</v>
      </c>
      <c r="B670" s="72"/>
      <c r="C670" s="72"/>
      <c r="D670" s="72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72" t="s">
        <v>319</v>
      </c>
      <c r="B681" s="72"/>
      <c r="C681" s="72"/>
      <c r="D681" s="72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72" t="s">
        <v>322</v>
      </c>
      <c r="B692" s="72"/>
      <c r="C692" s="72"/>
      <c r="D692" s="72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</sheetData>
  <mergeCells count="66"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612:D612"/>
    <mergeCell ref="A555:D555"/>
    <mergeCell ref="A544:D544"/>
    <mergeCell ref="A511:D511"/>
    <mergeCell ref="A467:D467"/>
    <mergeCell ref="A500:D500"/>
    <mergeCell ref="A489:D489"/>
    <mergeCell ref="A478:D478"/>
    <mergeCell ref="A522:D522"/>
    <mergeCell ref="A601:D601"/>
    <mergeCell ref="A590:D590"/>
    <mergeCell ref="A579:D579"/>
    <mergeCell ref="A567:D567"/>
    <mergeCell ref="A692:D692"/>
    <mergeCell ref="A658:D658"/>
    <mergeCell ref="A647:D647"/>
    <mergeCell ref="A635:D635"/>
    <mergeCell ref="A623:D623"/>
    <mergeCell ref="A681:D681"/>
    <mergeCell ref="A670:D67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65"/>
  <sheetViews>
    <sheetView topLeftCell="E1" workbookViewId="0">
      <selection activeCell="M66" sqref="M66"/>
    </sheetView>
  </sheetViews>
  <sheetFormatPr defaultRowHeight="14.4"/>
  <cols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5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5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  <c r="J65">
        <v>1.51</v>
      </c>
      <c r="K65">
        <v>0.49</v>
      </c>
      <c r="L65">
        <v>0.1</v>
      </c>
      <c r="M65">
        <v>0.19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2021-04-05T10:39:57Z</dcterms:created>
  <dcterms:modified xsi:type="dcterms:W3CDTF">2021-09-08T19:00:31Z</dcterms:modified>
</cp:coreProperties>
</file>