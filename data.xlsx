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set'!$A$1:$BL$163</definedName>
    <definedName name="_xlnm._FilterDatabase" localSheetId="1" hidden="1">weekly!$A$1:$K$43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9" i="1"/>
  <c r="F163" i="1" s="1"/>
  <c r="M149" i="1" l="1"/>
  <c r="L149" i="1"/>
  <c r="G163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3" i="2"/>
  <c r="G42" i="2"/>
  <c r="G41" i="2"/>
  <c r="G40" i="2"/>
  <c r="G39" i="2"/>
  <c r="G38" i="2"/>
  <c r="G37" i="2"/>
  <c r="G36" i="2"/>
  <c r="G35" i="2"/>
  <c r="D31" i="2"/>
  <c r="C31" i="2"/>
  <c r="B3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5" i="2" s="1"/>
  <c r="G16" i="2"/>
  <c r="E16" i="2"/>
  <c r="C3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7" i="1"/>
  <c r="AW163" i="1"/>
  <c r="AW166" i="1" s="1"/>
  <c r="AU163" i="1"/>
  <c r="T163" i="1"/>
  <c r="BB162" i="1"/>
  <c r="AY161" i="1"/>
  <c r="BJ159" i="1"/>
  <c r="BI159" i="1"/>
  <c r="K159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9" i="1" l="1"/>
  <c r="U1" i="1" s="1"/>
  <c r="L159" i="1"/>
  <c r="S1" i="1" s="1"/>
</calcChain>
</file>

<file path=xl/sharedStrings.xml><?xml version="1.0" encoding="utf-8"?>
<sst xmlns="http://schemas.openxmlformats.org/spreadsheetml/2006/main" count="1343" uniqueCount="427">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</sst>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41648"/>
        <c:axId val="-1323830768"/>
      </c:lineChart>
      <c:catAx>
        <c:axId val="-132384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0768"/>
        <c:crosses val="autoZero"/>
        <c:auto val="1"/>
        <c:lblAlgn val="ctr"/>
        <c:lblOffset val="100"/>
        <c:noMultiLvlLbl val="0"/>
      </c:catAx>
      <c:valAx>
        <c:axId val="-13238307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416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1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weekly!$B$27:$B$30</c:f>
              <c:numCache>
                <c:formatCode>General</c:formatCode>
                <c:ptCount val="4"/>
                <c:pt idx="0">
                  <c:v>27044</c:v>
                </c:pt>
                <c:pt idx="1">
                  <c:v>27336</c:v>
                </c:pt>
                <c:pt idx="2">
                  <c:v>26563</c:v>
                </c:pt>
                <c:pt idx="3">
                  <c:v>26392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weekly!$H$27:$H$30</c:f>
              <c:numCache>
                <c:formatCode>General</c:formatCode>
                <c:ptCount val="4"/>
                <c:pt idx="0">
                  <c:v>27477</c:v>
                </c:pt>
                <c:pt idx="1">
                  <c:v>27595</c:v>
                </c:pt>
                <c:pt idx="2">
                  <c:v>26765</c:v>
                </c:pt>
                <c:pt idx="3">
                  <c:v>26689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weekly!$J$27:$J$30</c:f>
              <c:numCache>
                <c:formatCode>General</c:formatCode>
                <c:ptCount val="4"/>
                <c:pt idx="0">
                  <c:v>27956</c:v>
                </c:pt>
                <c:pt idx="1">
                  <c:v>28052</c:v>
                </c:pt>
                <c:pt idx="2">
                  <c:v>27350</c:v>
                </c:pt>
                <c:pt idx="3">
                  <c:v>27260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34032"/>
        <c:axId val="-1323834576"/>
      </c:lineChart>
      <c:catAx>
        <c:axId val="-132383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4576"/>
        <c:crosses val="autoZero"/>
        <c:auto val="1"/>
        <c:lblAlgn val="ctr"/>
        <c:lblOffset val="100"/>
        <c:noMultiLvlLbl val="0"/>
      </c:catAx>
      <c:valAx>
        <c:axId val="-132383457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40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سی‌ام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weekly!$D$2:$D$30</c:f>
              <c:numCache>
                <c:formatCode>General</c:formatCode>
                <c:ptCount val="2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29680"/>
        <c:axId val="-1323828592"/>
      </c:lineChart>
      <c:catAx>
        <c:axId val="-132382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28592"/>
        <c:crosses val="autoZero"/>
        <c:auto val="1"/>
        <c:lblAlgn val="ctr"/>
        <c:lblOffset val="100"/>
        <c:noMultiLvlLbl val="0"/>
      </c:catAx>
      <c:valAx>
        <c:axId val="-1323828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296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42192"/>
        <c:axId val="-1323832944"/>
      </c:lineChart>
      <c:catAx>
        <c:axId val="-132384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2944"/>
        <c:crosses val="autoZero"/>
        <c:auto val="1"/>
        <c:lblAlgn val="ctr"/>
        <c:lblOffset val="100"/>
        <c:noMultiLvlLbl val="0"/>
      </c:catAx>
      <c:valAx>
        <c:axId val="-13238329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421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سی‌ام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weekly!$F$2:$F$30</c:f>
              <c:numCache>
                <c:formatCode>General</c:formatCode>
                <c:ptCount val="2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27504"/>
        <c:axId val="-1323838384"/>
      </c:lineChart>
      <c:catAx>
        <c:axId val="-13238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8384"/>
        <c:crosses val="autoZero"/>
        <c:auto val="1"/>
        <c:lblAlgn val="ctr"/>
        <c:lblOffset val="100"/>
        <c:noMultiLvlLbl val="0"/>
      </c:catAx>
      <c:valAx>
        <c:axId val="-1323838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275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weekly!$C$27:$C$30</c:f>
              <c:numCache>
                <c:formatCode>General</c:formatCode>
                <c:ptCount val="4"/>
                <c:pt idx="0">
                  <c:v>31502</c:v>
                </c:pt>
                <c:pt idx="1">
                  <c:v>31709</c:v>
                </c:pt>
                <c:pt idx="2">
                  <c:v>30553</c:v>
                </c:pt>
                <c:pt idx="3">
                  <c:v>30372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weekly!$K$27:$K$30</c:f>
              <c:numCache>
                <c:formatCode>General</c:formatCode>
                <c:ptCount val="4"/>
                <c:pt idx="0">
                  <c:v>32547</c:v>
                </c:pt>
                <c:pt idx="1">
                  <c:v>32567</c:v>
                </c:pt>
                <c:pt idx="2">
                  <c:v>31679</c:v>
                </c:pt>
                <c:pt idx="3">
                  <c:v>31685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1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weekly!$I$27:$I$30</c:f>
              <c:numCache>
                <c:formatCode>General</c:formatCode>
                <c:ptCount val="4"/>
                <c:pt idx="0">
                  <c:v>32099</c:v>
                </c:pt>
                <c:pt idx="1">
                  <c:v>31880</c:v>
                </c:pt>
                <c:pt idx="2">
                  <c:v>30811</c:v>
                </c:pt>
                <c:pt idx="3">
                  <c:v>30754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23826960"/>
        <c:axId val="-1323838928"/>
      </c:lineChart>
      <c:catAx>
        <c:axId val="-132382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8928"/>
        <c:crosses val="autoZero"/>
        <c:auto val="1"/>
        <c:lblAlgn val="ctr"/>
        <c:lblOffset val="100"/>
        <c:noMultiLvlLbl val="0"/>
      </c:catAx>
      <c:valAx>
        <c:axId val="-132383892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26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23835120"/>
        <c:axId val="-1323837840"/>
      </c:barChart>
      <c:catAx>
        <c:axId val="-132383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7840"/>
        <c:crosses val="autoZero"/>
        <c:auto val="1"/>
        <c:lblAlgn val="ctr"/>
        <c:lblOffset val="100"/>
        <c:noMultiLvlLbl val="0"/>
      </c:catAx>
      <c:valAx>
        <c:axId val="-1323837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51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)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شنبه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2"/>
          <c:order val="1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change'!$F$94:$I$94</c:f>
              <c:numCache>
                <c:formatCode>General</c:formatCode>
                <c:ptCount val="4"/>
                <c:pt idx="0">
                  <c:v>0.76866764275256227</c:v>
                </c:pt>
                <c:pt idx="1">
                  <c:v>1.6631130063965884</c:v>
                </c:pt>
                <c:pt idx="2">
                  <c:v>1.8220042046250875</c:v>
                </c:pt>
                <c:pt idx="3">
                  <c:v>-1.99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23837296"/>
        <c:axId val="-13238367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</c:ext>
        </c:extLst>
      </c:barChart>
      <c:catAx>
        <c:axId val="-13238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6752"/>
        <c:crosses val="autoZero"/>
        <c:auto val="1"/>
        <c:lblAlgn val="ctr"/>
        <c:lblOffset val="100"/>
        <c:noMultiLvlLbl val="0"/>
      </c:catAx>
      <c:valAx>
        <c:axId val="-1323836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238372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585</xdr:row>
      <xdr:rowOff>102960</xdr:rowOff>
    </xdr:from>
    <xdr:to>
      <xdr:col>11</xdr:col>
      <xdr:colOff>279360</xdr:colOff>
      <xdr:row>615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165</xdr:row>
      <xdr:rowOff>27711</xdr:rowOff>
    </xdr:from>
    <xdr:to>
      <xdr:col>41</xdr:col>
      <xdr:colOff>533400</xdr:colOff>
      <xdr:row>270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301</xdr:row>
      <xdr:rowOff>0</xdr:rowOff>
    </xdr:from>
    <xdr:to>
      <xdr:col>82</xdr:col>
      <xdr:colOff>0</xdr:colOff>
      <xdr:row>377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620</xdr:row>
      <xdr:rowOff>0</xdr:rowOff>
    </xdr:from>
    <xdr:to>
      <xdr:col>13</xdr:col>
      <xdr:colOff>354240</xdr:colOff>
      <xdr:row>650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400</xdr:row>
      <xdr:rowOff>0</xdr:rowOff>
    </xdr:from>
    <xdr:to>
      <xdr:col>83</xdr:col>
      <xdr:colOff>533400</xdr:colOff>
      <xdr:row>499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48</xdr:row>
      <xdr:rowOff>76321</xdr:rowOff>
    </xdr:from>
    <xdr:to>
      <xdr:col>44</xdr:col>
      <xdr:colOff>533400</xdr:colOff>
      <xdr:row>147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7"/>
  <sheetViews>
    <sheetView topLeftCell="W1" zoomScaleNormal="100" workbookViewId="0">
      <selection activeCell="Y158" sqref="Y15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L159/G159</f>
        <v>3581474.6721000345</v>
      </c>
      <c r="T1" s="3" t="s">
        <v>15</v>
      </c>
      <c r="U1" s="3">
        <f>M159/K159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K159/K62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8" si="21">F130*G130</f>
        <v>134799608200</v>
      </c>
      <c r="M130" s="12">
        <f t="shared" ref="M130:M158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2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2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2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2" s="73" customFormat="1" ht="21" customHeight="1">
      <c r="A158" s="104"/>
      <c r="B158" s="105" t="s">
        <v>425</v>
      </c>
      <c r="C158" s="106">
        <v>1</v>
      </c>
      <c r="D158" s="107">
        <v>26511</v>
      </c>
      <c r="E158" s="106">
        <v>26780</v>
      </c>
      <c r="F158" s="106">
        <v>26576</v>
      </c>
      <c r="G158" s="106">
        <v>9387100</v>
      </c>
      <c r="H158" s="106">
        <v>31186</v>
      </c>
      <c r="I158" s="106">
        <v>30665</v>
      </c>
      <c r="J158" s="73">
        <v>30786</v>
      </c>
      <c r="K158" s="106">
        <v>934300</v>
      </c>
      <c r="L158" s="106">
        <f t="shared" si="21"/>
        <v>249471569600</v>
      </c>
      <c r="M158" s="106">
        <f t="shared" si="22"/>
        <v>28763359800</v>
      </c>
      <c r="N158" s="73">
        <v>27047</v>
      </c>
      <c r="O158" s="73">
        <v>30972</v>
      </c>
      <c r="P158" s="73">
        <v>26776</v>
      </c>
      <c r="Q158" s="73">
        <v>31498</v>
      </c>
      <c r="R158" s="106"/>
      <c r="S158" s="106"/>
      <c r="T158" s="106"/>
      <c r="U158" s="106"/>
      <c r="V158" s="73">
        <v>27470</v>
      </c>
      <c r="X158" s="73">
        <v>27580</v>
      </c>
      <c r="Y158" s="73">
        <v>31990</v>
      </c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7"/>
      <c r="AT158" s="107"/>
      <c r="AU158" s="107"/>
      <c r="AV158" s="107"/>
      <c r="AW158" s="107"/>
      <c r="AX158" s="107"/>
      <c r="AY158" s="106"/>
      <c r="AZ158" s="106"/>
      <c r="BA158" s="106"/>
      <c r="BB158" s="106"/>
      <c r="BC158" s="106"/>
      <c r="BE158" s="108"/>
      <c r="BF158" s="108"/>
      <c r="BG158" s="108"/>
      <c r="BH158" s="108"/>
    </row>
    <row r="159" spans="1:62" ht="18">
      <c r="A159" s="7"/>
      <c r="B159" s="8"/>
      <c r="C159" s="8"/>
      <c r="D159" s="26"/>
      <c r="E159" s="8"/>
      <c r="F159" s="8"/>
      <c r="G159" s="8">
        <f>SUM(G2:G149)/148</f>
        <v>6179374.9932432435</v>
      </c>
      <c r="H159" s="8"/>
      <c r="I159" s="8"/>
      <c r="J159" s="8"/>
      <c r="K159" s="8">
        <f>SUM(K2:K126)</f>
        <v>125564600</v>
      </c>
      <c r="L159" s="8">
        <f>SUM(L2:L147)</f>
        <v>22131275027709</v>
      </c>
      <c r="M159" s="9">
        <f>SUM(M2:M147)</f>
        <v>4038177022200</v>
      </c>
      <c r="N159" s="9"/>
      <c r="O159" s="9"/>
      <c r="P159" s="9"/>
      <c r="Q159" s="9"/>
      <c r="R159" s="9"/>
      <c r="S159" s="9"/>
      <c r="T159" s="9"/>
      <c r="U159" s="9"/>
      <c r="V159" s="59">
        <v>27490</v>
      </c>
      <c r="W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Y159" s="9"/>
      <c r="AZ159" s="9"/>
      <c r="BA159" s="9"/>
      <c r="BB159" s="9"/>
      <c r="BC159" s="9"/>
      <c r="BD159" s="9"/>
      <c r="BE159" s="10"/>
      <c r="BF159" s="10"/>
      <c r="BG159" s="10"/>
      <c r="BH159" s="10"/>
      <c r="BI159" t="e">
        <f>#REF!-N159</f>
        <v>#REF!</v>
      </c>
      <c r="BJ159" t="e">
        <f>(Y159-O159)/O159</f>
        <v>#DIV/0!</v>
      </c>
    </row>
    <row r="160" spans="1:62" ht="18">
      <c r="D160" s="26"/>
      <c r="V160" s="74"/>
      <c r="Z160" s="25"/>
      <c r="AB160" s="25"/>
      <c r="AS160" s="25"/>
      <c r="AW160" s="30"/>
    </row>
    <row r="161" spans="4:54" ht="18">
      <c r="D161" s="26"/>
      <c r="Z161" s="25"/>
      <c r="AS161" s="26"/>
      <c r="AW161" s="30"/>
      <c r="AY161">
        <f>AY51-AY50</f>
        <v>35000</v>
      </c>
    </row>
    <row r="162" spans="4:54" ht="18">
      <c r="Z162" s="25"/>
      <c r="AS162" s="26">
        <v>10290000</v>
      </c>
      <c r="AW162" s="30"/>
      <c r="BB162">
        <f>AY60-AY59</f>
        <v>70000</v>
      </c>
    </row>
    <row r="163" spans="4:54" ht="18">
      <c r="F163">
        <f>(G159-G149)/G159</f>
        <v>4.0113279015155934E-2</v>
      </c>
      <c r="G163">
        <f>(G148-G159)/G159</f>
        <v>0.34049155603234549</v>
      </c>
      <c r="T163">
        <f>V137-X140</f>
        <v>-620</v>
      </c>
      <c r="V163" s="25"/>
      <c r="Z163" s="25"/>
      <c r="AS163" s="26"/>
      <c r="AU163">
        <f>AS162-AS49</f>
        <v>195000</v>
      </c>
      <c r="AW163" s="30">
        <f>AC52-AY51</f>
        <v>305000</v>
      </c>
    </row>
    <row r="164" spans="4:54" ht="18">
      <c r="V164" s="25"/>
      <c r="Z164" s="25"/>
      <c r="AW164" s="30"/>
    </row>
    <row r="165" spans="4:54" ht="17.25" customHeight="1">
      <c r="V165" s="25"/>
      <c r="Z165" s="25"/>
    </row>
    <row r="166" spans="4:54" ht="18">
      <c r="V166" s="25"/>
      <c r="Z166" s="25"/>
      <c r="AW166">
        <f>AW163/AY51</f>
        <v>2.9539951573849879E-2</v>
      </c>
    </row>
    <row r="167" spans="4:54" ht="18">
      <c r="V167" s="25"/>
    </row>
    <row r="168" spans="4:54" ht="18">
      <c r="V168" s="25"/>
    </row>
    <row r="172" spans="4:54" ht="18">
      <c r="G172" s="9">
        <v>8861800</v>
      </c>
    </row>
    <row r="173" spans="4:54" ht="18">
      <c r="G173" s="9">
        <v>8230700</v>
      </c>
    </row>
    <row r="174" spans="4:54" ht="18">
      <c r="G174" s="9">
        <v>8995300</v>
      </c>
    </row>
    <row r="175" spans="4:54" ht="18">
      <c r="G175" s="9">
        <v>10062100</v>
      </c>
    </row>
    <row r="176" spans="4:54" ht="18">
      <c r="G176" s="9">
        <v>8462400</v>
      </c>
    </row>
    <row r="177" spans="7:7">
      <c r="G177">
        <f>SUM(G172:G176)</f>
        <v>44612300</v>
      </c>
    </row>
  </sheetData>
  <autoFilter ref="A1:BL163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C1" zoomScale="70" zoomScaleNormal="70" workbookViewId="0">
      <selection activeCell="F7" sqref="F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>
      <c r="B31">
        <f>(B2-B8)/B2</f>
        <v>0.15346494762288476</v>
      </c>
      <c r="C31">
        <f>(C2-C8)/C2</f>
        <v>0.1154959674639829</v>
      </c>
      <c r="D31">
        <f>SUM(D2:D16)/15</f>
        <v>29639479.933333334</v>
      </c>
    </row>
    <row r="35" spans="3:7">
      <c r="D35">
        <v>5375132</v>
      </c>
      <c r="E35">
        <f>(E17-D35)/D35</f>
        <v>4.5958809321644006E-2</v>
      </c>
      <c r="G35">
        <f t="shared" ref="G35:G43" si="0">B3-B2</f>
        <v>-554</v>
      </c>
    </row>
    <row r="36" spans="3:7">
      <c r="G36">
        <f t="shared" si="0"/>
        <v>-302</v>
      </c>
    </row>
    <row r="37" spans="3:7">
      <c r="C37">
        <f>(D35-E16)/E16</f>
        <v>0.17110375179746395</v>
      </c>
      <c r="G37">
        <f t="shared" si="0"/>
        <v>-511</v>
      </c>
    </row>
    <row r="38" spans="3:7">
      <c r="G38">
        <f t="shared" si="0"/>
        <v>-362</v>
      </c>
    </row>
    <row r="39" spans="3:7">
      <c r="G39">
        <f t="shared" si="0"/>
        <v>-1699</v>
      </c>
    </row>
    <row r="40" spans="3:7">
      <c r="G40">
        <f t="shared" si="0"/>
        <v>-381</v>
      </c>
    </row>
    <row r="41" spans="3:7">
      <c r="G41">
        <f t="shared" si="0"/>
        <v>1075</v>
      </c>
    </row>
    <row r="42" spans="3:7">
      <c r="G42">
        <f t="shared" si="0"/>
        <v>151</v>
      </c>
    </row>
    <row r="43" spans="3:7">
      <c r="G43">
        <f t="shared" si="0"/>
        <v>1043</v>
      </c>
    </row>
  </sheetData>
  <autoFilter ref="A1:K4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18"/>
  <sheetViews>
    <sheetView tabSelected="1" topLeftCell="A1096" zoomScale="85" zoomScaleNormal="85" workbookViewId="0">
      <selection activeCell="B1108" sqref="B110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09" t="s">
        <v>423</v>
      </c>
      <c r="B1098" s="109"/>
      <c r="C1098" s="109"/>
      <c r="D1098" s="109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09" t="s">
        <v>426</v>
      </c>
      <c r="B1110" s="109"/>
      <c r="C1110" s="109"/>
      <c r="D1110" s="109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</sheetData>
  <mergeCells count="101">
    <mergeCell ref="A1110:D1110"/>
    <mergeCell ref="A1049:D1049"/>
    <mergeCell ref="A1037:D1037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1098:D1098"/>
    <mergeCell ref="A1085:D1085"/>
    <mergeCell ref="A1073:D1073"/>
    <mergeCell ref="A1061:D1061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35:D335"/>
    <mergeCell ref="A346:D346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93:D93"/>
    <mergeCell ref="A103:D103"/>
    <mergeCell ref="A113:D113"/>
    <mergeCell ref="A123:D123"/>
    <mergeCell ref="A133:D133"/>
    <mergeCell ref="A143:D143"/>
    <mergeCell ref="A324:D32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D20" sqref="D20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4"/>
  <sheetViews>
    <sheetView topLeftCell="A55" zoomScale="85" zoomScaleNormal="85" workbookViewId="0">
      <selection activeCell="B94" sqref="B94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4" si="9"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>(E91-E90)*100/E90</f>
        <v>-0.68187778651980069</v>
      </c>
      <c r="I91">
        <v>0.06</v>
      </c>
    </row>
    <row r="92" spans="2:13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>(E92-E91)*100/E91</f>
        <v>0.88900624944987239</v>
      </c>
      <c r="I92">
        <v>0.87</v>
      </c>
    </row>
    <row r="93" spans="2:13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>(E93-E92)*100/E92</f>
        <v>-0.4013261210957948</v>
      </c>
      <c r="I93">
        <v>-0.91</v>
      </c>
    </row>
    <row r="94" spans="2:13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>(E94-E93)*100/E93</f>
        <v>1.8220042046250875</v>
      </c>
      <c r="I94">
        <v>-1.99</v>
      </c>
      <c r="J94">
        <v>0.77</v>
      </c>
      <c r="K94">
        <v>1.66</v>
      </c>
      <c r="L94">
        <v>1.82</v>
      </c>
      <c r="M94">
        <v>-1.99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2021-10-23T13:02:13Z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