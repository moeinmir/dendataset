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37729C66-07B9-4A7E-B356-F449465C75F5}" xr6:coauthVersionLast="46" xr6:coauthVersionMax="46" xr10:uidLastSave="{00000000-0000-0000-0000-000000000000}"/>
  <bookViews>
    <workbookView xWindow="-108" yWindow="-108" windowWidth="23256" windowHeight="12576" tabRatio="500" xr2:uid="{00000000-000D-0000-FFFF-FFFF00000000}"/>
  </bookViews>
  <sheets>
    <sheet name="data set" sheetId="1" r:id="rId1"/>
    <sheet name="weekly" sheetId="2" r:id="rId2"/>
    <sheet name="tables" sheetId="3" r:id="rId3"/>
    <sheet name="price change" sheetId="4" r:id="rId4"/>
  </sheets>
  <definedNames>
    <definedName name="_xlnm._FilterDatabase" localSheetId="0" hidden="1">'data set'!$A$1:$BL$141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G137" i="1"/>
  <c r="G140" i="1" s="1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9" i="2"/>
  <c r="G38" i="2"/>
  <c r="G37" i="2"/>
  <c r="G36" i="2"/>
  <c r="G35" i="2"/>
  <c r="G34" i="2"/>
  <c r="G33" i="2"/>
  <c r="G32" i="2"/>
  <c r="G31" i="2"/>
  <c r="D27" i="2"/>
  <c r="C27" i="2"/>
  <c r="B27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1" i="2" s="1"/>
  <c r="G16" i="2"/>
  <c r="E16" i="2"/>
  <c r="C3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1" i="1"/>
  <c r="AW144" i="1" s="1"/>
  <c r="AU141" i="1"/>
  <c r="BB140" i="1"/>
  <c r="AY139" i="1"/>
  <c r="BJ137" i="1"/>
  <c r="BI137" i="1"/>
  <c r="K137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7" i="1" l="1"/>
  <c r="S1" i="1" s="1"/>
  <c r="M137" i="1"/>
  <c r="U1" i="1" s="1"/>
</calcChain>
</file>

<file path=xl/sharedStrings.xml><?xml version="1.0" encoding="utf-8"?>
<sst xmlns="http://schemas.openxmlformats.org/spreadsheetml/2006/main" count="1097" uniqueCount="357">
  <si>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</si>
  <si>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</si>
  <si>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</si>
  <si>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</si>
  <si>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</si>
  <si>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</si>
  <si>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</si>
  <si>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</si>
  <si>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</si>
  <si>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</si>
  <si>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</si>
  <si>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</si>
  <si>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</si>
  <si>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</si>
  <si>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</si>
  <si>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</si>
  <si>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</si>
  <si>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</si>
  <si>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</si>
  <si>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</si>
  <si>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</si>
  <si>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</si>
  <si>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</si>
  <si>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</si>
  <si>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</si>
  <si>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</si>
  <si>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</si>
  <si>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</si>
  <si>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</si>
  <si>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</si>
  <si>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</si>
  <si>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</si>
  <si>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</si>
  <si>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</si>
  <si>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</si>
  <si>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</si>
  <si>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</si>
  <si>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</si>
  <si>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</si>
  <si>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</si>
  <si>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</si>
  <si>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</si>
  <si>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</si>
  <si>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</si>
  <si>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</si>
  <si>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</si>
  <si>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</si>
  <si>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</si>
  <si>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</si>
  <si>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</si>
  <si>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</si>
  <si>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</si>
  <si>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</si>
  <si>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</si>
  <si>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</si>
  <si>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</si>
  <si>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</si>
  <si>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</si>
  <si>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</si>
  <si>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</si>
  <si>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</si>
  <si>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</si>
  <si>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</si>
  <si>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</si>
  <si>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</si>
  <si>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</si>
  <si>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</si>
  <si>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</si>
  <si>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</si>
  <si>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</si>
  <si>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</si>
  <si>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</si>
  <si>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</si>
  <si>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</si>
  <si>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</si>
  <si>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</si>
  <si>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</si>
  <si>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</si>
  <si>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</si>
  <si>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</si>
  <si>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</si>
  <si>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</si>
  <si>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</si>
  <si>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</si>
  <si>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</si>
  <si>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</si>
  <si>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</si>
  <si>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</si>
  <si>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</si>
  <si>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</si>
  <si>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</si>
  <si>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</si>
  <si>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</si>
  <si>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</si>
  <si>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</si>
  <si>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</si>
  <si>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</si>
  <si>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</si>
  <si>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</si>
  <si>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</si>
  <si>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</si>
  <si>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</si>
  <si>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</si>
  <si>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</si>
  <si>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</si>
  <si>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</si>
  <si>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</si>
  <si>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</si>
  <si>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</si>
  <si>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</si>
  <si>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</si>
  <si>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</si>
  <si>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</si>
  <si>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</si>
  <si>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</si>
  <si>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</si>
  <si>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</si>
  <si>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</si>
  <si>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</si>
  <si>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</si>
  <si>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</si>
  <si>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</si>
  <si>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</si>
  <si>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</si>
  <si>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</si>
  <si>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</si>
  <si>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</si>
  <si>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</si>
  <si>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</si>
  <si>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</si>
  <si>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</si>
  <si>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</si>
  <si>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</si>
  <si>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</si>
  <si>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</si>
  <si>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</si>
  <si>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</si>
  <si>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</si>
  <si>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</si>
  <si>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</si>
  <si>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</si>
  <si>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</si>
  <si>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</si>
  <si>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</si>
  <si>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</si>
  <si>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</si>
  <si>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</si>
  <si>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</si>
  <si>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</si>
  <si>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</si>
  <si>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</si>
  <si>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</si>
  <si>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</si>
  <si>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</si>
  <si>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</si>
  <si>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</si>
  <si>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</si>
  <si>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</si>
  <si>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</si>
  <si>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</si>
  <si>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</si>
  <si>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</si>
  <si>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</si>
  <si>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</si>
  <si>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</si>
  <si>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</si>
  <si>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</si>
  <si>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</si>
  <si>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</si>
  <si>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</si>
  <si>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</si>
  <si>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</si>
  <si>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</si>
  <si>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</si>
  <si>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</si>
  <si>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</si>
  <si>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</si>
  <si>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</si>
  <si>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</si>
  <si>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</si>
  <si>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</si>
  <si>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</si>
  <si>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</si>
  <si>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</si>
  <si>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</si>
  <si>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</si>
  <si>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</si>
  <si>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</si>
  <si>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</si>
  <si>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</si>
  <si>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</si>
  <si>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</si>
  <si>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</si>
  <si>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</si>
  <si>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</si>
  <si>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</si>
  <si>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</si>
  <si>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</si>
  <si>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</si>
  <si>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</si>
  <si>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</si>
  <si>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</si>
  <si>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</si>
  <si>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</si>
  <si>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</si>
  <si>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</si>
  <si>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</si>
  <si>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</si>
  <si>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</si>
  <si>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</si>
  <si>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</si>
  <si>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</si>
  <si>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</si>
  <si>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</si>
  <si>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</si>
  <si>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</si>
  <si>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</si>
  <si>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</si>
  <si>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</si>
  <si>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</si>
  <si>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</si>
  <si>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</si>
  <si>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</si>
  <si>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</si>
  <si>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</si>
  <si>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</si>
  <si>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</si>
  <si>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</si>
  <si>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</si>
  <si>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</si>
  <si>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</si>
  <si>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</si>
  <si>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</si>
  <si>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</si>
  <si>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</si>
  <si>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</si>
  <si>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</si>
  <si>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</si>
  <si>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</si>
  <si>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</si>
  <si>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</si>
  <si>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</si>
  <si>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</si>
  <si>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</si>
  <si>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</si>
  <si>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</si>
  <si>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</si>
  <si>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</si>
  <si>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</si>
  <si>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</si>
  <si>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</si>
  <si>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</si>
  <si>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</si>
  <si>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</si>
  <si>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</si>
  <si>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</si>
  <si>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</si>
  <si>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</si>
  <si>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</si>
  <si>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</si>
  <si>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</si>
  <si>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</si>
  <si>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</si>
  <si>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</si>
  <si>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</si>
  <si>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</si>
  <si>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</si>
  <si>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</si>
  <si>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</si>
  <si>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</si>
  <si>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</si>
  <si>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</si>
  <si>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</si>
  <si>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</si>
  <si>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</si>
  <si>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</si>
  <si>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</si>
  <si>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</si>
  <si>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</si>
  <si>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</si>
  <si>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</si>
  <si>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</si>
  <si>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</si>
  <si>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</si>
  <si>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</si>
  <si>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</si>
  <si>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</si>
  <si>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</si>
  <si>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</si>
  <si>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</si>
  <si>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</si>
  <si>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</si>
  <si>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</si>
  <si>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</si>
  <si>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</si>
  <si>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</si>
  <si>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</si>
  <si>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</si>
  <si>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</si>
  <si>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</si>
  <si>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</si>
  <si>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</si>
  <si>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</si>
  <si>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</si>
  <si>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</si>
  <si>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</si>
  <si>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</si>
  <si>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</si>
  <si>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</si>
  <si>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</si>
  <si>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</si>
  <si>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</si>
  <si>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</si>
  <si>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</si>
  <si>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</si>
  <si>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</si>
  <si>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</si>
  <si>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</si>
  <si>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</si>
  <si>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</si>
  <si>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</si>
  <si>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</si>
  <si>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</si>
  <si>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</si>
  <si>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</si>
  <si>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</si>
  <si>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</si>
  <si>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</si>
  <si>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</si>
  <si>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</si>
  <si>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</si>
  <si>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</si>
  <si>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</si>
  <si>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</si>
  <si>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</si>
  <si>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</si>
  <si>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</si>
  <si>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</si>
  <si>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</si>
  <si>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</si>
  <si>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</si>
  <si>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</si>
  <si>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</si>
  <si>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</si>
  <si>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</si>
  <si>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</si>
  <si>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</si>
  <si>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</si>
  <si>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</si>
  <si>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</si>
  <si>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</si>
  <si>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</si>
  <si>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</si>
  <si>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</si>
  <si>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</si>
  <si>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</si>
  <si>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هفته بیست و ششم شال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</si>
</sst>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0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1568"/>
        <c:axId val="-1263699936"/>
      </c:lineChart>
      <c:catAx>
        <c:axId val="-126370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9936"/>
        <c:crosses val="autoZero"/>
        <c:auto val="1"/>
        <c:lblAlgn val="ctr"/>
        <c:lblOffset val="100"/>
        <c:noMultiLvlLbl val="0"/>
      </c:catAx>
      <c:valAx>
        <c:axId val="-1263699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15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23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weekly!$B$4:$B$26</c:f>
              <c:numCache>
                <c:formatCode>General</c:formatCode>
                <c:ptCount val="23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dLbl>
              <c:idx val="1"/>
              <c:layout>
                <c:manualLayout>
                  <c:x val="5.0982572671341893E-4"/>
                  <c:y val="-1.1410787372032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639-41DE-AF10-B9EA1EF96DD5}"/>
                </c:ext>
              </c:extLst>
            </c:dLbl>
            <c:dLbl>
              <c:idx val="7"/>
              <c:layout>
                <c:manualLayout>
                  <c:x val="-1.0196514534268379E-3"/>
                  <c:y val="-1.52143831627093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639-41DE-AF10-B9EA1EF96DD5}"/>
                </c:ext>
              </c:extLst>
            </c:dLbl>
            <c:dLbl>
              <c:idx val="11"/>
              <c:layout>
                <c:manualLayout>
                  <c:x val="-7.4773576127236001E-17"/>
                  <c:y val="-5.70539368601608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639-41DE-AF10-B9EA1EF96DD5}"/>
                </c:ext>
              </c:extLst>
            </c:dLbl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weekly!$H$4:$H$26</c:f>
              <c:numCache>
                <c:formatCode>General</c:formatCode>
                <c:ptCount val="23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3"/>
              <c:layout>
                <c:manualLayout>
                  <c:x val="0"/>
                  <c:y val="-1.9968877901056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639-41DE-AF10-B9EA1EF96DD5}"/>
                </c:ext>
              </c:extLst>
            </c:dLbl>
            <c:dLbl>
              <c:idx val="10"/>
              <c:layout>
                <c:manualLayout>
                  <c:x val="-6.1294500509885943E-3"/>
                  <c:y val="-4.27904526451207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2.8245629860179689E-2"/>
                      <c:h val="2.14729454648971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8B84-4A78-BC09-62ED790AB6E6}"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weekly!$J$4:$J$26</c:f>
              <c:numCache>
                <c:formatCode>General</c:formatCode>
                <c:ptCount val="23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1024"/>
        <c:axId val="-1263708640"/>
      </c:lineChart>
      <c:catAx>
        <c:axId val="-126370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1263708640"/>
        <c:crosses val="autoZero"/>
        <c:auto val="1"/>
        <c:lblAlgn val="ctr"/>
        <c:lblOffset val="100"/>
        <c:noMultiLvlLbl val="0"/>
      </c:catAx>
      <c:valAx>
        <c:axId val="-1263708640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102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2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ششم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weekly!$D$2:$D$26</c:f>
              <c:numCache>
                <c:formatCode>General</c:formatCode>
                <c:ptCount val="2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0480"/>
        <c:axId val="-1263695040"/>
      </c:lineChart>
      <c:catAx>
        <c:axId val="-12637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5040"/>
        <c:crosses val="autoZero"/>
        <c:auto val="1"/>
        <c:lblAlgn val="ctr"/>
        <c:lblOffset val="100"/>
        <c:noMultiLvlLbl val="0"/>
      </c:catAx>
      <c:valAx>
        <c:axId val="-12636950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048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7008"/>
        <c:axId val="-1263698848"/>
      </c:lineChart>
      <c:catAx>
        <c:axId val="-126370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8848"/>
        <c:crosses val="autoZero"/>
        <c:auto val="1"/>
        <c:lblAlgn val="ctr"/>
        <c:lblOffset val="100"/>
        <c:noMultiLvlLbl val="0"/>
      </c:catAx>
      <c:valAx>
        <c:axId val="-12636988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7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ششم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1E-4112-8990-9EBADE87EF32}"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weekly!$F$2:$F$26</c:f>
              <c:numCache>
                <c:formatCode>General</c:formatCode>
                <c:ptCount val="2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5376"/>
        <c:axId val="-1263698304"/>
      </c:lineChart>
      <c:catAx>
        <c:axId val="-126370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8304"/>
        <c:crosses val="autoZero"/>
        <c:auto val="1"/>
        <c:lblAlgn val="ctr"/>
        <c:lblOffset val="100"/>
        <c:noMultiLvlLbl val="0"/>
      </c:catAx>
      <c:valAx>
        <c:axId val="-1263698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537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بازارها(چهارشنبه 31 شهریور سال 1400)</a:t>
            </a:r>
          </a:p>
        </c:rich>
      </c:tx>
      <c:layout>
        <c:manualLayout>
          <c:xMode val="edge"/>
          <c:yMode val="edge"/>
          <c:x val="5.7149046793760802E-2"/>
          <c:y val="3.17877891044612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change'!$F$75:$I$75</c:f>
              <c:numCache>
                <c:formatCode>General</c:formatCode>
                <c:ptCount val="4"/>
                <c:pt idx="0">
                  <c:v>0.62157221206581348</c:v>
                </c:pt>
                <c:pt idx="1">
                  <c:v>0.68669527896995708</c:v>
                </c:pt>
                <c:pt idx="2">
                  <c:v>0.95180698582465517</c:v>
                </c:pt>
                <c:pt idx="3">
                  <c:v>-0.34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E0-4A7C-9C2D-ABB9DFD8E24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63709728"/>
        <c:axId val="-126370483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</c:ext>
        </c:extLst>
      </c:barChart>
      <c:catAx>
        <c:axId val="-126370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4832"/>
        <c:crosses val="autoZero"/>
        <c:auto val="1"/>
        <c:lblAlgn val="ctr"/>
        <c:lblOffset val="100"/>
        <c:noMultiLvlLbl val="0"/>
      </c:catAx>
      <c:valAx>
        <c:axId val="-1263704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97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1485900</xdr:colOff>
      <xdr:row>450</xdr:row>
      <xdr:rowOff>26640</xdr:rowOff>
    </xdr:from>
    <xdr:to>
      <xdr:col>14</xdr:col>
      <xdr:colOff>599430</xdr:colOff>
      <xdr:row>480</xdr:row>
      <xdr:rowOff>26279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83126</xdr:colOff>
      <xdr:row>28</xdr:row>
      <xdr:rowOff>180108</xdr:rowOff>
    </xdr:from>
    <xdr:to>
      <xdr:col>48</xdr:col>
      <xdr:colOff>60960</xdr:colOff>
      <xdr:row>128</xdr:row>
      <xdr:rowOff>55418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990600</xdr:colOff>
      <xdr:row>239</xdr:row>
      <xdr:rowOff>76200</xdr:rowOff>
    </xdr:from>
    <xdr:to>
      <xdr:col>47</xdr:col>
      <xdr:colOff>228599</xdr:colOff>
      <xdr:row>336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1369462</xdr:colOff>
      <xdr:row>487</xdr:row>
      <xdr:rowOff>0</xdr:rowOff>
    </xdr:from>
    <xdr:to>
      <xdr:col>15</xdr:col>
      <xdr:colOff>361950</xdr:colOff>
      <xdr:row>516</xdr:row>
      <xdr:rowOff>130173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857250</xdr:colOff>
      <xdr:row>353</xdr:row>
      <xdr:rowOff>0</xdr:rowOff>
    </xdr:from>
    <xdr:to>
      <xdr:col>47</xdr:col>
      <xdr:colOff>228599</xdr:colOff>
      <xdr:row>439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495150</xdr:colOff>
      <xdr:row>5</xdr:row>
      <xdr:rowOff>90</xdr:rowOff>
    </xdr:from>
    <xdr:to>
      <xdr:col>9</xdr:col>
      <xdr:colOff>532950</xdr:colOff>
      <xdr:row>22</xdr:row>
      <xdr:rowOff>45450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6"/>
  <sheetViews>
    <sheetView tabSelected="1" topLeftCell="V1" zoomScaleNormal="100" workbookViewId="0">
      <selection activeCell="W11" sqref="W11"/>
    </sheetView>
  </sheetViews>
  <sheetFormatPr defaultColWidth="8.5546875" defaultRowHeight="14.4"/>
  <cols>
    <col min="1" max="1" width="14.6640625" style="1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L137/G137</f>
        <v>3147914.5720291706</v>
      </c>
      <c r="T1" s="4" t="s">
        <v>15</v>
      </c>
      <c r="U1" s="4">
        <f>M137/K137</f>
        <v>29566.96971598683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K137/K62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6" si="19">F98*G98</f>
        <v>92308365600</v>
      </c>
      <c r="M98" s="13">
        <f t="shared" ref="M98:M136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348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21" customHeight="1">
      <c r="A135" s="89"/>
      <c r="B135" s="95" t="s">
        <v>352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86" customFormat="1" ht="21" customHeight="1">
      <c r="A136" s="83"/>
      <c r="B136" s="94" t="s">
        <v>354</v>
      </c>
      <c r="C136" s="84">
        <v>1</v>
      </c>
      <c r="D136" s="85">
        <v>26285</v>
      </c>
      <c r="E136" s="84">
        <v>26472</v>
      </c>
      <c r="F136" s="84">
        <v>26346</v>
      </c>
      <c r="G136" s="84">
        <v>7327700</v>
      </c>
      <c r="H136" s="84">
        <v>31065</v>
      </c>
      <c r="I136" s="84">
        <v>31168</v>
      </c>
      <c r="J136" s="84">
        <v>31073</v>
      </c>
      <c r="K136" s="84">
        <v>409200</v>
      </c>
      <c r="L136" s="84">
        <f t="shared" si="19"/>
        <v>193055584200</v>
      </c>
      <c r="M136" s="84">
        <f t="shared" si="20"/>
        <v>12715071600</v>
      </c>
      <c r="N136" s="86">
        <v>26736</v>
      </c>
      <c r="O136" s="86">
        <v>31480</v>
      </c>
      <c r="P136" s="86">
        <v>26548</v>
      </c>
      <c r="Q136" s="86">
        <v>31375</v>
      </c>
      <c r="R136" s="84"/>
      <c r="S136" s="84"/>
      <c r="T136" s="84"/>
      <c r="U136" s="84"/>
      <c r="V136" s="86">
        <v>27500</v>
      </c>
      <c r="X136" s="86">
        <v>27470</v>
      </c>
      <c r="Y136" s="86">
        <v>32242</v>
      </c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  <c r="AL136" s="84"/>
      <c r="AM136" s="84"/>
      <c r="AN136" s="84"/>
      <c r="AO136" s="84"/>
      <c r="AP136" s="84"/>
      <c r="AQ136" s="84"/>
      <c r="AR136" s="84"/>
      <c r="AS136" s="85"/>
      <c r="AT136" s="85"/>
      <c r="AU136" s="85"/>
      <c r="AV136" s="85"/>
      <c r="AW136" s="85"/>
      <c r="AX136" s="85"/>
      <c r="AY136" s="84"/>
      <c r="AZ136" s="84"/>
      <c r="BA136" s="84"/>
      <c r="BB136" s="84"/>
      <c r="BC136" s="84"/>
      <c r="BE136" s="87"/>
      <c r="BF136" s="87"/>
      <c r="BG136" s="87"/>
      <c r="BH136" s="87"/>
    </row>
    <row r="137" spans="1:62" ht="18">
      <c r="A137" s="8"/>
      <c r="B137" s="9"/>
      <c r="C137" s="9"/>
      <c r="D137" s="27"/>
      <c r="E137" s="9"/>
      <c r="F137" s="9"/>
      <c r="G137" s="9">
        <f>SUM(G2:G134)/133</f>
        <v>6038151.1203007521</v>
      </c>
      <c r="H137" s="9"/>
      <c r="I137" s="9"/>
      <c r="J137" s="9"/>
      <c r="K137" s="9">
        <f>SUM(K2:K126)</f>
        <v>125564600</v>
      </c>
      <c r="L137" s="9">
        <f>SUM(L2:L132)</f>
        <v>19007583899709</v>
      </c>
      <c r="M137" s="10">
        <f>SUM(M2:M132)</f>
        <v>3712564725600</v>
      </c>
      <c r="N137" s="10"/>
      <c r="O137" s="10"/>
      <c r="P137" s="10"/>
      <c r="Q137" s="10"/>
      <c r="R137" s="10"/>
      <c r="S137" s="10"/>
      <c r="T137" s="10"/>
      <c r="U137" s="10"/>
      <c r="V137" s="60">
        <v>27490</v>
      </c>
      <c r="W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Y137" s="10"/>
      <c r="AZ137" s="10"/>
      <c r="BA137" s="10"/>
      <c r="BB137" s="10"/>
      <c r="BC137" s="10"/>
      <c r="BD137" s="10"/>
      <c r="BE137" s="11"/>
      <c r="BF137" s="11"/>
      <c r="BG137" s="11"/>
      <c r="BH137" s="11"/>
      <c r="BI137" t="e">
        <f>#REF!-N137</f>
        <v>#REF!</v>
      </c>
      <c r="BJ137" t="e">
        <f>(Y137-O137)/O137</f>
        <v>#DIV/0!</v>
      </c>
    </row>
    <row r="138" spans="1:62" ht="18">
      <c r="D138" s="27"/>
      <c r="V138" s="66"/>
      <c r="Z138" s="26"/>
      <c r="AB138" s="26"/>
      <c r="AS138" s="26"/>
      <c r="AW138" s="31"/>
    </row>
    <row r="139" spans="1:62" ht="18">
      <c r="D139" s="27"/>
      <c r="Z139" s="26"/>
      <c r="AS139" s="27"/>
      <c r="AW139" s="31"/>
      <c r="AY139">
        <f>AY51-AY50</f>
        <v>35000</v>
      </c>
    </row>
    <row r="140" spans="1:62" ht="18">
      <c r="G140">
        <f>(G134-G137)/G137</f>
        <v>0.66642069725125075</v>
      </c>
      <c r="Z140" s="26"/>
      <c r="AS140" s="27">
        <v>10290000</v>
      </c>
      <c r="AW140" s="31"/>
      <c r="BB140">
        <f>AY60-AY59</f>
        <v>70000</v>
      </c>
    </row>
    <row r="141" spans="1:62" ht="18">
      <c r="V141" s="26"/>
      <c r="Z141" s="26"/>
      <c r="AS141" s="27"/>
      <c r="AU141">
        <f>AS140-AS49</f>
        <v>195000</v>
      </c>
      <c r="AW141" s="31">
        <f>AC52-AY51</f>
        <v>305000</v>
      </c>
    </row>
    <row r="142" spans="1:62" ht="18">
      <c r="V142" s="26"/>
      <c r="Z142" s="26"/>
      <c r="AW142" s="31"/>
    </row>
    <row r="143" spans="1:62" ht="17.25" customHeight="1">
      <c r="V143" s="26"/>
      <c r="Z143" s="26"/>
    </row>
    <row r="144" spans="1:62" ht="18">
      <c r="V144" s="26"/>
      <c r="Z144" s="26"/>
      <c r="AW144">
        <f>AW141/AY51</f>
        <v>2.9539951573849879E-2</v>
      </c>
    </row>
    <row r="145" spans="22:22" ht="18">
      <c r="V145" s="26"/>
    </row>
    <row r="146" spans="22:22" ht="18">
      <c r="V146" s="26"/>
    </row>
  </sheetData>
  <autoFilter ref="A1:BL141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topLeftCell="A289" zoomScale="25" zoomScaleNormal="25" workbookViewId="0">
      <selection activeCell="BA310" sqref="BA310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2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2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5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5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5" customHeight="1">
      <c r="A26" s="82" t="s">
        <v>356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>
      <c r="B27">
        <f>(B2-B8)/B2</f>
        <v>0.15346494762288476</v>
      </c>
      <c r="C27">
        <f>(C2-C8)/C2</f>
        <v>0.1154959674639829</v>
      </c>
      <c r="D27">
        <f>SUM(D2:D16)/15</f>
        <v>29639479.933333334</v>
      </c>
    </row>
    <row r="31" spans="1:11">
      <c r="D31">
        <v>5375132</v>
      </c>
      <c r="E31">
        <f>(E17-D31)/D31</f>
        <v>4.5958809321644006E-2</v>
      </c>
      <c r="G31">
        <f t="shared" ref="G31:G39" si="0">B3-B2</f>
        <v>-554</v>
      </c>
    </row>
    <row r="32" spans="1:11">
      <c r="G32">
        <f t="shared" si="0"/>
        <v>-302</v>
      </c>
    </row>
    <row r="33" spans="3:7">
      <c r="C33">
        <f>(D31-E16)/E16</f>
        <v>0.17110375179746395</v>
      </c>
      <c r="G33">
        <f t="shared" si="0"/>
        <v>-511</v>
      </c>
    </row>
    <row r="34" spans="3:7">
      <c r="G34">
        <f t="shared" si="0"/>
        <v>-362</v>
      </c>
    </row>
    <row r="35" spans="3:7">
      <c r="G35">
        <f t="shared" si="0"/>
        <v>-1699</v>
      </c>
    </row>
    <row r="36" spans="3:7">
      <c r="G36">
        <f t="shared" si="0"/>
        <v>-381</v>
      </c>
    </row>
    <row r="37" spans="3:7">
      <c r="G37">
        <f t="shared" si="0"/>
        <v>1075</v>
      </c>
    </row>
    <row r="38" spans="3:7">
      <c r="G38">
        <f t="shared" si="0"/>
        <v>151</v>
      </c>
    </row>
    <row r="39" spans="3:7">
      <c r="G39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50"/>
  <sheetViews>
    <sheetView topLeftCell="A830" zoomScaleNormal="100" workbookViewId="0">
      <selection activeCell="C848" sqref="C848"/>
    </sheetView>
  </sheetViews>
  <sheetFormatPr defaultColWidth="8.5546875" defaultRowHeight="14.4"/>
  <cols>
    <col min="2" max="3" width="19.6640625" customWidth="1"/>
    <col min="4" max="4" width="15.8867187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96" t="s">
        <v>227</v>
      </c>
      <c r="B1" s="96"/>
      <c r="C1" s="96"/>
      <c r="D1" s="96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96" t="s">
        <v>237</v>
      </c>
      <c r="B11" s="96"/>
      <c r="C11" s="96"/>
      <c r="D11" s="96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96" t="s">
        <v>239</v>
      </c>
      <c r="B21" s="96"/>
      <c r="C21" s="96"/>
      <c r="D21" s="96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96" t="s">
        <v>240</v>
      </c>
      <c r="B31" s="96"/>
      <c r="C31" s="96"/>
      <c r="D31" s="96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96" t="s">
        <v>241</v>
      </c>
      <c r="B41" s="96"/>
      <c r="C41" s="96"/>
      <c r="D41" s="96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96" t="s">
        <v>243</v>
      </c>
      <c r="B51" s="96"/>
      <c r="C51" s="96"/>
      <c r="D51" s="96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96" t="s">
        <v>244</v>
      </c>
      <c r="B61" s="96"/>
      <c r="C61" s="96"/>
      <c r="D61" s="96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96" t="s">
        <v>245</v>
      </c>
      <c r="B71" s="96"/>
      <c r="C71" s="96"/>
      <c r="D71" s="96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96" t="s">
        <v>246</v>
      </c>
      <c r="B81" s="96"/>
      <c r="C81" s="96"/>
      <c r="D81" s="96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96" t="s">
        <v>250</v>
      </c>
      <c r="B93" s="96"/>
      <c r="C93" s="96"/>
      <c r="D93" s="96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96" t="s">
        <v>251</v>
      </c>
      <c r="B103" s="96"/>
      <c r="C103" s="96"/>
      <c r="D103" s="96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96" t="s">
        <v>253</v>
      </c>
      <c r="B113" s="96"/>
      <c r="C113" s="96"/>
      <c r="D113" s="96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96" t="s">
        <v>254</v>
      </c>
      <c r="B123" s="96"/>
      <c r="C123" s="96"/>
      <c r="D123" s="96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96" t="s">
        <v>255</v>
      </c>
      <c r="B133" s="96"/>
      <c r="C133" s="96"/>
      <c r="D133" s="96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96" t="s">
        <v>256</v>
      </c>
      <c r="B143" s="96"/>
      <c r="C143" s="96"/>
      <c r="D143" s="96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96" t="s">
        <v>258</v>
      </c>
      <c r="B153" s="96"/>
      <c r="C153" s="96"/>
      <c r="D153" s="96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96" t="s">
        <v>259</v>
      </c>
      <c r="B163" s="96"/>
      <c r="C163" s="96"/>
      <c r="D163" s="96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96" t="s">
        <v>260</v>
      </c>
      <c r="B173" s="96"/>
      <c r="C173" s="96"/>
      <c r="D173" s="96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96" t="s">
        <v>261</v>
      </c>
      <c r="B183" s="96"/>
      <c r="C183" s="96"/>
      <c r="D183" s="96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96" t="s">
        <v>262</v>
      </c>
      <c r="B193" s="96"/>
      <c r="C193" s="96"/>
      <c r="D193" s="96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96" t="s">
        <v>263</v>
      </c>
      <c r="B203" s="96"/>
      <c r="C203" s="96"/>
      <c r="D203" s="96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96" t="s">
        <v>264</v>
      </c>
      <c r="B213" s="96"/>
      <c r="C213" s="96"/>
      <c r="D213" s="96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96" t="s">
        <v>265</v>
      </c>
      <c r="B223" s="96"/>
      <c r="C223" s="96"/>
      <c r="D223" s="96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96" t="s">
        <v>266</v>
      </c>
      <c r="B233" s="96"/>
      <c r="C233" s="96"/>
      <c r="D233" s="96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96" t="s">
        <v>267</v>
      </c>
      <c r="B243" s="96"/>
      <c r="C243" s="96"/>
      <c r="D243" s="96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96" t="s">
        <v>268</v>
      </c>
      <c r="B253" s="96"/>
      <c r="C253" s="96"/>
      <c r="D253" s="96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96" t="s">
        <v>269</v>
      </c>
      <c r="B263" s="96"/>
      <c r="C263" s="96"/>
      <c r="D263" s="96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96" t="s">
        <v>270</v>
      </c>
      <c r="B273" s="96"/>
      <c r="C273" s="96"/>
      <c r="D273" s="96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96" t="s">
        <v>271</v>
      </c>
      <c r="B283" s="96"/>
      <c r="C283" s="96"/>
      <c r="D283" s="96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96" t="s">
        <v>272</v>
      </c>
      <c r="B293" s="96"/>
      <c r="C293" s="96"/>
      <c r="D293" s="96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96" t="s">
        <v>273</v>
      </c>
      <c r="B303" s="96"/>
      <c r="C303" s="96"/>
      <c r="D303" s="96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96" t="s">
        <v>277</v>
      </c>
      <c r="B313" s="96"/>
      <c r="C313" s="96"/>
      <c r="D313" s="96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96" t="s">
        <v>281</v>
      </c>
      <c r="B324" s="96"/>
      <c r="C324" s="96"/>
      <c r="D324" s="96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96" t="s">
        <v>284</v>
      </c>
      <c r="B335" s="96"/>
      <c r="C335" s="96"/>
      <c r="D335" s="96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96" t="s">
        <v>285</v>
      </c>
      <c r="B346" s="96"/>
      <c r="C346" s="96"/>
      <c r="D346" s="96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96" t="s">
        <v>286</v>
      </c>
      <c r="B357" s="96"/>
      <c r="C357" s="96"/>
      <c r="D357" s="96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96" t="s">
        <v>287</v>
      </c>
      <c r="B368" s="96"/>
      <c r="C368" s="96"/>
      <c r="D368" s="96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96" t="s">
        <v>288</v>
      </c>
      <c r="B379" s="96"/>
      <c r="C379" s="96"/>
      <c r="D379" s="96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96" t="s">
        <v>289</v>
      </c>
      <c r="B390" s="96"/>
      <c r="C390" s="96"/>
      <c r="D390" s="96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96" t="s">
        <v>290</v>
      </c>
      <c r="B401" s="96"/>
      <c r="C401" s="96"/>
      <c r="D401" s="96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96" t="s">
        <v>291</v>
      </c>
      <c r="B412" s="96"/>
      <c r="C412" s="96"/>
      <c r="D412" s="96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96" t="s">
        <v>292</v>
      </c>
      <c r="B423" s="96"/>
      <c r="C423" s="96"/>
      <c r="D423" s="96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96" t="s">
        <v>296</v>
      </c>
      <c r="B434" s="96"/>
      <c r="C434" s="96"/>
      <c r="D434" s="96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96" t="s">
        <v>297</v>
      </c>
      <c r="B445" s="96"/>
      <c r="C445" s="96"/>
      <c r="D445" s="96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96" t="s">
        <v>298</v>
      </c>
      <c r="B456" s="96"/>
      <c r="C456" s="96"/>
      <c r="D456" s="96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96" t="s">
        <v>299</v>
      </c>
      <c r="B467" s="96"/>
      <c r="C467" s="96"/>
      <c r="D467" s="96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96" t="s">
        <v>300</v>
      </c>
      <c r="B478" s="96"/>
      <c r="C478" s="96"/>
      <c r="D478" s="96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96" t="s">
        <v>301</v>
      </c>
      <c r="B489" s="96"/>
      <c r="C489" s="96"/>
      <c r="D489" s="96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96" t="s">
        <v>304</v>
      </c>
      <c r="B500" s="96"/>
      <c r="C500" s="96"/>
      <c r="D500" s="96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96" t="s">
        <v>305</v>
      </c>
      <c r="B511" s="96"/>
      <c r="C511" s="96"/>
      <c r="D511" s="96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96" t="s">
        <v>306</v>
      </c>
      <c r="B522" s="96"/>
      <c r="C522" s="96"/>
      <c r="D522" s="96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96" t="s">
        <v>307</v>
      </c>
      <c r="B533" s="96"/>
      <c r="C533" s="96"/>
      <c r="D533" s="96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96" t="s">
        <v>308</v>
      </c>
      <c r="B544" s="96"/>
      <c r="C544" s="96"/>
      <c r="D544" s="96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96" t="s">
        <v>309</v>
      </c>
      <c r="B555" s="96"/>
      <c r="C555" s="96"/>
      <c r="D555" s="96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96" t="s">
        <v>309</v>
      </c>
      <c r="B567" s="96"/>
      <c r="C567" s="96"/>
      <c r="D567" s="96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96" t="s">
        <v>314</v>
      </c>
      <c r="B579" s="96"/>
      <c r="C579" s="96"/>
      <c r="D579" s="96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96" t="s">
        <v>315</v>
      </c>
      <c r="B590" s="96"/>
      <c r="C590" s="96"/>
      <c r="D590" s="96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96" t="s">
        <v>316</v>
      </c>
      <c r="B601" s="96"/>
      <c r="C601" s="96"/>
      <c r="D601" s="96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96" t="s">
        <v>317</v>
      </c>
      <c r="B612" s="96"/>
      <c r="C612" s="96"/>
      <c r="D612" s="96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96" t="s">
        <v>318</v>
      </c>
      <c r="B623" s="96"/>
      <c r="C623" s="96"/>
      <c r="D623" s="96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96" t="s">
        <v>319</v>
      </c>
      <c r="B635" s="96"/>
      <c r="C635" s="96"/>
      <c r="D635" s="96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96" t="s">
        <v>321</v>
      </c>
      <c r="B647" s="96"/>
      <c r="C647" s="96"/>
      <c r="D647" s="96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96" t="s">
        <v>322</v>
      </c>
      <c r="B658" s="96"/>
      <c r="C658" s="96"/>
      <c r="D658" s="96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96" t="s">
        <v>323</v>
      </c>
      <c r="B670" s="96"/>
      <c r="C670" s="96"/>
      <c r="D670" s="96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96" t="s">
        <v>324</v>
      </c>
      <c r="B681" s="96"/>
      <c r="C681" s="96"/>
      <c r="D681" s="96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96" t="s">
        <v>325</v>
      </c>
      <c r="B692" s="96"/>
      <c r="C692" s="96"/>
      <c r="D692" s="96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96" t="s">
        <v>326</v>
      </c>
      <c r="B703" s="96"/>
      <c r="C703" s="96"/>
      <c r="D703" s="96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96" t="s">
        <v>329</v>
      </c>
      <c r="B715" s="96"/>
      <c r="C715" s="96"/>
      <c r="D715" s="96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96" t="s">
        <v>330</v>
      </c>
      <c r="B726" s="96"/>
      <c r="C726" s="96"/>
      <c r="D726" s="96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96" t="s">
        <v>331</v>
      </c>
      <c r="B738" s="96"/>
      <c r="C738" s="96"/>
      <c r="D738" s="96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96" t="s">
        <v>332</v>
      </c>
      <c r="B749" s="96"/>
      <c r="C749" s="96"/>
      <c r="D749" s="96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96" t="s">
        <v>333</v>
      </c>
      <c r="B760" s="96"/>
      <c r="C760" s="96"/>
      <c r="D760" s="96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96" t="s">
        <v>341</v>
      </c>
      <c r="B772" s="96"/>
      <c r="C772" s="96"/>
      <c r="D772" s="96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96" t="s">
        <v>344</v>
      </c>
      <c r="B784" s="96"/>
      <c r="C784" s="96"/>
      <c r="D784" s="96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96" t="s">
        <v>346</v>
      </c>
      <c r="B796" s="96"/>
      <c r="C796" s="96"/>
      <c r="D796" s="96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96" t="s">
        <v>349</v>
      </c>
      <c r="B809" s="96"/>
      <c r="C809" s="96"/>
      <c r="D809" s="96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96" t="s">
        <v>351</v>
      </c>
      <c r="B820" s="96"/>
      <c r="C820" s="96"/>
      <c r="D820" s="96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96" t="s">
        <v>353</v>
      </c>
      <c r="B831" s="96"/>
      <c r="C831" s="96"/>
      <c r="D831" s="96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232</v>
      </c>
      <c r="B834" s="11">
        <v>27550</v>
      </c>
      <c r="C834" s="11">
        <v>7515</v>
      </c>
      <c r="D834">
        <v>11730000</v>
      </c>
    </row>
    <row r="835" spans="1:6">
      <c r="A835" s="70" t="s">
        <v>233</v>
      </c>
      <c r="B835" s="11">
        <v>27520</v>
      </c>
      <c r="C835" s="11">
        <v>7515</v>
      </c>
      <c r="D835">
        <v>11750000</v>
      </c>
    </row>
    <row r="836" spans="1:6">
      <c r="A836" s="68" t="s">
        <v>234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235</v>
      </c>
      <c r="B838" s="11">
        <v>27520</v>
      </c>
      <c r="C838" s="11">
        <v>7505</v>
      </c>
      <c r="D838" s="88">
        <v>11730000</v>
      </c>
    </row>
    <row r="839" spans="1:6">
      <c r="A839" s="69" t="s">
        <v>236</v>
      </c>
      <c r="B839" s="11">
        <v>27520</v>
      </c>
      <c r="C839" s="11">
        <v>7505</v>
      </c>
      <c r="D839" s="88">
        <v>11730000</v>
      </c>
    </row>
    <row r="842" spans="1:6">
      <c r="A842" s="96" t="s">
        <v>355</v>
      </c>
      <c r="B842" s="96"/>
      <c r="C842" s="96"/>
      <c r="D842" s="96"/>
    </row>
    <row r="843" spans="1:6">
      <c r="A843" s="11" t="s">
        <v>228</v>
      </c>
      <c r="B843" s="11" t="s">
        <v>229</v>
      </c>
      <c r="C843" s="11" t="s">
        <v>230</v>
      </c>
      <c r="D843" s="11" t="s">
        <v>231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280</v>
      </c>
    </row>
    <row r="845" spans="1:6">
      <c r="A845" s="69" t="s">
        <v>232</v>
      </c>
      <c r="B845" s="11"/>
      <c r="C845" s="11"/>
      <c r="D845" s="1"/>
    </row>
    <row r="846" spans="1:6">
      <c r="A846" s="70" t="s">
        <v>233</v>
      </c>
      <c r="B846" s="11"/>
      <c r="C846" s="11"/>
      <c r="D846" s="1"/>
    </row>
    <row r="847" spans="1:6">
      <c r="A847" s="68" t="s">
        <v>234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4">
      <c r="A849" s="69" t="s">
        <v>235</v>
      </c>
      <c r="B849" s="11"/>
      <c r="C849" s="11"/>
      <c r="D849" s="88"/>
    </row>
    <row r="850" spans="1:4">
      <c r="A850" s="69" t="s">
        <v>236</v>
      </c>
      <c r="B850" s="11"/>
      <c r="C850" s="11"/>
      <c r="D850" s="88"/>
    </row>
  </sheetData>
  <mergeCells count="79"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303:D303"/>
    <mergeCell ref="A313:D313"/>
    <mergeCell ref="A324:D324"/>
    <mergeCell ref="A335:D335"/>
    <mergeCell ref="A346:D346"/>
    <mergeCell ref="A253:D253"/>
    <mergeCell ref="A263:D263"/>
    <mergeCell ref="A273:D273"/>
    <mergeCell ref="A283:D283"/>
    <mergeCell ref="A293:D293"/>
    <mergeCell ref="A1:D1"/>
    <mergeCell ref="A11:D11"/>
    <mergeCell ref="A21:D21"/>
    <mergeCell ref="A31:D31"/>
    <mergeCell ref="A41:D41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203:D203"/>
    <mergeCell ref="A213:D213"/>
    <mergeCell ref="A223:D223"/>
    <mergeCell ref="A233:D233"/>
    <mergeCell ref="A243:D24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75"/>
  <sheetViews>
    <sheetView topLeftCell="D1" zoomScaleNormal="100" workbookViewId="0">
      <selection activeCell="L4" sqref="L4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5" si="3">(C35-C34)*100/C34</f>
        <v>-1.0141987829614605</v>
      </c>
      <c r="G35">
        <f t="shared" ref="G35:G75" si="4">(D35-D34)*100/D34</f>
        <v>-9.5057034220532313E-2</v>
      </c>
      <c r="H35">
        <f t="shared" ref="H35:H75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  <c r="J75">
        <v>0.62</v>
      </c>
      <c r="K75">
        <v>0.69</v>
      </c>
      <c r="L75">
        <v>0.95</v>
      </c>
      <c r="M75">
        <v>-0.34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1</cp:revision>
  <dcterms:created xsi:type="dcterms:W3CDTF">2021-04-05T10:39:57Z</dcterms:created>
  <dcterms:modified xsi:type="dcterms:W3CDTF">2021-09-23T16:01:32Z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