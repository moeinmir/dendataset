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set'!$A$1:$BN$249</definedName>
    <definedName name="_xlnm._FilterDatabase" localSheetId="1" hidden="1">weekly!$A$1:$K$58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26" i="3" l="1"/>
  <c r="D2222" i="3"/>
  <c r="W253" i="1" l="1"/>
  <c r="W250" i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0" i="1" l="1"/>
  <c r="N248" i="1"/>
  <c r="D248" i="1"/>
  <c r="D2177" i="3" l="1"/>
  <c r="H165" i="5" l="1"/>
  <c r="G165" i="5"/>
  <c r="F165" i="5"/>
  <c r="Y252" i="1"/>
  <c r="Y247" i="1"/>
  <c r="O249" i="1"/>
  <c r="E249" i="1"/>
  <c r="Y249" i="1" l="1"/>
  <c r="H164" i="5" l="1"/>
  <c r="G164" i="5"/>
  <c r="F164" i="5"/>
  <c r="W257" i="1"/>
  <c r="W258" i="1"/>
  <c r="D2162" i="3"/>
  <c r="H163" i="5" l="1"/>
  <c r="G163" i="5"/>
  <c r="F163" i="5"/>
  <c r="D2152" i="3"/>
  <c r="D2149" i="3"/>
  <c r="A48" i="2" l="1"/>
  <c r="B46" i="2"/>
  <c r="D2135" i="3"/>
  <c r="H162" i="5" l="1"/>
  <c r="G162" i="5"/>
  <c r="F162" i="5"/>
  <c r="E255" i="1"/>
  <c r="F253" i="1"/>
  <c r="E252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6" i="2"/>
  <c r="C48" i="2"/>
  <c r="H47" i="2"/>
  <c r="B49" i="2"/>
  <c r="D2061" i="3"/>
  <c r="H157" i="5" l="1"/>
  <c r="G157" i="5"/>
  <c r="F157" i="5"/>
  <c r="H156" i="5" l="1"/>
  <c r="G156" i="5"/>
  <c r="F156" i="5"/>
  <c r="H155" i="5" l="1"/>
  <c r="G155" i="5"/>
  <c r="F155" i="5"/>
  <c r="V257" i="1"/>
  <c r="P250" i="1"/>
  <c r="H154" i="5" l="1"/>
  <c r="G154" i="5"/>
  <c r="F154" i="5"/>
  <c r="Y258" i="1"/>
  <c r="Y260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7" i="1" l="1"/>
  <c r="M216" i="1"/>
  <c r="L216" i="1"/>
  <c r="D1850" i="3" l="1"/>
  <c r="M215" i="1"/>
  <c r="L215" i="1"/>
  <c r="Y257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6" i="2" l="1"/>
  <c r="E48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3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4" i="1"/>
  <c r="N255" i="1"/>
  <c r="N256" i="1"/>
  <c r="N257" i="1"/>
  <c r="N258" i="1"/>
  <c r="N259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9" i="2" l="1"/>
  <c r="J48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8" i="2"/>
  <c r="G57" i="2"/>
  <c r="G56" i="2"/>
  <c r="G55" i="2"/>
  <c r="G54" i="2"/>
  <c r="G53" i="2"/>
  <c r="G52" i="2"/>
  <c r="G51" i="2"/>
  <c r="G50" i="2"/>
  <c r="C4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0" i="2" s="1"/>
  <c r="G16" i="2"/>
  <c r="E16" i="2"/>
  <c r="C5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7" i="1" l="1"/>
  <c r="S1" i="1" s="1"/>
  <c r="M247" i="1"/>
  <c r="U1" i="1" s="1"/>
</calcChain>
</file>

<file path=xl/sharedStrings.xml><?xml version="1.0" encoding="utf-8"?>
<sst xmlns="http://schemas.openxmlformats.org/spreadsheetml/2006/main" count="2211" uniqueCount="621">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</sst>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87436144"/>
        <c:axId val="-1387431248"/>
      </c:lineChart>
      <c:catAx>
        <c:axId val="-138743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1248"/>
        <c:crosses val="autoZero"/>
        <c:auto val="1"/>
        <c:lblAlgn val="ctr"/>
        <c:lblOffset val="100"/>
        <c:noMultiLvlLbl val="0"/>
      </c:catAx>
      <c:valAx>
        <c:axId val="-13874312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61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weekly!$B$27:$B$45</c15:sqref>
                  </c15:fullRef>
                </c:ext>
              </c:extLst>
              <c:f>weekly!$B$28:$B$45</c:f>
              <c:numCache>
                <c:formatCode>General</c:formatCode>
                <c:ptCount val="1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weekly!$H$27:$H$45</c15:sqref>
                  </c15:fullRef>
                </c:ext>
              </c:extLst>
              <c:f>weekly!$H$28:$H$45</c:f>
              <c:numCache>
                <c:formatCode>General</c:formatCode>
                <c:ptCount val="1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87431792"/>
        <c:axId val="-138743560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38743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5600"/>
        <c:crosses val="autoZero"/>
        <c:auto val="1"/>
        <c:lblAlgn val="ctr"/>
        <c:lblOffset val="100"/>
        <c:noMultiLvlLbl val="0"/>
      </c:catAx>
      <c:valAx>
        <c:axId val="-138743560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17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87436688"/>
        <c:axId val="-1387430704"/>
      </c:lineChart>
      <c:catAx>
        <c:axId val="-138743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0704"/>
        <c:crosses val="autoZero"/>
        <c:auto val="1"/>
        <c:lblAlgn val="ctr"/>
        <c:lblOffset val="100"/>
        <c:noMultiLvlLbl val="0"/>
      </c:catAx>
      <c:valAx>
        <c:axId val="-13874307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668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87433424"/>
        <c:axId val="-1387435056"/>
      </c:lineChart>
      <c:catAx>
        <c:axId val="-138743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5056"/>
        <c:crosses val="autoZero"/>
        <c:auto val="1"/>
        <c:lblAlgn val="ctr"/>
        <c:lblOffset val="100"/>
        <c:noMultiLvlLbl val="0"/>
      </c:catAx>
      <c:valAx>
        <c:axId val="-1387435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342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87434512"/>
        <c:axId val="-1387432880"/>
      </c:lineChart>
      <c:catAx>
        <c:axId val="-138743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2880"/>
        <c:crosses val="autoZero"/>
        <c:auto val="1"/>
        <c:lblAlgn val="ctr"/>
        <c:lblOffset val="100"/>
        <c:noMultiLvlLbl val="0"/>
      </c:catAx>
      <c:valAx>
        <c:axId val="-1387432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45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weekly!$C$27:$C$45</c15:sqref>
                  </c15:fullRef>
                </c:ext>
              </c:extLst>
              <c:f>weekly!$C$28:$C$45</c:f>
              <c:numCache>
                <c:formatCode>General</c:formatCode>
                <c:ptCount val="1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weekly!$I$27:$I$45</c15:sqref>
                  </c15:fullRef>
                </c:ext>
              </c:extLst>
              <c:f>weekly!$I$28:$I$45</c:f>
              <c:numCache>
                <c:formatCode>General</c:formatCode>
                <c:ptCount val="1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87433968"/>
        <c:axId val="-138743233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387433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2336"/>
        <c:crosses val="autoZero"/>
        <c:auto val="1"/>
        <c:lblAlgn val="ctr"/>
        <c:lblOffset val="100"/>
        <c:noMultiLvlLbl val="0"/>
      </c:catAx>
      <c:valAx>
        <c:axId val="-138743233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39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387430160"/>
        <c:axId val="-1674427120"/>
      </c:barChart>
      <c:catAx>
        <c:axId val="-138743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674427120"/>
        <c:crosses val="autoZero"/>
        <c:auto val="1"/>
        <c:lblAlgn val="ctr"/>
        <c:lblOffset val="100"/>
        <c:noMultiLvlLbl val="0"/>
      </c:catAx>
      <c:valAx>
        <c:axId val="-16744271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74301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امروز نسبت به چهارشنبه هفته گذشته)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6"/>
          <c:order val="8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change'!$F$168:$I$168</c:f>
              <c:numCache>
                <c:formatCode>General</c:formatCode>
                <c:ptCount val="4"/>
                <c:pt idx="0">
                  <c:v>-2.3255813953488373</c:v>
                </c:pt>
                <c:pt idx="1">
                  <c:v>-2.4220032840722494</c:v>
                </c:pt>
                <c:pt idx="2">
                  <c:v>-0.93550790628363278</c:v>
                </c:pt>
                <c:pt idx="3">
                  <c:v>0.25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83058704"/>
        <c:axId val="-13830581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</c:ext>
        </c:extLst>
      </c:barChart>
      <c:catAx>
        <c:axId val="-138305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3058160"/>
        <c:crosses val="autoZero"/>
        <c:auto val="1"/>
        <c:lblAlgn val="ctr"/>
        <c:lblOffset val="100"/>
        <c:noMultiLvlLbl val="0"/>
      </c:catAx>
      <c:valAx>
        <c:axId val="-1383058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83058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600</xdr:row>
      <xdr:rowOff>102960</xdr:rowOff>
    </xdr:from>
    <xdr:to>
      <xdr:col>11</xdr:col>
      <xdr:colOff>279360</xdr:colOff>
      <xdr:row>630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180</xdr:row>
      <xdr:rowOff>27711</xdr:rowOff>
    </xdr:from>
    <xdr:to>
      <xdr:col>53</xdr:col>
      <xdr:colOff>335280</xdr:colOff>
      <xdr:row>285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316</xdr:row>
      <xdr:rowOff>0</xdr:rowOff>
    </xdr:from>
    <xdr:to>
      <xdr:col>82</xdr:col>
      <xdr:colOff>0</xdr:colOff>
      <xdr:row>392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635</xdr:row>
      <xdr:rowOff>0</xdr:rowOff>
    </xdr:from>
    <xdr:to>
      <xdr:col>13</xdr:col>
      <xdr:colOff>354240</xdr:colOff>
      <xdr:row>665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415</xdr:row>
      <xdr:rowOff>0</xdr:rowOff>
    </xdr:from>
    <xdr:to>
      <xdr:col>83</xdr:col>
      <xdr:colOff>533400</xdr:colOff>
      <xdr:row>514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63</xdr:row>
      <xdr:rowOff>76321</xdr:rowOff>
    </xdr:from>
    <xdr:to>
      <xdr:col>44</xdr:col>
      <xdr:colOff>533400</xdr:colOff>
      <xdr:row>162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2"/>
  <sheetViews>
    <sheetView tabSelected="1" topLeftCell="N1" zoomScaleNormal="100" workbookViewId="0">
      <pane ySplit="1" topLeftCell="A235" activePane="bottomLeft" state="frozen"/>
      <selection activeCell="B1" sqref="B1"/>
      <selection pane="bottomLeft" activeCell="O247" sqref="O247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L247/G247</f>
        <v>#DIV/0!</v>
      </c>
      <c r="T1" s="3" t="s">
        <v>15</v>
      </c>
      <c r="U1" s="3">
        <f>M247/K247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36" customFormat="1" ht="18">
      <c r="B246" s="131" t="s">
        <v>619</v>
      </c>
      <c r="C246" s="104">
        <v>16</v>
      </c>
      <c r="D246" s="137">
        <v>24987</v>
      </c>
      <c r="E246" s="136">
        <v>24810</v>
      </c>
      <c r="F246" s="136">
        <v>24981</v>
      </c>
      <c r="H246" s="136">
        <v>28482</v>
      </c>
      <c r="I246" s="136">
        <v>28540</v>
      </c>
      <c r="J246" s="136">
        <v>28636</v>
      </c>
      <c r="L246" s="208"/>
      <c r="M246" s="208"/>
      <c r="N246" s="136">
        <v>25058</v>
      </c>
      <c r="O246" s="136">
        <v>28825</v>
      </c>
      <c r="P246" s="136">
        <v>25237</v>
      </c>
      <c r="Q246" s="136">
        <v>28767</v>
      </c>
      <c r="V246" s="136">
        <v>27080</v>
      </c>
      <c r="X246" s="136">
        <v>26880</v>
      </c>
      <c r="Y246" s="136">
        <v>30785</v>
      </c>
      <c r="Z246" s="138"/>
      <c r="AB246" s="137"/>
      <c r="AS246" s="137"/>
      <c r="AW246" s="137"/>
      <c r="BI246" s="177"/>
      <c r="BO246" s="151"/>
      <c r="BP246" s="151"/>
      <c r="BQ246" s="151"/>
      <c r="BR246" s="151"/>
    </row>
    <row r="247" spans="2:70" ht="18">
      <c r="D247" s="26"/>
      <c r="K247">
        <f>SUM(K2:K216)</f>
        <v>210358000</v>
      </c>
      <c r="L247" s="142">
        <f>SUM(L2:L216)</f>
        <v>38488576407409</v>
      </c>
      <c r="M247" s="142">
        <f>SUM(M2:M216)</f>
        <v>6182194847600</v>
      </c>
      <c r="V247" s="144"/>
      <c r="Y247">
        <f>(38179-36734)/36734</f>
        <v>3.9336854140578213E-2</v>
      </c>
      <c r="Z247" s="25"/>
      <c r="AS247" s="26"/>
      <c r="AW247" s="30"/>
    </row>
    <row r="248" spans="2:70" ht="18">
      <c r="D248">
        <f>D243-F242</f>
        <v>65</v>
      </c>
      <c r="N248">
        <f>(38955-36945)/36945</f>
        <v>5.4405196914332113E-2</v>
      </c>
      <c r="V248" s="152"/>
      <c r="Z248" s="25"/>
      <c r="AS248" s="26"/>
      <c r="AW248" s="30"/>
    </row>
    <row r="249" spans="2:70" ht="18">
      <c r="E249">
        <f>D242-F241</f>
        <v>101</v>
      </c>
      <c r="O249">
        <f>P242-N241</f>
        <v>249</v>
      </c>
      <c r="V249" s="152"/>
      <c r="W249" s="152"/>
      <c r="Y249">
        <f>Y241-Y240</f>
        <v>-570</v>
      </c>
      <c r="Z249" s="25"/>
      <c r="AS249" s="26"/>
      <c r="AW249" s="30"/>
    </row>
    <row r="250" spans="2:70" ht="18">
      <c r="D250" s="93"/>
      <c r="N250">
        <f>(2785-2525)/2525</f>
        <v>0.10297029702970296</v>
      </c>
      <c r="P250">
        <f>P230-N229</f>
        <v>24</v>
      </c>
      <c r="V250" s="152"/>
      <c r="W250" s="152">
        <f>V246-X245</f>
        <v>-470</v>
      </c>
      <c r="Z250" s="25"/>
      <c r="AW250" s="30"/>
    </row>
    <row r="251" spans="2:70" ht="17.25" customHeight="1">
      <c r="D251" s="93"/>
      <c r="P251" t="s">
        <v>523</v>
      </c>
      <c r="Q251" t="s">
        <v>524</v>
      </c>
      <c r="W251" s="152"/>
      <c r="Z251" s="25"/>
    </row>
    <row r="252" spans="2:70" ht="18">
      <c r="D252" s="93"/>
      <c r="E252">
        <f>(28300-25088)/25088</f>
        <v>0.12802933673469388</v>
      </c>
      <c r="O252" s="126" t="s">
        <v>503</v>
      </c>
      <c r="P252">
        <v>-178</v>
      </c>
      <c r="Q252">
        <v>-180</v>
      </c>
      <c r="V252" s="25"/>
      <c r="W252" s="152"/>
      <c r="Y252">
        <f>(2631-2489)/2489</f>
        <v>5.7051024507834475E-2</v>
      </c>
      <c r="Z252" s="25"/>
    </row>
    <row r="253" spans="2:70" ht="18">
      <c r="D253" s="93"/>
      <c r="F253">
        <f>(37881-36136)/37136</f>
        <v>4.6989444205084017E-2</v>
      </c>
      <c r="H253">
        <f>(27376-26532)/26532</f>
        <v>3.1810643750942259E-2</v>
      </c>
      <c r="O253" s="132" t="s">
        <v>505</v>
      </c>
      <c r="P253">
        <v>59</v>
      </c>
      <c r="Q253">
        <v>59</v>
      </c>
      <c r="V253" s="25"/>
      <c r="W253" s="152">
        <f>(X246-X245)/X245</f>
        <v>-2.4319419237749548E-2</v>
      </c>
    </row>
    <row r="254" spans="2:70" ht="18">
      <c r="D254" s="93"/>
      <c r="N254">
        <f t="shared" ref="N254:N258" si="42">N199-N198</f>
        <v>-15</v>
      </c>
      <c r="O254" s="132" t="s">
        <v>507</v>
      </c>
      <c r="P254">
        <v>-17</v>
      </c>
      <c r="Q254">
        <v>-16</v>
      </c>
      <c r="V254" s="25"/>
      <c r="W254" s="152"/>
    </row>
    <row r="255" spans="2:70" ht="18">
      <c r="D255" s="107"/>
      <c r="E255">
        <f>(2499-2381)/2381</f>
        <v>4.9559008819823606E-2</v>
      </c>
      <c r="N255">
        <f t="shared" si="42"/>
        <v>-12</v>
      </c>
      <c r="O255" s="132" t="s">
        <v>509</v>
      </c>
      <c r="P255">
        <v>-163</v>
      </c>
      <c r="Q255">
        <v>-165</v>
      </c>
      <c r="W255" s="144"/>
    </row>
    <row r="256" spans="2:70" ht="18">
      <c r="D256" s="107"/>
      <c r="N256">
        <f t="shared" si="42"/>
        <v>-137</v>
      </c>
      <c r="O256" s="132" t="s">
        <v>511</v>
      </c>
      <c r="P256">
        <v>50</v>
      </c>
      <c r="Q256">
        <v>50</v>
      </c>
      <c r="W256" s="144"/>
      <c r="X256" s="109"/>
    </row>
    <row r="257" spans="4:25" ht="18">
      <c r="D257" s="113"/>
      <c r="N257">
        <f t="shared" si="42"/>
        <v>-138</v>
      </c>
      <c r="O257" s="145" t="s">
        <v>513</v>
      </c>
      <c r="P257">
        <v>-15</v>
      </c>
      <c r="Q257">
        <v>-15</v>
      </c>
      <c r="V257">
        <f>(3376-3251)/3251</f>
        <v>3.8449707782220857E-2</v>
      </c>
      <c r="W257" s="144">
        <f>(2628-2533)/2533</f>
        <v>3.750493485984998E-2</v>
      </c>
      <c r="X257" s="109"/>
      <c r="Y257">
        <f>(W255-X215)/X215</f>
        <v>-1</v>
      </c>
    </row>
    <row r="258" spans="4:25" ht="18">
      <c r="D258" s="107"/>
      <c r="G258" s="9"/>
      <c r="N258">
        <f t="shared" si="42"/>
        <v>-43</v>
      </c>
      <c r="O258" s="145" t="s">
        <v>515</v>
      </c>
      <c r="P258">
        <v>-12</v>
      </c>
      <c r="Q258">
        <v>-12</v>
      </c>
      <c r="W258">
        <f>(38576-37406)/37406</f>
        <v>3.1278404534031974E-2</v>
      </c>
      <c r="X258" s="109"/>
      <c r="Y258">
        <f>(43725-42669)/42669</f>
        <v>2.4748646558391339E-2</v>
      </c>
    </row>
    <row r="259" spans="4:25" ht="18">
      <c r="D259" s="103"/>
      <c r="G259" s="9"/>
      <c r="N259">
        <f>N247-N203</f>
        <v>-27379</v>
      </c>
      <c r="O259" s="148" t="s">
        <v>517</v>
      </c>
      <c r="P259">
        <v>-136</v>
      </c>
      <c r="Q259">
        <v>-137</v>
      </c>
      <c r="X259" s="109"/>
    </row>
    <row r="260" spans="4:25" ht="18">
      <c r="G260" s="9"/>
      <c r="O260" s="145" t="s">
        <v>519</v>
      </c>
      <c r="P260">
        <v>-137</v>
      </c>
      <c r="Q260">
        <v>-138</v>
      </c>
      <c r="X260" s="109"/>
      <c r="Y260">
        <f>(3365-3279)/3279</f>
        <v>2.6227508386703263E-2</v>
      </c>
    </row>
    <row r="261" spans="4:25" ht="18">
      <c r="G261" s="9"/>
      <c r="O261" s="131" t="s">
        <v>521</v>
      </c>
      <c r="P261">
        <v>-42</v>
      </c>
      <c r="Q261">
        <v>-43</v>
      </c>
      <c r="X261" s="109"/>
    </row>
    <row r="262" spans="4:25" ht="18">
      <c r="G262" s="9"/>
    </row>
  </sheetData>
  <autoFilter ref="A1:BN249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8"/>
  <sheetViews>
    <sheetView topLeftCell="A149" zoomScale="40" zoomScaleNormal="40" workbookViewId="0">
      <selection activeCell="Q178" sqref="Q17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>
      <c r="A46" s="67"/>
      <c r="B46">
        <f>(B2-B8)/B2</f>
        <v>0.15346494762288476</v>
      </c>
      <c r="C46">
        <f>(C2-C8)/C2</f>
        <v>0.1154959674639829</v>
      </c>
      <c r="D46">
        <f>SUM(D2:D39)/38</f>
        <v>37702089.447368421</v>
      </c>
      <c r="I46">
        <f>I43-I42</f>
        <v>-332</v>
      </c>
    </row>
    <row r="47" spans="1:11">
      <c r="H47">
        <f>(H43-H42)/H42</f>
        <v>-1.9771428571428572E-2</v>
      </c>
    </row>
    <row r="48" spans="1:11">
      <c r="A48">
        <f>(B44-B43)</f>
        <v>-250</v>
      </c>
      <c r="C48">
        <f>(C43-C42)/C42</f>
        <v>-1.2137997059527473E-2</v>
      </c>
      <c r="E48">
        <f>(D39-D46)/D46</f>
        <v>0.21324840799221964</v>
      </c>
      <c r="J48">
        <f>(D36-D35)/D35</f>
        <v>-0.50773339408667473</v>
      </c>
    </row>
    <row r="49" spans="2:10">
      <c r="B49">
        <f>(B43-B42)/B42</f>
        <v>-1.4413787773398253E-2</v>
      </c>
      <c r="F49">
        <f>(F36-F35)/F35</f>
        <v>-0.62892307692307692</v>
      </c>
    </row>
    <row r="50" spans="2:10">
      <c r="D50">
        <v>5375132</v>
      </c>
      <c r="E50">
        <f>(E17-D50)/D50</f>
        <v>4.5958809321644006E-2</v>
      </c>
      <c r="G50">
        <f t="shared" ref="G50:G58" si="2">B3-B2</f>
        <v>-554</v>
      </c>
    </row>
    <row r="51" spans="2:10">
      <c r="G51">
        <f t="shared" si="2"/>
        <v>-302</v>
      </c>
    </row>
    <row r="52" spans="2:10">
      <c r="C52">
        <f>(D50-E16)/E16</f>
        <v>0.17110375179746395</v>
      </c>
      <c r="G52">
        <f t="shared" si="2"/>
        <v>-511</v>
      </c>
    </row>
    <row r="53" spans="2:10">
      <c r="G53">
        <f t="shared" si="2"/>
        <v>-362</v>
      </c>
    </row>
    <row r="54" spans="2:10">
      <c r="G54">
        <f t="shared" si="2"/>
        <v>-1699</v>
      </c>
    </row>
    <row r="55" spans="2:10">
      <c r="G55">
        <f t="shared" si="2"/>
        <v>-381</v>
      </c>
    </row>
    <row r="56" spans="2:10">
      <c r="G56">
        <f t="shared" si="2"/>
        <v>1075</v>
      </c>
    </row>
    <row r="57" spans="2:10">
      <c r="F57">
        <f>(F33-F32)/F32</f>
        <v>0.23948268173034043</v>
      </c>
      <c r="G57">
        <f t="shared" si="2"/>
        <v>151</v>
      </c>
      <c r="J57">
        <f>(F34-F35)/F34</f>
        <v>0.13877341459779063</v>
      </c>
    </row>
    <row r="58" spans="2:10">
      <c r="G58">
        <f t="shared" si="2"/>
        <v>1043</v>
      </c>
    </row>
  </sheetData>
  <autoFilter ref="A1:K5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26"/>
  <sheetViews>
    <sheetView topLeftCell="A2212" zoomScaleNormal="100" workbookViewId="0">
      <selection activeCell="C2229" sqref="C222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</sheetData>
  <mergeCells count="190"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2218:C2218"/>
    <mergeCell ref="A2193:C2193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17" sqref="D17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8"/>
  <sheetViews>
    <sheetView topLeftCell="A4" zoomScale="85" zoomScaleNormal="85" workbookViewId="0">
      <selection activeCell="B6" sqref="B6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8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68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2022-02-05T13:58:19Z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