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4C75F805-B526-4FDB-BC9E-925A25B3AC7A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set'!$A$1:$BL$191</definedName>
    <definedName name="_xlnm._FilterDatabase" localSheetId="1" hidden="1">weekly!$A$1:$K$48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7" i="2" l="1"/>
  <c r="G35" i="2"/>
  <c r="E35" i="2"/>
  <c r="M186" i="1" l="1"/>
  <c r="M187" i="1"/>
  <c r="L186" i="1"/>
  <c r="L187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G187" i="1" l="1"/>
  <c r="F189" i="1" s="1"/>
  <c r="M178" i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H190" i="1"/>
  <c r="M176" i="1" l="1"/>
  <c r="L176" i="1"/>
  <c r="H109" i="5" l="1"/>
  <c r="G109" i="5"/>
  <c r="F109" i="5"/>
  <c r="M175" i="1" l="1"/>
  <c r="L175" i="1"/>
  <c r="H108" i="5" l="1"/>
  <c r="G108" i="5"/>
  <c r="F108" i="5"/>
  <c r="F4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202" i="1"/>
  <c r="H102" i="5" l="1"/>
  <c r="G102" i="5"/>
  <c r="F102" i="5"/>
  <c r="I191" i="1" l="1"/>
  <c r="H101" i="5" l="1"/>
  <c r="G101" i="5"/>
  <c r="F101" i="5"/>
  <c r="G192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8" i="2"/>
  <c r="G47" i="2"/>
  <c r="G46" i="2"/>
  <c r="G45" i="2"/>
  <c r="G44" i="2"/>
  <c r="G43" i="2"/>
  <c r="G42" i="2"/>
  <c r="G41" i="2"/>
  <c r="G40" i="2"/>
  <c r="D36" i="2"/>
  <c r="C36" i="2"/>
  <c r="B3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0" i="2" s="1"/>
  <c r="G16" i="2"/>
  <c r="E16" i="2"/>
  <c r="C4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91" i="1"/>
  <c r="AW194" i="1" s="1"/>
  <c r="AU191" i="1"/>
  <c r="T191" i="1"/>
  <c r="BB190" i="1"/>
  <c r="AY189" i="1"/>
  <c r="BJ187" i="1"/>
  <c r="BI187" i="1"/>
  <c r="K187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S1" i="1" l="1"/>
  <c r="U1" i="1"/>
</calcChain>
</file>

<file path=xl/sharedStrings.xml><?xml version="1.0" encoding="utf-8"?>
<sst xmlns="http://schemas.openxmlformats.org/spreadsheetml/2006/main" count="1628" uniqueCount="485">
  <si>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</si>
  <si>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</si>
  <si>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</si>
  <si>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</si>
  <si>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</si>
  <si>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</si>
  <si>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</si>
  <si>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</si>
  <si>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</si>
  <si>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</si>
  <si>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</si>
  <si>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</si>
  <si>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</si>
  <si>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</si>
  <si>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</si>
  <si>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</si>
  <si>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</si>
  <si>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</si>
  <si>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</si>
  <si>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</si>
  <si>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</si>
  <si>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</si>
  <si>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</si>
  <si>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</si>
  <si>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</si>
  <si>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</si>
  <si>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</si>
  <si>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</si>
  <si>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</si>
  <si>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</si>
  <si>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</si>
  <si>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</si>
  <si>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</si>
  <si>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</si>
  <si>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</si>
  <si>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</si>
  <si>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</si>
  <si>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</si>
  <si>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</si>
  <si>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</si>
  <si>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</si>
  <si>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</si>
  <si>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</si>
  <si>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</si>
  <si>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</si>
  <si>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</si>
  <si>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</si>
  <si>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</si>
  <si>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</si>
  <si>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</si>
  <si>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</si>
  <si>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</si>
  <si>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</si>
  <si>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</si>
  <si>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</si>
  <si>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</si>
  <si>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</si>
  <si>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</si>
  <si>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</si>
  <si>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</si>
  <si>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</si>
  <si>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</si>
  <si>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</si>
  <si>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</si>
  <si>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</si>
  <si>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</si>
  <si>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</si>
  <si>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</si>
  <si>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</si>
  <si>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</si>
  <si>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</si>
  <si>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</si>
  <si>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</si>
  <si>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</si>
  <si>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</si>
  <si>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</si>
  <si>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</si>
  <si>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</si>
  <si>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</si>
  <si>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</si>
  <si>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</si>
  <si>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</si>
  <si>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</si>
  <si>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</si>
  <si>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</si>
  <si>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</si>
  <si>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</si>
  <si>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</si>
  <si>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</si>
  <si>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</si>
  <si>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</si>
  <si>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</si>
  <si>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</si>
  <si>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</si>
  <si>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</si>
  <si>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</si>
  <si>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</si>
  <si>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</si>
  <si>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</si>
  <si>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</si>
  <si>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</si>
  <si>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</si>
  <si>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</si>
  <si>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</si>
  <si>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</si>
  <si>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</si>
  <si>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</si>
  <si>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</si>
  <si>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</si>
  <si>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</si>
  <si>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</si>
  <si>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</si>
  <si>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</si>
  <si>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</si>
  <si>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</si>
  <si>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</si>
  <si>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</si>
  <si>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</si>
  <si>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</si>
  <si>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</si>
  <si>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</si>
  <si>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</si>
  <si>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</si>
  <si>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</si>
  <si>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</si>
  <si>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</si>
  <si>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</si>
  <si>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</si>
  <si>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</si>
  <si>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</si>
  <si>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</si>
  <si>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</si>
  <si>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</si>
  <si>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</si>
  <si>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</si>
  <si>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</si>
  <si>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</si>
  <si>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</si>
  <si>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</si>
  <si>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</si>
  <si>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</si>
  <si>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</si>
  <si>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</si>
  <si>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</si>
  <si>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</si>
  <si>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</si>
  <si>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</si>
  <si>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</si>
  <si>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</si>
  <si>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</si>
  <si>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</si>
  <si>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</si>
  <si>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</si>
  <si>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</si>
  <si>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</si>
  <si>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</si>
  <si>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</si>
  <si>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</si>
  <si>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</si>
  <si>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</si>
  <si>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</si>
  <si>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</si>
  <si>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</si>
  <si>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</si>
  <si>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</si>
  <si>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</si>
  <si>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</si>
  <si>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</si>
  <si>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</si>
  <si>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</si>
  <si>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</si>
  <si>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</si>
  <si>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</si>
  <si>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</si>
  <si>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</si>
  <si>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</si>
  <si>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</si>
  <si>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</si>
  <si>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</si>
  <si>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</si>
  <si>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</si>
  <si>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</si>
  <si>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</si>
  <si>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</si>
  <si>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</si>
  <si>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</si>
  <si>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</si>
  <si>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</si>
  <si>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</si>
  <si>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</si>
  <si>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</si>
  <si>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</si>
  <si>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</si>
  <si>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</si>
  <si>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</si>
  <si>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</si>
  <si>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</si>
  <si>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</si>
  <si>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</si>
  <si>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</si>
  <si>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</si>
  <si>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</si>
  <si>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</si>
  <si>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</si>
  <si>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</si>
  <si>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</si>
  <si>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</si>
  <si>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</si>
  <si>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</si>
  <si>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</si>
  <si>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</si>
  <si>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</si>
  <si>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</si>
  <si>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</si>
  <si>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</si>
  <si>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</si>
  <si>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</si>
  <si>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</si>
  <si>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</si>
  <si>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</si>
  <si>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</si>
  <si>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</si>
  <si>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</si>
  <si>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</si>
  <si>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</si>
  <si>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</si>
  <si>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</si>
  <si>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</si>
  <si>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</si>
  <si>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</si>
  <si>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</si>
  <si>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</si>
  <si>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</si>
  <si>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</si>
  <si>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</si>
  <si>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</si>
  <si>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</si>
  <si>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</si>
  <si>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</si>
  <si>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</si>
  <si>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</si>
  <si>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</si>
  <si>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</si>
  <si>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</si>
  <si>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</si>
  <si>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</si>
  <si>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</si>
  <si>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</si>
  <si>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</si>
  <si>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</si>
  <si>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</si>
  <si>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</si>
  <si>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</si>
  <si>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</si>
  <si>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</si>
  <si>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</si>
  <si>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</si>
  <si>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</si>
  <si>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</si>
  <si>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</si>
  <si>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</si>
  <si>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</si>
  <si>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</si>
  <si>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</si>
  <si>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</si>
  <si>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</si>
  <si>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</si>
  <si>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</si>
  <si>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</si>
  <si>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</si>
  <si>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</si>
  <si>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</si>
  <si>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</si>
  <si>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</si>
  <si>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</si>
  <si>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</si>
  <si>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</si>
  <si>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</si>
  <si>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</si>
  <si>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</si>
  <si>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</si>
  <si>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</si>
  <si>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</si>
  <si>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</si>
  <si>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</si>
  <si>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</si>
  <si>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</si>
  <si>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</si>
  <si>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</si>
  <si>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</si>
  <si>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</si>
  <si>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</si>
  <si>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</si>
  <si>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</si>
  <si>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</si>
  <si>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</si>
  <si>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</si>
  <si>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</si>
  <si>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</si>
  <si>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</si>
  <si>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</si>
  <si>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</si>
  <si>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</si>
  <si>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</si>
  <si>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</si>
  <si>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</si>
  <si>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</si>
  <si>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</si>
  <si>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</si>
  <si>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</si>
  <si>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</si>
  <si>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</si>
  <si>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</si>
  <si>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</si>
  <si>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</si>
  <si>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</si>
  <si>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</si>
  <si>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</si>
  <si>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</si>
  <si>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</si>
  <si>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</si>
  <si>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</si>
  <si>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</si>
  <si>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</si>
  <si>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</si>
  <si>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</si>
  <si>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</si>
  <si>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</si>
  <si>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</si>
  <si>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</si>
  <si>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</si>
  <si>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</si>
  <si>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</si>
  <si>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</si>
  <si>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</si>
  <si>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</si>
  <si>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</si>
  <si>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</si>
  <si>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</si>
  <si>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</si>
  <si>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</si>
  <si>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</si>
  <si>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</si>
  <si>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</si>
  <si>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</si>
  <si>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</si>
  <si>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</si>
  <si>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</si>
  <si>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</si>
  <si>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</si>
  <si>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</si>
  <si>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</si>
  <si>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</si>
  <si>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</si>
  <si>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</si>
  <si>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</si>
  <si>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</si>
  <si>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</si>
  <si>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</si>
  <si>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</si>
  <si>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</si>
  <si>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</si>
  <si>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</si>
  <si>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</si>
  <si>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</si>
  <si>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</si>
  <si>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</si>
  <si>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</si>
  <si>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</si>
  <si>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</si>
  <si>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</si>
  <si>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</si>
  <si>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</si>
  <si>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</si>
  <si>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</si>
  <si>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</si>
  <si>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</si>
  <si>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</si>
  <si>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</si>
  <si>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</si>
  <si>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</si>
  <si>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</si>
  <si>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</si>
  <si>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</si>
  <si>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</si>
  <si>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</si>
  <si>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</si>
  <si>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</si>
  <si>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</si>
  <si>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</si>
  <si>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</si>
  <si>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</si>
  <si>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</si>
  <si>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</si>
  <si>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</si>
  <si>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</si>
  <si>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</si>
  <si>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</si>
  <si>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</si>
  <si>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</si>
  <si>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</si>
  <si>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</si>
  <si>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</si>
  <si>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</si>
  <si>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</si>
  <si>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</si>
  <si>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</si>
  <si>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</si>
  <si>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</si>
  <si>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</si>
  <si>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</si>
  <si>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</si>
  <si>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</si>
  <si>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</si>
  <si>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</si>
  <si>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</si>
  <si>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</si>
  <si>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</si>
  <si>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</si>
  <si>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</si>
  <si>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</si>
  <si>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</si>
  <si>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</si>
  <si>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</si>
  <si>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</si>
  <si>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</si>
  <si>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</si>
  <si>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</si>
  <si>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</si>
  <si>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</si>
  <si>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</si>
  <si>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</si>
  <si>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</si>
  <si>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</si>
  <si>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</si>
  <si>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</si>
  <si>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</si>
  <si>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</si>
  <si>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</si>
  <si>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</si>
  <si>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</si>
  <si>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</si>
  <si>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</si>
  <si>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</si>
  <si>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</si>
  <si>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</si>
  <si>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</si>
  <si>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</si>
  <si>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</si>
  <si>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</si>
  <si>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</si>
  <si>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</si>
  <si>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</si>
  <si>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</si>
  <si>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</si>
  <si>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</si>
  <si>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</si>
  <si>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</si>
  <si>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</si>
  <si>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</si>
  <si>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</si>
  <si>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</si>
  <si>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</si>
  <si>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</si>
  <si>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</si>
  <si>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</si>
  <si>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</si>
  <si>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</si>
  <si>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</si>
  <si>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</si>
  <si>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</si>
  <si>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</si>
  <si>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</si>
  <si>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</si>
  <si>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</si>
  <si>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</si>
  <si>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</si>
  <si>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</si>
  <si>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</si>
  <si>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</si>
  <si>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02آبان1400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</si>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</sst>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58492640"/>
        <c:axId val="958495904"/>
      </c:lineChart>
      <c:catAx>
        <c:axId val="95849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58495904"/>
        <c:crosses val="autoZero"/>
        <c:auto val="1"/>
        <c:lblAlgn val="ctr"/>
        <c:lblOffset val="100"/>
        <c:noMultiLvlLbl val="0"/>
      </c:catAx>
      <c:valAx>
        <c:axId val="9584959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5849264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weekly!$B$27:$B$35</c15:sqref>
                  </c15:fullRef>
                </c:ext>
              </c:extLst>
              <c:f>weekly!$B$28:$B$35</c:f>
              <c:numCache>
                <c:formatCode>General</c:formatCode>
                <c:ptCount val="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weekly!$H$27:$H$35</c15:sqref>
                  </c15:fullRef>
                </c:ext>
              </c:extLst>
              <c:f>weekly!$H$28:$H$35</c:f>
              <c:numCache>
                <c:formatCode>General</c:formatCode>
                <c:ptCount val="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A6B-4C9B-BEA2-8EBE6A749D67}"/>
                </c:ext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6B-4C9B-BEA2-8EBE6A749D67}"/>
                </c:ext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35-4297-AE12-FD7A52582D17}"/>
                </c:ext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weekly!$J$27:$J$35</c15:sqref>
                  </c15:fullRef>
                </c:ext>
              </c:extLst>
              <c:f>weekly!$J$28:$J$35</c:f>
              <c:numCache>
                <c:formatCode>General</c:formatCode>
                <c:ptCount val="8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  <c:pt idx="7">
                  <c:v>28590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58493728"/>
        <c:axId val="958495360"/>
      </c:lineChart>
      <c:catAx>
        <c:axId val="95849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58495360"/>
        <c:crosses val="autoZero"/>
        <c:auto val="1"/>
        <c:lblAlgn val="ctr"/>
        <c:lblOffset val="100"/>
        <c:noMultiLvlLbl val="0"/>
      </c:catAx>
      <c:valAx>
        <c:axId val="95849536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584937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پنجم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weekly!$D$2:$D$35</c:f>
              <c:numCache>
                <c:formatCode>General</c:formatCode>
                <c:ptCount val="3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60064944"/>
        <c:axId val="1257611312"/>
      </c:lineChart>
      <c:catAx>
        <c:axId val="96006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1312"/>
        <c:crosses val="autoZero"/>
        <c:auto val="1"/>
        <c:lblAlgn val="ctr"/>
        <c:lblOffset val="100"/>
        <c:noMultiLvlLbl val="0"/>
      </c:catAx>
      <c:valAx>
        <c:axId val="12576113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600649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57615664"/>
        <c:axId val="1257605872"/>
      </c:lineChart>
      <c:catAx>
        <c:axId val="125761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05872"/>
        <c:crosses val="autoZero"/>
        <c:auto val="1"/>
        <c:lblAlgn val="ctr"/>
        <c:lblOffset val="100"/>
        <c:noMultiLvlLbl val="0"/>
      </c:catAx>
      <c:valAx>
        <c:axId val="12576058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566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پنجم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weekly!$F$2:$F$35</c:f>
              <c:numCache>
                <c:formatCode>General</c:formatCode>
                <c:ptCount val="3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57608048"/>
        <c:axId val="1257602608"/>
      </c:lineChart>
      <c:catAx>
        <c:axId val="125760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02608"/>
        <c:crosses val="autoZero"/>
        <c:auto val="1"/>
        <c:lblAlgn val="ctr"/>
        <c:lblOffset val="100"/>
        <c:noMultiLvlLbl val="0"/>
      </c:catAx>
      <c:valAx>
        <c:axId val="1257602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080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E59F-4559-B704-C12D3925A141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E59F-4559-B704-C12D3925A1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weekly!$C$27:$C$35</c15:sqref>
                  </c15:fullRef>
                </c:ext>
              </c:extLst>
              <c:f>weekly!$C$28:$C$35</c:f>
              <c:numCache>
                <c:formatCode>General</c:formatCode>
                <c:ptCount val="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E59F-4559-B704-C12D3925A141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E59F-4559-B704-C12D3925A1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weekly!$K$27:$K$35</c15:sqref>
                  </c15:fullRef>
                </c:ext>
              </c:extLst>
              <c:f>weekly!$K$28:$K$35</c:f>
              <c:numCache>
                <c:formatCode>General</c:formatCode>
                <c:ptCount val="8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  <c:pt idx="7">
                  <c:v>32092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4-E59F-4559-B704-C12D3925A141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5-E59F-4559-B704-C12D3925A141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weekly!$I$27:$I$35</c15:sqref>
                  </c15:fullRef>
                </c:ext>
              </c:extLst>
              <c:f>weekly!$I$28:$I$35</c:f>
              <c:numCache>
                <c:formatCode>General</c:formatCode>
                <c:ptCount val="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57611856"/>
        <c:axId val="1257614032"/>
      </c:lineChart>
      <c:catAx>
        <c:axId val="125761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4032"/>
        <c:crosses val="autoZero"/>
        <c:auto val="1"/>
        <c:lblAlgn val="ctr"/>
        <c:lblOffset val="100"/>
        <c:noMultiLvlLbl val="0"/>
      </c:catAx>
      <c:valAx>
        <c:axId val="1257614032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18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7610768"/>
        <c:axId val="1257603696"/>
      </c:barChart>
      <c:catAx>
        <c:axId val="125761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03696"/>
        <c:crosses val="autoZero"/>
        <c:auto val="1"/>
        <c:lblAlgn val="ctr"/>
        <c:lblOffset val="100"/>
        <c:noMultiLvlLbl val="0"/>
      </c:catAx>
      <c:valAx>
        <c:axId val="12576036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07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1400" b="1" strike="noStrike" spc="-1" baseline="0">
                <a:solidFill>
                  <a:srgbClr val="595959"/>
                </a:solidFill>
                <a:latin typeface="Calibri"/>
              </a:rPr>
              <a:t>چهارشنبه 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1400/09/03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35"/>
          <c:order val="3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change'!$F$117:$I$117</c:f>
              <c:numCache>
                <c:formatCode>General</c:formatCode>
                <c:ptCount val="4"/>
                <c:pt idx="0">
                  <c:v>1.6800840042002101</c:v>
                </c:pt>
                <c:pt idx="1">
                  <c:v>1.5618742490989188</c:v>
                </c:pt>
                <c:pt idx="2">
                  <c:v>0.3539253539253539</c:v>
                </c:pt>
                <c:pt idx="3">
                  <c:v>-0.74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77-4B4E-AADA-4EF6AA3F13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57612944"/>
        <c:axId val="125760641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</c:ext>
        </c:extLst>
      </c:barChart>
      <c:catAx>
        <c:axId val="12576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06416"/>
        <c:crosses val="autoZero"/>
        <c:auto val="1"/>
        <c:lblAlgn val="ctr"/>
        <c:lblOffset val="100"/>
        <c:noMultiLvlLbl val="0"/>
      </c:catAx>
      <c:valAx>
        <c:axId val="12576064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294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590</xdr:row>
      <xdr:rowOff>102960</xdr:rowOff>
    </xdr:from>
    <xdr:to>
      <xdr:col>11</xdr:col>
      <xdr:colOff>279360</xdr:colOff>
      <xdr:row>620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170</xdr:row>
      <xdr:rowOff>27711</xdr:rowOff>
    </xdr:from>
    <xdr:to>
      <xdr:col>41</xdr:col>
      <xdr:colOff>533400</xdr:colOff>
      <xdr:row>275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306</xdr:row>
      <xdr:rowOff>0</xdr:rowOff>
    </xdr:from>
    <xdr:to>
      <xdr:col>82</xdr:col>
      <xdr:colOff>0</xdr:colOff>
      <xdr:row>382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625</xdr:row>
      <xdr:rowOff>0</xdr:rowOff>
    </xdr:from>
    <xdr:to>
      <xdr:col>13</xdr:col>
      <xdr:colOff>354240</xdr:colOff>
      <xdr:row>655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405</xdr:row>
      <xdr:rowOff>0</xdr:rowOff>
    </xdr:from>
    <xdr:to>
      <xdr:col>83</xdr:col>
      <xdr:colOff>533400</xdr:colOff>
      <xdr:row>504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53</xdr:row>
      <xdr:rowOff>76321</xdr:rowOff>
    </xdr:from>
    <xdr:to>
      <xdr:col>44</xdr:col>
      <xdr:colOff>533400</xdr:colOff>
      <xdr:row>152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04"/>
  <sheetViews>
    <sheetView topLeftCell="E1" zoomScaleNormal="100" workbookViewId="0">
      <selection activeCell="J1" sqref="J1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L187/G187</f>
        <v>4744477.4245468983</v>
      </c>
      <c r="T1" s="3" t="s">
        <v>15</v>
      </c>
      <c r="U1" s="3">
        <f>M187/K187</f>
        <v>44902.766315506124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K187/K62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86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86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hidden="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hidden="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hidden="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hidden="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hidden="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hidden="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3"/>
        <v>340417605000</v>
      </c>
      <c r="M178" s="93">
        <f t="shared" si="22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9" customFormat="1" ht="2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3"/>
        <v>259574211400</v>
      </c>
      <c r="M179" s="93">
        <f t="shared" si="22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2" s="119" customFormat="1" ht="2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3"/>
        <v>232541672000</v>
      </c>
      <c r="M180" s="93">
        <f t="shared" si="22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</row>
    <row r="181" spans="1:62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3"/>
        <v>311949927000</v>
      </c>
      <c r="M181" s="93">
        <f t="shared" si="22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</row>
    <row r="182" spans="1:62" s="132" customFormat="1" ht="21" customHeight="1">
      <c r="A182" s="128"/>
      <c r="B182" s="129" t="s">
        <v>477</v>
      </c>
      <c r="C182" s="130">
        <v>30</v>
      </c>
      <c r="D182" s="131">
        <v>26579</v>
      </c>
      <c r="E182" s="130">
        <v>26600</v>
      </c>
      <c r="F182" s="130">
        <v>26565</v>
      </c>
      <c r="G182" s="130">
        <v>11408500</v>
      </c>
      <c r="H182" s="130">
        <v>30288</v>
      </c>
      <c r="I182" s="130">
        <v>30399</v>
      </c>
      <c r="J182" s="132">
        <v>30341</v>
      </c>
      <c r="K182" s="130">
        <v>908000</v>
      </c>
      <c r="L182" s="99">
        <f t="shared" si="23"/>
        <v>303066802500</v>
      </c>
      <c r="M182" s="99">
        <f t="shared" si="22"/>
        <v>27549628000</v>
      </c>
      <c r="N182" s="132">
        <v>26865</v>
      </c>
      <c r="O182" s="132">
        <v>30703</v>
      </c>
      <c r="P182" s="132">
        <v>26844</v>
      </c>
      <c r="Q182" s="132">
        <v>30591</v>
      </c>
      <c r="R182" s="130"/>
      <c r="S182" s="130"/>
      <c r="T182" s="130"/>
      <c r="U182" s="130"/>
      <c r="V182" s="132">
        <v>28090</v>
      </c>
      <c r="X182" s="132">
        <v>28290</v>
      </c>
      <c r="Y182" s="132">
        <v>31741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1"/>
      <c r="AT182" s="131"/>
      <c r="AU182" s="131"/>
      <c r="AV182" s="131"/>
      <c r="AW182" s="131"/>
      <c r="AX182" s="131"/>
      <c r="AY182" s="130"/>
      <c r="AZ182" s="130"/>
      <c r="BA182" s="130"/>
      <c r="BB182" s="130"/>
      <c r="BC182" s="130"/>
      <c r="BE182" s="133"/>
      <c r="BF182" s="133"/>
      <c r="BG182" s="133"/>
      <c r="BH182" s="133"/>
    </row>
    <row r="183" spans="1:62" s="132" customFormat="1" ht="21" customHeight="1">
      <c r="A183" s="128"/>
      <c r="B183" s="129" t="s">
        <v>425</v>
      </c>
      <c r="C183" s="130">
        <v>1</v>
      </c>
      <c r="D183" s="131">
        <v>26577</v>
      </c>
      <c r="E183" s="130">
        <v>26580</v>
      </c>
      <c r="F183" s="130">
        <v>26574</v>
      </c>
      <c r="G183" s="130">
        <v>12381500</v>
      </c>
      <c r="H183" s="130">
        <v>30211</v>
      </c>
      <c r="I183" s="130">
        <v>30399</v>
      </c>
      <c r="J183" s="132">
        <v>30309</v>
      </c>
      <c r="K183" s="130">
        <v>953300</v>
      </c>
      <c r="L183" s="99">
        <f t="shared" si="23"/>
        <v>329025981000</v>
      </c>
      <c r="M183" s="99">
        <f t="shared" si="22"/>
        <v>28893569700</v>
      </c>
      <c r="N183" s="132">
        <v>26846</v>
      </c>
      <c r="O183" s="132">
        <v>30703</v>
      </c>
      <c r="P183" s="132">
        <v>26843</v>
      </c>
      <c r="Q183" s="132">
        <v>30513</v>
      </c>
      <c r="R183" s="130"/>
      <c r="S183" s="130"/>
      <c r="T183" s="130"/>
      <c r="U183" s="130"/>
      <c r="V183" s="132">
        <v>28350</v>
      </c>
      <c r="X183" s="132">
        <v>28400</v>
      </c>
      <c r="Y183" s="132">
        <v>31874</v>
      </c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1"/>
      <c r="AT183" s="131"/>
      <c r="AU183" s="131"/>
      <c r="AV183" s="131"/>
      <c r="AW183" s="131"/>
      <c r="AX183" s="131"/>
      <c r="AY183" s="130"/>
      <c r="AZ183" s="130"/>
      <c r="BA183" s="130"/>
      <c r="BB183" s="130"/>
      <c r="BC183" s="130"/>
      <c r="BE183" s="133"/>
      <c r="BF183" s="133"/>
      <c r="BG183" s="133"/>
      <c r="BH183" s="133"/>
    </row>
    <row r="184" spans="1:62" s="132" customFormat="1" ht="21" customHeight="1">
      <c r="A184" s="128"/>
      <c r="B184" s="129" t="s">
        <v>480</v>
      </c>
      <c r="C184" s="130">
        <v>2</v>
      </c>
      <c r="D184" s="131">
        <v>26578</v>
      </c>
      <c r="E184" s="130">
        <v>26579</v>
      </c>
      <c r="F184" s="130">
        <v>26576</v>
      </c>
      <c r="G184" s="130">
        <v>15697800</v>
      </c>
      <c r="H184" s="130">
        <v>30399</v>
      </c>
      <c r="I184" s="130">
        <v>30399</v>
      </c>
      <c r="J184" s="132">
        <v>30386</v>
      </c>
      <c r="K184" s="130">
        <v>1164500</v>
      </c>
      <c r="L184" s="99">
        <f t="shared" si="23"/>
        <v>417184732800</v>
      </c>
      <c r="M184" s="99">
        <f t="shared" si="22"/>
        <v>35384497000</v>
      </c>
      <c r="N184" s="132">
        <v>26845</v>
      </c>
      <c r="O184" s="132">
        <v>30703</v>
      </c>
      <c r="P184" s="132">
        <v>26844</v>
      </c>
      <c r="Q184" s="132">
        <v>30703</v>
      </c>
      <c r="R184" s="130"/>
      <c r="S184" s="130"/>
      <c r="T184" s="130"/>
      <c r="U184" s="130"/>
      <c r="V184" s="132">
        <v>28550</v>
      </c>
      <c r="X184" s="132">
        <v>28570</v>
      </c>
      <c r="Y184" s="132">
        <v>32223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1"/>
      <c r="AT184" s="131"/>
      <c r="AU184" s="131"/>
      <c r="AV184" s="131"/>
      <c r="AW184" s="131"/>
      <c r="AX184" s="131"/>
      <c r="AY184" s="130"/>
      <c r="AZ184" s="130"/>
      <c r="BA184" s="130"/>
      <c r="BB184" s="130"/>
      <c r="BC184" s="130"/>
      <c r="BE184" s="133"/>
      <c r="BF184" s="133"/>
      <c r="BG184" s="133"/>
      <c r="BH184" s="133"/>
    </row>
    <row r="185" spans="1:62" s="132" customFormat="1" ht="21" customHeight="1">
      <c r="A185" s="128"/>
      <c r="B185" s="129" t="s">
        <v>427</v>
      </c>
      <c r="C185" s="130">
        <v>3</v>
      </c>
      <c r="D185" s="131">
        <v>27064</v>
      </c>
      <c r="E185" s="130">
        <v>27750</v>
      </c>
      <c r="F185" s="130">
        <v>27384</v>
      </c>
      <c r="G185" s="130">
        <v>12359200</v>
      </c>
      <c r="H185" s="130">
        <v>30399</v>
      </c>
      <c r="I185" s="130">
        <v>31492</v>
      </c>
      <c r="J185" s="132">
        <v>31335</v>
      </c>
      <c r="K185" s="130">
        <v>1055500</v>
      </c>
      <c r="L185" s="99">
        <f t="shared" si="23"/>
        <v>338444332800</v>
      </c>
      <c r="M185" s="99">
        <f t="shared" si="22"/>
        <v>33074092500</v>
      </c>
      <c r="N185" s="132">
        <v>28028</v>
      </c>
      <c r="O185" s="132">
        <v>31807</v>
      </c>
      <c r="P185" s="132">
        <v>27335</v>
      </c>
      <c r="Q185" s="132">
        <v>30703</v>
      </c>
      <c r="R185" s="130"/>
      <c r="S185" s="130"/>
      <c r="T185" s="130"/>
      <c r="U185" s="130"/>
      <c r="V185" s="132">
        <v>28850</v>
      </c>
      <c r="X185" s="132">
        <v>29050</v>
      </c>
      <c r="Y185" s="132">
        <v>32426</v>
      </c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1"/>
      <c r="AT185" s="131"/>
      <c r="AU185" s="131"/>
      <c r="AV185" s="131"/>
      <c r="AW185" s="131"/>
      <c r="AX185" s="131"/>
      <c r="AY185" s="130"/>
      <c r="AZ185" s="130"/>
      <c r="BA185" s="130"/>
      <c r="BB185" s="130"/>
      <c r="BC185" s="130"/>
      <c r="BE185" s="133"/>
      <c r="BF185" s="133"/>
      <c r="BG185" s="133"/>
      <c r="BH185" s="133"/>
    </row>
    <row r="186" spans="1:62" s="113" customFormat="1" ht="21" customHeight="1">
      <c r="A186" s="109"/>
      <c r="B186" s="110" t="s">
        <v>429</v>
      </c>
      <c r="C186" s="111">
        <v>4</v>
      </c>
      <c r="D186" s="112">
        <v>28042</v>
      </c>
      <c r="E186" s="111">
        <v>27723</v>
      </c>
      <c r="F186" s="111">
        <v>27768</v>
      </c>
      <c r="G186" s="111">
        <v>7533200</v>
      </c>
      <c r="H186" s="111">
        <v>31492</v>
      </c>
      <c r="I186" s="111">
        <v>31765</v>
      </c>
      <c r="J186" s="113">
        <v>31703</v>
      </c>
      <c r="K186" s="111">
        <v>442900</v>
      </c>
      <c r="L186" s="137">
        <f t="shared" si="23"/>
        <v>209181897600</v>
      </c>
      <c r="M186" s="137">
        <f t="shared" si="22"/>
        <v>14041258700</v>
      </c>
      <c r="N186" s="113">
        <v>28001</v>
      </c>
      <c r="O186" s="113">
        <v>32083</v>
      </c>
      <c r="P186" s="113">
        <v>28322</v>
      </c>
      <c r="Q186" s="113">
        <v>31807</v>
      </c>
      <c r="R186" s="111"/>
      <c r="S186" s="111"/>
      <c r="T186" s="111"/>
      <c r="U186" s="111"/>
      <c r="V186" s="113">
        <v>29030</v>
      </c>
      <c r="X186" s="113">
        <v>29050</v>
      </c>
      <c r="Y186" s="113">
        <v>32534</v>
      </c>
      <c r="Z186" s="111"/>
      <c r="AA186" s="111"/>
      <c r="AB186" s="111"/>
      <c r="AC186" s="111"/>
      <c r="AD186" s="111"/>
      <c r="AE186" s="111"/>
      <c r="AF186" s="111"/>
      <c r="AG186" s="111"/>
      <c r="AH186" s="111"/>
      <c r="AI186" s="111"/>
      <c r="AJ186" s="111"/>
      <c r="AK186" s="111"/>
      <c r="AL186" s="111"/>
      <c r="AM186" s="111"/>
      <c r="AN186" s="111"/>
      <c r="AO186" s="111"/>
      <c r="AP186" s="111"/>
      <c r="AQ186" s="111"/>
      <c r="AR186" s="111"/>
      <c r="AS186" s="112"/>
      <c r="AT186" s="112"/>
      <c r="AU186" s="112"/>
      <c r="AV186" s="112"/>
      <c r="AW186" s="112"/>
      <c r="AX186" s="112"/>
      <c r="AY186" s="111"/>
      <c r="AZ186" s="111"/>
      <c r="BA186" s="111"/>
      <c r="BB186" s="111"/>
      <c r="BC186" s="111"/>
      <c r="BE186" s="114"/>
      <c r="BF186" s="114"/>
      <c r="BG186" s="114"/>
      <c r="BH186" s="114"/>
    </row>
    <row r="187" spans="1:62" ht="18">
      <c r="A187" s="7"/>
      <c r="B187" s="8"/>
      <c r="C187" s="8"/>
      <c r="D187" s="26"/>
      <c r="E187" s="8"/>
      <c r="F187" s="8"/>
      <c r="G187" s="8">
        <f>SUM(G2:G182)/181</f>
        <v>6809377.3425414367</v>
      </c>
      <c r="H187" s="8"/>
      <c r="I187" s="8"/>
      <c r="J187" s="8"/>
      <c r="K187" s="8">
        <f>SUM(K2:K126)</f>
        <v>125564600</v>
      </c>
      <c r="L187" s="8">
        <f>SUM(L2:L186)</f>
        <v>32306937076909</v>
      </c>
      <c r="M187" s="9">
        <f>SUM(M2:M186)</f>
        <v>5638197891300</v>
      </c>
      <c r="N187" s="9"/>
      <c r="O187" s="9"/>
      <c r="P187" s="9"/>
      <c r="Q187" s="9"/>
      <c r="R187" s="9"/>
      <c r="S187" s="9"/>
      <c r="T187" s="9"/>
      <c r="U187" s="9"/>
      <c r="V187" s="119">
        <v>29020</v>
      </c>
      <c r="W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Y187" s="9"/>
      <c r="AZ187" s="9"/>
      <c r="BA187" s="9"/>
      <c r="BB187" s="9"/>
      <c r="BC187" s="9"/>
      <c r="BD187" s="9"/>
      <c r="BE187" s="10"/>
      <c r="BF187" s="10"/>
      <c r="BG187" s="10"/>
      <c r="BH187" s="10"/>
      <c r="BI187" t="e">
        <f>#REF!-N187</f>
        <v>#REF!</v>
      </c>
      <c r="BJ187" t="e">
        <f>(Y187-O187)/O187</f>
        <v>#DIV/0!</v>
      </c>
    </row>
    <row r="188" spans="1:62" ht="18">
      <c r="D188" s="26"/>
      <c r="V188" s="135">
        <v>28990</v>
      </c>
      <c r="Z188" s="25"/>
      <c r="AB188" s="25"/>
      <c r="AS188" s="25"/>
      <c r="AW188" s="30"/>
    </row>
    <row r="189" spans="1:62" ht="18">
      <c r="D189" s="26"/>
      <c r="F189">
        <f>(G182-G187)/G187</f>
        <v>0.67541016250129726</v>
      </c>
      <c r="V189" s="135"/>
      <c r="Z189" s="25"/>
      <c r="AS189" s="26"/>
      <c r="AW189" s="30"/>
      <c r="AY189">
        <f>AY51-AY50</f>
        <v>35000</v>
      </c>
    </row>
    <row r="190" spans="1:62" ht="18">
      <c r="H190">
        <f>(G176-G187)/G187</f>
        <v>0.72509165068766612</v>
      </c>
      <c r="V190" s="134"/>
      <c r="Z190" s="25"/>
      <c r="AS190" s="26">
        <v>10290000</v>
      </c>
      <c r="AW190" s="30"/>
      <c r="BB190">
        <f>AY60-AY59</f>
        <v>70000</v>
      </c>
    </row>
    <row r="191" spans="1:62" ht="18">
      <c r="I191">
        <f>(G166-G187)/G187</f>
        <v>0.53925968157436099</v>
      </c>
      <c r="T191">
        <f>V137-X140</f>
        <v>-620</v>
      </c>
      <c r="V191" s="25"/>
      <c r="Z191" s="25"/>
      <c r="AS191" s="26"/>
      <c r="AU191">
        <f>AS190-AS49</f>
        <v>195000</v>
      </c>
      <c r="AW191" s="30">
        <f>AC52-AY51</f>
        <v>305000</v>
      </c>
    </row>
    <row r="192" spans="1:62" ht="18">
      <c r="D192" s="99">
        <v>9387100</v>
      </c>
      <c r="G192">
        <f>(G165-G187)/G187</f>
        <v>0.64878511429500496</v>
      </c>
      <c r="V192" s="25"/>
      <c r="Z192" s="25"/>
      <c r="AW192" s="30"/>
    </row>
    <row r="193" spans="4:49" ht="17.25" customHeight="1">
      <c r="D193" s="99">
        <v>7622400</v>
      </c>
      <c r="V193" s="25"/>
      <c r="Z193" s="25"/>
    </row>
    <row r="194" spans="4:49" ht="18">
      <c r="D194" s="99">
        <v>9805000</v>
      </c>
      <c r="V194" s="25"/>
      <c r="Z194" s="25"/>
      <c r="AW194">
        <f>AW191/AY51</f>
        <v>2.9539951573849879E-2</v>
      </c>
    </row>
    <row r="195" spans="4:49" ht="18">
      <c r="D195" s="99">
        <v>12098700</v>
      </c>
      <c r="V195" s="25"/>
    </row>
    <row r="196" spans="4:49" ht="18">
      <c r="D196" s="99">
        <v>8231300</v>
      </c>
      <c r="V196" s="25"/>
    </row>
    <row r="197" spans="4:49" ht="18">
      <c r="D197" s="117">
        <v>8525400</v>
      </c>
    </row>
    <row r="198" spans="4:49" ht="18">
      <c r="D198" s="117">
        <v>8525400</v>
      </c>
    </row>
    <row r="199" spans="4:49" ht="18">
      <c r="D199" s="123">
        <v>11227200</v>
      </c>
    </row>
    <row r="200" spans="4:49" ht="18">
      <c r="D200" s="117">
        <v>10481400</v>
      </c>
      <c r="G200" s="9">
        <v>8861800</v>
      </c>
    </row>
    <row r="201" spans="4:49" ht="18">
      <c r="D201" s="111">
        <v>10300800</v>
      </c>
      <c r="G201" s="9">
        <v>8230700</v>
      </c>
    </row>
    <row r="202" spans="4:49" ht="18">
      <c r="D202">
        <f>SUM(D192:D201)/10</f>
        <v>9620470</v>
      </c>
      <c r="G202" s="9">
        <v>8995300</v>
      </c>
    </row>
    <row r="203" spans="4:49" ht="18">
      <c r="G203" s="9"/>
    </row>
    <row r="204" spans="4:49" ht="18">
      <c r="G204" s="9"/>
    </row>
  </sheetData>
  <autoFilter ref="A1:BL191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8"/>
  <sheetViews>
    <sheetView tabSelected="1" topLeftCell="A22" zoomScale="70" zoomScaleNormal="70" workbookViewId="0">
      <selection activeCell="H42" sqref="H42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5" si="0">D29/6</f>
        <v>7281166.666666667</v>
      </c>
      <c r="F29" s="73">
        <v>5993000</v>
      </c>
      <c r="G29" s="73">
        <f t="shared" ref="G29:G35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5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5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5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5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5" customHeight="1">
      <c r="A35" s="73" t="s">
        <v>484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>
      <c r="B36">
        <f>(B2-B8)/B2</f>
        <v>0.15346494762288476</v>
      </c>
      <c r="C36">
        <f>(C2-C8)/C2</f>
        <v>0.1154959674639829</v>
      </c>
      <c r="D36">
        <f>SUM(D2:D16)/15</f>
        <v>29639479.933333334</v>
      </c>
    </row>
    <row r="40" spans="1:11">
      <c r="D40">
        <v>5375132</v>
      </c>
      <c r="E40">
        <f>(E17-D40)/D40</f>
        <v>4.5958809321644006E-2</v>
      </c>
      <c r="G40">
        <f t="shared" ref="G40:G48" si="2">B3-B2</f>
        <v>-554</v>
      </c>
    </row>
    <row r="41" spans="1:11">
      <c r="G41">
        <f t="shared" si="2"/>
        <v>-302</v>
      </c>
    </row>
    <row r="42" spans="1:11">
      <c r="C42">
        <f>(D40-E16)/E16</f>
        <v>0.17110375179746395</v>
      </c>
      <c r="G42">
        <f t="shared" si="2"/>
        <v>-511</v>
      </c>
    </row>
    <row r="43" spans="1:11">
      <c r="G43">
        <f t="shared" si="2"/>
        <v>-362</v>
      </c>
    </row>
    <row r="44" spans="1:11">
      <c r="G44">
        <f t="shared" si="2"/>
        <v>-1699</v>
      </c>
    </row>
    <row r="45" spans="1:11">
      <c r="G45">
        <f t="shared" si="2"/>
        <v>-381</v>
      </c>
    </row>
    <row r="46" spans="1:11">
      <c r="G46">
        <f t="shared" si="2"/>
        <v>1075</v>
      </c>
    </row>
    <row r="47" spans="1:11">
      <c r="F47">
        <f>(F33-F32)/F32</f>
        <v>0.23948268173034043</v>
      </c>
      <c r="G47">
        <f t="shared" si="2"/>
        <v>151</v>
      </c>
      <c r="J47">
        <f>(F34-F35)/F34</f>
        <v>0.13877341459779063</v>
      </c>
    </row>
    <row r="48" spans="1:11">
      <c r="G48">
        <f t="shared" si="2"/>
        <v>1043</v>
      </c>
    </row>
  </sheetData>
  <autoFilter ref="A1:K48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61"/>
  <sheetViews>
    <sheetView topLeftCell="A1432" zoomScale="85" zoomScaleNormal="85" workbookViewId="0">
      <selection activeCell="D1461" sqref="D1461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38" t="s">
        <v>246</v>
      </c>
      <c r="B1" s="138"/>
      <c r="C1" s="138"/>
      <c r="D1" s="13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8" t="s">
        <v>256</v>
      </c>
      <c r="B11" s="138"/>
      <c r="C11" s="138"/>
      <c r="D11" s="13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8" t="s">
        <v>258</v>
      </c>
      <c r="B21" s="138"/>
      <c r="C21" s="138"/>
      <c r="D21" s="13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8" t="s">
        <v>259</v>
      </c>
      <c r="B31" s="138"/>
      <c r="C31" s="138"/>
      <c r="D31" s="13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8" t="s">
        <v>260</v>
      </c>
      <c r="B41" s="138"/>
      <c r="C41" s="138"/>
      <c r="D41" s="13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8" t="s">
        <v>262</v>
      </c>
      <c r="B51" s="138"/>
      <c r="C51" s="138"/>
      <c r="D51" s="13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8" t="s">
        <v>263</v>
      </c>
      <c r="B61" s="138"/>
      <c r="C61" s="138"/>
      <c r="D61" s="13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8" t="s">
        <v>264</v>
      </c>
      <c r="B71" s="138"/>
      <c r="C71" s="138"/>
      <c r="D71" s="13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8" t="s">
        <v>265</v>
      </c>
      <c r="B81" s="138"/>
      <c r="C81" s="138"/>
      <c r="D81" s="13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8" t="s">
        <v>269</v>
      </c>
      <c r="B93" s="138"/>
      <c r="C93" s="138"/>
      <c r="D93" s="13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8" t="s">
        <v>270</v>
      </c>
      <c r="B103" s="138"/>
      <c r="C103" s="138"/>
      <c r="D103" s="13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8" t="s">
        <v>272</v>
      </c>
      <c r="B113" s="138"/>
      <c r="C113" s="138"/>
      <c r="D113" s="13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8" t="s">
        <v>273</v>
      </c>
      <c r="B123" s="138"/>
      <c r="C123" s="138"/>
      <c r="D123" s="13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8" t="s">
        <v>274</v>
      </c>
      <c r="B133" s="138"/>
      <c r="C133" s="138"/>
      <c r="D133" s="13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8" t="s">
        <v>275</v>
      </c>
      <c r="B143" s="138"/>
      <c r="C143" s="138"/>
      <c r="D143" s="13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8" t="s">
        <v>277</v>
      </c>
      <c r="B153" s="138"/>
      <c r="C153" s="138"/>
      <c r="D153" s="13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8" t="s">
        <v>278</v>
      </c>
      <c r="B163" s="138"/>
      <c r="C163" s="138"/>
      <c r="D163" s="13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8" t="s">
        <v>279</v>
      </c>
      <c r="B173" s="138"/>
      <c r="C173" s="138"/>
      <c r="D173" s="13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8" t="s">
        <v>280</v>
      </c>
      <c r="B183" s="138"/>
      <c r="C183" s="138"/>
      <c r="D183" s="13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8" t="s">
        <v>281</v>
      </c>
      <c r="B193" s="138"/>
      <c r="C193" s="138"/>
      <c r="D193" s="13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8" t="s">
        <v>282</v>
      </c>
      <c r="B203" s="138"/>
      <c r="C203" s="138"/>
      <c r="D203" s="13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8" t="s">
        <v>283</v>
      </c>
      <c r="B213" s="138"/>
      <c r="C213" s="138"/>
      <c r="D213" s="13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8" t="s">
        <v>284</v>
      </c>
      <c r="B223" s="138"/>
      <c r="C223" s="138"/>
      <c r="D223" s="13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8" t="s">
        <v>285</v>
      </c>
      <c r="B233" s="138"/>
      <c r="C233" s="138"/>
      <c r="D233" s="13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8" t="s">
        <v>286</v>
      </c>
      <c r="B243" s="138"/>
      <c r="C243" s="138"/>
      <c r="D243" s="13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8" t="s">
        <v>287</v>
      </c>
      <c r="B253" s="138"/>
      <c r="C253" s="138"/>
      <c r="D253" s="13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8" t="s">
        <v>288</v>
      </c>
      <c r="B263" s="138"/>
      <c r="C263" s="138"/>
      <c r="D263" s="13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8" t="s">
        <v>289</v>
      </c>
      <c r="B273" s="138"/>
      <c r="C273" s="138"/>
      <c r="D273" s="13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8" t="s">
        <v>290</v>
      </c>
      <c r="B283" s="138"/>
      <c r="C283" s="138"/>
      <c r="D283" s="13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8" t="s">
        <v>291</v>
      </c>
      <c r="B293" s="138"/>
      <c r="C293" s="138"/>
      <c r="D293" s="13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8" t="s">
        <v>292</v>
      </c>
      <c r="B303" s="138"/>
      <c r="C303" s="138"/>
      <c r="D303" s="13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8" t="s">
        <v>296</v>
      </c>
      <c r="B313" s="138"/>
      <c r="C313" s="138"/>
      <c r="D313" s="13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8" t="s">
        <v>300</v>
      </c>
      <c r="B324" s="138"/>
      <c r="C324" s="138"/>
      <c r="D324" s="13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8" t="s">
        <v>303</v>
      </c>
      <c r="B335" s="138"/>
      <c r="C335" s="138"/>
      <c r="D335" s="13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8" t="s">
        <v>304</v>
      </c>
      <c r="B346" s="138"/>
      <c r="C346" s="138"/>
      <c r="D346" s="13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8" t="s">
        <v>305</v>
      </c>
      <c r="B357" s="138"/>
      <c r="C357" s="138"/>
      <c r="D357" s="13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8" t="s">
        <v>306</v>
      </c>
      <c r="B368" s="138"/>
      <c r="C368" s="138"/>
      <c r="D368" s="13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8" t="s">
        <v>307</v>
      </c>
      <c r="B379" s="138"/>
      <c r="C379" s="138"/>
      <c r="D379" s="13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8" t="s">
        <v>308</v>
      </c>
      <c r="B390" s="138"/>
      <c r="C390" s="138"/>
      <c r="D390" s="13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8" t="s">
        <v>309</v>
      </c>
      <c r="B401" s="138"/>
      <c r="C401" s="138"/>
      <c r="D401" s="13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8" t="s">
        <v>310</v>
      </c>
      <c r="B412" s="138"/>
      <c r="C412" s="138"/>
      <c r="D412" s="13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8" t="s">
        <v>311</v>
      </c>
      <c r="B423" s="138"/>
      <c r="C423" s="138"/>
      <c r="D423" s="13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8" t="s">
        <v>315</v>
      </c>
      <c r="B434" s="138"/>
      <c r="C434" s="138"/>
      <c r="D434" s="13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8" t="s">
        <v>316</v>
      </c>
      <c r="B445" s="138"/>
      <c r="C445" s="138"/>
      <c r="D445" s="13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8" t="s">
        <v>317</v>
      </c>
      <c r="B456" s="138"/>
      <c r="C456" s="138"/>
      <c r="D456" s="13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8" t="s">
        <v>318</v>
      </c>
      <c r="B467" s="138"/>
      <c r="C467" s="138"/>
      <c r="D467" s="13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8" t="s">
        <v>319</v>
      </c>
      <c r="B478" s="138"/>
      <c r="C478" s="138"/>
      <c r="D478" s="13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8" t="s">
        <v>320</v>
      </c>
      <c r="B489" s="138"/>
      <c r="C489" s="138"/>
      <c r="D489" s="13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8" t="s">
        <v>323</v>
      </c>
      <c r="B500" s="138"/>
      <c r="C500" s="138"/>
      <c r="D500" s="13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8" t="s">
        <v>324</v>
      </c>
      <c r="B511" s="138"/>
      <c r="C511" s="138"/>
      <c r="D511" s="13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8" t="s">
        <v>325</v>
      </c>
      <c r="B522" s="138"/>
      <c r="C522" s="138"/>
      <c r="D522" s="13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8" t="s">
        <v>326</v>
      </c>
      <c r="B533" s="138"/>
      <c r="C533" s="138"/>
      <c r="D533" s="13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8" t="s">
        <v>327</v>
      </c>
      <c r="B544" s="138"/>
      <c r="C544" s="138"/>
      <c r="D544" s="13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8" t="s">
        <v>328</v>
      </c>
      <c r="B555" s="138"/>
      <c r="C555" s="138"/>
      <c r="D555" s="13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8" t="s">
        <v>328</v>
      </c>
      <c r="B567" s="138"/>
      <c r="C567" s="138"/>
      <c r="D567" s="13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8" t="s">
        <v>333</v>
      </c>
      <c r="B579" s="138"/>
      <c r="C579" s="138"/>
      <c r="D579" s="13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8" t="s">
        <v>334</v>
      </c>
      <c r="B590" s="138"/>
      <c r="C590" s="138"/>
      <c r="D590" s="13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8" t="s">
        <v>335</v>
      </c>
      <c r="B601" s="138"/>
      <c r="C601" s="138"/>
      <c r="D601" s="13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8" t="s">
        <v>336</v>
      </c>
      <c r="B612" s="138"/>
      <c r="C612" s="138"/>
      <c r="D612" s="13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8" t="s">
        <v>337</v>
      </c>
      <c r="B623" s="138"/>
      <c r="C623" s="138"/>
      <c r="D623" s="13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8" t="s">
        <v>338</v>
      </c>
      <c r="B635" s="138"/>
      <c r="C635" s="138"/>
      <c r="D635" s="13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8" t="s">
        <v>340</v>
      </c>
      <c r="B647" s="138"/>
      <c r="C647" s="138"/>
      <c r="D647" s="13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8" t="s">
        <v>341</v>
      </c>
      <c r="B658" s="138"/>
      <c r="C658" s="138"/>
      <c r="D658" s="13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8" t="s">
        <v>342</v>
      </c>
      <c r="B670" s="138"/>
      <c r="C670" s="138"/>
      <c r="D670" s="13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8" t="s">
        <v>343</v>
      </c>
      <c r="B681" s="138"/>
      <c r="C681" s="138"/>
      <c r="D681" s="13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8" t="s">
        <v>344</v>
      </c>
      <c r="B692" s="138"/>
      <c r="C692" s="138"/>
      <c r="D692" s="13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8" t="s">
        <v>345</v>
      </c>
      <c r="B703" s="138"/>
      <c r="C703" s="138"/>
      <c r="D703" s="13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8" t="s">
        <v>348</v>
      </c>
      <c r="B715" s="138"/>
      <c r="C715" s="138"/>
      <c r="D715" s="13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8" t="s">
        <v>349</v>
      </c>
      <c r="B726" s="138"/>
      <c r="C726" s="138"/>
      <c r="D726" s="13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8" t="s">
        <v>350</v>
      </c>
      <c r="B738" s="138"/>
      <c r="C738" s="138"/>
      <c r="D738" s="13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8" t="s">
        <v>351</v>
      </c>
      <c r="B749" s="138"/>
      <c r="C749" s="138"/>
      <c r="D749" s="13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8" t="s">
        <v>352</v>
      </c>
      <c r="B760" s="138"/>
      <c r="C760" s="138"/>
      <c r="D760" s="13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8" t="s">
        <v>353</v>
      </c>
      <c r="B772" s="138"/>
      <c r="C772" s="138"/>
      <c r="D772" s="13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8" t="s">
        <v>355</v>
      </c>
      <c r="B784" s="138"/>
      <c r="C784" s="138"/>
      <c r="D784" s="13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8" t="s">
        <v>356</v>
      </c>
      <c r="B796" s="138"/>
      <c r="C796" s="138"/>
      <c r="D796" s="13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8" t="s">
        <v>357</v>
      </c>
      <c r="B809" s="138"/>
      <c r="C809" s="138"/>
      <c r="D809" s="13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8" t="s">
        <v>358</v>
      </c>
      <c r="B820" s="138"/>
      <c r="C820" s="138"/>
      <c r="D820" s="13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8" t="s">
        <v>359</v>
      </c>
      <c r="B831" s="138"/>
      <c r="C831" s="138"/>
      <c r="D831" s="13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8" t="s">
        <v>360</v>
      </c>
      <c r="B842" s="138"/>
      <c r="C842" s="138"/>
      <c r="D842" s="13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8" t="s">
        <v>361</v>
      </c>
      <c r="B854" s="138"/>
      <c r="C854" s="138"/>
      <c r="D854" s="13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8" t="s">
        <v>363</v>
      </c>
      <c r="B865" s="138"/>
      <c r="C865" s="138"/>
      <c r="D865" s="13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8" t="s">
        <v>364</v>
      </c>
      <c r="B876" s="138"/>
      <c r="C876" s="138"/>
      <c r="D876" s="13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8" t="s">
        <v>367</v>
      </c>
      <c r="B888" s="138"/>
      <c r="C888" s="138"/>
      <c r="D888" s="13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8" t="s">
        <v>368</v>
      </c>
      <c r="B901" s="138"/>
      <c r="C901" s="138"/>
      <c r="D901" s="13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8" t="s">
        <v>369</v>
      </c>
      <c r="B913" s="138"/>
      <c r="C913" s="138"/>
      <c r="D913" s="13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8" t="s">
        <v>370</v>
      </c>
      <c r="B925" s="138"/>
      <c r="C925" s="138"/>
      <c r="D925" s="13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8" t="s">
        <v>371</v>
      </c>
      <c r="B937" s="138"/>
      <c r="C937" s="138"/>
      <c r="D937" s="13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8" t="s">
        <v>372</v>
      </c>
      <c r="B949" s="138"/>
      <c r="C949" s="138"/>
      <c r="D949" s="13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8" t="s">
        <v>400</v>
      </c>
      <c r="B961" s="138"/>
      <c r="C961" s="138"/>
      <c r="D961" s="138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8" t="s">
        <v>402</v>
      </c>
      <c r="B974" s="138"/>
      <c r="C974" s="138"/>
      <c r="D974" s="138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8" t="s">
        <v>404</v>
      </c>
      <c r="B987" s="138"/>
      <c r="C987" s="138"/>
      <c r="D987" s="138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8" t="s">
        <v>405</v>
      </c>
      <c r="B1000" s="138"/>
      <c r="C1000" s="138"/>
      <c r="D1000" s="138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8" t="s">
        <v>408</v>
      </c>
      <c r="B1012" s="138"/>
      <c r="C1012" s="138"/>
      <c r="D1012" s="138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8" t="s">
        <v>410</v>
      </c>
      <c r="B1025" s="138"/>
      <c r="C1025" s="138"/>
      <c r="D1025" s="138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8" t="s">
        <v>413</v>
      </c>
      <c r="B1037" s="138"/>
      <c r="C1037" s="138"/>
      <c r="D1037" s="138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8" t="s">
        <v>415</v>
      </c>
      <c r="B1049" s="138"/>
      <c r="C1049" s="138"/>
      <c r="D1049" s="138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8" t="s">
        <v>417</v>
      </c>
      <c r="B1061" s="138"/>
      <c r="C1061" s="138"/>
      <c r="D1061" s="138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8" t="s">
        <v>419</v>
      </c>
      <c r="B1073" s="138"/>
      <c r="C1073" s="138"/>
      <c r="D1073" s="138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8" t="s">
        <v>421</v>
      </c>
      <c r="B1085" s="138"/>
      <c r="C1085" s="138"/>
      <c r="D1085" s="138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8" t="s">
        <v>423</v>
      </c>
      <c r="B1098" s="138"/>
      <c r="C1098" s="138"/>
      <c r="D1098" s="138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8" t="s">
        <v>426</v>
      </c>
      <c r="B1110" s="138"/>
      <c r="C1110" s="138"/>
      <c r="D1110" s="138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8" t="s">
        <v>428</v>
      </c>
      <c r="B1123" s="138"/>
      <c r="C1123" s="138"/>
      <c r="D1123" s="138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8" t="s">
        <v>430</v>
      </c>
      <c r="B1136" s="138"/>
      <c r="C1136" s="138"/>
      <c r="D1136" s="138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8" t="s">
        <v>432</v>
      </c>
      <c r="B1149" s="138"/>
      <c r="C1149" s="138"/>
      <c r="D1149" s="138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8" t="s">
        <v>434</v>
      </c>
      <c r="B1162" s="138"/>
      <c r="C1162" s="138"/>
      <c r="D1162" s="138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8" t="s">
        <v>437</v>
      </c>
      <c r="B1173" s="138"/>
      <c r="C1173" s="138"/>
      <c r="D1173" s="138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8" t="s">
        <v>439</v>
      </c>
      <c r="B1185" s="138"/>
      <c r="C1185" s="138"/>
      <c r="D1185" s="138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8" t="s">
        <v>441</v>
      </c>
      <c r="B1197" s="138"/>
      <c r="C1197" s="138"/>
      <c r="D1197" s="138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8" t="s">
        <v>443</v>
      </c>
      <c r="B1209" s="138"/>
      <c r="C1209" s="138"/>
      <c r="D1209" s="138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8" t="s">
        <v>445</v>
      </c>
      <c r="B1222" s="138"/>
      <c r="C1222" s="138"/>
      <c r="D1222" s="138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8" t="s">
        <v>447</v>
      </c>
      <c r="B1234" s="138"/>
      <c r="C1234" s="138"/>
      <c r="D1234" s="138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8" t="s">
        <v>449</v>
      </c>
      <c r="B1246" s="138"/>
      <c r="C1246" s="138"/>
      <c r="D1246" s="138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8" t="s">
        <v>452</v>
      </c>
      <c r="B1258" s="138"/>
      <c r="C1258" s="138"/>
      <c r="D1258" s="138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8" t="s">
        <v>454</v>
      </c>
      <c r="B1270" s="138"/>
      <c r="C1270" s="138"/>
      <c r="D1270" s="138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8" t="s">
        <v>456</v>
      </c>
      <c r="B1282" s="138"/>
      <c r="C1282" s="138"/>
      <c r="D1282" s="138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8" t="s">
        <v>458</v>
      </c>
      <c r="B1294" s="138"/>
      <c r="C1294" s="138"/>
      <c r="D1294" s="138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8" t="s">
        <v>460</v>
      </c>
      <c r="B1306" s="138"/>
      <c r="C1306" s="138"/>
      <c r="D1306" s="138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8" t="s">
        <v>462</v>
      </c>
      <c r="B1318" s="138"/>
      <c r="C1318" s="138"/>
      <c r="D1318" s="138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8" t="s">
        <v>464</v>
      </c>
      <c r="B1330" s="138"/>
      <c r="C1330" s="138"/>
      <c r="D1330" s="138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8" t="s">
        <v>467</v>
      </c>
      <c r="B1343" s="138"/>
      <c r="C1343" s="138"/>
      <c r="D1343" s="138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8" t="s">
        <v>469</v>
      </c>
      <c r="B1355" s="138"/>
      <c r="C1355" s="138"/>
      <c r="D1355" s="138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8" t="s">
        <v>471</v>
      </c>
      <c r="B1368" s="138"/>
      <c r="C1368" s="138"/>
      <c r="D1368" s="138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8" t="s">
        <v>473</v>
      </c>
      <c r="B1380" s="138"/>
      <c r="C1380" s="138"/>
      <c r="D1380" s="138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8" t="s">
        <v>476</v>
      </c>
      <c r="B1392" s="138"/>
      <c r="C1392" s="138"/>
      <c r="D1392" s="138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38" t="s">
        <v>478</v>
      </c>
      <c r="B1404" s="138"/>
      <c r="C1404" s="138"/>
      <c r="D1404" s="138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38" t="s">
        <v>479</v>
      </c>
      <c r="B1416" s="138"/>
      <c r="C1416" s="138"/>
      <c r="D1416" s="138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6">
        <v>12550000</v>
      </c>
    </row>
    <row r="1428" spans="1:4">
      <c r="A1428" s="138" t="s">
        <v>481</v>
      </c>
      <c r="B1428" s="138"/>
      <c r="C1428" s="138"/>
      <c r="D1428" s="138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6">
        <v>12485000</v>
      </c>
    </row>
    <row r="1441" spans="1:6">
      <c r="A1441" s="138" t="s">
        <v>482</v>
      </c>
      <c r="B1441" s="138"/>
      <c r="C1441" s="138"/>
      <c r="D1441" s="138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6">
        <v>12680000</v>
      </c>
    </row>
    <row r="1450" spans="1:6">
      <c r="F1450">
        <f>3.673*7920</f>
        <v>29090.16</v>
      </c>
    </row>
    <row r="1453" spans="1:6">
      <c r="A1453" s="138" t="s">
        <v>483</v>
      </c>
      <c r="B1453" s="138"/>
      <c r="C1453" s="138"/>
      <c r="D1453" s="138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6"/>
    </row>
  </sheetData>
  <mergeCells count="129">
    <mergeCell ref="A1453:D1453"/>
    <mergeCell ref="A1428:D1428"/>
    <mergeCell ref="A1392:D1392"/>
    <mergeCell ref="A1380:D1380"/>
    <mergeCell ref="A1355:D1355"/>
    <mergeCell ref="A1318:D1318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173:D1173"/>
    <mergeCell ref="A1049:D1049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303:D30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670:D670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738:D738"/>
    <mergeCell ref="A692:D692"/>
    <mergeCell ref="A703:D703"/>
    <mergeCell ref="A715:D715"/>
    <mergeCell ref="A726:D726"/>
    <mergeCell ref="A635:D635"/>
    <mergeCell ref="A647:D647"/>
    <mergeCell ref="A842:D842"/>
    <mergeCell ref="A681:D681"/>
    <mergeCell ref="A796:D796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1025:D1025"/>
    <mergeCell ref="A949:D949"/>
    <mergeCell ref="A974:D97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C21" sqref="C21"/>
    </sheetView>
  </sheetViews>
  <sheetFormatPr defaultColWidth="8.5546875" defaultRowHeight="14.4"/>
  <cols>
    <col min="1" max="1" width="23.6640625" style="88" customWidth="1"/>
    <col min="2" max="2" width="22.109375" style="88" customWidth="1"/>
    <col min="3" max="3" width="22.5546875" style="88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39" t="s">
        <v>373</v>
      </c>
      <c r="B1" s="139"/>
      <c r="C1" s="139"/>
    </row>
    <row r="2" spans="1:6" ht="24.9" customHeight="1">
      <c r="A2" s="89"/>
      <c r="B2" s="89" t="s">
        <v>374</v>
      </c>
      <c r="C2" s="89" t="s">
        <v>375</v>
      </c>
    </row>
    <row r="3" spans="1:6" ht="24.9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117"/>
  <sheetViews>
    <sheetView topLeftCell="A4" zoomScale="85" zoomScaleNormal="85" workbookViewId="0">
      <selection activeCell="L18" sqref="L18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1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1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17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13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13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13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13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13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  <c r="J117">
        <v>1.68</v>
      </c>
      <c r="K117">
        <v>1.56</v>
      </c>
      <c r="L117">
        <v>0.35</v>
      </c>
      <c r="M117">
        <v>-0.74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2021-11-25T15:15:16Z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