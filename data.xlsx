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-105" yWindow="-105" windowWidth="23250" windowHeight="12570" tabRatio="500" activeTab="4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set'!$A$1:$BL$166</definedName>
    <definedName name="_xlnm._FilterDatabase" localSheetId="1" hidden="1">weekly!$A$1:$K$43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1" i="1" l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G162" i="1"/>
  <c r="F166" i="1" s="1"/>
  <c r="M149" i="1" l="1"/>
  <c r="L149" i="1"/>
  <c r="G166" i="1" l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3" i="2"/>
  <c r="G42" i="2"/>
  <c r="G41" i="2"/>
  <c r="G40" i="2"/>
  <c r="G39" i="2"/>
  <c r="G38" i="2"/>
  <c r="G37" i="2"/>
  <c r="G36" i="2"/>
  <c r="G35" i="2"/>
  <c r="D31" i="2"/>
  <c r="C31" i="2"/>
  <c r="B31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5" i="2" s="1"/>
  <c r="G16" i="2"/>
  <c r="E16" i="2"/>
  <c r="C37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80" i="1"/>
  <c r="AW166" i="1"/>
  <c r="AW169" i="1" s="1"/>
  <c r="AU166" i="1"/>
  <c r="T166" i="1"/>
  <c r="BB165" i="1"/>
  <c r="AY164" i="1"/>
  <c r="BJ162" i="1"/>
  <c r="BI162" i="1"/>
  <c r="K162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62" i="1" l="1"/>
  <c r="U1" i="1" s="1"/>
  <c r="L162" i="1"/>
  <c r="S1" i="1" s="1"/>
</calcChain>
</file>

<file path=xl/sharedStrings.xml><?xml version="1.0" encoding="utf-8"?>
<sst xmlns="http://schemas.openxmlformats.org/spreadsheetml/2006/main" count="1373" uniqueCount="433">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</sst>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56048912"/>
        <c:axId val="1556051632"/>
      </c:lineChart>
      <c:catAx>
        <c:axId val="155604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56051632"/>
        <c:crosses val="autoZero"/>
        <c:auto val="1"/>
        <c:lblAlgn val="ctr"/>
        <c:lblOffset val="100"/>
        <c:noMultiLvlLbl val="0"/>
      </c:catAx>
      <c:valAx>
        <c:axId val="15560516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5604891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1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3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weekly!$B$27:$B$30</c:f>
              <c:numCache>
                <c:formatCode>General</c:formatCode>
                <c:ptCount val="4"/>
                <c:pt idx="0">
                  <c:v>27044</c:v>
                </c:pt>
                <c:pt idx="1">
                  <c:v>27336</c:v>
                </c:pt>
                <c:pt idx="2">
                  <c:v>26563</c:v>
                </c:pt>
                <c:pt idx="3">
                  <c:v>26392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weekly!$H$27:$H$30</c:f>
              <c:numCache>
                <c:formatCode>General</c:formatCode>
                <c:ptCount val="4"/>
                <c:pt idx="0">
                  <c:v>27477</c:v>
                </c:pt>
                <c:pt idx="1">
                  <c:v>27595</c:v>
                </c:pt>
                <c:pt idx="2">
                  <c:v>26765</c:v>
                </c:pt>
                <c:pt idx="3">
                  <c:v>26689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weekly!$J$27:$J$30</c:f>
              <c:numCache>
                <c:formatCode>General</c:formatCode>
                <c:ptCount val="4"/>
                <c:pt idx="0">
                  <c:v>27956</c:v>
                </c:pt>
                <c:pt idx="1">
                  <c:v>28052</c:v>
                </c:pt>
                <c:pt idx="2">
                  <c:v>27350</c:v>
                </c:pt>
                <c:pt idx="3">
                  <c:v>27260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56049456"/>
        <c:axId val="1556048368"/>
      </c:lineChart>
      <c:catAx>
        <c:axId val="155604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56048368"/>
        <c:crosses val="autoZero"/>
        <c:auto val="1"/>
        <c:lblAlgn val="ctr"/>
        <c:lblOffset val="100"/>
        <c:noMultiLvlLbl val="0"/>
      </c:catAx>
      <c:valAx>
        <c:axId val="1556048368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560494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سی‌ام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weekly!$A$2:$A$30</c:f>
              <c:strCache>
                <c:ptCount val="2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</c:strCache>
            </c:strRef>
          </c:cat>
          <c:val>
            <c:numRef>
              <c:f>weekly!$D$2:$D$30</c:f>
              <c:numCache>
                <c:formatCode>General</c:formatCode>
                <c:ptCount val="2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56050000"/>
        <c:axId val="1556050544"/>
      </c:lineChart>
      <c:catAx>
        <c:axId val="1556050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56050544"/>
        <c:crosses val="autoZero"/>
        <c:auto val="1"/>
        <c:lblAlgn val="ctr"/>
        <c:lblOffset val="100"/>
        <c:noMultiLvlLbl val="0"/>
      </c:catAx>
      <c:valAx>
        <c:axId val="15560505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560500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93895600"/>
        <c:axId val="1593895056"/>
      </c:lineChart>
      <c:catAx>
        <c:axId val="159389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5056"/>
        <c:crosses val="autoZero"/>
        <c:auto val="1"/>
        <c:lblAlgn val="ctr"/>
        <c:lblOffset val="100"/>
        <c:noMultiLvlLbl val="0"/>
      </c:catAx>
      <c:valAx>
        <c:axId val="15938950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560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سی‌ام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weekly!$A$2:$A$30</c:f>
              <c:strCache>
                <c:ptCount val="2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</c:strCache>
            </c:strRef>
          </c:cat>
          <c:val>
            <c:numRef>
              <c:f>weekly!$F$2:$F$30</c:f>
              <c:numCache>
                <c:formatCode>General</c:formatCode>
                <c:ptCount val="2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93899952"/>
        <c:axId val="1593896144"/>
      </c:lineChart>
      <c:catAx>
        <c:axId val="159389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6144"/>
        <c:crosses val="autoZero"/>
        <c:auto val="1"/>
        <c:lblAlgn val="ctr"/>
        <c:lblOffset val="100"/>
        <c:noMultiLvlLbl val="0"/>
      </c:catAx>
      <c:valAx>
        <c:axId val="15938961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99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0BBE-4E44-BDAC-CC9F5E8633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weekly!$C$27:$C$30</c:f>
              <c:numCache>
                <c:formatCode>General</c:formatCode>
                <c:ptCount val="4"/>
                <c:pt idx="0">
                  <c:v>31502</c:v>
                </c:pt>
                <c:pt idx="1">
                  <c:v>31709</c:v>
                </c:pt>
                <c:pt idx="2">
                  <c:v>30553</c:v>
                </c:pt>
                <c:pt idx="3">
                  <c:v>30372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0BBE-4E44-BDAC-CC9F5E8633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weekly!$K$27:$K$30</c:f>
              <c:numCache>
                <c:formatCode>General</c:formatCode>
                <c:ptCount val="4"/>
                <c:pt idx="0">
                  <c:v>32547</c:v>
                </c:pt>
                <c:pt idx="1">
                  <c:v>32567</c:v>
                </c:pt>
                <c:pt idx="2">
                  <c:v>31679</c:v>
                </c:pt>
                <c:pt idx="3">
                  <c:v>31685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0BBE-4E44-BDAC-CC9F5E863344}"/>
              </c:ext>
            </c:extLst>
          </c:dPt>
          <c:dLbls>
            <c:dLbl>
              <c:idx val="1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weekly!$I$27:$I$30</c:f>
              <c:numCache>
                <c:formatCode>General</c:formatCode>
                <c:ptCount val="4"/>
                <c:pt idx="0">
                  <c:v>32099</c:v>
                </c:pt>
                <c:pt idx="1">
                  <c:v>31880</c:v>
                </c:pt>
                <c:pt idx="2">
                  <c:v>30811</c:v>
                </c:pt>
                <c:pt idx="3">
                  <c:v>30754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93896688"/>
        <c:axId val="1593899408"/>
      </c:lineChart>
      <c:catAx>
        <c:axId val="159389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9408"/>
        <c:crosses val="autoZero"/>
        <c:auto val="1"/>
        <c:lblAlgn val="ctr"/>
        <c:lblOffset val="100"/>
        <c:noMultiLvlLbl val="0"/>
      </c:catAx>
      <c:valAx>
        <c:axId val="159389940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66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897776"/>
        <c:axId val="1593898320"/>
      </c:barChart>
      <c:catAx>
        <c:axId val="159389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8320"/>
        <c:crosses val="autoZero"/>
        <c:auto val="1"/>
        <c:lblAlgn val="ctr"/>
        <c:lblOffset val="100"/>
        <c:noMultiLvlLbl val="0"/>
      </c:catAx>
      <c:valAx>
        <c:axId val="15938983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777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(چهارشنبه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5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5"/>
          <c:order val="1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change'!$F$97:$I$97</c:f>
              <c:numCache>
                <c:formatCode>General</c:formatCode>
                <c:ptCount val="4"/>
                <c:pt idx="0">
                  <c:v>0.87463556851311952</c:v>
                </c:pt>
                <c:pt idx="1">
                  <c:v>0.54759898904802018</c:v>
                </c:pt>
                <c:pt idx="2">
                  <c:v>0</c:v>
                </c:pt>
                <c:pt idx="3">
                  <c:v>0.68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93897232"/>
        <c:axId val="159389886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59389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8864"/>
        <c:crosses val="autoZero"/>
        <c:auto val="1"/>
        <c:lblAlgn val="ctr"/>
        <c:lblOffset val="100"/>
        <c:noMultiLvlLbl val="0"/>
      </c:catAx>
      <c:valAx>
        <c:axId val="15938988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723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585</xdr:row>
      <xdr:rowOff>102960</xdr:rowOff>
    </xdr:from>
    <xdr:to>
      <xdr:col>11</xdr:col>
      <xdr:colOff>279360</xdr:colOff>
      <xdr:row>615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165</xdr:row>
      <xdr:rowOff>27711</xdr:rowOff>
    </xdr:from>
    <xdr:to>
      <xdr:col>41</xdr:col>
      <xdr:colOff>533400</xdr:colOff>
      <xdr:row>270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301</xdr:row>
      <xdr:rowOff>0</xdr:rowOff>
    </xdr:from>
    <xdr:to>
      <xdr:col>82</xdr:col>
      <xdr:colOff>0</xdr:colOff>
      <xdr:row>377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620</xdr:row>
      <xdr:rowOff>0</xdr:rowOff>
    </xdr:from>
    <xdr:to>
      <xdr:col>13</xdr:col>
      <xdr:colOff>354240</xdr:colOff>
      <xdr:row>650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400</xdr:row>
      <xdr:rowOff>0</xdr:rowOff>
    </xdr:from>
    <xdr:to>
      <xdr:col>83</xdr:col>
      <xdr:colOff>533400</xdr:colOff>
      <xdr:row>499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48</xdr:row>
      <xdr:rowOff>76321</xdr:rowOff>
    </xdr:from>
    <xdr:to>
      <xdr:col>44</xdr:col>
      <xdr:colOff>533400</xdr:colOff>
      <xdr:row>147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80"/>
  <sheetViews>
    <sheetView topLeftCell="E1" zoomScaleNormal="100" workbookViewId="0">
      <selection activeCell="I10" sqref="I10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L162/G162</f>
        <v>3581474.6721000345</v>
      </c>
      <c r="T1" s="3" t="s">
        <v>15</v>
      </c>
      <c r="U1" s="3">
        <f>M162/K162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K162/K62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61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6" customFormat="1" ht="2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0" s="102" customFormat="1" ht="2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0" s="102" customFormat="1" ht="2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0" s="102" customFormat="1" ht="2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0" s="102" customFormat="1" ht="2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0" s="102" customFormat="1" ht="2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0" s="102" customFormat="1" ht="2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0" s="96" customFormat="1" ht="2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0" s="96" customFormat="1" ht="21" customHeight="1">
      <c r="A153" s="92"/>
      <c r="B153" s="93" t="s">
        <v>414</v>
      </c>
      <c r="C153" s="94">
        <v>25</v>
      </c>
      <c r="D153" s="95">
        <v>26313</v>
      </c>
      <c r="E153" s="94">
        <v>26293</v>
      </c>
      <c r="F153" s="94">
        <v>26313</v>
      </c>
      <c r="G153" s="94">
        <v>8987200</v>
      </c>
      <c r="H153" s="94">
        <v>30146</v>
      </c>
      <c r="I153" s="94">
        <v>30146</v>
      </c>
      <c r="J153" s="94">
        <v>30137</v>
      </c>
      <c r="K153" s="94">
        <v>2310500</v>
      </c>
      <c r="L153" s="94">
        <f t="shared" si="21"/>
        <v>236480193600</v>
      </c>
      <c r="M153" s="94">
        <f t="shared" si="22"/>
        <v>69631538500</v>
      </c>
      <c r="N153" s="96">
        <v>26556</v>
      </c>
      <c r="O153" s="96">
        <v>30475</v>
      </c>
      <c r="P153" s="96">
        <v>26576</v>
      </c>
      <c r="Q153" s="96">
        <v>30448</v>
      </c>
      <c r="R153" s="94"/>
      <c r="S153" s="94"/>
      <c r="T153" s="94"/>
      <c r="U153" s="94"/>
      <c r="V153" s="96">
        <v>27240</v>
      </c>
      <c r="X153" s="96">
        <v>27150</v>
      </c>
      <c r="Y153" s="96">
        <v>31599</v>
      </c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5"/>
      <c r="AT153" s="95"/>
      <c r="AU153" s="95"/>
      <c r="AV153" s="95"/>
      <c r="AW153" s="95"/>
      <c r="AX153" s="95"/>
      <c r="AY153" s="94"/>
      <c r="AZ153" s="94"/>
      <c r="BA153" s="94"/>
      <c r="BB153" s="94"/>
      <c r="BC153" s="94"/>
      <c r="BE153" s="97"/>
      <c r="BF153" s="97"/>
      <c r="BG153" s="97"/>
      <c r="BH153" s="97"/>
    </row>
    <row r="154" spans="1:60" s="96" customFormat="1" ht="21" customHeight="1">
      <c r="A154" s="92"/>
      <c r="B154" s="93" t="s">
        <v>416</v>
      </c>
      <c r="C154" s="94">
        <v>26</v>
      </c>
      <c r="D154" s="95">
        <v>26260</v>
      </c>
      <c r="E154" s="94">
        <v>26389</v>
      </c>
      <c r="F154" s="94">
        <v>26265</v>
      </c>
      <c r="G154" s="94">
        <v>8590100</v>
      </c>
      <c r="H154" s="94">
        <v>30146</v>
      </c>
      <c r="I154" s="94">
        <v>30345</v>
      </c>
      <c r="J154" s="94">
        <v>30252</v>
      </c>
      <c r="K154" s="94">
        <v>2397900</v>
      </c>
      <c r="L154" s="94">
        <f t="shared" si="21"/>
        <v>225618976500</v>
      </c>
      <c r="M154" s="94">
        <f t="shared" si="22"/>
        <v>72541270800</v>
      </c>
      <c r="N154" s="96">
        <v>26653</v>
      </c>
      <c r="O154" s="96">
        <v>30649</v>
      </c>
      <c r="P154" s="96">
        <v>26522</v>
      </c>
      <c r="Q154" s="96">
        <v>30447</v>
      </c>
      <c r="R154" s="94"/>
      <c r="S154" s="94"/>
      <c r="T154" s="94"/>
      <c r="U154" s="94"/>
      <c r="V154" s="96">
        <v>27080</v>
      </c>
      <c r="X154" s="96">
        <v>27080</v>
      </c>
      <c r="Y154" s="96">
        <v>31395</v>
      </c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  <c r="AK154" s="94"/>
      <c r="AL154" s="94"/>
      <c r="AM154" s="94"/>
      <c r="AN154" s="94"/>
      <c r="AO154" s="94"/>
      <c r="AP154" s="94"/>
      <c r="AQ154" s="94"/>
      <c r="AR154" s="94"/>
      <c r="AS154" s="95"/>
      <c r="AT154" s="95"/>
      <c r="AU154" s="95"/>
      <c r="AV154" s="95"/>
      <c r="AW154" s="95"/>
      <c r="AX154" s="95"/>
      <c r="AY154" s="94"/>
      <c r="AZ154" s="94"/>
      <c r="BA154" s="94"/>
      <c r="BB154" s="94"/>
      <c r="BC154" s="94"/>
      <c r="BE154" s="97"/>
      <c r="BF154" s="97"/>
      <c r="BG154" s="97"/>
      <c r="BH154" s="97"/>
    </row>
    <row r="155" spans="1:60" s="96" customFormat="1" ht="21" customHeight="1">
      <c r="A155" s="92"/>
      <c r="B155" s="93" t="s">
        <v>418</v>
      </c>
      <c r="C155" s="94">
        <v>27</v>
      </c>
      <c r="D155" s="95">
        <v>26520</v>
      </c>
      <c r="E155" s="94">
        <v>26519</v>
      </c>
      <c r="F155" s="94">
        <v>26481</v>
      </c>
      <c r="G155" s="94">
        <v>9341400</v>
      </c>
      <c r="H155" s="94">
        <v>30450</v>
      </c>
      <c r="I155" s="94">
        <v>30755</v>
      </c>
      <c r="J155" s="94">
        <v>30553</v>
      </c>
      <c r="K155" s="94">
        <v>1963000</v>
      </c>
      <c r="L155" s="94">
        <f t="shared" si="21"/>
        <v>247369613400</v>
      </c>
      <c r="M155" s="94">
        <f t="shared" si="22"/>
        <v>59975539000</v>
      </c>
      <c r="N155" s="96">
        <v>26784</v>
      </c>
      <c r="O155" s="96">
        <v>31062</v>
      </c>
      <c r="P155" s="96">
        <v>26786</v>
      </c>
      <c r="Q155" s="96">
        <v>30754</v>
      </c>
      <c r="R155" s="94"/>
      <c r="S155" s="94"/>
      <c r="T155" s="94"/>
      <c r="U155" s="94"/>
      <c r="V155" s="96">
        <v>27380</v>
      </c>
      <c r="X155" s="96">
        <v>27380</v>
      </c>
      <c r="Y155" s="96">
        <v>31899</v>
      </c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  <c r="AK155" s="94"/>
      <c r="AL155" s="94"/>
      <c r="AM155" s="94"/>
      <c r="AN155" s="94"/>
      <c r="AO155" s="94"/>
      <c r="AP155" s="94"/>
      <c r="AQ155" s="94"/>
      <c r="AR155" s="94"/>
      <c r="AS155" s="95"/>
      <c r="AT155" s="95"/>
      <c r="AU155" s="95"/>
      <c r="AV155" s="95"/>
      <c r="AW155" s="95"/>
      <c r="AX155" s="95"/>
      <c r="AY155" s="94"/>
      <c r="AZ155" s="94"/>
      <c r="BA155" s="94"/>
      <c r="BB155" s="94"/>
      <c r="BC155" s="94"/>
      <c r="BE155" s="97"/>
      <c r="BF155" s="97"/>
      <c r="BG155" s="97"/>
      <c r="BH155" s="97"/>
    </row>
    <row r="156" spans="1:60" s="96" customFormat="1" ht="21" customHeight="1">
      <c r="A156" s="92"/>
      <c r="B156" s="93" t="s">
        <v>420</v>
      </c>
      <c r="C156" s="94">
        <v>28</v>
      </c>
      <c r="D156" s="95">
        <v>26574</v>
      </c>
      <c r="E156" s="94">
        <v>26569</v>
      </c>
      <c r="F156" s="94">
        <v>26483</v>
      </c>
      <c r="G156" s="94">
        <v>9658300</v>
      </c>
      <c r="H156" s="94">
        <v>30750</v>
      </c>
      <c r="I156" s="94">
        <v>30650</v>
      </c>
      <c r="J156" s="94">
        <v>30661</v>
      </c>
      <c r="K156" s="94">
        <v>1623100</v>
      </c>
      <c r="L156" s="94">
        <f t="shared" si="21"/>
        <v>255780758900</v>
      </c>
      <c r="M156" s="94">
        <f t="shared" si="22"/>
        <v>49765869100</v>
      </c>
      <c r="N156" s="96">
        <v>26834</v>
      </c>
      <c r="O156" s="96">
        <v>30956</v>
      </c>
      <c r="P156" s="96">
        <v>26840</v>
      </c>
      <c r="Q156" s="96">
        <v>31057</v>
      </c>
      <c r="R156" s="94"/>
      <c r="S156" s="94"/>
      <c r="T156" s="94"/>
      <c r="U156" s="94"/>
      <c r="V156" s="96">
        <v>27420</v>
      </c>
      <c r="X156" s="96">
        <v>27320</v>
      </c>
      <c r="Y156" s="96">
        <v>31773</v>
      </c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  <c r="AK156" s="94"/>
      <c r="AL156" s="94"/>
      <c r="AM156" s="94"/>
      <c r="AN156" s="94"/>
      <c r="AO156" s="94"/>
      <c r="AP156" s="94"/>
      <c r="AQ156" s="94"/>
      <c r="AR156" s="94"/>
      <c r="AS156" s="95"/>
      <c r="AT156" s="95"/>
      <c r="AU156" s="95"/>
      <c r="AV156" s="95"/>
      <c r="AW156" s="95"/>
      <c r="AX156" s="95"/>
      <c r="AY156" s="94"/>
      <c r="AZ156" s="94"/>
      <c r="BA156" s="94"/>
      <c r="BB156" s="94"/>
      <c r="BC156" s="94"/>
      <c r="BE156" s="97"/>
      <c r="BF156" s="97"/>
      <c r="BG156" s="97"/>
      <c r="BH156" s="97"/>
    </row>
    <row r="157" spans="1:60" s="96" customFormat="1" ht="21" customHeight="1">
      <c r="A157" s="92"/>
      <c r="B157" s="93" t="s">
        <v>422</v>
      </c>
      <c r="C157" s="94">
        <v>29</v>
      </c>
      <c r="D157" s="95">
        <v>26385</v>
      </c>
      <c r="E157" s="94">
        <v>26482</v>
      </c>
      <c r="F157" s="94">
        <v>26479</v>
      </c>
      <c r="G157" s="94">
        <v>6968200</v>
      </c>
      <c r="H157" s="94">
        <v>30650</v>
      </c>
      <c r="I157" s="94">
        <v>30690</v>
      </c>
      <c r="J157" s="96">
        <v>30661</v>
      </c>
      <c r="K157" s="94">
        <v>858000</v>
      </c>
      <c r="L157" s="94">
        <f t="shared" si="21"/>
        <v>184510967800</v>
      </c>
      <c r="M157" s="94">
        <f t="shared" si="22"/>
        <v>26307138000</v>
      </c>
      <c r="N157" s="96">
        <v>26747</v>
      </c>
      <c r="O157" s="96">
        <v>30967</v>
      </c>
      <c r="P157" s="96">
        <v>26649</v>
      </c>
      <c r="Q157" s="96">
        <v>30956</v>
      </c>
      <c r="R157" s="94"/>
      <c r="S157" s="94"/>
      <c r="T157" s="94"/>
      <c r="U157" s="94"/>
      <c r="V157" s="96">
        <v>27320</v>
      </c>
      <c r="X157" s="96">
        <v>27380</v>
      </c>
      <c r="Y157" s="96">
        <v>31883</v>
      </c>
      <c r="Z157" s="94"/>
      <c r="AA157" s="94"/>
      <c r="AB157" s="94"/>
      <c r="AC157" s="94"/>
      <c r="AD157" s="94"/>
      <c r="AE157" s="94"/>
      <c r="AF157" s="94"/>
      <c r="AG157" s="94"/>
      <c r="AH157" s="94"/>
      <c r="AI157" s="94"/>
      <c r="AJ157" s="94"/>
      <c r="AK157" s="94"/>
      <c r="AL157" s="94"/>
      <c r="AM157" s="94"/>
      <c r="AN157" s="94"/>
      <c r="AO157" s="94"/>
      <c r="AP157" s="94"/>
      <c r="AQ157" s="94"/>
      <c r="AR157" s="94"/>
      <c r="AS157" s="95"/>
      <c r="AT157" s="95"/>
      <c r="AU157" s="95"/>
      <c r="AV157" s="95"/>
      <c r="AW157" s="95"/>
      <c r="AX157" s="95"/>
      <c r="AY157" s="94"/>
      <c r="AZ157" s="94"/>
      <c r="BA157" s="94"/>
      <c r="BB157" s="94"/>
      <c r="BC157" s="94"/>
      <c r="BE157" s="97"/>
      <c r="BF157" s="97"/>
      <c r="BG157" s="97"/>
      <c r="BH157" s="97"/>
    </row>
    <row r="158" spans="1:60" s="102" customFormat="1" ht="21" customHeight="1">
      <c r="A158" s="98"/>
      <c r="B158" s="99" t="s">
        <v>425</v>
      </c>
      <c r="C158" s="100">
        <v>1</v>
      </c>
      <c r="D158" s="101">
        <v>26511</v>
      </c>
      <c r="E158" s="100">
        <v>26780</v>
      </c>
      <c r="F158" s="100">
        <v>26576</v>
      </c>
      <c r="G158" s="100">
        <v>9387100</v>
      </c>
      <c r="H158" s="100">
        <v>31186</v>
      </c>
      <c r="I158" s="100">
        <v>30665</v>
      </c>
      <c r="J158" s="102">
        <v>30786</v>
      </c>
      <c r="K158" s="100">
        <v>934300</v>
      </c>
      <c r="L158" s="100">
        <f t="shared" si="21"/>
        <v>249471569600</v>
      </c>
      <c r="M158" s="100">
        <f t="shared" si="22"/>
        <v>28763359800</v>
      </c>
      <c r="N158" s="102">
        <v>27047</v>
      </c>
      <c r="O158" s="102">
        <v>30972</v>
      </c>
      <c r="P158" s="102">
        <v>26776</v>
      </c>
      <c r="Q158" s="102">
        <v>31498</v>
      </c>
      <c r="R158" s="100"/>
      <c r="S158" s="100"/>
      <c r="T158" s="100"/>
      <c r="U158" s="100"/>
      <c r="V158" s="102">
        <v>27470</v>
      </c>
      <c r="X158" s="102">
        <v>27580</v>
      </c>
      <c r="Y158" s="102">
        <v>31990</v>
      </c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  <c r="AN158" s="100"/>
      <c r="AO158" s="100"/>
      <c r="AP158" s="100"/>
      <c r="AQ158" s="100"/>
      <c r="AR158" s="100"/>
      <c r="AS158" s="101"/>
      <c r="AT158" s="101"/>
      <c r="AU158" s="101"/>
      <c r="AV158" s="101"/>
      <c r="AW158" s="101"/>
      <c r="AX158" s="101"/>
      <c r="AY158" s="100"/>
      <c r="AZ158" s="100"/>
      <c r="BA158" s="100"/>
      <c r="BB158" s="100"/>
      <c r="BC158" s="100"/>
      <c r="BE158" s="103"/>
      <c r="BF158" s="103"/>
      <c r="BG158" s="103"/>
      <c r="BH158" s="103"/>
    </row>
    <row r="159" spans="1:60" s="102" customFormat="1" ht="21" customHeight="1">
      <c r="A159" s="98"/>
      <c r="B159" s="99" t="s">
        <v>427</v>
      </c>
      <c r="C159" s="100">
        <v>3</v>
      </c>
      <c r="D159" s="101">
        <v>26803</v>
      </c>
      <c r="E159" s="100">
        <v>27009</v>
      </c>
      <c r="F159" s="100">
        <v>26923</v>
      </c>
      <c r="G159" s="100">
        <v>7622400</v>
      </c>
      <c r="H159" s="100">
        <v>30665</v>
      </c>
      <c r="I159" s="100">
        <v>31011</v>
      </c>
      <c r="J159" s="102">
        <v>31026</v>
      </c>
      <c r="K159" s="100">
        <v>1492500</v>
      </c>
      <c r="L159" s="100">
        <f t="shared" si="21"/>
        <v>205217875200</v>
      </c>
      <c r="M159" s="100">
        <f t="shared" si="22"/>
        <v>46306305000</v>
      </c>
      <c r="N159" s="102">
        <v>27279</v>
      </c>
      <c r="O159" s="102">
        <v>31321</v>
      </c>
      <c r="P159" s="102">
        <v>27071</v>
      </c>
      <c r="Q159" s="102">
        <v>30972</v>
      </c>
      <c r="R159" s="100"/>
      <c r="S159" s="100"/>
      <c r="T159" s="100"/>
      <c r="U159" s="100"/>
      <c r="V159" s="102">
        <v>27670</v>
      </c>
      <c r="X159" s="102">
        <v>27620</v>
      </c>
      <c r="Y159" s="102">
        <v>32250</v>
      </c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  <c r="AN159" s="100"/>
      <c r="AO159" s="100"/>
      <c r="AP159" s="100"/>
      <c r="AQ159" s="100"/>
      <c r="AR159" s="100"/>
      <c r="AS159" s="101"/>
      <c r="AT159" s="101"/>
      <c r="AU159" s="101"/>
      <c r="AV159" s="101"/>
      <c r="AW159" s="101"/>
      <c r="AX159" s="101"/>
      <c r="AY159" s="100"/>
      <c r="AZ159" s="100"/>
      <c r="BA159" s="100"/>
      <c r="BB159" s="100"/>
      <c r="BC159" s="100"/>
      <c r="BE159" s="103"/>
      <c r="BF159" s="103"/>
      <c r="BG159" s="103"/>
      <c r="BH159" s="103"/>
    </row>
    <row r="160" spans="1:60" s="102" customFormat="1" ht="21" customHeight="1">
      <c r="A160" s="98"/>
      <c r="B160" s="99" t="s">
        <v>429</v>
      </c>
      <c r="C160" s="100">
        <v>4</v>
      </c>
      <c r="D160" s="101">
        <v>26809</v>
      </c>
      <c r="E160" s="100">
        <v>26690</v>
      </c>
      <c r="F160" s="100">
        <v>26679</v>
      </c>
      <c r="G160" s="100">
        <v>9805000</v>
      </c>
      <c r="H160" s="100">
        <v>31150</v>
      </c>
      <c r="I160" s="100">
        <v>31298</v>
      </c>
      <c r="J160" s="102">
        <v>31231</v>
      </c>
      <c r="K160" s="100">
        <v>752700</v>
      </c>
      <c r="L160" s="100">
        <f t="shared" si="21"/>
        <v>261587595000</v>
      </c>
      <c r="M160" s="100">
        <f t="shared" si="22"/>
        <v>23507573700</v>
      </c>
      <c r="N160" s="102">
        <v>26957</v>
      </c>
      <c r="O160" s="102">
        <v>31611</v>
      </c>
      <c r="P160" s="102">
        <v>27077</v>
      </c>
      <c r="Q160" s="102">
        <v>31462</v>
      </c>
      <c r="R160" s="100"/>
      <c r="S160" s="100"/>
      <c r="T160" s="100"/>
      <c r="U160" s="100"/>
      <c r="V160" s="102">
        <v>27540</v>
      </c>
      <c r="X160" s="102">
        <v>27440</v>
      </c>
      <c r="Y160" s="102">
        <v>31902</v>
      </c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  <c r="AN160" s="100"/>
      <c r="AO160" s="100"/>
      <c r="AP160" s="100"/>
      <c r="AQ160" s="100"/>
      <c r="AR160" s="100"/>
      <c r="AS160" s="101"/>
      <c r="AT160" s="101"/>
      <c r="AU160" s="101"/>
      <c r="AV160" s="101"/>
      <c r="AW160" s="101"/>
      <c r="AX160" s="101"/>
      <c r="AY160" s="100"/>
      <c r="AZ160" s="100"/>
      <c r="BA160" s="100"/>
      <c r="BB160" s="100"/>
      <c r="BC160" s="100"/>
      <c r="BE160" s="103"/>
      <c r="BF160" s="103"/>
      <c r="BG160" s="103"/>
      <c r="BH160" s="103"/>
    </row>
    <row r="161" spans="1:62" s="73" customFormat="1" ht="21" customHeight="1">
      <c r="A161" s="104"/>
      <c r="B161" s="105" t="s">
        <v>431</v>
      </c>
      <c r="C161" s="106">
        <v>5</v>
      </c>
      <c r="D161" s="107">
        <v>26714</v>
      </c>
      <c r="E161" s="106">
        <v>26659</v>
      </c>
      <c r="F161" s="106">
        <v>26626</v>
      </c>
      <c r="G161" s="106">
        <v>12098700</v>
      </c>
      <c r="H161" s="106">
        <v>31300</v>
      </c>
      <c r="I161" s="106">
        <v>31150</v>
      </c>
      <c r="J161" s="73">
        <v>31224</v>
      </c>
      <c r="K161" s="106">
        <v>754800</v>
      </c>
      <c r="L161" s="106">
        <f t="shared" si="21"/>
        <v>322139986200</v>
      </c>
      <c r="M161" s="106">
        <f t="shared" si="22"/>
        <v>23567875200</v>
      </c>
      <c r="N161" s="73">
        <v>26925</v>
      </c>
      <c r="O161" s="73">
        <v>31461</v>
      </c>
      <c r="P161" s="73">
        <v>26981</v>
      </c>
      <c r="Q161" s="73">
        <v>31613</v>
      </c>
      <c r="R161" s="106"/>
      <c r="S161" s="106"/>
      <c r="T161" s="106"/>
      <c r="U161" s="106"/>
      <c r="V161" s="73">
        <v>27560</v>
      </c>
      <c r="X161" s="73">
        <v>27680</v>
      </c>
      <c r="Y161" s="73">
        <v>31958</v>
      </c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  <c r="AN161" s="106"/>
      <c r="AO161" s="106"/>
      <c r="AP161" s="106"/>
      <c r="AQ161" s="106"/>
      <c r="AR161" s="106"/>
      <c r="AS161" s="107"/>
      <c r="AT161" s="107"/>
      <c r="AU161" s="107"/>
      <c r="AV161" s="107"/>
      <c r="AW161" s="107"/>
      <c r="AX161" s="107"/>
      <c r="AY161" s="106"/>
      <c r="AZ161" s="106"/>
      <c r="BA161" s="106"/>
      <c r="BB161" s="106"/>
      <c r="BC161" s="106"/>
      <c r="BE161" s="108"/>
      <c r="BF161" s="108"/>
      <c r="BG161" s="108"/>
      <c r="BH161" s="108"/>
    </row>
    <row r="162" spans="1:62" ht="18">
      <c r="A162" s="7"/>
      <c r="B162" s="8"/>
      <c r="C162" s="8"/>
      <c r="D162" s="26"/>
      <c r="E162" s="8"/>
      <c r="F162" s="8"/>
      <c r="G162" s="8">
        <f>SUM(G2:G149)/148</f>
        <v>6179374.9932432435</v>
      </c>
      <c r="H162" s="8"/>
      <c r="I162" s="8"/>
      <c r="J162" s="8"/>
      <c r="K162" s="8">
        <f>SUM(K2:K126)</f>
        <v>125564600</v>
      </c>
      <c r="L162" s="8">
        <f>SUM(L2:L147)</f>
        <v>22131275027709</v>
      </c>
      <c r="M162" s="9">
        <f>SUM(M2:M147)</f>
        <v>4038177022200</v>
      </c>
      <c r="N162" s="9"/>
      <c r="O162" s="9"/>
      <c r="P162" s="9"/>
      <c r="Q162" s="9"/>
      <c r="R162" s="9"/>
      <c r="S162" s="9"/>
      <c r="T162" s="9"/>
      <c r="U162" s="9"/>
      <c r="V162" s="59">
        <v>27550</v>
      </c>
      <c r="W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Y162" s="9"/>
      <c r="AZ162" s="9"/>
      <c r="BA162" s="9"/>
      <c r="BB162" s="9"/>
      <c r="BC162" s="9"/>
      <c r="BD162" s="9"/>
      <c r="BE162" s="10"/>
      <c r="BF162" s="10"/>
      <c r="BG162" s="10"/>
      <c r="BH162" s="10"/>
      <c r="BI162" t="e">
        <f>#REF!-N162</f>
        <v>#REF!</v>
      </c>
      <c r="BJ162" t="e">
        <f>(Y162-O162)/O162</f>
        <v>#DIV/0!</v>
      </c>
    </row>
    <row r="163" spans="1:62" ht="18">
      <c r="D163" s="26"/>
      <c r="V163" s="74"/>
      <c r="Z163" s="25"/>
      <c r="AB163" s="25"/>
      <c r="AS163" s="25"/>
      <c r="AW163" s="30"/>
    </row>
    <row r="164" spans="1:62" ht="18">
      <c r="D164" s="26"/>
      <c r="Z164" s="25"/>
      <c r="AS164" s="26"/>
      <c r="AW164" s="30"/>
      <c r="AY164">
        <f>AY51-AY50</f>
        <v>35000</v>
      </c>
    </row>
    <row r="165" spans="1:62" ht="18">
      <c r="Z165" s="25"/>
      <c r="AS165" s="26">
        <v>10290000</v>
      </c>
      <c r="AW165" s="30"/>
      <c r="BB165">
        <f>AY60-AY59</f>
        <v>70000</v>
      </c>
    </row>
    <row r="166" spans="1:62" ht="18">
      <c r="F166">
        <f>(G162-G149)/G162</f>
        <v>4.0113279015155934E-2</v>
      </c>
      <c r="G166">
        <f>(G148-G162)/G162</f>
        <v>0.34049155603234549</v>
      </c>
      <c r="T166">
        <f>V137-X140</f>
        <v>-620</v>
      </c>
      <c r="V166" s="25"/>
      <c r="Z166" s="25"/>
      <c r="AS166" s="26"/>
      <c r="AU166">
        <f>AS165-AS49</f>
        <v>195000</v>
      </c>
      <c r="AW166" s="30">
        <f>AC52-AY51</f>
        <v>305000</v>
      </c>
    </row>
    <row r="167" spans="1:62" ht="18">
      <c r="V167" s="25"/>
      <c r="Z167" s="25"/>
      <c r="AW167" s="30"/>
    </row>
    <row r="168" spans="1:62" ht="17.25" customHeight="1">
      <c r="V168" s="25"/>
      <c r="Z168" s="25"/>
    </row>
    <row r="169" spans="1:62" ht="18">
      <c r="V169" s="25"/>
      <c r="Z169" s="25"/>
      <c r="AW169">
        <f>AW166/AY51</f>
        <v>2.9539951573849879E-2</v>
      </c>
    </row>
    <row r="170" spans="1:62" ht="18">
      <c r="V170" s="25"/>
    </row>
    <row r="171" spans="1:62" ht="18">
      <c r="V171" s="25"/>
    </row>
    <row r="175" spans="1:62" ht="18">
      <c r="G175" s="9">
        <v>8861800</v>
      </c>
    </row>
    <row r="176" spans="1:62" ht="18">
      <c r="G176" s="9">
        <v>8230700</v>
      </c>
    </row>
    <row r="177" spans="7:7" ht="18">
      <c r="G177" s="9">
        <v>8995300</v>
      </c>
    </row>
    <row r="178" spans="7:7" ht="18">
      <c r="G178" s="9">
        <v>10062100</v>
      </c>
    </row>
    <row r="179" spans="7:7" ht="18">
      <c r="G179" s="9">
        <v>8462400</v>
      </c>
    </row>
    <row r="180" spans="7:7">
      <c r="G180">
        <f>SUM(G175:G179)</f>
        <v>44612300</v>
      </c>
    </row>
  </sheetData>
  <autoFilter ref="A1:BL166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opLeftCell="C1" zoomScale="70" zoomScaleNormal="70" workbookViewId="0">
      <selection activeCell="E30" sqref="E3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>
      <c r="B31">
        <f>(B2-B8)/B2</f>
        <v>0.15346494762288476</v>
      </c>
      <c r="C31">
        <f>(C2-C8)/C2</f>
        <v>0.1154959674639829</v>
      </c>
      <c r="D31">
        <f>SUM(D2:D16)/15</f>
        <v>29639479.933333334</v>
      </c>
    </row>
    <row r="35" spans="3:7">
      <c r="D35">
        <v>5375132</v>
      </c>
      <c r="E35">
        <f>(E17-D35)/D35</f>
        <v>4.5958809321644006E-2</v>
      </c>
      <c r="G35">
        <f t="shared" ref="G35:G43" si="0">B3-B2</f>
        <v>-554</v>
      </c>
    </row>
    <row r="36" spans="3:7">
      <c r="G36">
        <f t="shared" si="0"/>
        <v>-302</v>
      </c>
    </row>
    <row r="37" spans="3:7">
      <c r="C37">
        <f>(D35-E16)/E16</f>
        <v>0.17110375179746395</v>
      </c>
      <c r="G37">
        <f t="shared" si="0"/>
        <v>-511</v>
      </c>
    </row>
    <row r="38" spans="3:7">
      <c r="G38">
        <f t="shared" si="0"/>
        <v>-362</v>
      </c>
    </row>
    <row r="39" spans="3:7">
      <c r="G39">
        <f t="shared" si="0"/>
        <v>-1699</v>
      </c>
    </row>
    <row r="40" spans="3:7">
      <c r="G40">
        <f t="shared" si="0"/>
        <v>-381</v>
      </c>
    </row>
    <row r="41" spans="3:7">
      <c r="G41">
        <f t="shared" si="0"/>
        <v>1075</v>
      </c>
    </row>
    <row r="42" spans="3:7">
      <c r="G42">
        <f t="shared" si="0"/>
        <v>151</v>
      </c>
    </row>
    <row r="43" spans="3:7">
      <c r="G43">
        <f t="shared" si="0"/>
        <v>1043</v>
      </c>
    </row>
  </sheetData>
  <autoFilter ref="A1:K43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57"/>
  <sheetViews>
    <sheetView topLeftCell="A1144" zoomScale="85" zoomScaleNormal="85" workbookViewId="0">
      <selection activeCell="D1148" sqref="D1148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9" t="s">
        <v>246</v>
      </c>
      <c r="B1" s="109"/>
      <c r="C1" s="109"/>
      <c r="D1" s="1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09" t="s">
        <v>256</v>
      </c>
      <c r="B11" s="109"/>
      <c r="C11" s="109"/>
      <c r="D11" s="1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09" t="s">
        <v>258</v>
      </c>
      <c r="B21" s="109"/>
      <c r="C21" s="109"/>
      <c r="D21" s="1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09" t="s">
        <v>259</v>
      </c>
      <c r="B31" s="109"/>
      <c r="C31" s="109"/>
      <c r="D31" s="1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09" t="s">
        <v>260</v>
      </c>
      <c r="B41" s="109"/>
      <c r="C41" s="109"/>
      <c r="D41" s="1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09" t="s">
        <v>262</v>
      </c>
      <c r="B51" s="109"/>
      <c r="C51" s="109"/>
      <c r="D51" s="1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09" t="s">
        <v>263</v>
      </c>
      <c r="B61" s="109"/>
      <c r="C61" s="109"/>
      <c r="D61" s="1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09" t="s">
        <v>264</v>
      </c>
      <c r="B71" s="109"/>
      <c r="C71" s="109"/>
      <c r="D71" s="1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09" t="s">
        <v>265</v>
      </c>
      <c r="B81" s="109"/>
      <c r="C81" s="109"/>
      <c r="D81" s="1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09" t="s">
        <v>269</v>
      </c>
      <c r="B93" s="109"/>
      <c r="C93" s="109"/>
      <c r="D93" s="1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09" t="s">
        <v>270</v>
      </c>
      <c r="B103" s="109"/>
      <c r="C103" s="109"/>
      <c r="D103" s="1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09" t="s">
        <v>272</v>
      </c>
      <c r="B113" s="109"/>
      <c r="C113" s="109"/>
      <c r="D113" s="1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09" t="s">
        <v>273</v>
      </c>
      <c r="B123" s="109"/>
      <c r="C123" s="109"/>
      <c r="D123" s="1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09" t="s">
        <v>274</v>
      </c>
      <c r="B133" s="109"/>
      <c r="C133" s="109"/>
      <c r="D133" s="1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09" t="s">
        <v>275</v>
      </c>
      <c r="B143" s="109"/>
      <c r="C143" s="109"/>
      <c r="D143" s="1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09" t="s">
        <v>277</v>
      </c>
      <c r="B153" s="109"/>
      <c r="C153" s="109"/>
      <c r="D153" s="1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09" t="s">
        <v>278</v>
      </c>
      <c r="B163" s="109"/>
      <c r="C163" s="109"/>
      <c r="D163" s="1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09" t="s">
        <v>279</v>
      </c>
      <c r="B173" s="109"/>
      <c r="C173" s="109"/>
      <c r="D173" s="1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9" t="s">
        <v>280</v>
      </c>
      <c r="B183" s="109"/>
      <c r="C183" s="109"/>
      <c r="D183" s="1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09" t="s">
        <v>281</v>
      </c>
      <c r="B193" s="109"/>
      <c r="C193" s="109"/>
      <c r="D193" s="1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09" t="s">
        <v>282</v>
      </c>
      <c r="B203" s="109"/>
      <c r="C203" s="109"/>
      <c r="D203" s="1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09" t="s">
        <v>283</v>
      </c>
      <c r="B213" s="109"/>
      <c r="C213" s="109"/>
      <c r="D213" s="1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09" t="s">
        <v>284</v>
      </c>
      <c r="B223" s="109"/>
      <c r="C223" s="109"/>
      <c r="D223" s="1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09" t="s">
        <v>285</v>
      </c>
      <c r="B233" s="109"/>
      <c r="C233" s="109"/>
      <c r="D233" s="1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09" t="s">
        <v>286</v>
      </c>
      <c r="B243" s="109"/>
      <c r="C243" s="109"/>
      <c r="D243" s="1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09" t="s">
        <v>287</v>
      </c>
      <c r="B253" s="109"/>
      <c r="C253" s="109"/>
      <c r="D253" s="1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09" t="s">
        <v>288</v>
      </c>
      <c r="B263" s="109"/>
      <c r="C263" s="109"/>
      <c r="D263" s="1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09" t="s">
        <v>289</v>
      </c>
      <c r="B273" s="109"/>
      <c r="C273" s="109"/>
      <c r="D273" s="1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09" t="s">
        <v>290</v>
      </c>
      <c r="B283" s="109"/>
      <c r="C283" s="109"/>
      <c r="D283" s="1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09" t="s">
        <v>291</v>
      </c>
      <c r="B293" s="109"/>
      <c r="C293" s="109"/>
      <c r="D293" s="1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09" t="s">
        <v>292</v>
      </c>
      <c r="B303" s="109"/>
      <c r="C303" s="109"/>
      <c r="D303" s="1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09" t="s">
        <v>296</v>
      </c>
      <c r="B313" s="109"/>
      <c r="C313" s="109"/>
      <c r="D313" s="1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09" t="s">
        <v>300</v>
      </c>
      <c r="B324" s="109"/>
      <c r="C324" s="109"/>
      <c r="D324" s="1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09" t="s">
        <v>303</v>
      </c>
      <c r="B335" s="109"/>
      <c r="C335" s="109"/>
      <c r="D335" s="1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09" t="s">
        <v>304</v>
      </c>
      <c r="B346" s="109"/>
      <c r="C346" s="109"/>
      <c r="D346" s="1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09" t="s">
        <v>305</v>
      </c>
      <c r="B357" s="109"/>
      <c r="C357" s="109"/>
      <c r="D357" s="1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09" t="s">
        <v>306</v>
      </c>
      <c r="B368" s="109"/>
      <c r="C368" s="109"/>
      <c r="D368" s="1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09" t="s">
        <v>307</v>
      </c>
      <c r="B379" s="109"/>
      <c r="C379" s="109"/>
      <c r="D379" s="1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09" t="s">
        <v>308</v>
      </c>
      <c r="B390" s="109"/>
      <c r="C390" s="109"/>
      <c r="D390" s="1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09" t="s">
        <v>309</v>
      </c>
      <c r="B401" s="109"/>
      <c r="C401" s="109"/>
      <c r="D401" s="1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09" t="s">
        <v>310</v>
      </c>
      <c r="B412" s="109"/>
      <c r="C412" s="109"/>
      <c r="D412" s="1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09" t="s">
        <v>311</v>
      </c>
      <c r="B423" s="109"/>
      <c r="C423" s="109"/>
      <c r="D423" s="1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09" t="s">
        <v>315</v>
      </c>
      <c r="B434" s="109"/>
      <c r="C434" s="109"/>
      <c r="D434" s="1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09" t="s">
        <v>316</v>
      </c>
      <c r="B445" s="109"/>
      <c r="C445" s="109"/>
      <c r="D445" s="1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09" t="s">
        <v>317</v>
      </c>
      <c r="B456" s="109"/>
      <c r="C456" s="109"/>
      <c r="D456" s="1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09" t="s">
        <v>318</v>
      </c>
      <c r="B467" s="109"/>
      <c r="C467" s="109"/>
      <c r="D467" s="1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09" t="s">
        <v>319</v>
      </c>
      <c r="B478" s="109"/>
      <c r="C478" s="109"/>
      <c r="D478" s="1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09" t="s">
        <v>320</v>
      </c>
      <c r="B489" s="109"/>
      <c r="C489" s="109"/>
      <c r="D489" s="1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09" t="s">
        <v>323</v>
      </c>
      <c r="B500" s="109"/>
      <c r="C500" s="109"/>
      <c r="D500" s="1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09" t="s">
        <v>324</v>
      </c>
      <c r="B511" s="109"/>
      <c r="C511" s="109"/>
      <c r="D511" s="1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09" t="s">
        <v>325</v>
      </c>
      <c r="B522" s="109"/>
      <c r="C522" s="109"/>
      <c r="D522" s="1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09" t="s">
        <v>326</v>
      </c>
      <c r="B533" s="109"/>
      <c r="C533" s="109"/>
      <c r="D533" s="1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09" t="s">
        <v>327</v>
      </c>
      <c r="B544" s="109"/>
      <c r="C544" s="109"/>
      <c r="D544" s="1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09" t="s">
        <v>328</v>
      </c>
      <c r="B555" s="109"/>
      <c r="C555" s="109"/>
      <c r="D555" s="1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09" t="s">
        <v>328</v>
      </c>
      <c r="B567" s="109"/>
      <c r="C567" s="109"/>
      <c r="D567" s="1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09" t="s">
        <v>333</v>
      </c>
      <c r="B579" s="109"/>
      <c r="C579" s="109"/>
      <c r="D579" s="1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09" t="s">
        <v>334</v>
      </c>
      <c r="B590" s="109"/>
      <c r="C590" s="109"/>
      <c r="D590" s="1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09" t="s">
        <v>335</v>
      </c>
      <c r="B601" s="109"/>
      <c r="C601" s="109"/>
      <c r="D601" s="1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09" t="s">
        <v>336</v>
      </c>
      <c r="B612" s="109"/>
      <c r="C612" s="109"/>
      <c r="D612" s="1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09" t="s">
        <v>337</v>
      </c>
      <c r="B623" s="109"/>
      <c r="C623" s="109"/>
      <c r="D623" s="1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09" t="s">
        <v>338</v>
      </c>
      <c r="B635" s="109"/>
      <c r="C635" s="109"/>
      <c r="D635" s="1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09" t="s">
        <v>340</v>
      </c>
      <c r="B647" s="109"/>
      <c r="C647" s="109"/>
      <c r="D647" s="1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09" t="s">
        <v>341</v>
      </c>
      <c r="B658" s="109"/>
      <c r="C658" s="109"/>
      <c r="D658" s="1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09" t="s">
        <v>342</v>
      </c>
      <c r="B670" s="109"/>
      <c r="C670" s="109"/>
      <c r="D670" s="1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09" t="s">
        <v>343</v>
      </c>
      <c r="B681" s="109"/>
      <c r="C681" s="109"/>
      <c r="D681" s="1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09" t="s">
        <v>344</v>
      </c>
      <c r="B692" s="109"/>
      <c r="C692" s="109"/>
      <c r="D692" s="1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09" t="s">
        <v>345</v>
      </c>
      <c r="B703" s="109"/>
      <c r="C703" s="109"/>
      <c r="D703" s="1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09" t="s">
        <v>348</v>
      </c>
      <c r="B715" s="109"/>
      <c r="C715" s="109"/>
      <c r="D715" s="1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09" t="s">
        <v>349</v>
      </c>
      <c r="B726" s="109"/>
      <c r="C726" s="109"/>
      <c r="D726" s="1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09" t="s">
        <v>350</v>
      </c>
      <c r="B738" s="109"/>
      <c r="C738" s="109"/>
      <c r="D738" s="1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09" t="s">
        <v>351</v>
      </c>
      <c r="B749" s="109"/>
      <c r="C749" s="109"/>
      <c r="D749" s="1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09" t="s">
        <v>352</v>
      </c>
      <c r="B760" s="109"/>
      <c r="C760" s="109"/>
      <c r="D760" s="1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09" t="s">
        <v>353</v>
      </c>
      <c r="B772" s="109"/>
      <c r="C772" s="109"/>
      <c r="D772" s="1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09" t="s">
        <v>355</v>
      </c>
      <c r="B784" s="109"/>
      <c r="C784" s="109"/>
      <c r="D784" s="1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09" t="s">
        <v>356</v>
      </c>
      <c r="B796" s="109"/>
      <c r="C796" s="109"/>
      <c r="D796" s="1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09" t="s">
        <v>357</v>
      </c>
      <c r="B809" s="109"/>
      <c r="C809" s="109"/>
      <c r="D809" s="1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09" t="s">
        <v>358</v>
      </c>
      <c r="B820" s="109"/>
      <c r="C820" s="109"/>
      <c r="D820" s="1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09" t="s">
        <v>359</v>
      </c>
      <c r="B831" s="109"/>
      <c r="C831" s="109"/>
      <c r="D831" s="1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09" t="s">
        <v>360</v>
      </c>
      <c r="B842" s="109"/>
      <c r="C842" s="109"/>
      <c r="D842" s="1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9" t="s">
        <v>361</v>
      </c>
      <c r="B854" s="109"/>
      <c r="C854" s="109"/>
      <c r="D854" s="1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09" t="s">
        <v>363</v>
      </c>
      <c r="B865" s="109"/>
      <c r="C865" s="109"/>
      <c r="D865" s="1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09" t="s">
        <v>364</v>
      </c>
      <c r="B876" s="109"/>
      <c r="C876" s="109"/>
      <c r="D876" s="1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09" t="s">
        <v>367</v>
      </c>
      <c r="B888" s="109"/>
      <c r="C888" s="109"/>
      <c r="D888" s="1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09" t="s">
        <v>368</v>
      </c>
      <c r="B901" s="109"/>
      <c r="C901" s="109"/>
      <c r="D901" s="1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09" t="s">
        <v>369</v>
      </c>
      <c r="B913" s="109"/>
      <c r="C913" s="109"/>
      <c r="D913" s="1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09" t="s">
        <v>370</v>
      </c>
      <c r="B925" s="109"/>
      <c r="C925" s="109"/>
      <c r="D925" s="1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09" t="s">
        <v>371</v>
      </c>
      <c r="B937" s="109"/>
      <c r="C937" s="109"/>
      <c r="D937" s="1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09" t="s">
        <v>372</v>
      </c>
      <c r="B949" s="109"/>
      <c r="C949" s="109"/>
      <c r="D949" s="1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09" t="s">
        <v>400</v>
      </c>
      <c r="B961" s="109"/>
      <c r="C961" s="109"/>
      <c r="D961" s="109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09" t="s">
        <v>402</v>
      </c>
      <c r="B974" s="109"/>
      <c r="C974" s="109"/>
      <c r="D974" s="109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09" t="s">
        <v>404</v>
      </c>
      <c r="B987" s="109"/>
      <c r="C987" s="109"/>
      <c r="D987" s="109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09" t="s">
        <v>405</v>
      </c>
      <c r="B1000" s="109"/>
      <c r="C1000" s="109"/>
      <c r="D1000" s="109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09" t="s">
        <v>408</v>
      </c>
      <c r="B1012" s="109"/>
      <c r="C1012" s="109"/>
      <c r="D1012" s="109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09" t="s">
        <v>410</v>
      </c>
      <c r="B1025" s="109"/>
      <c r="C1025" s="109"/>
      <c r="D1025" s="109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09" t="s">
        <v>413</v>
      </c>
      <c r="B1037" s="109"/>
      <c r="C1037" s="109"/>
      <c r="D1037" s="109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09" t="s">
        <v>415</v>
      </c>
      <c r="B1049" s="109"/>
      <c r="C1049" s="109"/>
      <c r="D1049" s="109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5">
      <c r="A1057" s="87">
        <v>0.70833333333333304</v>
      </c>
      <c r="B1057" s="86">
        <v>27150</v>
      </c>
      <c r="C1057" s="86">
        <v>7440</v>
      </c>
      <c r="D1057" s="86">
        <v>11740000</v>
      </c>
    </row>
    <row r="1061" spans="1:5">
      <c r="A1061" s="109" t="s">
        <v>417</v>
      </c>
      <c r="B1061" s="109"/>
      <c r="C1061" s="109"/>
      <c r="D1061" s="109"/>
    </row>
    <row r="1062" spans="1:5">
      <c r="A1062" s="86" t="s">
        <v>247</v>
      </c>
      <c r="B1062" s="86" t="s">
        <v>248</v>
      </c>
      <c r="C1062" s="86" t="s">
        <v>249</v>
      </c>
      <c r="D1062" s="86" t="s">
        <v>250</v>
      </c>
    </row>
    <row r="1063" spans="1:5">
      <c r="A1063" s="76">
        <v>0.45833333333333298</v>
      </c>
      <c r="B1063" s="86">
        <v>27070</v>
      </c>
      <c r="C1063" s="86">
        <v>7400</v>
      </c>
      <c r="D1063">
        <v>11635000</v>
      </c>
      <c r="E1063">
        <v>11635000</v>
      </c>
    </row>
    <row r="1064" spans="1:5">
      <c r="A1064" s="77" t="s">
        <v>251</v>
      </c>
      <c r="B1064" s="86">
        <v>27080</v>
      </c>
      <c r="C1064" s="86">
        <v>7390</v>
      </c>
      <c r="D1064">
        <v>11650000</v>
      </c>
      <c r="E1064">
        <v>11640000</v>
      </c>
    </row>
    <row r="1065" spans="1:5">
      <c r="A1065" s="78" t="s">
        <v>252</v>
      </c>
      <c r="B1065" s="86">
        <v>27070</v>
      </c>
      <c r="C1065" s="86">
        <v>7390</v>
      </c>
      <c r="D1065">
        <v>11665000</v>
      </c>
      <c r="E1065">
        <v>11630000</v>
      </c>
    </row>
    <row r="1066" spans="1:5">
      <c r="A1066" s="76" t="s">
        <v>253</v>
      </c>
      <c r="B1066" s="86">
        <v>27080</v>
      </c>
      <c r="C1066" s="86">
        <v>7400</v>
      </c>
      <c r="D1066">
        <v>11650000</v>
      </c>
    </row>
    <row r="1067" spans="1:5">
      <c r="A1067" s="84">
        <v>0.625</v>
      </c>
      <c r="B1067" s="86">
        <v>27080</v>
      </c>
      <c r="C1067" s="86">
        <v>7410</v>
      </c>
      <c r="D1067" s="86">
        <v>11655000</v>
      </c>
    </row>
    <row r="1068" spans="1:5">
      <c r="A1068" s="77" t="s">
        <v>254</v>
      </c>
      <c r="B1068" s="86">
        <v>27080</v>
      </c>
      <c r="C1068" s="86">
        <v>7420</v>
      </c>
      <c r="D1068" s="86">
        <v>11655000</v>
      </c>
    </row>
    <row r="1069" spans="1:5">
      <c r="A1069" s="87">
        <v>0.70833333333333304</v>
      </c>
      <c r="B1069" s="86">
        <v>27080</v>
      </c>
      <c r="C1069" s="86">
        <v>7420</v>
      </c>
      <c r="D1069" s="86">
        <v>11655000</v>
      </c>
    </row>
    <row r="1073" spans="1:4">
      <c r="A1073" s="109" t="s">
        <v>419</v>
      </c>
      <c r="B1073" s="109"/>
      <c r="C1073" s="109"/>
      <c r="D1073" s="109"/>
    </row>
    <row r="1074" spans="1:4">
      <c r="A1074" s="86" t="s">
        <v>247</v>
      </c>
      <c r="B1074" s="86" t="s">
        <v>248</v>
      </c>
      <c r="C1074" s="86" t="s">
        <v>249</v>
      </c>
      <c r="D1074" s="86" t="s">
        <v>250</v>
      </c>
    </row>
    <row r="1075" spans="1:4">
      <c r="A1075" s="76">
        <v>0.45833333333333298</v>
      </c>
      <c r="B1075" s="86">
        <v>27380</v>
      </c>
      <c r="C1075" s="86">
        <v>7455</v>
      </c>
      <c r="D1075">
        <v>11735000</v>
      </c>
    </row>
    <row r="1076" spans="1:4">
      <c r="A1076" s="77" t="s">
        <v>251</v>
      </c>
      <c r="B1076" s="86">
        <v>27370</v>
      </c>
      <c r="C1076" s="86">
        <v>7455</v>
      </c>
      <c r="D1076">
        <v>11745000</v>
      </c>
    </row>
    <row r="1077" spans="1:4">
      <c r="A1077" s="78" t="s">
        <v>252</v>
      </c>
      <c r="B1077" s="86">
        <v>27380</v>
      </c>
      <c r="C1077" s="86">
        <v>7470</v>
      </c>
      <c r="D1077">
        <v>11750000</v>
      </c>
    </row>
    <row r="1078" spans="1:4">
      <c r="A1078" s="76" t="s">
        <v>253</v>
      </c>
      <c r="B1078" s="86">
        <v>27370</v>
      </c>
      <c r="C1078" s="86">
        <v>7470</v>
      </c>
      <c r="D1078">
        <v>11760000</v>
      </c>
    </row>
    <row r="1079" spans="1:4">
      <c r="A1079" s="84">
        <v>0.625</v>
      </c>
      <c r="B1079" s="86">
        <v>27380</v>
      </c>
      <c r="C1079" s="86">
        <v>7470</v>
      </c>
      <c r="D1079" s="86">
        <v>11755000</v>
      </c>
    </row>
    <row r="1080" spans="1:4">
      <c r="A1080" s="77" t="s">
        <v>254</v>
      </c>
      <c r="B1080" s="86">
        <v>27380</v>
      </c>
      <c r="C1080" s="86">
        <v>7480</v>
      </c>
      <c r="D1080" s="86">
        <v>11750000</v>
      </c>
    </row>
    <row r="1081" spans="1:4">
      <c r="A1081" s="87">
        <v>0.70833333333333304</v>
      </c>
      <c r="B1081" s="86">
        <v>27380</v>
      </c>
      <c r="C1081" s="86">
        <v>7480</v>
      </c>
      <c r="D1081" s="86">
        <v>11750000</v>
      </c>
    </row>
    <row r="1085" spans="1:4">
      <c r="A1085" s="109" t="s">
        <v>421</v>
      </c>
      <c r="B1085" s="109"/>
      <c r="C1085" s="109"/>
      <c r="D1085" s="109"/>
    </row>
    <row r="1086" spans="1:4">
      <c r="A1086" s="86" t="s">
        <v>247</v>
      </c>
      <c r="B1086" s="86" t="s">
        <v>248</v>
      </c>
      <c r="C1086" s="86" t="s">
        <v>249</v>
      </c>
      <c r="D1086" s="86" t="s">
        <v>250</v>
      </c>
    </row>
    <row r="1087" spans="1:4">
      <c r="A1087" s="76">
        <v>0.45833333333333298</v>
      </c>
      <c r="B1087" s="86">
        <v>27390</v>
      </c>
      <c r="C1087" s="86">
        <v>7460</v>
      </c>
      <c r="D1087">
        <v>11760000</v>
      </c>
    </row>
    <row r="1088" spans="1:4">
      <c r="A1088" s="77" t="s">
        <v>251</v>
      </c>
      <c r="B1088" s="86">
        <v>27360</v>
      </c>
      <c r="C1088" s="86">
        <v>7450</v>
      </c>
      <c r="D1088">
        <v>11730000</v>
      </c>
    </row>
    <row r="1089" spans="1:5">
      <c r="A1089" s="78" t="s">
        <v>252</v>
      </c>
      <c r="B1089" s="86">
        <v>27340</v>
      </c>
      <c r="C1089" s="86">
        <v>7440</v>
      </c>
      <c r="D1089">
        <v>11735000</v>
      </c>
    </row>
    <row r="1090" spans="1:5">
      <c r="A1090" s="76" t="s">
        <v>253</v>
      </c>
      <c r="B1090" s="86">
        <v>27320</v>
      </c>
      <c r="C1090" s="86">
        <v>7430</v>
      </c>
      <c r="D1090">
        <v>11745000</v>
      </c>
    </row>
    <row r="1091" spans="1:5">
      <c r="A1091" s="84">
        <v>0.625</v>
      </c>
      <c r="B1091" s="86">
        <v>27320</v>
      </c>
      <c r="C1091" s="86">
        <v>7430</v>
      </c>
      <c r="D1091" s="86">
        <v>11720000</v>
      </c>
    </row>
    <row r="1092" spans="1:5">
      <c r="A1092" s="77" t="s">
        <v>254</v>
      </c>
      <c r="B1092" s="86">
        <v>27320</v>
      </c>
      <c r="C1092" s="86">
        <v>7440</v>
      </c>
      <c r="D1092" s="86">
        <v>11725000</v>
      </c>
    </row>
    <row r="1093" spans="1:5">
      <c r="A1093" s="87">
        <v>0.70833333333333304</v>
      </c>
      <c r="B1093" s="86">
        <v>27320</v>
      </c>
      <c r="C1093" s="86">
        <v>7430</v>
      </c>
      <c r="D1093" s="86">
        <v>11725000</v>
      </c>
    </row>
    <row r="1098" spans="1:5">
      <c r="A1098" s="109" t="s">
        <v>423</v>
      </c>
      <c r="B1098" s="109"/>
      <c r="C1098" s="109"/>
      <c r="D1098" s="109"/>
    </row>
    <row r="1099" spans="1:5">
      <c r="A1099" s="86" t="s">
        <v>247</v>
      </c>
      <c r="B1099" s="86" t="s">
        <v>248</v>
      </c>
      <c r="C1099" s="86" t="s">
        <v>249</v>
      </c>
      <c r="D1099" s="86" t="s">
        <v>250</v>
      </c>
    </row>
    <row r="1100" spans="1:5">
      <c r="A1100" s="76">
        <v>0.45833333333333298</v>
      </c>
      <c r="B1100" s="86"/>
      <c r="C1100" s="86"/>
      <c r="E1100">
        <v>11780000</v>
      </c>
    </row>
    <row r="1101" spans="1:5">
      <c r="A1101" s="77" t="s">
        <v>251</v>
      </c>
      <c r="B1101" s="86"/>
      <c r="C1101" s="86"/>
      <c r="E1101">
        <v>11815000</v>
      </c>
    </row>
    <row r="1102" spans="1:5">
      <c r="A1102" s="78" t="s">
        <v>252</v>
      </c>
      <c r="B1102" s="86"/>
      <c r="C1102" s="86"/>
    </row>
    <row r="1103" spans="1:5">
      <c r="A1103" s="76" t="s">
        <v>253</v>
      </c>
      <c r="B1103" s="86"/>
      <c r="C1103" s="86"/>
    </row>
    <row r="1104" spans="1:5">
      <c r="A1104" s="84">
        <v>0.625</v>
      </c>
      <c r="B1104" s="86"/>
      <c r="C1104" s="86"/>
      <c r="D1104" s="86"/>
    </row>
    <row r="1105" spans="1:4">
      <c r="A1105" s="77" t="s">
        <v>254</v>
      </c>
      <c r="B1105" s="86"/>
      <c r="C1105" s="86"/>
      <c r="D1105" s="86"/>
    </row>
    <row r="1106" spans="1:4">
      <c r="A1106" s="87">
        <v>0.70833333333333304</v>
      </c>
      <c r="B1106" s="86"/>
      <c r="C1106" s="86"/>
      <c r="D1106" s="86"/>
    </row>
    <row r="1110" spans="1:4">
      <c r="A1110" s="109" t="s">
        <v>426</v>
      </c>
      <c r="B1110" s="109"/>
      <c r="C1110" s="109"/>
      <c r="D1110" s="109"/>
    </row>
    <row r="1111" spans="1:4">
      <c r="A1111" s="86" t="s">
        <v>247</v>
      </c>
      <c r="B1111" s="86" t="s">
        <v>248</v>
      </c>
      <c r="C1111" s="86" t="s">
        <v>249</v>
      </c>
      <c r="D1111" s="86" t="s">
        <v>250</v>
      </c>
    </row>
    <row r="1112" spans="1:4">
      <c r="A1112" s="76">
        <v>0.45833333333333298</v>
      </c>
      <c r="B1112" s="86">
        <v>27470</v>
      </c>
      <c r="C1112" s="86">
        <v>7470</v>
      </c>
      <c r="D1112">
        <v>11890000</v>
      </c>
    </row>
    <row r="1113" spans="1:4">
      <c r="A1113" s="77" t="s">
        <v>251</v>
      </c>
      <c r="B1113" s="86">
        <v>27500</v>
      </c>
      <c r="C1113" s="86">
        <v>7510</v>
      </c>
      <c r="D1113">
        <v>11915000</v>
      </c>
    </row>
    <row r="1114" spans="1:4">
      <c r="A1114" s="78" t="s">
        <v>252</v>
      </c>
      <c r="B1114" s="86">
        <v>27520</v>
      </c>
      <c r="C1114" s="86">
        <v>7530</v>
      </c>
      <c r="D1114">
        <v>11935000</v>
      </c>
    </row>
    <row r="1115" spans="1:4">
      <c r="A1115" s="76" t="s">
        <v>253</v>
      </c>
      <c r="B1115" s="86">
        <v>27530</v>
      </c>
      <c r="C1115" s="86">
        <v>7530</v>
      </c>
      <c r="D1115">
        <v>11920000</v>
      </c>
    </row>
    <row r="1116" spans="1:4">
      <c r="A1116" s="84">
        <v>0.625</v>
      </c>
      <c r="B1116" s="86">
        <v>27540</v>
      </c>
      <c r="C1116" s="86">
        <v>7530</v>
      </c>
      <c r="D1116" s="86">
        <v>11920000</v>
      </c>
    </row>
    <row r="1117" spans="1:4">
      <c r="A1117" s="77" t="s">
        <v>254</v>
      </c>
      <c r="B1117" s="86">
        <v>27560</v>
      </c>
      <c r="C1117" s="86">
        <v>7530</v>
      </c>
      <c r="D1117" s="86">
        <v>11920000</v>
      </c>
    </row>
    <row r="1118" spans="1:4">
      <c r="A1118" s="87">
        <v>0.70833333333333304</v>
      </c>
      <c r="B1118" s="86">
        <v>27580</v>
      </c>
      <c r="C1118" s="86">
        <v>7530</v>
      </c>
      <c r="D1118" s="86">
        <v>11920000</v>
      </c>
    </row>
    <row r="1123" spans="1:4">
      <c r="A1123" s="109" t="s">
        <v>428</v>
      </c>
      <c r="B1123" s="109"/>
      <c r="C1123" s="109"/>
      <c r="D1123" s="109"/>
    </row>
    <row r="1124" spans="1:4">
      <c r="A1124" s="86" t="s">
        <v>247</v>
      </c>
      <c r="B1124" s="86" t="s">
        <v>248</v>
      </c>
      <c r="C1124" s="86" t="s">
        <v>249</v>
      </c>
      <c r="D1124" s="86" t="s">
        <v>250</v>
      </c>
    </row>
    <row r="1125" spans="1:4">
      <c r="A1125" s="76">
        <v>0.45833333333333298</v>
      </c>
      <c r="B1125" s="86">
        <v>27670</v>
      </c>
      <c r="C1125" s="86">
        <v>7530</v>
      </c>
      <c r="D1125">
        <v>11905000</v>
      </c>
    </row>
    <row r="1126" spans="1:4">
      <c r="A1126" s="77" t="s">
        <v>251</v>
      </c>
      <c r="B1126" s="86">
        <v>27640</v>
      </c>
      <c r="C1126" s="86">
        <v>7520</v>
      </c>
      <c r="D1126">
        <v>11930000</v>
      </c>
    </row>
    <row r="1127" spans="1:4">
      <c r="A1127" s="78" t="s">
        <v>252</v>
      </c>
      <c r="B1127" s="86">
        <v>27640</v>
      </c>
      <c r="C1127" s="86">
        <v>7510</v>
      </c>
      <c r="D1127">
        <v>11920000</v>
      </c>
    </row>
    <row r="1128" spans="1:4">
      <c r="A1128" s="76" t="s">
        <v>253</v>
      </c>
      <c r="B1128" s="86">
        <v>27620</v>
      </c>
      <c r="C1128" s="86">
        <v>7510</v>
      </c>
      <c r="D1128">
        <v>11900000</v>
      </c>
    </row>
    <row r="1129" spans="1:4">
      <c r="A1129" s="84">
        <v>0.625</v>
      </c>
      <c r="B1129" s="86">
        <v>27620</v>
      </c>
      <c r="C1129" s="86">
        <v>7510</v>
      </c>
      <c r="D1129" s="86">
        <v>11890000</v>
      </c>
    </row>
    <row r="1130" spans="1:4">
      <c r="A1130" s="77" t="s">
        <v>254</v>
      </c>
      <c r="B1130" s="86">
        <v>27620</v>
      </c>
      <c r="C1130" s="86">
        <v>7510</v>
      </c>
      <c r="D1130" s="86">
        <v>11890000</v>
      </c>
    </row>
    <row r="1131" spans="1:4">
      <c r="A1131" s="87">
        <v>0.70833333333333304</v>
      </c>
      <c r="B1131" s="86">
        <v>27620</v>
      </c>
      <c r="C1131" s="86">
        <v>7510</v>
      </c>
      <c r="D1131" s="86">
        <v>11890000</v>
      </c>
    </row>
    <row r="1136" spans="1:4">
      <c r="A1136" s="109" t="s">
        <v>430</v>
      </c>
      <c r="B1136" s="109"/>
      <c r="C1136" s="109"/>
      <c r="D1136" s="109"/>
    </row>
    <row r="1137" spans="1:4">
      <c r="A1137" s="86" t="s">
        <v>247</v>
      </c>
      <c r="B1137" s="86" t="s">
        <v>248</v>
      </c>
      <c r="C1137" s="86" t="s">
        <v>249</v>
      </c>
      <c r="D1137" s="86" t="s">
        <v>250</v>
      </c>
    </row>
    <row r="1138" spans="1:4">
      <c r="A1138" s="76">
        <v>0.45833333333333298</v>
      </c>
      <c r="B1138" s="86">
        <v>27540</v>
      </c>
      <c r="C1138" s="86">
        <v>7480</v>
      </c>
      <c r="D1138">
        <v>11860000</v>
      </c>
    </row>
    <row r="1139" spans="1:4">
      <c r="A1139" s="77" t="s">
        <v>251</v>
      </c>
      <c r="B1139" s="86">
        <v>27470</v>
      </c>
      <c r="C1139" s="86">
        <v>7470</v>
      </c>
      <c r="D1139">
        <v>11845000</v>
      </c>
    </row>
    <row r="1140" spans="1:4">
      <c r="A1140" s="78" t="s">
        <v>252</v>
      </c>
      <c r="B1140" s="86">
        <v>27420</v>
      </c>
      <c r="C1140" s="86">
        <v>7470</v>
      </c>
      <c r="D1140">
        <v>11840000</v>
      </c>
    </row>
    <row r="1141" spans="1:4">
      <c r="A1141" s="76" t="s">
        <v>253</v>
      </c>
      <c r="B1141" s="86">
        <v>27440</v>
      </c>
      <c r="C1141" s="86">
        <v>7470</v>
      </c>
      <c r="D1141">
        <v>11835000</v>
      </c>
    </row>
    <row r="1142" spans="1:4">
      <c r="A1142" s="84">
        <v>0.625</v>
      </c>
      <c r="B1142" s="86">
        <v>27440</v>
      </c>
      <c r="C1142" s="86">
        <v>7470</v>
      </c>
      <c r="D1142" s="86">
        <v>11865000</v>
      </c>
    </row>
    <row r="1143" spans="1:4">
      <c r="A1143" s="77" t="s">
        <v>254</v>
      </c>
      <c r="B1143" s="86">
        <v>27440</v>
      </c>
      <c r="C1143" s="86">
        <v>7470</v>
      </c>
      <c r="D1143" s="86">
        <v>11870000</v>
      </c>
    </row>
    <row r="1144" spans="1:4">
      <c r="A1144" s="87">
        <v>0.70833333333333304</v>
      </c>
      <c r="B1144" s="86">
        <v>27440</v>
      </c>
      <c r="C1144" s="86">
        <v>7470</v>
      </c>
      <c r="D1144" s="86">
        <v>11870000</v>
      </c>
    </row>
    <row r="1149" spans="1:4">
      <c r="A1149" s="109" t="s">
        <v>432</v>
      </c>
      <c r="B1149" s="109"/>
      <c r="C1149" s="109"/>
      <c r="D1149" s="109"/>
    </row>
    <row r="1150" spans="1:4">
      <c r="A1150" s="86" t="s">
        <v>247</v>
      </c>
      <c r="B1150" s="86" t="s">
        <v>248</v>
      </c>
      <c r="C1150" s="86" t="s">
        <v>249</v>
      </c>
      <c r="D1150" s="86" t="s">
        <v>250</v>
      </c>
    </row>
    <row r="1151" spans="1:4">
      <c r="A1151" s="76">
        <v>0.45833333333333298</v>
      </c>
      <c r="B1151" s="86">
        <v>27560</v>
      </c>
      <c r="C1151" s="86">
        <v>7520</v>
      </c>
      <c r="D1151">
        <v>11870000</v>
      </c>
    </row>
    <row r="1152" spans="1:4">
      <c r="A1152" s="77" t="s">
        <v>251</v>
      </c>
      <c r="B1152" s="86">
        <v>27580</v>
      </c>
      <c r="C1152" s="86">
        <v>7530</v>
      </c>
      <c r="D1152">
        <v>11880000</v>
      </c>
    </row>
    <row r="1153" spans="1:4">
      <c r="A1153" s="78" t="s">
        <v>252</v>
      </c>
      <c r="B1153" s="86">
        <v>27650</v>
      </c>
      <c r="C1153" s="86">
        <v>7540</v>
      </c>
      <c r="D1153">
        <v>11910000</v>
      </c>
    </row>
    <row r="1154" spans="1:4">
      <c r="A1154" s="76" t="s">
        <v>253</v>
      </c>
      <c r="B1154" s="86">
        <v>27680</v>
      </c>
      <c r="C1154" s="86">
        <v>7540</v>
      </c>
      <c r="D1154">
        <v>11925000</v>
      </c>
    </row>
    <row r="1155" spans="1:4">
      <c r="A1155" s="84">
        <v>0.625</v>
      </c>
      <c r="B1155" s="86">
        <v>27680</v>
      </c>
      <c r="C1155" s="86">
        <v>7550</v>
      </c>
      <c r="D1155" s="86">
        <v>11920000</v>
      </c>
    </row>
    <row r="1156" spans="1:4">
      <c r="A1156" s="77" t="s">
        <v>254</v>
      </c>
      <c r="B1156" s="86">
        <v>27680</v>
      </c>
      <c r="C1156" s="86">
        <v>7550</v>
      </c>
      <c r="D1156" s="86">
        <v>11935000</v>
      </c>
    </row>
    <row r="1157" spans="1:4">
      <c r="A1157" s="87">
        <v>0.70833333333333304</v>
      </c>
      <c r="B1157" s="86">
        <v>27680</v>
      </c>
      <c r="C1157" s="86">
        <v>7550</v>
      </c>
      <c r="D1157" s="86">
        <v>11935000</v>
      </c>
    </row>
  </sheetData>
  <mergeCells count="104">
    <mergeCell ref="A273:D273"/>
    <mergeCell ref="A283:D283"/>
    <mergeCell ref="A293:D293"/>
    <mergeCell ref="A303:D303"/>
    <mergeCell ref="A313:D31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412:D412"/>
    <mergeCell ref="A423:D423"/>
    <mergeCell ref="A434:D434"/>
    <mergeCell ref="A324:D324"/>
    <mergeCell ref="A335:D335"/>
    <mergeCell ref="A346:D346"/>
    <mergeCell ref="A153:D153"/>
    <mergeCell ref="A163:D163"/>
    <mergeCell ref="A173:D173"/>
    <mergeCell ref="A183:D183"/>
    <mergeCell ref="A193:D193"/>
    <mergeCell ref="A203:D203"/>
    <mergeCell ref="A213:D213"/>
    <mergeCell ref="A223:D223"/>
    <mergeCell ref="A233:D233"/>
    <mergeCell ref="A243:D243"/>
    <mergeCell ref="A253:D253"/>
    <mergeCell ref="A263:D263"/>
    <mergeCell ref="A445:D445"/>
    <mergeCell ref="A456:D456"/>
    <mergeCell ref="A357:D357"/>
    <mergeCell ref="A368:D368"/>
    <mergeCell ref="A379:D379"/>
    <mergeCell ref="A390:D390"/>
    <mergeCell ref="A401:D401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749:D749"/>
    <mergeCell ref="A760:D760"/>
    <mergeCell ref="A772:D772"/>
    <mergeCell ref="A784:D784"/>
    <mergeCell ref="A796:D796"/>
    <mergeCell ref="A692:D692"/>
    <mergeCell ref="A703:D703"/>
    <mergeCell ref="A715:D715"/>
    <mergeCell ref="A726:D726"/>
    <mergeCell ref="A738:D738"/>
    <mergeCell ref="A865:D865"/>
    <mergeCell ref="A876:D876"/>
    <mergeCell ref="A888:D888"/>
    <mergeCell ref="A901:D901"/>
    <mergeCell ref="A913:D913"/>
    <mergeCell ref="A809:D809"/>
    <mergeCell ref="A820:D820"/>
    <mergeCell ref="A831:D831"/>
    <mergeCell ref="A842:D842"/>
    <mergeCell ref="A854:D854"/>
    <mergeCell ref="A961:D961"/>
    <mergeCell ref="A925:D925"/>
    <mergeCell ref="A937:D937"/>
    <mergeCell ref="A949:D949"/>
    <mergeCell ref="A974:D974"/>
    <mergeCell ref="A1098:D1098"/>
    <mergeCell ref="A1085:D1085"/>
    <mergeCell ref="A1073:D1073"/>
    <mergeCell ref="A1061:D1061"/>
    <mergeCell ref="A1149:D1149"/>
    <mergeCell ref="A1136:D1136"/>
    <mergeCell ref="A1123:D1123"/>
    <mergeCell ref="A1110:D1110"/>
    <mergeCell ref="A1049:D1049"/>
    <mergeCell ref="A1037:D1037"/>
    <mergeCell ref="A1025:D1025"/>
    <mergeCell ref="A1000:D1000"/>
    <mergeCell ref="A987:D987"/>
    <mergeCell ref="A1012:D1012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B1" zoomScale="70" zoomScaleNormal="70" workbookViewId="0">
      <selection activeCell="E21" sqref="E21"/>
    </sheetView>
  </sheetViews>
  <sheetFormatPr defaultColWidth="8.5703125" defaultRowHeight="15"/>
  <cols>
    <col min="1" max="1" width="23.7109375" style="89" customWidth="1"/>
    <col min="2" max="2" width="22.140625" style="89" customWidth="1"/>
    <col min="3" max="3" width="22.5703125" style="89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10" t="s">
        <v>373</v>
      </c>
      <c r="B1" s="110"/>
      <c r="C1" s="110"/>
    </row>
    <row r="2" spans="1:6" ht="24.95" customHeight="1">
      <c r="A2" s="90"/>
      <c r="B2" s="90" t="s">
        <v>374</v>
      </c>
      <c r="C2" s="90" t="s">
        <v>375</v>
      </c>
    </row>
    <row r="3" spans="1:6" ht="24.95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5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5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5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5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5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5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97"/>
  <sheetViews>
    <sheetView tabSelected="1" zoomScale="85" zoomScaleNormal="85" workbookViewId="0">
      <selection activeCell="M85" sqref="M85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9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97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97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  <c r="J97">
        <v>0.87</v>
      </c>
      <c r="K97">
        <v>0.55000000000000004</v>
      </c>
      <c r="L97">
        <v>0</v>
      </c>
      <c r="M97">
        <v>0.68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2021-10-27T13:40:34Z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