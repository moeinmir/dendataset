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D039DC0-860C-41C6-8FEB-267E3D5318E9}" xr6:coauthVersionLast="47" xr6:coauthVersionMax="47" xr10:uidLastSave="{00000000-0000-0000-0000-000000000000}"/>
  <bookViews>
    <workbookView xWindow="14184" yWindow="4152" windowWidth="17280" windowHeight="8964" tabRatio="500" activeTab="2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set'!$A$1:$BN$231</definedName>
    <definedName name="_xlnm._FilterDatabase" localSheetId="1" hidden="1">weekly!$A$1:$K$55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001" i="3" l="1"/>
  <c r="X231" i="1"/>
  <c r="H153" i="5"/>
  <c r="G153" i="5"/>
  <c r="F153" i="5"/>
  <c r="O230" i="1"/>
  <c r="D230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N229" i="1"/>
  <c r="E230" i="1"/>
  <c r="H151" i="5" l="1"/>
  <c r="G151" i="5"/>
  <c r="F151" i="5"/>
  <c r="U230" i="1"/>
  <c r="D1946" i="3" l="1"/>
  <c r="H150" i="5" l="1"/>
  <c r="G150" i="5"/>
  <c r="F150" i="5"/>
  <c r="V237" i="1"/>
  <c r="W240" i="1"/>
  <c r="D1927" i="3" l="1"/>
  <c r="D1934" i="3"/>
  <c r="H149" i="5" l="1"/>
  <c r="G149" i="5"/>
  <c r="F149" i="5"/>
  <c r="Y235" i="1" l="1"/>
  <c r="H148" i="5" l="1"/>
  <c r="G148" i="5"/>
  <c r="F148" i="5"/>
  <c r="W238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32" i="1"/>
  <c r="G40" i="2" l="1"/>
  <c r="E40" i="2"/>
  <c r="G229" i="1" l="1"/>
  <c r="K229" i="1"/>
  <c r="M216" i="1"/>
  <c r="L216" i="1"/>
  <c r="D1850" i="3" l="1"/>
  <c r="M215" i="1"/>
  <c r="L215" i="1"/>
  <c r="Y239" i="1"/>
  <c r="H142" i="5" l="1"/>
  <c r="G142" i="5"/>
  <c r="F142" i="5"/>
  <c r="M214" i="1" l="1"/>
  <c r="L214" i="1"/>
  <c r="I231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5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31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6" i="1"/>
  <c r="N237" i="1"/>
  <c r="N238" i="1"/>
  <c r="N239" i="1"/>
  <c r="N240" i="1"/>
  <c r="N241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9" i="1" l="1"/>
  <c r="S1" i="1" s="1"/>
  <c r="M229" i="1"/>
  <c r="U1" i="1" s="1"/>
</calcChain>
</file>

<file path=xl/sharedStrings.xml><?xml version="1.0" encoding="utf-8"?>
<sst xmlns="http://schemas.openxmlformats.org/spreadsheetml/2006/main" count="2046" uniqueCount="582">
  <si>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</si>
  <si>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</si>
  <si>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</si>
  <si>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</si>
  <si>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</si>
  <si>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</si>
  <si>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</si>
  <si>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</si>
  <si>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</si>
  <si>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</si>
  <si>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</si>
  <si>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</si>
  <si>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</si>
  <si>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</si>
  <si>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</si>
  <si>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</si>
  <si>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</si>
  <si>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</si>
  <si>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</si>
  <si>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</si>
  <si>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</si>
  <si>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</si>
  <si>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</si>
  <si>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</si>
  <si>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</si>
  <si>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</si>
  <si>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</si>
  <si>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</si>
  <si>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</si>
  <si>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</si>
  <si>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</si>
  <si>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</si>
  <si>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</si>
  <si>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</si>
  <si>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</si>
  <si>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</si>
  <si>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</si>
  <si>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</si>
  <si>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</si>
  <si>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</si>
  <si>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</si>
  <si>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</si>
  <si>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</si>
  <si>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</si>
  <si>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</si>
  <si>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</si>
  <si>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</si>
  <si>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</si>
  <si>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</si>
  <si>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</si>
  <si>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</si>
  <si>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</si>
  <si>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</si>
  <si>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</si>
  <si>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</si>
  <si>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</si>
  <si>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</si>
  <si>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</si>
  <si>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</si>
  <si>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</si>
  <si>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</si>
  <si>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</si>
  <si>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</si>
  <si>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</si>
  <si>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</si>
  <si>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</si>
  <si>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</si>
  <si>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</si>
  <si>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</si>
  <si>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</si>
  <si>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</si>
  <si>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</si>
  <si>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</si>
  <si>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</si>
  <si>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</si>
  <si>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</si>
  <si>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</si>
  <si>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</si>
  <si>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</si>
  <si>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</si>
  <si>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</si>
  <si>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</si>
  <si>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</si>
  <si>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</si>
  <si>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</si>
  <si>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</si>
  <si>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</si>
  <si>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</si>
  <si>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</si>
  <si>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</si>
  <si>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</si>
  <si>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</si>
  <si>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</si>
  <si>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</si>
  <si>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</si>
  <si>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</si>
  <si>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</si>
  <si>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</si>
  <si>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</si>
  <si>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</si>
  <si>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</si>
  <si>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</si>
  <si>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</si>
  <si>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</si>
  <si>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</si>
  <si>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</si>
  <si>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</si>
  <si>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</si>
  <si>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</si>
  <si>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</si>
  <si>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</si>
  <si>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</si>
  <si>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</si>
  <si>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</si>
  <si>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</si>
  <si>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</si>
  <si>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</si>
  <si>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</si>
  <si>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</si>
  <si>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</si>
  <si>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</si>
  <si>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</si>
  <si>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</si>
  <si>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</si>
  <si>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</si>
  <si>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</si>
  <si>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</si>
  <si>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</si>
  <si>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</si>
  <si>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</si>
  <si>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</si>
  <si>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</si>
  <si>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</si>
  <si>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</si>
  <si>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</si>
  <si>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</si>
  <si>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</si>
  <si>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</si>
  <si>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</si>
  <si>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</si>
  <si>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</si>
  <si>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</si>
  <si>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</si>
  <si>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</si>
  <si>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</si>
  <si>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</si>
  <si>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</si>
  <si>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</si>
  <si>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</si>
  <si>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</si>
  <si>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</si>
  <si>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</si>
  <si>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</si>
  <si>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</si>
  <si>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</si>
  <si>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</si>
  <si>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</si>
  <si>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</si>
  <si>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</si>
  <si>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</si>
  <si>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</si>
  <si>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</si>
  <si>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</si>
  <si>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</si>
  <si>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</si>
  <si>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</si>
  <si>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</si>
  <si>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</si>
  <si>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</si>
  <si>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</si>
  <si>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</si>
  <si>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</si>
  <si>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</si>
  <si>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</si>
  <si>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</si>
  <si>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</si>
  <si>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</si>
  <si>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</si>
  <si>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</si>
  <si>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</si>
  <si>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</si>
  <si>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</si>
  <si>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</si>
  <si>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</si>
  <si>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</si>
  <si>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</si>
  <si>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</si>
  <si>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</si>
  <si>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</si>
  <si>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</si>
  <si>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</si>
  <si>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</si>
  <si>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</si>
  <si>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</si>
  <si>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</si>
  <si>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</si>
  <si>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</si>
  <si>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</si>
  <si>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</si>
  <si>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</si>
  <si>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</si>
  <si>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</si>
  <si>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</si>
  <si>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</si>
  <si>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</si>
  <si>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</si>
  <si>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</si>
  <si>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</si>
  <si>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</si>
  <si>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</si>
  <si>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</si>
  <si>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</si>
  <si>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</si>
  <si>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</si>
  <si>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</si>
  <si>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</si>
  <si>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</si>
  <si>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</si>
  <si>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</si>
  <si>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</si>
  <si>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</si>
  <si>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</si>
  <si>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</si>
  <si>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</si>
  <si>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</si>
  <si>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</si>
  <si>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</si>
  <si>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</si>
  <si>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</si>
  <si>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</si>
  <si>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</si>
  <si>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</si>
  <si>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</si>
  <si>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</si>
  <si>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</si>
  <si>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</si>
  <si>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</si>
  <si>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</si>
  <si>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</si>
  <si>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</si>
  <si>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</si>
  <si>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</si>
  <si>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</si>
  <si>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</si>
  <si>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</si>
  <si>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</si>
  <si>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</si>
  <si>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</si>
  <si>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</si>
  <si>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</si>
  <si>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</si>
  <si>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</si>
  <si>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</si>
  <si>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</si>
  <si>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</si>
  <si>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</si>
  <si>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</si>
  <si>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</si>
  <si>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</si>
  <si>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</si>
  <si>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</si>
  <si>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</si>
  <si>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</si>
  <si>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</si>
  <si>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</si>
  <si>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</si>
  <si>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</si>
  <si>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</si>
  <si>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</si>
  <si>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</si>
  <si>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</si>
  <si>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</si>
  <si>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</si>
  <si>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</si>
  <si>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</si>
  <si>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</si>
  <si>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</si>
  <si>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</si>
  <si>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</si>
  <si>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</si>
  <si>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</si>
  <si>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</si>
  <si>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</si>
  <si>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</si>
  <si>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</si>
  <si>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</si>
  <si>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</si>
  <si>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</si>
  <si>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</si>
  <si>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</si>
  <si>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</si>
  <si>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</si>
  <si>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</si>
  <si>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</si>
  <si>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</si>
  <si>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</si>
  <si>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</si>
  <si>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</si>
  <si>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</si>
  <si>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</si>
  <si>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</si>
  <si>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</si>
  <si>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</si>
  <si>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</si>
  <si>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</si>
  <si>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</si>
  <si>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</si>
  <si>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</si>
  <si>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</si>
  <si>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</si>
  <si>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</si>
  <si>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</si>
  <si>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</si>
  <si>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</si>
  <si>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</si>
  <si>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</si>
  <si>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</si>
  <si>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</si>
  <si>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</si>
  <si>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</si>
  <si>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</si>
  <si>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</si>
  <si>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</si>
  <si>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</si>
  <si>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</si>
  <si>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</si>
  <si>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</si>
  <si>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</si>
  <si>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</si>
  <si>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</si>
  <si>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</si>
  <si>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</si>
  <si>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</si>
  <si>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</si>
  <si>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</si>
  <si>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</si>
  <si>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</si>
  <si>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</si>
  <si>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</si>
  <si>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</si>
  <si>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</si>
  <si>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</si>
  <si>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</si>
  <si>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</si>
  <si>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</si>
  <si>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</si>
  <si>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</si>
  <si>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</si>
  <si>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</si>
  <si>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</si>
  <si>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</si>
  <si>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</si>
  <si>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</si>
  <si>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</si>
  <si>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</si>
  <si>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</si>
  <si>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</si>
  <si>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</si>
  <si>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</si>
  <si>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</si>
  <si>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</si>
  <si>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</si>
  <si>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</si>
  <si>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</si>
  <si>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</si>
  <si>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</si>
  <si>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</si>
  <si>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</si>
  <si>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</si>
  <si>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</si>
  <si>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</si>
  <si>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</si>
  <si>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</si>
  <si>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</si>
  <si>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</si>
  <si>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</si>
  <si>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</si>
  <si>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</si>
  <si>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</si>
  <si>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</si>
  <si>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</si>
  <si>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</si>
  <si>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</si>
  <si>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</si>
  <si>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</si>
  <si>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</si>
  <si>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</si>
  <si>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</si>
  <si>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</si>
  <si>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</si>
  <si>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</si>
  <si>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</si>
  <si>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</si>
  <si>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</si>
  <si>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</si>
  <si>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</si>
  <si>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</si>
  <si>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</si>
  <si>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</si>
  <si>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</si>
  <si>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</si>
  <si>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</si>
  <si>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</si>
  <si>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</si>
  <si>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</si>
  <si>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</si>
  <si>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</si>
  <si>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</si>
  <si>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</si>
  <si>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</si>
  <si>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</si>
  <si>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</si>
  <si>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</si>
  <si>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</si>
  <si>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</si>
  <si>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</si>
  <si>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</si>
  <si>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</si>
  <si>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</si>
  <si>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</si>
  <si>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</si>
  <si>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</si>
  <si>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</si>
  <si>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</si>
  <si>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</si>
  <si>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</si>
  <si>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</si>
  <si>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</si>
  <si>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</si>
  <si>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</si>
  <si>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</si>
  <si>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</si>
  <si>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</si>
  <si>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</si>
  <si>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</si>
  <si>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</si>
  <si>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</si>
  <si>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</si>
  <si>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</si>
  <si>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</si>
  <si>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</si>
  <si>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</si>
  <si>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</si>
  <si>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</si>
  <si>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</si>
  <si>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</si>
  <si>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</si>
  <si>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</si>
  <si>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</si>
  <si>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</si>
  <si>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</si>
  <si>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</si>
  <si>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</si>
  <si>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</si>
  <si>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</si>
  <si>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</si>
  <si>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</si>
  <si>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</si>
  <si>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</si>
  <si>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</si>
  <si>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</si>
  <si>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</si>
  <si>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</si>
  <si>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</si>
  <si>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</si>
  <si>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</si>
  <si>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</si>
  <si>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</si>
  <si>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</si>
  <si>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</si>
  <si>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</si>
  <si>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</si>
  <si>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</si>
  <si>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</si>
  <si>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</si>
  <si>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</si>
  <si>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</si>
  <si>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</si>
  <si>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</si>
  <si>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</si>
  <si>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</si>
  <si>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</si>
  <si>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</si>
  <si>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</si>
  <si>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</si>
  <si>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</si>
  <si>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</si>
  <si>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</si>
  <si>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</si>
  <si>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</si>
  <si>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</si>
  <si>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</si>
  <si>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</si>
  <si>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</si>
  <si>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</si>
  <si>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</si>
  <si>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</si>
  <si>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</si>
  <si>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</si>
  <si>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</si>
  <si>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</si>
  <si>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</si>
  <si>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</si>
  <si>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</si>
  <si>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</si>
  <si>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</si>
  <si>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</si>
  <si>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</si>
  <si>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</si>
  <si>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</si>
  <si>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</si>
  <si>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</si>
  <si>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</si>
  <si>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</si>
  <si>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</si>
  <si>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</si>
  <si>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</si>
  <si>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</si>
  <si>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</si>
  <si>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</si>
  <si>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</si>
  <si>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</si>
  <si>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</si>
  <si>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</si>
  <si>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</si>
  <si>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</si>
  <si>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</si>
  <si>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</si>
  <si>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</si>
  <si>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</si>
  <si>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</si>
  <si>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</si>
  <si>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</si>
  <si>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</si>
  <si>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</si>
  <si>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</si>
  <si>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</si>
  <si>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</si>
  <si>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</si>
  <si>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</si>
  <si>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</si>
  <si>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</si>
  <si>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</si>
  <si>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</si>
  <si>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</si>
  <si>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</si>
  <si>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</si>
  <si>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</si>
  <si>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</si>
  <si>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</si>
  <si>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</si>
  <si>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</si>
  <si>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</si>
  <si>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</si>
  <si>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</si>
  <si>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</si>
  <si>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</si>
  <si>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</si>
  <si>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</si>
  <si>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</si>
  <si>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</si>
  <si>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</si>
  <si>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</si>
  <si>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</si>
  <si>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</si>
  <si>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</si>
  <si>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</si>
  <si>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</si>
  <si>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</si>
  <si>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</si>
  <si>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</si>
  <si>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</si>
  <si>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</si>
  <si>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</si>
  <si>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</si>
  <si>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</si>
  <si>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</si>
  <si>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</si>
  <si>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</si>
  <si>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</si>
  <si>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24دی1400</t>
  </si>
  <si>
    <t>روند روزانه بهای سکه و ارز ( شنبه 25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</si>
</sst>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9728"/>
        <c:axId val="464131152"/>
      </c:lineChart>
      <c:catAx>
        <c:axId val="4641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152"/>
        <c:crosses val="autoZero"/>
        <c:auto val="1"/>
        <c:lblAlgn val="ctr"/>
        <c:lblOffset val="100"/>
        <c:noMultiLvlLbl val="0"/>
      </c:catAx>
      <c:valAx>
        <c:axId val="4641311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9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6464"/>
        <c:axId val="46412081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46411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0816"/>
        <c:crosses val="autoZero"/>
        <c:auto val="1"/>
        <c:lblAlgn val="ctr"/>
        <c:lblOffset val="100"/>
        <c:noMultiLvlLbl val="0"/>
      </c:catAx>
      <c:valAx>
        <c:axId val="46412081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6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4624"/>
        <c:axId val="464125712"/>
      </c:lineChart>
      <c:catAx>
        <c:axId val="4641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5712"/>
        <c:crosses val="autoZero"/>
        <c:auto val="1"/>
        <c:lblAlgn val="ctr"/>
        <c:lblOffset val="100"/>
        <c:noMultiLvlLbl val="0"/>
      </c:catAx>
      <c:valAx>
        <c:axId val="46412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46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7008"/>
        <c:axId val="464128432"/>
      </c:lineChart>
      <c:catAx>
        <c:axId val="4641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432"/>
        <c:crosses val="autoZero"/>
        <c:auto val="1"/>
        <c:lblAlgn val="ctr"/>
        <c:lblOffset val="100"/>
        <c:noMultiLvlLbl val="0"/>
      </c:catAx>
      <c:valAx>
        <c:axId val="464128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7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7888"/>
        <c:axId val="464121904"/>
      </c:lineChart>
      <c:catAx>
        <c:axId val="46412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1904"/>
        <c:crosses val="autoZero"/>
        <c:auto val="1"/>
        <c:lblAlgn val="ctr"/>
        <c:lblOffset val="100"/>
        <c:noMultiLvlLbl val="0"/>
      </c:catAx>
      <c:valAx>
        <c:axId val="464121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7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5281-4C30-9CF1-73C1217761A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5281-4C30-9CF1-73C1217761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5281-4C30-9CF1-73C1217761A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5281-4C30-9CF1-73C1217761A7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30064"/>
        <c:axId val="464131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5281-4C30-9CF1-73C1217761A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5281-4C30-9CF1-73C1217761A7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4641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696"/>
        <c:crosses val="autoZero"/>
        <c:auto val="1"/>
        <c:lblAlgn val="ctr"/>
        <c:lblOffset val="100"/>
        <c:noMultiLvlLbl val="0"/>
      </c:catAx>
      <c:valAx>
        <c:axId val="4641316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22448"/>
        <c:axId val="464128976"/>
      </c:barChart>
      <c:catAx>
        <c:axId val="46412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976"/>
        <c:crosses val="autoZero"/>
        <c:auto val="1"/>
        <c:lblAlgn val="ctr"/>
        <c:lblOffset val="100"/>
        <c:noMultiLvlLbl val="0"/>
      </c:catAx>
      <c:valAx>
        <c:axId val="4641289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24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1"/>
          <c:order val="7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change'!$F$153:$I$153</c:f>
              <c:numCache>
                <c:formatCode>General</c:formatCode>
                <c:ptCount val="4"/>
                <c:pt idx="0">
                  <c:v>-2.3131672597864767</c:v>
                </c:pt>
                <c:pt idx="1">
                  <c:v>-0.92966855295068718</c:v>
                </c:pt>
                <c:pt idx="2">
                  <c:v>-1.5385867795506349</c:v>
                </c:pt>
                <c:pt idx="3">
                  <c:v>-0.87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90-4A8F-9CD0-3A7D34C8A1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4126800"/>
        <c:axId val="4641306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</c:ext>
        </c:extLst>
      </c:barChart>
      <c:catAx>
        <c:axId val="46412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608"/>
        <c:crosses val="autoZero"/>
        <c:auto val="1"/>
        <c:lblAlgn val="ctr"/>
        <c:lblOffset val="100"/>
        <c:noMultiLvlLbl val="0"/>
      </c:catAx>
      <c:valAx>
        <c:axId val="464130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68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44"/>
  <sheetViews>
    <sheetView topLeftCell="V1" zoomScaleNormal="100" workbookViewId="0">
      <pane ySplit="1" topLeftCell="A215" activePane="bottomLeft" state="frozen"/>
      <selection activeCell="B1" sqref="B1"/>
      <selection pane="bottomLeft" activeCell="X230" sqref="X230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L229/G229</f>
        <v>25525.574323740966</v>
      </c>
      <c r="T1" s="3" t="s">
        <v>15</v>
      </c>
      <c r="U1" s="3">
        <f>M229/K229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7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36" customFormat="1" ht="18">
      <c r="B228" s="131" t="s">
        <v>580</v>
      </c>
      <c r="C228" s="104">
        <v>24</v>
      </c>
      <c r="D228" s="137">
        <v>26072</v>
      </c>
      <c r="H228" s="136">
        <v>28938</v>
      </c>
      <c r="L228" s="208"/>
      <c r="M228" s="208"/>
      <c r="P228" s="136">
        <v>26332</v>
      </c>
      <c r="Q228" s="136">
        <v>29227</v>
      </c>
      <c r="V228" s="136">
        <v>27850</v>
      </c>
      <c r="X228" s="136">
        <v>27450</v>
      </c>
      <c r="Y228" s="136">
        <v>31681</v>
      </c>
      <c r="Z228" s="138"/>
      <c r="AB228" s="137"/>
      <c r="AS228" s="137"/>
      <c r="AW228" s="137"/>
      <c r="BI228" s="177"/>
      <c r="BO228" s="151"/>
      <c r="BP228" s="151"/>
      <c r="BQ228" s="151"/>
      <c r="BR228" s="151"/>
    </row>
    <row r="229" spans="2:70" ht="18">
      <c r="D229" s="26"/>
      <c r="G229">
        <f>SUM(G2:G216)</f>
        <v>1507843699</v>
      </c>
      <c r="K229">
        <f>SUM(K2:K216)</f>
        <v>210358000</v>
      </c>
      <c r="L229" s="142">
        <f>SUM(L2:L216)</f>
        <v>38488576407409</v>
      </c>
      <c r="M229" s="142">
        <f>SUM(M2:M216)</f>
        <v>6182194847600</v>
      </c>
      <c r="N229">
        <f>P226-N225</f>
        <v>104</v>
      </c>
      <c r="V229" s="144">
        <v>27740</v>
      </c>
      <c r="Z229" s="25"/>
      <c r="AS229" s="26"/>
      <c r="AW229" s="30"/>
    </row>
    <row r="230" spans="2:70" ht="18">
      <c r="D230">
        <f>F227-D228</f>
        <v>186</v>
      </c>
      <c r="E230">
        <f>D226-F225</f>
        <v>41</v>
      </c>
      <c r="O230">
        <f>P228-N227</f>
        <v>-190</v>
      </c>
      <c r="U230">
        <f>(X224-X210)/X210</f>
        <v>-8.9256198347107435E-2</v>
      </c>
      <c r="V230" s="144"/>
      <c r="Z230" s="25"/>
      <c r="AS230" s="26"/>
      <c r="AW230" s="30"/>
    </row>
    <row r="231" spans="2:70" ht="18">
      <c r="I231">
        <f>(G214-G229)/G214</f>
        <v>-187.200514110261</v>
      </c>
      <c r="J231">
        <f>J206-J205</f>
        <v>-347</v>
      </c>
      <c r="V231" s="144"/>
      <c r="W231" s="152"/>
      <c r="X231">
        <f>X228-X227</f>
        <v>-400</v>
      </c>
      <c r="Z231" s="25"/>
      <c r="AS231" s="26"/>
      <c r="AW231" s="30"/>
    </row>
    <row r="232" spans="2:70" ht="18">
      <c r="D232" s="93"/>
      <c r="E232">
        <f>D217-F216</f>
        <v>54</v>
      </c>
      <c r="V232" s="129"/>
      <c r="W232" s="152"/>
      <c r="Z232" s="25"/>
      <c r="AW232" s="30"/>
    </row>
    <row r="233" spans="2:70" ht="17.25" customHeight="1">
      <c r="D233" s="93"/>
      <c r="P233" t="s">
        <v>523</v>
      </c>
      <c r="Q233" t="s">
        <v>524</v>
      </c>
      <c r="V233" s="25"/>
      <c r="W233" s="152"/>
      <c r="Z233" s="25"/>
    </row>
    <row r="234" spans="2:70" ht="18">
      <c r="D234" s="93"/>
      <c r="O234" s="126" t="s">
        <v>503</v>
      </c>
      <c r="P234">
        <v>-178</v>
      </c>
      <c r="Q234">
        <v>-180</v>
      </c>
      <c r="V234" s="25"/>
      <c r="W234" s="152"/>
      <c r="Z234" s="25"/>
    </row>
    <row r="235" spans="2:70" ht="18">
      <c r="D235" s="93"/>
      <c r="H235">
        <f>(27376-26532)/26532</f>
        <v>3.1810643750942259E-2</v>
      </c>
      <c r="O235" s="132" t="s">
        <v>505</v>
      </c>
      <c r="P235">
        <v>59</v>
      </c>
      <c r="Q235">
        <v>59</v>
      </c>
      <c r="V235" s="25"/>
      <c r="W235" s="152"/>
      <c r="X235">
        <v>30920</v>
      </c>
      <c r="Y235">
        <f>(30920-28470)/30920</f>
        <v>7.923673997412678E-2</v>
      </c>
    </row>
    <row r="236" spans="2:70" ht="18">
      <c r="D236" s="93"/>
      <c r="N236">
        <f t="shared" ref="N236:N240" si="42">N199-N198</f>
        <v>-15</v>
      </c>
      <c r="O236" s="132" t="s">
        <v>507</v>
      </c>
      <c r="P236">
        <v>-17</v>
      </c>
      <c r="Q236">
        <v>-16</v>
      </c>
      <c r="V236" s="25"/>
      <c r="W236" s="152"/>
    </row>
    <row r="237" spans="2:70" ht="18">
      <c r="D237" s="107"/>
      <c r="N237">
        <f t="shared" si="42"/>
        <v>-12</v>
      </c>
      <c r="O237" s="132" t="s">
        <v>509</v>
      </c>
      <c r="P237">
        <v>-163</v>
      </c>
      <c r="Q237">
        <v>-165</v>
      </c>
      <c r="V237">
        <f>(3207-3086)/3086</f>
        <v>3.9209332469215812E-2</v>
      </c>
      <c r="W237" s="144"/>
    </row>
    <row r="238" spans="2:70" ht="18">
      <c r="D238" s="107"/>
      <c r="N238">
        <f t="shared" si="42"/>
        <v>-137</v>
      </c>
      <c r="O238" s="132" t="s">
        <v>511</v>
      </c>
      <c r="P238">
        <v>50</v>
      </c>
      <c r="Q238">
        <v>50</v>
      </c>
      <c r="W238" s="144">
        <f>V222-X221</f>
        <v>280</v>
      </c>
      <c r="X238" s="109"/>
    </row>
    <row r="239" spans="2:70" ht="18">
      <c r="D239" s="113"/>
      <c r="N239">
        <f t="shared" si="42"/>
        <v>-138</v>
      </c>
      <c r="O239" s="145" t="s">
        <v>513</v>
      </c>
      <c r="P239">
        <v>-15</v>
      </c>
      <c r="Q239">
        <v>-15</v>
      </c>
      <c r="W239" s="144"/>
      <c r="X239" s="109"/>
      <c r="Y239">
        <f>(W237-X215)/X215</f>
        <v>-1</v>
      </c>
    </row>
    <row r="240" spans="2:70" ht="18">
      <c r="D240" s="107"/>
      <c r="G240" s="9"/>
      <c r="N240">
        <f t="shared" si="42"/>
        <v>-43</v>
      </c>
      <c r="O240" s="145" t="s">
        <v>515</v>
      </c>
      <c r="P240">
        <v>-12</v>
      </c>
      <c r="Q240">
        <v>-12</v>
      </c>
      <c r="W240">
        <f>(42664-41338)/41338</f>
        <v>3.2077023561855919E-2</v>
      </c>
      <c r="X240" s="109"/>
    </row>
    <row r="241" spans="4:24" ht="18">
      <c r="D241" s="103"/>
      <c r="G241" s="9"/>
      <c r="N241">
        <f>N229-N203</f>
        <v>-27275</v>
      </c>
      <c r="O241" s="148" t="s">
        <v>517</v>
      </c>
      <c r="P241">
        <v>-136</v>
      </c>
      <c r="Q241">
        <v>-137</v>
      </c>
      <c r="X241" s="109"/>
    </row>
    <row r="242" spans="4:24" ht="18">
      <c r="G242" s="9"/>
      <c r="O242" s="145" t="s">
        <v>519</v>
      </c>
      <c r="P242">
        <v>-137</v>
      </c>
      <c r="Q242">
        <v>-138</v>
      </c>
      <c r="X242" s="109"/>
    </row>
    <row r="243" spans="4:24" ht="18">
      <c r="G243" s="9"/>
      <c r="O243" s="131" t="s">
        <v>521</v>
      </c>
      <c r="P243">
        <v>-42</v>
      </c>
      <c r="Q243">
        <v>-43</v>
      </c>
      <c r="X243" s="109"/>
    </row>
    <row r="244" spans="4:24" ht="18">
      <c r="G244" s="9"/>
    </row>
  </sheetData>
  <autoFilter ref="A1:BN231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opLeftCell="A124" zoomScale="25" zoomScaleNormal="25" workbookViewId="0">
      <selection activeCell="BF153" sqref="BF153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1"/>
  <sheetViews>
    <sheetView tabSelected="1" topLeftCell="A1977" zoomScaleNormal="100" workbookViewId="0">
      <selection activeCell="D1996" sqref="D1996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2" t="s">
        <v>572</v>
      </c>
      <c r="B1940" s="212"/>
      <c r="C1940" s="212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2" t="s">
        <v>574</v>
      </c>
      <c r="B1953" s="212"/>
      <c r="C1953" s="212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2" t="s">
        <v>576</v>
      </c>
      <c r="B1966" s="212"/>
      <c r="C1966" s="212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2" t="s">
        <v>578</v>
      </c>
      <c r="B1979" s="212"/>
      <c r="C1979" s="212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2" t="s">
        <v>581</v>
      </c>
      <c r="B1992" s="212"/>
      <c r="C1992" s="212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4:4">
      <c r="D2001">
        <f>B2000-D1983</f>
        <v>-150000</v>
      </c>
    </row>
  </sheetData>
  <mergeCells count="172">
    <mergeCell ref="A1992:C1992"/>
    <mergeCell ref="A1979:C1979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A12" sqref="A12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4" t="s">
        <v>373</v>
      </c>
      <c r="B1" s="214"/>
      <c r="C1" s="214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53"/>
  <sheetViews>
    <sheetView topLeftCell="B1" zoomScale="85" zoomScaleNormal="85" workbookViewId="0">
      <selection activeCell="E4" sqref="E4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3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2022-01-15T12:31:21Z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