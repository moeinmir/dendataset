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set'!$A$1:$BN$210</definedName>
    <definedName name="_xlnm._FilterDatabase" localSheetId="1" hidden="1">weekly!$A$1:$K$51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I207" i="1" l="1"/>
  <c r="B1741" i="3"/>
  <c r="X212" i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G208" i="1" l="1"/>
  <c r="G213" i="1" s="1"/>
  <c r="J210" i="1"/>
  <c r="F210" i="1"/>
  <c r="H134" i="5" l="1"/>
  <c r="G134" i="5"/>
  <c r="F134" i="5"/>
  <c r="W219" i="1" l="1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Q15" i="1" s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Q27" i="1" s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Q39" i="1" s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Q51" i="1" s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Q63" i="1" s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Q75" i="1" s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Q87" i="1" s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Q99" i="1" s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Q111" i="1" s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Q123" i="1" s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Q135" i="1" s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Q147" i="1" s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Q159" i="1" s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Q171" i="1" s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Q183" i="1" s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Q195" i="1" s="1"/>
  <c r="BO196" i="1"/>
  <c r="BO197" i="1"/>
  <c r="BO198" i="1"/>
  <c r="BO199" i="1"/>
  <c r="BO200" i="1"/>
  <c r="BO201" i="1"/>
  <c r="BO202" i="1"/>
  <c r="BO203" i="1"/>
  <c r="BP13" i="1"/>
  <c r="BO13" i="1"/>
  <c r="N211" i="1"/>
  <c r="N212" i="1"/>
  <c r="N213" i="1"/>
  <c r="N214" i="1"/>
  <c r="N215" i="1"/>
  <c r="N216" i="1"/>
  <c r="N217" i="1"/>
  <c r="N218" i="1"/>
  <c r="N219" i="1"/>
  <c r="N220" i="1"/>
  <c r="N210" i="1"/>
  <c r="BQ203" i="1" l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K208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2" i="2" l="1"/>
  <c r="J4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1" i="2"/>
  <c r="G50" i="2"/>
  <c r="G49" i="2"/>
  <c r="G48" i="2"/>
  <c r="G47" i="2"/>
  <c r="G46" i="2"/>
  <c r="G45" i="2"/>
  <c r="G44" i="2"/>
  <c r="G43" i="2"/>
  <c r="D39" i="2"/>
  <c r="C39" i="2"/>
  <c r="B3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3" i="2" s="1"/>
  <c r="G16" i="2"/>
  <c r="E16" i="2"/>
  <c r="C4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8" i="1" l="1"/>
  <c r="U1" i="1" s="1"/>
  <c r="L208" i="1"/>
  <c r="S1" i="1" s="1"/>
</calcChain>
</file>

<file path=xl/sharedStrings.xml><?xml version="1.0" encoding="utf-8"?>
<sst xmlns="http://schemas.openxmlformats.org/spreadsheetml/2006/main" count="1852" uniqueCount="535">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</sst>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8" fillId="13" borderId="0" xfId="0" applyFont="1" applyFill="1" applyBorder="1" applyAlignment="1">
      <alignment horizontal="right"/>
    </xf>
    <xf numFmtId="0" fontId="1" fillId="13" borderId="3" xfId="0" applyFont="1" applyFill="1" applyBorder="1"/>
    <xf numFmtId="0" fontId="1" fillId="9" borderId="3" xfId="0" applyFont="1" applyFill="1" applyBorder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8" fillId="11" borderId="0" xfId="0" applyFont="1" applyFill="1" applyBorder="1" applyAlignment="1">
      <alignment horizontal="right"/>
    </xf>
    <xf numFmtId="0" fontId="1" fillId="25" borderId="0" xfId="0" applyFont="1" applyFill="1" applyBorder="1"/>
    <xf numFmtId="0" fontId="1" fillId="11" borderId="3" xfId="0" applyFont="1" applyFill="1" applyBorder="1"/>
    <xf numFmtId="0" fontId="1" fillId="25" borderId="3" xfId="0" applyFont="1" applyFill="1" applyBorder="1"/>
    <xf numFmtId="0" fontId="0" fillId="26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0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0" fontId="7" fillId="14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2349184"/>
        <c:axId val="-782348640"/>
      </c:lineChart>
      <c:catAx>
        <c:axId val="-78234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48640"/>
        <c:crosses val="autoZero"/>
        <c:auto val="1"/>
        <c:lblAlgn val="ctr"/>
        <c:lblOffset val="100"/>
        <c:noMultiLvlLbl val="0"/>
      </c:catAx>
      <c:valAx>
        <c:axId val="-7823486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491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11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weekly!$B$27:$B$38</c15:sqref>
                  </c15:fullRef>
                </c:ext>
              </c:extLst>
              <c:f>weekly!$B$28:$B$38</c:f>
              <c:numCache>
                <c:formatCode>General</c:formatCode>
                <c:ptCount val="11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weekly!$H$27:$H$38</c15:sqref>
                  </c15:fullRef>
                </c:ext>
              </c:extLst>
              <c:f>weekly!$H$28:$H$38</c:f>
              <c:numCache>
                <c:formatCode>General</c:formatCode>
                <c:ptCount val="11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2357888"/>
        <c:axId val="-78234646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78235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46464"/>
        <c:crosses val="autoZero"/>
        <c:auto val="1"/>
        <c:lblAlgn val="ctr"/>
        <c:lblOffset val="100"/>
        <c:noMultiLvlLbl val="0"/>
      </c:catAx>
      <c:valAx>
        <c:axId val="-78234646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57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9945128987453443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weekly!$D$2:$D$38</c:f>
              <c:numCache>
                <c:formatCode>General</c:formatCode>
                <c:ptCount val="3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2345920"/>
        <c:axId val="-782345376"/>
      </c:lineChart>
      <c:catAx>
        <c:axId val="-78234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45376"/>
        <c:crosses val="autoZero"/>
        <c:auto val="1"/>
        <c:lblAlgn val="ctr"/>
        <c:lblOffset val="100"/>
        <c:noMultiLvlLbl val="0"/>
      </c:catAx>
      <c:valAx>
        <c:axId val="-782345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45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82360064"/>
        <c:axId val="-782353536"/>
      </c:lineChart>
      <c:catAx>
        <c:axId val="-78236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53536"/>
        <c:crosses val="autoZero"/>
        <c:auto val="1"/>
        <c:lblAlgn val="ctr"/>
        <c:lblOffset val="100"/>
        <c:noMultiLvlLbl val="0"/>
      </c:catAx>
      <c:valAx>
        <c:axId val="-782353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823600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5.7244528219706093E-3"/>
                  <c:y val="8.512883109065784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weekly!$F$2:$F$38</c:f>
              <c:numCache>
                <c:formatCode>General</c:formatCode>
                <c:ptCount val="3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85450560"/>
        <c:axId val="-985444576"/>
      </c:lineChart>
      <c:catAx>
        <c:axId val="-9854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85444576"/>
        <c:crosses val="autoZero"/>
        <c:auto val="1"/>
        <c:lblAlgn val="ctr"/>
        <c:lblOffset val="100"/>
        <c:noMultiLvlLbl val="0"/>
      </c:catAx>
      <c:valAx>
        <c:axId val="-9854445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85450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11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weekly!$C$27:$C$38</c15:sqref>
                  </c15:fullRef>
                </c:ext>
              </c:extLst>
              <c:f>weekly!$C$28:$C$38</c:f>
              <c:numCache>
                <c:formatCode>General</c:formatCode>
                <c:ptCount val="11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weekly!$I$27:$I$38</c15:sqref>
                  </c15:fullRef>
                </c:ext>
              </c:extLst>
              <c:f>weekly!$I$28:$I$38</c:f>
              <c:numCache>
                <c:formatCode>General</c:formatCode>
                <c:ptCount val="11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85442400"/>
        <c:axId val="-69189438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9854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91894384"/>
        <c:crosses val="autoZero"/>
        <c:auto val="1"/>
        <c:lblAlgn val="ctr"/>
        <c:lblOffset val="100"/>
        <c:noMultiLvlLbl val="0"/>
      </c:catAx>
      <c:valAx>
        <c:axId val="-69189438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854424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691898192"/>
        <c:axId val="-691893296"/>
      </c:barChart>
      <c:catAx>
        <c:axId val="-69189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91893296"/>
        <c:crosses val="autoZero"/>
        <c:auto val="1"/>
        <c:lblAlgn val="ctr"/>
        <c:lblOffset val="100"/>
        <c:noMultiLvlLbl val="0"/>
      </c:catAx>
      <c:valAx>
        <c:axId val="-6918932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918981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29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3"/>
          <c:order val="5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change'!$F$135:$I$135</c:f>
              <c:numCache>
                <c:formatCode>General</c:formatCode>
                <c:ptCount val="4"/>
                <c:pt idx="0">
                  <c:v>0.76871657754010692</c:v>
                </c:pt>
                <c:pt idx="1">
                  <c:v>0.34482758620689657</c:v>
                </c:pt>
                <c:pt idx="2">
                  <c:v>-0.10912775742458493</c:v>
                </c:pt>
                <c:pt idx="3">
                  <c:v>0.76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691889488"/>
        <c:axId val="-69189547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69188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91895472"/>
        <c:crosses val="autoZero"/>
        <c:auto val="1"/>
        <c:lblAlgn val="ctr"/>
        <c:lblOffset val="100"/>
        <c:noMultiLvlLbl val="0"/>
      </c:catAx>
      <c:valAx>
        <c:axId val="-6918954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918894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593</xdr:row>
      <xdr:rowOff>102960</xdr:rowOff>
    </xdr:from>
    <xdr:to>
      <xdr:col>11</xdr:col>
      <xdr:colOff>279360</xdr:colOff>
      <xdr:row>623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173</xdr:row>
      <xdr:rowOff>27711</xdr:rowOff>
    </xdr:from>
    <xdr:to>
      <xdr:col>41</xdr:col>
      <xdr:colOff>533400</xdr:colOff>
      <xdr:row>278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309</xdr:row>
      <xdr:rowOff>0</xdr:rowOff>
    </xdr:from>
    <xdr:to>
      <xdr:col>82</xdr:col>
      <xdr:colOff>0</xdr:colOff>
      <xdr:row>385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628</xdr:row>
      <xdr:rowOff>0</xdr:rowOff>
    </xdr:from>
    <xdr:to>
      <xdr:col>13</xdr:col>
      <xdr:colOff>354240</xdr:colOff>
      <xdr:row>658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408</xdr:row>
      <xdr:rowOff>0</xdr:rowOff>
    </xdr:from>
    <xdr:to>
      <xdr:col>83</xdr:col>
      <xdr:colOff>533400</xdr:colOff>
      <xdr:row>507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56</xdr:row>
      <xdr:rowOff>76321</xdr:rowOff>
    </xdr:from>
    <xdr:to>
      <xdr:col>44</xdr:col>
      <xdr:colOff>533400</xdr:colOff>
      <xdr:row>155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3"/>
  <sheetViews>
    <sheetView tabSelected="1" topLeftCell="W1" zoomScaleNormal="100" workbookViewId="0">
      <selection activeCell="Y208" sqref="Y20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65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L208/G208</f>
        <v>5010465.6043626536</v>
      </c>
      <c r="T1" s="3" t="s">
        <v>15</v>
      </c>
      <c r="U1" s="3">
        <f>M208/K208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65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65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65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6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65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65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65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65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65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65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66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66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66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66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66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66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67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67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67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67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67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67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8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8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8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8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8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8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9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9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9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9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9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70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70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70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70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70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8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8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8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8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8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8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71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71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71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71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71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71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9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9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8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9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9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9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70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70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70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70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9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9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9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9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9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9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70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70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70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70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70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70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9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9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9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9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9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9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70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70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70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70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70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9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8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9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9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9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66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66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66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9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9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9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66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66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66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66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66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9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9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9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9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9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70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70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9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9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9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9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7"/>
        <v>106487939200</v>
      </c>
      <c r="M112" s="43">
        <f t="shared" si="28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I112" s="172"/>
      <c r="BN112" s="14">
        <f t="shared" si="23"/>
        <v>2.2748086010476576</v>
      </c>
      <c r="BO112" s="14">
        <f t="shared" si="24"/>
        <v>628</v>
      </c>
      <c r="BP112" s="14">
        <f t="shared" si="25"/>
        <v>635</v>
      </c>
      <c r="BQ112" s="14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66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66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66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66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66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7"/>
        <v>134260629100</v>
      </c>
      <c r="M118" s="43">
        <f t="shared" si="28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I118" s="172"/>
      <c r="BN118" s="14">
        <f t="shared" si="23"/>
        <v>3.1761089818995938</v>
      </c>
      <c r="BO118" s="14">
        <f t="shared" si="24"/>
        <v>101</v>
      </c>
      <c r="BP118" s="14">
        <f t="shared" si="25"/>
        <v>102</v>
      </c>
      <c r="BQ118" s="1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9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7"/>
        <v>183448909700</v>
      </c>
      <c r="M120" s="51">
        <f t="shared" si="28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I120" s="173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7"/>
        <v>149141857900</v>
      </c>
      <c r="M121" s="57">
        <f t="shared" si="28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I121" s="174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7"/>
        <v>205309734400</v>
      </c>
      <c r="M122" s="57">
        <f t="shared" si="28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I122" s="174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7"/>
        <v>266569104600</v>
      </c>
      <c r="M123" s="57">
        <f t="shared" si="28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I123" s="174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7"/>
        <v>172687578300</v>
      </c>
      <c r="M124" s="51">
        <f t="shared" si="28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I124" s="173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I125" s="175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I126" s="175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I127" s="175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I128" s="175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I129" s="175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I130" s="175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I131" s="176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I132" s="176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I133" s="176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9"/>
        <v>264502422700</v>
      </c>
      <c r="M134" s="9">
        <f t="shared" si="30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I134" s="176"/>
      <c r="BN134" s="14">
        <f t="shared" si="23"/>
        <v>4.0438239433940728</v>
      </c>
      <c r="BO134" s="14">
        <f t="shared" si="24"/>
        <v>0</v>
      </c>
      <c r="BP134" s="14">
        <f t="shared" si="25"/>
        <v>0</v>
      </c>
      <c r="BQ134" s="14">
        <f t="shared" si="26"/>
        <v>0</v>
      </c>
    </row>
    <row r="135" spans="1:69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I135" s="176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I136" s="177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I137" s="178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I138" s="178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I139" s="178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I140" s="178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I141" s="178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I142" s="176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I143" s="176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I144" s="176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9"/>
        <v>110853636800</v>
      </c>
      <c r="M145" s="93">
        <f t="shared" si="30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I145" s="179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9"/>
        <v>214041993100</v>
      </c>
      <c r="M146" s="99">
        <f t="shared" si="30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I146" s="180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9"/>
        <v>176486960000</v>
      </c>
      <c r="M147" s="99">
        <f t="shared" si="30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I147" s="180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9"/>
        <v>220752610000</v>
      </c>
      <c r="M148" s="99">
        <f t="shared" si="30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I148" s="180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9"/>
        <v>156650915000</v>
      </c>
      <c r="M149" s="99">
        <f t="shared" si="30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I149" s="180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9"/>
        <v>225456814700</v>
      </c>
      <c r="M150" s="99">
        <f t="shared" si="30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I150" s="180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9"/>
        <v>167101812600</v>
      </c>
      <c r="M151" s="99">
        <f t="shared" si="30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I151" s="180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9"/>
        <v>239567814200</v>
      </c>
      <c r="M152" s="93">
        <f t="shared" si="30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I152" s="179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9"/>
        <v>236480193600</v>
      </c>
      <c r="M153" s="93">
        <f t="shared" si="30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I153" s="179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9"/>
        <v>225618976500</v>
      </c>
      <c r="M154" s="93">
        <f t="shared" si="30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I154" s="179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9"/>
        <v>247369613400</v>
      </c>
      <c r="M155" s="93">
        <f t="shared" si="30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I155" s="179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9"/>
        <v>255780758900</v>
      </c>
      <c r="M156" s="93">
        <f t="shared" si="30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I156" s="179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9"/>
        <v>184510967800</v>
      </c>
      <c r="M157" s="93">
        <f t="shared" si="30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I157" s="179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9"/>
        <v>249471569600</v>
      </c>
      <c r="M158" s="99">
        <f t="shared" si="30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I158" s="180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9"/>
        <v>205217875200</v>
      </c>
      <c r="M159" s="99">
        <f t="shared" si="30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I159" s="180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9"/>
        <v>261587595000</v>
      </c>
      <c r="M160" s="99">
        <f t="shared" si="30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I160" s="180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9"/>
        <v>322139986200</v>
      </c>
      <c r="M161" s="99">
        <f t="shared" si="30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I161" s="180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30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I162" s="180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I163" s="181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15" customFormat="1" ht="21" hidden="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2" si="35">F164*G164</f>
        <v>225462728400</v>
      </c>
      <c r="M164" s="99">
        <f t="shared" si="30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I164" s="182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21" customFormat="1" ht="21" hidden="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35"/>
        <v>297576936000</v>
      </c>
      <c r="M165" s="99">
        <f t="shared" si="30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I165" s="183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15" customFormat="1" ht="21" hidden="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35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I166" s="182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15" customFormat="1" ht="21" hidden="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35"/>
        <v>275474294400</v>
      </c>
      <c r="M167" s="99">
        <f t="shared" si="30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I167" s="182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21" customFormat="1" ht="21" hidden="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35"/>
        <v>180565344100</v>
      </c>
      <c r="M168" s="123">
        <f t="shared" si="30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I168" s="183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8" customFormat="1" ht="21" hidden="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35"/>
        <v>264826042800</v>
      </c>
      <c r="M169" s="99">
        <f t="shared" si="30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I169" s="184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8" customFormat="1" ht="21" hidden="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35"/>
        <v>269550278000</v>
      </c>
      <c r="M170" s="99">
        <f t="shared" si="30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I170" s="184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8" customFormat="1" ht="21" hidden="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35"/>
        <v>231825209400</v>
      </c>
      <c r="M171" s="99">
        <f t="shared" si="30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I171" s="184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8" customFormat="1" ht="21" hidden="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35"/>
        <v>280842822000</v>
      </c>
      <c r="M172" s="99">
        <f t="shared" si="30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I172" s="184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8" customFormat="1" ht="21" hidden="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35"/>
        <v>298348060000</v>
      </c>
      <c r="M173" s="99">
        <f t="shared" si="30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I173" s="184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8" customFormat="1" ht="21" hidden="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35"/>
        <v>194293123200</v>
      </c>
      <c r="M174" s="99">
        <f t="shared" si="30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I174" s="184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21" customFormat="1" ht="21" hidden="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35"/>
        <v>361436777500</v>
      </c>
      <c r="M175" s="123">
        <f t="shared" si="30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I175" s="183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15" customFormat="1" ht="21" hidden="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35"/>
        <v>321145765200</v>
      </c>
      <c r="M176" s="93">
        <f t="shared" si="30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I176" s="182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15" customFormat="1" ht="21" hidden="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35"/>
        <v>311738532300</v>
      </c>
      <c r="M177" s="93">
        <f t="shared" si="30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I177" s="182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15" customFormat="1" ht="21" hidden="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35"/>
        <v>340417605000</v>
      </c>
      <c r="M178" s="93">
        <f t="shared" si="30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I178" s="182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15" customFormat="1" ht="21" hidden="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35"/>
        <v>259574211400</v>
      </c>
      <c r="M179" s="93">
        <f t="shared" si="30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I179" s="182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15" customFormat="1" ht="21" hidden="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35"/>
        <v>232541672000</v>
      </c>
      <c r="M180" s="93">
        <f t="shared" si="30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I180" s="182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8" customFormat="1" ht="21" hidden="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35"/>
        <v>311949927000</v>
      </c>
      <c r="M181" s="93">
        <f t="shared" si="30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I181" s="184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8" customFormat="1" ht="21" hidden="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35"/>
        <v>303066802500</v>
      </c>
      <c r="M182" s="99">
        <f t="shared" si="30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I182" s="184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8" customFormat="1" ht="21" hidden="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35"/>
        <v>329025981000</v>
      </c>
      <c r="M183" s="99">
        <f t="shared" si="30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I183" s="184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8" customFormat="1" ht="21" hidden="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35"/>
        <v>417184732800</v>
      </c>
      <c r="M184" s="99">
        <f t="shared" si="30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I184" s="184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8" customFormat="1" ht="21" hidden="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35"/>
        <v>338444332800</v>
      </c>
      <c r="M185" s="99">
        <f t="shared" si="30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I185" s="184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8" customFormat="1" ht="21" hidden="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35"/>
        <v>209181897600</v>
      </c>
      <c r="M186" s="99">
        <f t="shared" si="30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I186" s="184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15" customFormat="1" ht="21" hidden="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35"/>
        <v>103472865300</v>
      </c>
      <c r="M187" s="93">
        <f t="shared" si="30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I187" s="182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15" customFormat="1" ht="21" hidden="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35"/>
        <v>102815271600</v>
      </c>
      <c r="M188" s="93">
        <f t="shared" si="30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I188" s="182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15" customFormat="1" ht="21" hidden="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35"/>
        <v>179335122400</v>
      </c>
      <c r="M189" s="93">
        <f t="shared" si="30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I189" s="182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15" customFormat="1" ht="21" hidden="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35"/>
        <v>170141241900</v>
      </c>
      <c r="M190" s="93">
        <f t="shared" si="30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I190" s="182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15" customFormat="1" ht="21" hidden="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35"/>
        <v>213066453600</v>
      </c>
      <c r="M191" s="93">
        <f t="shared" si="30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I191" s="182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15" customFormat="1" ht="21" hidden="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35"/>
        <v>158040192300</v>
      </c>
      <c r="M192" s="93">
        <f t="shared" si="30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I192" s="182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35" customFormat="1" ht="21" hidden="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35"/>
        <v>292304562000</v>
      </c>
      <c r="M193" s="93">
        <f t="shared" si="30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I193" s="185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35" customFormat="1" ht="21" hidden="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35"/>
        <v>238745520000</v>
      </c>
      <c r="M194" s="93">
        <f t="shared" ref="M194:M202" si="36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I194" s="185">
        <f t="shared" ref="BI194:BI207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35" customFormat="1" ht="21" hidden="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35"/>
        <v>261431313200</v>
      </c>
      <c r="M195" s="93">
        <f t="shared" si="36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I195" s="185">
        <f t="shared" si="37"/>
        <v>10.812869527367695</v>
      </c>
      <c r="BN195" s="141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35" customFormat="1" ht="21" hidden="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35"/>
        <v>245746021500</v>
      </c>
      <c r="M196" s="93">
        <f t="shared" si="36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I196" s="185">
        <f t="shared" si="37"/>
        <v>12.163093553886894</v>
      </c>
      <c r="BN196" s="141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45" customFormat="1" ht="18" hidden="1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35"/>
        <v>265930387800</v>
      </c>
      <c r="M197" s="93">
        <f t="shared" si="36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I197" s="185">
        <f t="shared" si="37"/>
        <v>12.014814276896264</v>
      </c>
      <c r="BN197" s="145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45" customFormat="1" ht="18" hidden="1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35"/>
        <v>195317730000</v>
      </c>
      <c r="M198" s="149">
        <f t="shared" si="36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  <c r="BI198" s="185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35"/>
        <v>203744554000</v>
      </c>
      <c r="M199" s="148">
        <f t="shared" si="36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  <c r="BI199" s="185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35"/>
        <v>221059875700</v>
      </c>
      <c r="M200" s="148">
        <f t="shared" si="36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  <c r="BI200" s="185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50" customFormat="1" ht="18">
      <c r="B201" s="151" t="s">
        <v>517</v>
      </c>
      <c r="C201" s="114">
        <v>22</v>
      </c>
      <c r="D201" s="152">
        <v>27416</v>
      </c>
      <c r="E201" s="150">
        <v>27287</v>
      </c>
      <c r="F201" s="150">
        <v>27386</v>
      </c>
      <c r="G201" s="150">
        <v>6759700</v>
      </c>
      <c r="H201" s="150">
        <v>31276</v>
      </c>
      <c r="I201" s="150">
        <v>31054</v>
      </c>
      <c r="J201" s="150">
        <v>31115</v>
      </c>
      <c r="K201" s="150">
        <v>495900</v>
      </c>
      <c r="L201" s="148">
        <f t="shared" si="35"/>
        <v>185121144200</v>
      </c>
      <c r="M201" s="148">
        <f t="shared" si="36"/>
        <v>15429928500</v>
      </c>
      <c r="N201" s="150">
        <v>27560</v>
      </c>
      <c r="O201" s="150">
        <v>31365</v>
      </c>
      <c r="P201" s="150">
        <v>27690</v>
      </c>
      <c r="Q201" s="150">
        <v>31588</v>
      </c>
      <c r="V201" s="150">
        <v>30130</v>
      </c>
      <c r="X201" s="150">
        <v>29760</v>
      </c>
      <c r="Y201" s="150">
        <v>33883</v>
      </c>
      <c r="Z201" s="153"/>
      <c r="AB201" s="152"/>
      <c r="AS201" s="152"/>
      <c r="AW201" s="152"/>
      <c r="BI201" s="185">
        <f t="shared" si="37"/>
        <v>8.6686628204191916</v>
      </c>
      <c r="BO201" s="157">
        <f t="shared" si="32"/>
        <v>-136</v>
      </c>
      <c r="BP201" s="157">
        <f t="shared" si="33"/>
        <v>-137</v>
      </c>
      <c r="BQ201" s="157">
        <f t="shared" si="34"/>
        <v>-1</v>
      </c>
    </row>
    <row r="202" spans="1:69" s="150" customFormat="1" ht="18">
      <c r="B202" s="151" t="s">
        <v>519</v>
      </c>
      <c r="C202" s="114">
        <v>23</v>
      </c>
      <c r="D202" s="152">
        <v>27309</v>
      </c>
      <c r="E202" s="150">
        <v>27150</v>
      </c>
      <c r="F202" s="150">
        <v>27250</v>
      </c>
      <c r="G202" s="150">
        <v>8314700</v>
      </c>
      <c r="H202" s="150">
        <v>31054</v>
      </c>
      <c r="I202" s="150">
        <v>30453</v>
      </c>
      <c r="J202" s="150">
        <v>30609</v>
      </c>
      <c r="K202" s="150">
        <v>523600</v>
      </c>
      <c r="L202" s="155">
        <f t="shared" si="35"/>
        <v>226575575000</v>
      </c>
      <c r="M202" s="155">
        <f t="shared" si="36"/>
        <v>16026872400</v>
      </c>
      <c r="N202" s="150">
        <v>27422</v>
      </c>
      <c r="O202" s="150">
        <v>30758</v>
      </c>
      <c r="P202" s="150">
        <v>27582</v>
      </c>
      <c r="Q202" s="150">
        <v>31365</v>
      </c>
      <c r="V202" s="150">
        <v>29530</v>
      </c>
      <c r="X202" s="150">
        <v>29580</v>
      </c>
      <c r="Y202" s="150">
        <v>33197</v>
      </c>
      <c r="Z202" s="153"/>
      <c r="AB202" s="152"/>
      <c r="AS202" s="152"/>
      <c r="AW202" s="152"/>
      <c r="BI202" s="185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50" customFormat="1" ht="18">
      <c r="B203" s="151" t="s">
        <v>521</v>
      </c>
      <c r="C203" s="114">
        <v>24</v>
      </c>
      <c r="D203" s="152">
        <v>27246</v>
      </c>
      <c r="E203" s="150">
        <v>27108</v>
      </c>
      <c r="F203" s="150">
        <v>27200</v>
      </c>
      <c r="G203" s="150">
        <v>8556900</v>
      </c>
      <c r="H203" s="150">
        <v>31025</v>
      </c>
      <c r="I203" s="150">
        <v>30679</v>
      </c>
      <c r="J203" s="150">
        <v>30578</v>
      </c>
      <c r="K203" s="150">
        <v>465600</v>
      </c>
      <c r="L203" s="148"/>
      <c r="M203" s="148"/>
      <c r="N203" s="150">
        <v>27379</v>
      </c>
      <c r="O203" s="150">
        <v>30986</v>
      </c>
      <c r="P203" s="150">
        <v>27519</v>
      </c>
      <c r="Q203" s="150">
        <v>31335</v>
      </c>
      <c r="V203" s="150">
        <v>30520</v>
      </c>
      <c r="X203" s="150">
        <v>30330</v>
      </c>
      <c r="Y203" s="150">
        <v>34414</v>
      </c>
      <c r="Z203" s="153"/>
      <c r="AB203" s="152"/>
      <c r="AS203" s="152"/>
      <c r="AW203" s="152"/>
      <c r="BI203" s="185">
        <f t="shared" si="37"/>
        <v>11.507352941176471</v>
      </c>
      <c r="BO203" s="157">
        <f t="shared" si="32"/>
        <v>-42</v>
      </c>
      <c r="BP203" s="157">
        <f t="shared" si="33"/>
        <v>-43</v>
      </c>
      <c r="BQ203" s="157">
        <f t="shared" si="34"/>
        <v>-1</v>
      </c>
    </row>
    <row r="204" spans="1:69" s="150" customFormat="1" ht="18">
      <c r="B204" s="151" t="s">
        <v>525</v>
      </c>
      <c r="C204" s="114">
        <v>25</v>
      </c>
      <c r="D204" s="152">
        <v>27203</v>
      </c>
      <c r="E204" s="150">
        <v>27217</v>
      </c>
      <c r="F204" s="150">
        <v>27202</v>
      </c>
      <c r="G204" s="150">
        <v>5656700</v>
      </c>
      <c r="H204" s="150">
        <v>30900</v>
      </c>
      <c r="I204" s="150">
        <v>30782</v>
      </c>
      <c r="J204" s="150">
        <v>30665</v>
      </c>
      <c r="K204" s="150">
        <v>629600</v>
      </c>
      <c r="L204" s="148"/>
      <c r="M204" s="148"/>
      <c r="N204" s="150">
        <v>27489</v>
      </c>
      <c r="O204" s="150">
        <v>31090</v>
      </c>
      <c r="P204" s="150">
        <v>27475</v>
      </c>
      <c r="Q204" s="150">
        <v>31209</v>
      </c>
      <c r="V204" s="150">
        <v>30140</v>
      </c>
      <c r="X204" s="150">
        <v>30180</v>
      </c>
      <c r="Y204" s="150">
        <v>34077</v>
      </c>
      <c r="Z204" s="153"/>
      <c r="AB204" s="152"/>
      <c r="AS204" s="152"/>
      <c r="AW204" s="152"/>
      <c r="BI204" s="185">
        <f t="shared" si="37"/>
        <v>10.947724432027057</v>
      </c>
      <c r="BO204" s="157"/>
      <c r="BP204" s="157"/>
      <c r="BQ204" s="157"/>
    </row>
    <row r="205" spans="1:69" s="159" customFormat="1" ht="18">
      <c r="B205" s="160" t="s">
        <v>528</v>
      </c>
      <c r="C205" s="127">
        <v>27</v>
      </c>
      <c r="D205" s="161">
        <v>27250</v>
      </c>
      <c r="E205" s="159">
        <v>27038</v>
      </c>
      <c r="F205" s="159">
        <v>27202</v>
      </c>
      <c r="G205" s="159">
        <v>7557900</v>
      </c>
      <c r="H205" s="159">
        <v>30899</v>
      </c>
      <c r="I205" s="159">
        <v>30807</v>
      </c>
      <c r="J205" s="159">
        <v>30669</v>
      </c>
      <c r="K205" s="159">
        <v>628800</v>
      </c>
      <c r="L205" s="162"/>
      <c r="M205" s="162"/>
      <c r="N205" s="159">
        <v>27309</v>
      </c>
      <c r="O205" s="159">
        <v>31115</v>
      </c>
      <c r="P205" s="159">
        <v>27520</v>
      </c>
      <c r="Q205" s="159">
        <v>31188</v>
      </c>
      <c r="V205" s="159">
        <v>30320</v>
      </c>
      <c r="X205" s="159">
        <v>30120</v>
      </c>
      <c r="Y205" s="159">
        <v>33943</v>
      </c>
      <c r="Z205" s="163"/>
      <c r="AB205" s="161"/>
      <c r="AS205" s="161"/>
      <c r="AW205" s="161"/>
      <c r="BI205" s="185">
        <f t="shared" si="37"/>
        <v>10.727152415263584</v>
      </c>
      <c r="BO205" s="164"/>
      <c r="BP205" s="164"/>
      <c r="BQ205" s="164"/>
    </row>
    <row r="206" spans="1:69" s="159" customFormat="1" ht="18">
      <c r="B206" s="160" t="s">
        <v>530</v>
      </c>
      <c r="C206" s="127">
        <v>28</v>
      </c>
      <c r="D206" s="161">
        <v>27067</v>
      </c>
      <c r="E206" s="159">
        <v>27117</v>
      </c>
      <c r="F206" s="159">
        <v>27083</v>
      </c>
      <c r="G206" s="159">
        <v>7252600</v>
      </c>
      <c r="H206" s="159">
        <v>30849</v>
      </c>
      <c r="I206" s="159">
        <v>30500</v>
      </c>
      <c r="J206" s="159">
        <v>30322</v>
      </c>
      <c r="K206" s="159">
        <v>850500</v>
      </c>
      <c r="L206" s="162"/>
      <c r="M206" s="162"/>
      <c r="N206" s="159">
        <v>27389</v>
      </c>
      <c r="O206" s="159">
        <v>30805</v>
      </c>
      <c r="P206" s="159">
        <v>27338</v>
      </c>
      <c r="Q206" s="159">
        <v>31157</v>
      </c>
      <c r="V206" s="159">
        <v>29770</v>
      </c>
      <c r="X206" s="159">
        <v>29920</v>
      </c>
      <c r="Y206" s="159">
        <v>33459</v>
      </c>
      <c r="Z206" s="163"/>
      <c r="AB206" s="161"/>
      <c r="AS206" s="161"/>
      <c r="AW206" s="161"/>
      <c r="BI206" s="185">
        <f t="shared" si="37"/>
        <v>10.475205848687368</v>
      </c>
      <c r="BO206" s="164"/>
      <c r="BP206" s="164"/>
      <c r="BQ206" s="164"/>
    </row>
    <row r="207" spans="1:69" s="142" customFormat="1" ht="18">
      <c r="B207" s="137" t="s">
        <v>532</v>
      </c>
      <c r="C207" s="110">
        <v>29</v>
      </c>
      <c r="D207" s="143">
        <v>27119</v>
      </c>
      <c r="E207" s="142">
        <v>27054</v>
      </c>
      <c r="F207" s="142">
        <v>27118</v>
      </c>
      <c r="G207" s="142">
        <v>8967800</v>
      </c>
      <c r="H207" s="142">
        <v>30626</v>
      </c>
      <c r="I207" s="142">
        <v>30250</v>
      </c>
      <c r="J207" s="142">
        <v>30317</v>
      </c>
      <c r="K207" s="142">
        <v>586500</v>
      </c>
      <c r="L207" s="156"/>
      <c r="M207" s="156"/>
      <c r="N207" s="142">
        <v>27324</v>
      </c>
      <c r="O207" s="142">
        <v>30552</v>
      </c>
      <c r="P207" s="142">
        <v>27391</v>
      </c>
      <c r="Q207" s="142">
        <v>30932</v>
      </c>
      <c r="V207" s="142">
        <v>30020</v>
      </c>
      <c r="X207" s="142">
        <v>30150</v>
      </c>
      <c r="Y207" s="142">
        <v>33662</v>
      </c>
      <c r="Z207" s="144"/>
      <c r="AB207" s="143"/>
      <c r="AS207" s="143"/>
      <c r="AW207" s="143"/>
      <c r="BI207" s="186">
        <f t="shared" si="37"/>
        <v>11.18076554318165</v>
      </c>
      <c r="BO207" s="158"/>
      <c r="BP207" s="158"/>
      <c r="BQ207" s="158"/>
    </row>
    <row r="208" spans="1:69" ht="18">
      <c r="D208" s="26"/>
      <c r="G208">
        <f>SUM(G2:G206)/205</f>
        <v>6972810.726829268</v>
      </c>
      <c r="K208">
        <f>SUM(K2:K199)</f>
        <v>199066300</v>
      </c>
      <c r="L208" s="148">
        <f>SUM(L2:L199)</f>
        <v>34937028312509</v>
      </c>
      <c r="M208" s="148">
        <f>SUM(M2:M199)</f>
        <v>5837557134600</v>
      </c>
      <c r="V208" s="150"/>
      <c r="Z208" s="25"/>
      <c r="AS208" s="26"/>
      <c r="AW208" s="30"/>
    </row>
    <row r="209" spans="4:49" ht="18">
      <c r="V209" s="150"/>
      <c r="Z209" s="25"/>
      <c r="AS209" s="26"/>
      <c r="AW209" s="30"/>
    </row>
    <row r="210" spans="4:49" ht="18">
      <c r="F210">
        <f>F206-F205</f>
        <v>-119</v>
      </c>
      <c r="J210">
        <f>J206-J205</f>
        <v>-347</v>
      </c>
      <c r="N210">
        <f t="shared" ref="N210:N219" si="38">N194-N193</f>
        <v>-180</v>
      </c>
      <c r="V210" s="150"/>
      <c r="Z210" s="25"/>
      <c r="AS210" s="26"/>
      <c r="AW210" s="30"/>
    </row>
    <row r="211" spans="4:49" ht="18">
      <c r="D211" s="99"/>
      <c r="N211">
        <f t="shared" si="38"/>
        <v>59</v>
      </c>
      <c r="V211" s="135"/>
      <c r="Z211" s="25"/>
      <c r="AW211" s="30"/>
    </row>
    <row r="212" spans="4:49" ht="17.25" customHeight="1">
      <c r="D212" s="99"/>
      <c r="N212">
        <f t="shared" si="38"/>
        <v>-16</v>
      </c>
      <c r="P212" t="s">
        <v>523</v>
      </c>
      <c r="Q212" t="s">
        <v>524</v>
      </c>
      <c r="V212" s="25"/>
      <c r="X212">
        <f>X207-X206</f>
        <v>230</v>
      </c>
      <c r="Z212" s="25"/>
    </row>
    <row r="213" spans="4:49" ht="18">
      <c r="D213" s="99"/>
      <c r="G213">
        <f>(G206-G208)/G208</f>
        <v>4.0125751885704775E-2</v>
      </c>
      <c r="N213">
        <f t="shared" si="38"/>
        <v>-165</v>
      </c>
      <c r="O213" s="132" t="s">
        <v>503</v>
      </c>
      <c r="P213">
        <v>-178</v>
      </c>
      <c r="Q213">
        <v>-180</v>
      </c>
      <c r="V213" s="25"/>
      <c r="W213" s="150">
        <v>30700</v>
      </c>
      <c r="Z213" s="25"/>
    </row>
    <row r="214" spans="4:49" ht="18">
      <c r="D214" s="99"/>
      <c r="N214">
        <f t="shared" si="38"/>
        <v>50</v>
      </c>
      <c r="O214" s="138" t="s">
        <v>505</v>
      </c>
      <c r="P214">
        <v>59</v>
      </c>
      <c r="Q214">
        <v>59</v>
      </c>
      <c r="V214" s="25"/>
      <c r="W214" s="150">
        <v>30280</v>
      </c>
    </row>
    <row r="215" spans="4:49" ht="18">
      <c r="D215" s="99"/>
      <c r="N215">
        <f t="shared" si="38"/>
        <v>-15</v>
      </c>
      <c r="O215" s="138" t="s">
        <v>507</v>
      </c>
      <c r="P215">
        <v>-17</v>
      </c>
      <c r="Q215">
        <v>-16</v>
      </c>
      <c r="V215" s="25"/>
      <c r="W215" s="150">
        <v>29760</v>
      </c>
    </row>
    <row r="216" spans="4:49" ht="18">
      <c r="D216" s="113"/>
      <c r="N216">
        <f t="shared" si="38"/>
        <v>-12</v>
      </c>
      <c r="O216" s="138" t="s">
        <v>509</v>
      </c>
      <c r="P216">
        <v>-163</v>
      </c>
      <c r="Q216">
        <v>-165</v>
      </c>
      <c r="W216" s="150">
        <v>29580</v>
      </c>
    </row>
    <row r="217" spans="4:49" ht="18">
      <c r="D217" s="113"/>
      <c r="N217">
        <f t="shared" si="38"/>
        <v>-137</v>
      </c>
      <c r="O217" s="138" t="s">
        <v>511</v>
      </c>
      <c r="P217">
        <v>50</v>
      </c>
      <c r="Q217">
        <v>50</v>
      </c>
      <c r="W217" s="150">
        <v>30330</v>
      </c>
      <c r="X217" s="115">
        <v>29150</v>
      </c>
    </row>
    <row r="218" spans="4:49" ht="18">
      <c r="D218" s="119"/>
      <c r="N218">
        <f t="shared" si="38"/>
        <v>-138</v>
      </c>
      <c r="O218" s="151" t="s">
        <v>513</v>
      </c>
      <c r="P218">
        <v>-15</v>
      </c>
      <c r="Q218">
        <v>-15</v>
      </c>
      <c r="W218" s="150">
        <v>30180</v>
      </c>
      <c r="X218" s="115">
        <v>29250</v>
      </c>
    </row>
    <row r="219" spans="4:49" ht="18">
      <c r="D219" s="113"/>
      <c r="G219" s="9"/>
      <c r="N219">
        <f t="shared" si="38"/>
        <v>-43</v>
      </c>
      <c r="O219" s="151" t="s">
        <v>515</v>
      </c>
      <c r="P219">
        <v>-12</v>
      </c>
      <c r="Q219">
        <v>-12</v>
      </c>
      <c r="W219">
        <f>SUM(W213:W218)/6</f>
        <v>30138.333333333332</v>
      </c>
      <c r="X219" s="115">
        <v>29500</v>
      </c>
    </row>
    <row r="220" spans="4:49" ht="18">
      <c r="D220" s="109"/>
      <c r="G220" s="9"/>
      <c r="N220">
        <f>N208-N203</f>
        <v>-27379</v>
      </c>
      <c r="O220" s="154" t="s">
        <v>517</v>
      </c>
      <c r="P220">
        <v>-136</v>
      </c>
      <c r="Q220">
        <v>-137</v>
      </c>
      <c r="X220" s="115">
        <v>29110</v>
      </c>
    </row>
    <row r="221" spans="4:49" ht="18">
      <c r="G221" s="9"/>
      <c r="O221" s="151" t="s">
        <v>519</v>
      </c>
      <c r="P221">
        <v>-137</v>
      </c>
      <c r="Q221">
        <v>-138</v>
      </c>
      <c r="X221" s="115">
        <v>29270</v>
      </c>
    </row>
    <row r="222" spans="4:49" ht="18">
      <c r="G222" s="9"/>
      <c r="O222" s="137" t="s">
        <v>521</v>
      </c>
      <c r="P222">
        <v>-42</v>
      </c>
      <c r="Q222">
        <v>-43</v>
      </c>
      <c r="X222" s="115">
        <v>29360</v>
      </c>
    </row>
    <row r="223" spans="4:49" ht="18">
      <c r="G223" s="9"/>
    </row>
  </sheetData>
  <autoFilter ref="A1:BN21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opLeftCell="A14" zoomScale="85" zoomScaleNormal="85" workbookViewId="0">
      <selection activeCell="C38" sqref="C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8" si="0">D29/6</f>
        <v>7281166.666666667</v>
      </c>
      <c r="F29" s="73">
        <v>5993000</v>
      </c>
      <c r="G29" s="73">
        <f t="shared" ref="G29:G38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 s="73" customFormat="1" ht="13.9" customHeight="1">
      <c r="A38" s="73" t="s">
        <v>527</v>
      </c>
      <c r="B38" s="73">
        <v>27316</v>
      </c>
      <c r="C38" s="73">
        <v>31054</v>
      </c>
      <c r="D38" s="73">
        <v>44777500</v>
      </c>
      <c r="E38" s="73">
        <f t="shared" si="0"/>
        <v>7462916.666666667</v>
      </c>
      <c r="F38" s="73">
        <v>3439500</v>
      </c>
      <c r="G38" s="73">
        <f t="shared" si="1"/>
        <v>573250</v>
      </c>
      <c r="H38" s="73">
        <v>27543</v>
      </c>
      <c r="I38" s="73">
        <v>31289</v>
      </c>
      <c r="J38" s="73">
        <v>30138</v>
      </c>
      <c r="K38" s="73">
        <v>34111</v>
      </c>
    </row>
    <row r="39" spans="1:11">
      <c r="B39">
        <f>(B2-B8)/B2</f>
        <v>0.15346494762288476</v>
      </c>
      <c r="C39">
        <f>(C2-C8)/C2</f>
        <v>0.1154959674639829</v>
      </c>
      <c r="D39">
        <f>SUM(D2:D16)/15</f>
        <v>29639479.933333334</v>
      </c>
    </row>
    <row r="41" spans="1:11">
      <c r="J41">
        <f>(D36-D35)/D35</f>
        <v>-0.50773339408667473</v>
      </c>
    </row>
    <row r="42" spans="1:11">
      <c r="F42">
        <f>(F36-F35)/F35</f>
        <v>-0.62892307692307692</v>
      </c>
    </row>
    <row r="43" spans="1:11">
      <c r="D43">
        <v>5375132</v>
      </c>
      <c r="E43">
        <f>(E17-D43)/D43</f>
        <v>4.5958809321644006E-2</v>
      </c>
      <c r="G43">
        <f t="shared" ref="G43:G51" si="2">B3-B2</f>
        <v>-554</v>
      </c>
    </row>
    <row r="44" spans="1:11">
      <c r="G44">
        <f t="shared" si="2"/>
        <v>-302</v>
      </c>
    </row>
    <row r="45" spans="1:11">
      <c r="C45">
        <f>(D43-E16)/E16</f>
        <v>0.17110375179746395</v>
      </c>
      <c r="G45">
        <f t="shared" si="2"/>
        <v>-511</v>
      </c>
    </row>
    <row r="46" spans="1:11">
      <c r="G46">
        <f t="shared" si="2"/>
        <v>-362</v>
      </c>
    </row>
    <row r="47" spans="1:11">
      <c r="G47">
        <f t="shared" si="2"/>
        <v>-1699</v>
      </c>
    </row>
    <row r="48" spans="1:11">
      <c r="G48">
        <f t="shared" si="2"/>
        <v>-381</v>
      </c>
    </row>
    <row r="49" spans="6:10">
      <c r="G49">
        <f t="shared" si="2"/>
        <v>1075</v>
      </c>
    </row>
    <row r="50" spans="6:10">
      <c r="F50">
        <f>(F33-F32)/F32</f>
        <v>0.23948268173034043</v>
      </c>
      <c r="G50">
        <f t="shared" si="2"/>
        <v>151</v>
      </c>
      <c r="J50">
        <f>(F34-F35)/F34</f>
        <v>0.13877341459779063</v>
      </c>
    </row>
    <row r="51" spans="6:10">
      <c r="G51">
        <f t="shared" si="2"/>
        <v>1043</v>
      </c>
    </row>
  </sheetData>
  <autoFilter ref="A1:K51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41"/>
  <sheetViews>
    <sheetView topLeftCell="A1724" zoomScaleNormal="100" workbookViewId="0">
      <selection activeCell="D1742" sqref="D174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88" t="s">
        <v>246</v>
      </c>
      <c r="B1" s="188"/>
      <c r="C1" s="188"/>
      <c r="D1" s="18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88" t="s">
        <v>256</v>
      </c>
      <c r="B11" s="188"/>
      <c r="C11" s="188"/>
      <c r="D11" s="18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88" t="s">
        <v>258</v>
      </c>
      <c r="B21" s="188"/>
      <c r="C21" s="188"/>
      <c r="D21" s="18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88" t="s">
        <v>259</v>
      </c>
      <c r="B31" s="188"/>
      <c r="C31" s="188"/>
      <c r="D31" s="18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88" t="s">
        <v>260</v>
      </c>
      <c r="B41" s="188"/>
      <c r="C41" s="188"/>
      <c r="D41" s="18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88" t="s">
        <v>262</v>
      </c>
      <c r="B51" s="188"/>
      <c r="C51" s="188"/>
      <c r="D51" s="18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88" t="s">
        <v>263</v>
      </c>
      <c r="B61" s="188"/>
      <c r="C61" s="188"/>
      <c r="D61" s="18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88" t="s">
        <v>264</v>
      </c>
      <c r="B71" s="188"/>
      <c r="C71" s="188"/>
      <c r="D71" s="18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88" t="s">
        <v>265</v>
      </c>
      <c r="B81" s="188"/>
      <c r="C81" s="188"/>
      <c r="D81" s="18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88" t="s">
        <v>269</v>
      </c>
      <c r="B93" s="188"/>
      <c r="C93" s="188"/>
      <c r="D93" s="18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88" t="s">
        <v>270</v>
      </c>
      <c r="B103" s="188"/>
      <c r="C103" s="188"/>
      <c r="D103" s="18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88" t="s">
        <v>272</v>
      </c>
      <c r="B113" s="188"/>
      <c r="C113" s="188"/>
      <c r="D113" s="18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88" t="s">
        <v>273</v>
      </c>
      <c r="B123" s="188"/>
      <c r="C123" s="188"/>
      <c r="D123" s="18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88" t="s">
        <v>274</v>
      </c>
      <c r="B133" s="188"/>
      <c r="C133" s="188"/>
      <c r="D133" s="18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88" t="s">
        <v>275</v>
      </c>
      <c r="B143" s="188"/>
      <c r="C143" s="188"/>
      <c r="D143" s="18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88" t="s">
        <v>277</v>
      </c>
      <c r="B153" s="188"/>
      <c r="C153" s="188"/>
      <c r="D153" s="18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88" t="s">
        <v>278</v>
      </c>
      <c r="B163" s="188"/>
      <c r="C163" s="188"/>
      <c r="D163" s="18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88" t="s">
        <v>279</v>
      </c>
      <c r="B173" s="188"/>
      <c r="C173" s="188"/>
      <c r="D173" s="18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88" t="s">
        <v>280</v>
      </c>
      <c r="B183" s="188"/>
      <c r="C183" s="188"/>
      <c r="D183" s="18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88" t="s">
        <v>281</v>
      </c>
      <c r="B193" s="188"/>
      <c r="C193" s="188"/>
      <c r="D193" s="18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88" t="s">
        <v>282</v>
      </c>
      <c r="B203" s="188"/>
      <c r="C203" s="188"/>
      <c r="D203" s="18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88" t="s">
        <v>283</v>
      </c>
      <c r="B213" s="188"/>
      <c r="C213" s="188"/>
      <c r="D213" s="18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88" t="s">
        <v>284</v>
      </c>
      <c r="B223" s="188"/>
      <c r="C223" s="188"/>
      <c r="D223" s="18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88" t="s">
        <v>285</v>
      </c>
      <c r="B233" s="188"/>
      <c r="C233" s="188"/>
      <c r="D233" s="18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88" t="s">
        <v>286</v>
      </c>
      <c r="B243" s="188"/>
      <c r="C243" s="188"/>
      <c r="D243" s="18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88" t="s">
        <v>287</v>
      </c>
      <c r="B253" s="188"/>
      <c r="C253" s="188"/>
      <c r="D253" s="18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88" t="s">
        <v>288</v>
      </c>
      <c r="B263" s="188"/>
      <c r="C263" s="188"/>
      <c r="D263" s="18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88" t="s">
        <v>289</v>
      </c>
      <c r="B273" s="188"/>
      <c r="C273" s="188"/>
      <c r="D273" s="18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88" t="s">
        <v>290</v>
      </c>
      <c r="B283" s="188"/>
      <c r="C283" s="188"/>
      <c r="D283" s="18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88" t="s">
        <v>291</v>
      </c>
      <c r="B293" s="188"/>
      <c r="C293" s="188"/>
      <c r="D293" s="18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88" t="s">
        <v>292</v>
      </c>
      <c r="B303" s="188"/>
      <c r="C303" s="188"/>
      <c r="D303" s="18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88" t="s">
        <v>296</v>
      </c>
      <c r="B313" s="188"/>
      <c r="C313" s="188"/>
      <c r="D313" s="18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88" t="s">
        <v>300</v>
      </c>
      <c r="B324" s="188"/>
      <c r="C324" s="188"/>
      <c r="D324" s="18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88" t="s">
        <v>303</v>
      </c>
      <c r="B335" s="188"/>
      <c r="C335" s="188"/>
      <c r="D335" s="18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88" t="s">
        <v>304</v>
      </c>
      <c r="B346" s="188"/>
      <c r="C346" s="188"/>
      <c r="D346" s="18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88" t="s">
        <v>305</v>
      </c>
      <c r="B357" s="188"/>
      <c r="C357" s="188"/>
      <c r="D357" s="18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88" t="s">
        <v>306</v>
      </c>
      <c r="B368" s="188"/>
      <c r="C368" s="188"/>
      <c r="D368" s="18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88" t="s">
        <v>307</v>
      </c>
      <c r="B379" s="188"/>
      <c r="C379" s="188"/>
      <c r="D379" s="18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88" t="s">
        <v>308</v>
      </c>
      <c r="B390" s="188"/>
      <c r="C390" s="188"/>
      <c r="D390" s="18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88" t="s">
        <v>309</v>
      </c>
      <c r="B401" s="188"/>
      <c r="C401" s="188"/>
      <c r="D401" s="18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88" t="s">
        <v>310</v>
      </c>
      <c r="B412" s="188"/>
      <c r="C412" s="188"/>
      <c r="D412" s="18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88" t="s">
        <v>311</v>
      </c>
      <c r="B423" s="188"/>
      <c r="C423" s="188"/>
      <c r="D423" s="18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88" t="s">
        <v>315</v>
      </c>
      <c r="B434" s="188"/>
      <c r="C434" s="188"/>
      <c r="D434" s="18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88" t="s">
        <v>316</v>
      </c>
      <c r="B445" s="188"/>
      <c r="C445" s="188"/>
      <c r="D445" s="18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88" t="s">
        <v>317</v>
      </c>
      <c r="B456" s="188"/>
      <c r="C456" s="188"/>
      <c r="D456" s="18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88" t="s">
        <v>318</v>
      </c>
      <c r="B467" s="188"/>
      <c r="C467" s="188"/>
      <c r="D467" s="18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88" t="s">
        <v>319</v>
      </c>
      <c r="B478" s="188"/>
      <c r="C478" s="188"/>
      <c r="D478" s="18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88" t="s">
        <v>320</v>
      </c>
      <c r="B489" s="188"/>
      <c r="C489" s="188"/>
      <c r="D489" s="18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88" t="s">
        <v>323</v>
      </c>
      <c r="B500" s="188"/>
      <c r="C500" s="188"/>
      <c r="D500" s="18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88" t="s">
        <v>324</v>
      </c>
      <c r="B511" s="188"/>
      <c r="C511" s="188"/>
      <c r="D511" s="18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88" t="s">
        <v>325</v>
      </c>
      <c r="B522" s="188"/>
      <c r="C522" s="188"/>
      <c r="D522" s="18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88" t="s">
        <v>326</v>
      </c>
      <c r="B533" s="188"/>
      <c r="C533" s="188"/>
      <c r="D533" s="18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88" t="s">
        <v>327</v>
      </c>
      <c r="B544" s="188"/>
      <c r="C544" s="188"/>
      <c r="D544" s="18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88" t="s">
        <v>328</v>
      </c>
      <c r="B555" s="188"/>
      <c r="C555" s="188"/>
      <c r="D555" s="18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88" t="s">
        <v>328</v>
      </c>
      <c r="B567" s="188"/>
      <c r="C567" s="188"/>
      <c r="D567" s="18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88" t="s">
        <v>333</v>
      </c>
      <c r="B579" s="188"/>
      <c r="C579" s="188"/>
      <c r="D579" s="18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88" t="s">
        <v>334</v>
      </c>
      <c r="B590" s="188"/>
      <c r="C590" s="188"/>
      <c r="D590" s="18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88" t="s">
        <v>335</v>
      </c>
      <c r="B601" s="188"/>
      <c r="C601" s="188"/>
      <c r="D601" s="18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88" t="s">
        <v>336</v>
      </c>
      <c r="B612" s="188"/>
      <c r="C612" s="188"/>
      <c r="D612" s="18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88" t="s">
        <v>337</v>
      </c>
      <c r="B623" s="188"/>
      <c r="C623" s="188"/>
      <c r="D623" s="18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88" t="s">
        <v>338</v>
      </c>
      <c r="B635" s="188"/>
      <c r="C635" s="188"/>
      <c r="D635" s="18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88" t="s">
        <v>340</v>
      </c>
      <c r="B647" s="188"/>
      <c r="C647" s="188"/>
      <c r="D647" s="18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88" t="s">
        <v>341</v>
      </c>
      <c r="B658" s="188"/>
      <c r="C658" s="188"/>
      <c r="D658" s="18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88" t="s">
        <v>342</v>
      </c>
      <c r="B670" s="188"/>
      <c r="C670" s="188"/>
      <c r="D670" s="18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88" t="s">
        <v>343</v>
      </c>
      <c r="B681" s="188"/>
      <c r="C681" s="188"/>
      <c r="D681" s="18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88" t="s">
        <v>344</v>
      </c>
      <c r="B692" s="188"/>
      <c r="C692" s="188"/>
      <c r="D692" s="18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88" t="s">
        <v>345</v>
      </c>
      <c r="B703" s="188"/>
      <c r="C703" s="188"/>
      <c r="D703" s="18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88" t="s">
        <v>348</v>
      </c>
      <c r="B715" s="188"/>
      <c r="C715" s="188"/>
      <c r="D715" s="18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88" t="s">
        <v>349</v>
      </c>
      <c r="B726" s="188"/>
      <c r="C726" s="188"/>
      <c r="D726" s="18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88" t="s">
        <v>350</v>
      </c>
      <c r="B738" s="188"/>
      <c r="C738" s="188"/>
      <c r="D738" s="18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88" t="s">
        <v>351</v>
      </c>
      <c r="B749" s="188"/>
      <c r="C749" s="188"/>
      <c r="D749" s="18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88" t="s">
        <v>352</v>
      </c>
      <c r="B760" s="188"/>
      <c r="C760" s="188"/>
      <c r="D760" s="18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88" t="s">
        <v>353</v>
      </c>
      <c r="B772" s="188"/>
      <c r="C772" s="188"/>
      <c r="D772" s="18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88" t="s">
        <v>355</v>
      </c>
      <c r="B784" s="188"/>
      <c r="C784" s="188"/>
      <c r="D784" s="18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88" t="s">
        <v>356</v>
      </c>
      <c r="B796" s="188"/>
      <c r="C796" s="188"/>
      <c r="D796" s="18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88" t="s">
        <v>357</v>
      </c>
      <c r="B809" s="188"/>
      <c r="C809" s="188"/>
      <c r="D809" s="18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88" t="s">
        <v>358</v>
      </c>
      <c r="B820" s="188"/>
      <c r="C820" s="188"/>
      <c r="D820" s="18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88" t="s">
        <v>359</v>
      </c>
      <c r="B831" s="188"/>
      <c r="C831" s="188"/>
      <c r="D831" s="18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88" t="s">
        <v>360</v>
      </c>
      <c r="B842" s="188"/>
      <c r="C842" s="188"/>
      <c r="D842" s="18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88" t="s">
        <v>361</v>
      </c>
      <c r="B854" s="188"/>
      <c r="C854" s="188"/>
      <c r="D854" s="18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88" t="s">
        <v>363</v>
      </c>
      <c r="B865" s="188"/>
      <c r="C865" s="188"/>
      <c r="D865" s="18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88" t="s">
        <v>364</v>
      </c>
      <c r="B876" s="188"/>
      <c r="C876" s="188"/>
      <c r="D876" s="18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88" t="s">
        <v>367</v>
      </c>
      <c r="B888" s="188"/>
      <c r="C888" s="188"/>
      <c r="D888" s="18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88" t="s">
        <v>368</v>
      </c>
      <c r="B901" s="188"/>
      <c r="C901" s="188"/>
      <c r="D901" s="18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88" t="s">
        <v>369</v>
      </c>
      <c r="B913" s="188"/>
      <c r="C913" s="188"/>
      <c r="D913" s="18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88" t="s">
        <v>370</v>
      </c>
      <c r="B925" s="188"/>
      <c r="C925" s="188"/>
      <c r="D925" s="18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88" t="s">
        <v>371</v>
      </c>
      <c r="B937" s="188"/>
      <c r="C937" s="188"/>
      <c r="D937" s="18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88" t="s">
        <v>372</v>
      </c>
      <c r="B949" s="188"/>
      <c r="C949" s="188"/>
      <c r="D949" s="18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88" t="s">
        <v>400</v>
      </c>
      <c r="B961" s="188"/>
      <c r="C961" s="188"/>
      <c r="D961" s="18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88" t="s">
        <v>402</v>
      </c>
      <c r="B974" s="188"/>
      <c r="C974" s="188"/>
      <c r="D974" s="18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88" t="s">
        <v>404</v>
      </c>
      <c r="B987" s="188"/>
      <c r="C987" s="188"/>
      <c r="D987" s="18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88" t="s">
        <v>405</v>
      </c>
      <c r="B1000" s="188"/>
      <c r="C1000" s="188"/>
      <c r="D1000" s="18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88" t="s">
        <v>408</v>
      </c>
      <c r="B1012" s="188"/>
      <c r="C1012" s="188"/>
      <c r="D1012" s="18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88" t="s">
        <v>410</v>
      </c>
      <c r="B1025" s="188"/>
      <c r="C1025" s="188"/>
      <c r="D1025" s="18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88" t="s">
        <v>413</v>
      </c>
      <c r="B1037" s="188"/>
      <c r="C1037" s="188"/>
      <c r="D1037" s="18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88" t="s">
        <v>415</v>
      </c>
      <c r="B1049" s="188"/>
      <c r="C1049" s="188"/>
      <c r="D1049" s="18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88" t="s">
        <v>417</v>
      </c>
      <c r="B1061" s="188"/>
      <c r="C1061" s="188"/>
      <c r="D1061" s="18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88" t="s">
        <v>419</v>
      </c>
      <c r="B1073" s="188"/>
      <c r="C1073" s="188"/>
      <c r="D1073" s="18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88" t="s">
        <v>421</v>
      </c>
      <c r="B1085" s="188"/>
      <c r="C1085" s="188"/>
      <c r="D1085" s="18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88" t="s">
        <v>423</v>
      </c>
      <c r="B1098" s="188"/>
      <c r="C1098" s="188"/>
      <c r="D1098" s="18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88" t="s">
        <v>426</v>
      </c>
      <c r="B1110" s="188"/>
      <c r="C1110" s="188"/>
      <c r="D1110" s="18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88" t="s">
        <v>428</v>
      </c>
      <c r="B1123" s="188"/>
      <c r="C1123" s="188"/>
      <c r="D1123" s="18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88" t="s">
        <v>430</v>
      </c>
      <c r="B1136" s="188"/>
      <c r="C1136" s="188"/>
      <c r="D1136" s="18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88" t="s">
        <v>432</v>
      </c>
      <c r="B1149" s="188"/>
      <c r="C1149" s="188"/>
      <c r="D1149" s="18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88" t="s">
        <v>434</v>
      </c>
      <c r="B1162" s="188"/>
      <c r="C1162" s="188"/>
      <c r="D1162" s="18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88" t="s">
        <v>437</v>
      </c>
      <c r="B1173" s="188"/>
      <c r="C1173" s="188"/>
      <c r="D1173" s="18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88" t="s">
        <v>439</v>
      </c>
      <c r="B1185" s="188"/>
      <c r="C1185" s="188"/>
      <c r="D1185" s="18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88" t="s">
        <v>441</v>
      </c>
      <c r="B1197" s="188"/>
      <c r="C1197" s="188"/>
      <c r="D1197" s="18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88" t="s">
        <v>443</v>
      </c>
      <c r="B1209" s="188"/>
      <c r="C1209" s="188"/>
      <c r="D1209" s="18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88" t="s">
        <v>445</v>
      </c>
      <c r="B1222" s="188"/>
      <c r="C1222" s="188"/>
      <c r="D1222" s="18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88" t="s">
        <v>447</v>
      </c>
      <c r="B1234" s="188"/>
      <c r="C1234" s="188"/>
      <c r="D1234" s="18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88" t="s">
        <v>449</v>
      </c>
      <c r="B1246" s="188"/>
      <c r="C1246" s="188"/>
      <c r="D1246" s="18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88" t="s">
        <v>452</v>
      </c>
      <c r="B1258" s="188"/>
      <c r="C1258" s="188"/>
      <c r="D1258" s="18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88" t="s">
        <v>454</v>
      </c>
      <c r="B1270" s="188"/>
      <c r="C1270" s="188"/>
      <c r="D1270" s="18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88" t="s">
        <v>456</v>
      </c>
      <c r="B1282" s="188"/>
      <c r="C1282" s="188"/>
      <c r="D1282" s="18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88" t="s">
        <v>458</v>
      </c>
      <c r="B1294" s="188"/>
      <c r="C1294" s="188"/>
      <c r="D1294" s="18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88" t="s">
        <v>460</v>
      </c>
      <c r="B1306" s="188"/>
      <c r="C1306" s="188"/>
      <c r="D1306" s="18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88" t="s">
        <v>462</v>
      </c>
      <c r="B1318" s="188"/>
      <c r="C1318" s="188"/>
      <c r="D1318" s="18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88" t="s">
        <v>464</v>
      </c>
      <c r="B1330" s="188"/>
      <c r="C1330" s="188"/>
      <c r="D1330" s="18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88" t="s">
        <v>467</v>
      </c>
      <c r="B1343" s="188"/>
      <c r="C1343" s="188"/>
      <c r="D1343" s="18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88" t="s">
        <v>469</v>
      </c>
      <c r="B1355" s="188"/>
      <c r="C1355" s="188"/>
      <c r="D1355" s="18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88" t="s">
        <v>471</v>
      </c>
      <c r="B1368" s="188"/>
      <c r="C1368" s="188"/>
      <c r="D1368" s="18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88" t="s">
        <v>473</v>
      </c>
      <c r="B1380" s="188"/>
      <c r="C1380" s="188"/>
      <c r="D1380" s="18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88" t="s">
        <v>476</v>
      </c>
      <c r="B1392" s="188"/>
      <c r="C1392" s="188"/>
      <c r="D1392" s="18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88" t="s">
        <v>478</v>
      </c>
      <c r="B1404" s="188"/>
      <c r="C1404" s="188"/>
      <c r="D1404" s="18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88" t="s">
        <v>479</v>
      </c>
      <c r="B1416" s="188"/>
      <c r="C1416" s="188"/>
      <c r="D1416" s="18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88" t="s">
        <v>480</v>
      </c>
      <c r="B1428" s="188"/>
      <c r="C1428" s="188"/>
      <c r="D1428" s="18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88" t="s">
        <v>481</v>
      </c>
      <c r="B1441" s="188"/>
      <c r="C1441" s="188"/>
      <c r="D1441" s="18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88" t="s">
        <v>482</v>
      </c>
      <c r="B1453" s="188"/>
      <c r="C1453" s="188"/>
      <c r="D1453" s="18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88" t="s">
        <v>489</v>
      </c>
      <c r="B1465" s="188"/>
      <c r="C1465" s="188"/>
      <c r="D1465" s="18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88" t="s">
        <v>491</v>
      </c>
      <c r="B1477" s="188"/>
      <c r="C1477" s="188"/>
      <c r="D1477" s="18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88" t="s">
        <v>493</v>
      </c>
      <c r="B1490" s="188"/>
      <c r="C1490" s="188"/>
      <c r="D1490" s="18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88" t="s">
        <v>495</v>
      </c>
      <c r="B1502" s="188"/>
      <c r="C1502" s="188"/>
      <c r="D1502" s="18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88" t="s">
        <v>497</v>
      </c>
      <c r="B1514" s="188"/>
      <c r="C1514" s="188"/>
      <c r="D1514" s="188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88" t="s">
        <v>499</v>
      </c>
      <c r="B1526" s="188"/>
      <c r="C1526" s="188"/>
      <c r="D1526" s="188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88" t="s">
        <v>502</v>
      </c>
      <c r="B1539" s="188"/>
      <c r="C1539" s="188"/>
      <c r="D1539" s="188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88" t="s">
        <v>504</v>
      </c>
      <c r="B1551" s="188"/>
      <c r="C1551" s="188"/>
      <c r="D1551" s="188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88" t="s">
        <v>506</v>
      </c>
      <c r="B1563" s="188"/>
      <c r="C1563" s="188"/>
      <c r="D1563" s="188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88" t="s">
        <v>508</v>
      </c>
      <c r="B1576" s="188"/>
      <c r="C1576" s="188"/>
      <c r="D1576" s="188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88" t="s">
        <v>510</v>
      </c>
      <c r="B1589" s="188"/>
      <c r="C1589" s="188"/>
      <c r="D1589" s="188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87" t="s">
        <v>510</v>
      </c>
      <c r="B1601" s="187"/>
      <c r="C1601" s="187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87" t="s">
        <v>510</v>
      </c>
      <c r="B1613" s="187"/>
      <c r="C1613" s="187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87" t="s">
        <v>514</v>
      </c>
      <c r="B1629" s="187"/>
      <c r="C1629" s="187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87" t="s">
        <v>516</v>
      </c>
      <c r="B1640" s="187"/>
      <c r="C1640" s="187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87" t="s">
        <v>518</v>
      </c>
      <c r="B1653" s="187"/>
      <c r="C1653" s="187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  <row r="1665" spans="1:3">
      <c r="A1665" s="187" t="s">
        <v>520</v>
      </c>
      <c r="B1665" s="187"/>
      <c r="C1665" s="187"/>
    </row>
    <row r="1666" spans="1:3">
      <c r="A1666" s="85" t="s">
        <v>247</v>
      </c>
      <c r="B1666" s="85" t="s">
        <v>250</v>
      </c>
      <c r="C1666" s="85" t="s">
        <v>249</v>
      </c>
    </row>
    <row r="1667" spans="1:3">
      <c r="A1667" s="75">
        <v>0.45833333333333298</v>
      </c>
      <c r="B1667" s="85">
        <v>12950000</v>
      </c>
      <c r="C1667" s="85">
        <v>8130</v>
      </c>
    </row>
    <row r="1668" spans="1:3">
      <c r="A1668" s="76" t="s">
        <v>251</v>
      </c>
      <c r="B1668" s="85">
        <v>13015000</v>
      </c>
      <c r="C1668" s="85">
        <v>8120</v>
      </c>
    </row>
    <row r="1669" spans="1:3">
      <c r="A1669" s="77" t="s">
        <v>252</v>
      </c>
      <c r="B1669" s="85">
        <v>13050000</v>
      </c>
      <c r="C1669" s="85">
        <v>8140</v>
      </c>
    </row>
    <row r="1670" spans="1:3">
      <c r="A1670" s="75" t="s">
        <v>253</v>
      </c>
      <c r="B1670" s="85">
        <v>13120000</v>
      </c>
      <c r="C1670" s="85">
        <v>8150</v>
      </c>
    </row>
    <row r="1671" spans="1:3">
      <c r="A1671" s="83">
        <v>0.625</v>
      </c>
      <c r="B1671" s="85">
        <v>13140000</v>
      </c>
      <c r="C1671" s="85">
        <v>8160</v>
      </c>
    </row>
    <row r="1672" spans="1:3">
      <c r="A1672" s="76" t="s">
        <v>254</v>
      </c>
      <c r="B1672" s="85">
        <v>13140000</v>
      </c>
      <c r="C1672" s="85">
        <v>8170</v>
      </c>
    </row>
    <row r="1673" spans="1:3">
      <c r="A1673" s="86">
        <v>0.70833333333333337</v>
      </c>
      <c r="B1673" s="85">
        <v>13140000</v>
      </c>
      <c r="C1673" s="85">
        <v>8200</v>
      </c>
    </row>
    <row r="1677" spans="1:3">
      <c r="A1677" s="187" t="s">
        <v>522</v>
      </c>
      <c r="B1677" s="187"/>
      <c r="C1677" s="187"/>
    </row>
    <row r="1678" spans="1:3">
      <c r="A1678" s="85" t="s">
        <v>247</v>
      </c>
      <c r="B1678" s="85" t="s">
        <v>250</v>
      </c>
      <c r="C1678" s="85" t="s">
        <v>249</v>
      </c>
    </row>
    <row r="1679" spans="1:3">
      <c r="A1679" s="75">
        <v>0.45833333333333298</v>
      </c>
      <c r="B1679" s="85">
        <v>13400000</v>
      </c>
      <c r="C1679" s="85">
        <v>8380</v>
      </c>
    </row>
    <row r="1680" spans="1:3">
      <c r="A1680" s="76" t="s">
        <v>251</v>
      </c>
      <c r="B1680" s="85">
        <v>13420000</v>
      </c>
      <c r="C1680" s="85">
        <v>8320</v>
      </c>
    </row>
    <row r="1681" spans="1:4">
      <c r="A1681" s="77" t="s">
        <v>252</v>
      </c>
      <c r="B1681" s="85">
        <v>13380000</v>
      </c>
      <c r="C1681" s="85">
        <v>8350</v>
      </c>
    </row>
    <row r="1682" spans="1:4">
      <c r="A1682" s="75" t="s">
        <v>253</v>
      </c>
      <c r="B1682" s="85">
        <v>13355000</v>
      </c>
      <c r="C1682" s="85">
        <v>8300</v>
      </c>
    </row>
    <row r="1683" spans="1:4">
      <c r="A1683" s="83">
        <v>0.625</v>
      </c>
      <c r="B1683" s="85">
        <v>13300000</v>
      </c>
      <c r="C1683" s="85">
        <v>8290</v>
      </c>
    </row>
    <row r="1684" spans="1:4">
      <c r="A1684" s="76" t="s">
        <v>254</v>
      </c>
      <c r="B1684" s="85">
        <v>13300000</v>
      </c>
      <c r="C1684" s="85">
        <v>8280</v>
      </c>
    </row>
    <row r="1685" spans="1:4">
      <c r="A1685" s="86">
        <v>0.70833333333333337</v>
      </c>
      <c r="B1685" s="85">
        <v>13300000</v>
      </c>
      <c r="C1685" s="85">
        <v>8280</v>
      </c>
    </row>
    <row r="1690" spans="1:4">
      <c r="A1690" s="187" t="s">
        <v>526</v>
      </c>
      <c r="B1690" s="187"/>
      <c r="C1690" s="187"/>
    </row>
    <row r="1691" spans="1:4">
      <c r="A1691" s="85" t="s">
        <v>247</v>
      </c>
      <c r="B1691" s="85" t="s">
        <v>250</v>
      </c>
      <c r="C1691" s="85" t="s">
        <v>249</v>
      </c>
    </row>
    <row r="1692" spans="1:4">
      <c r="A1692" s="75">
        <v>0.45833333333333298</v>
      </c>
      <c r="B1692" s="85"/>
      <c r="C1692" s="85"/>
      <c r="D1692">
        <v>13250000</v>
      </c>
    </row>
    <row r="1693" spans="1:4">
      <c r="A1693" s="76" t="s">
        <v>251</v>
      </c>
      <c r="B1693" s="85"/>
      <c r="C1693" s="85"/>
    </row>
    <row r="1694" spans="1:4">
      <c r="A1694" s="77" t="s">
        <v>252</v>
      </c>
      <c r="B1694" s="85"/>
      <c r="C1694" s="85"/>
    </row>
    <row r="1695" spans="1:4">
      <c r="A1695" s="75" t="s">
        <v>253</v>
      </c>
      <c r="B1695" s="85"/>
      <c r="C1695" s="85"/>
    </row>
    <row r="1696" spans="1:4">
      <c r="A1696" s="83">
        <v>0.625</v>
      </c>
      <c r="B1696" s="85"/>
      <c r="C1696" s="85"/>
    </row>
    <row r="1697" spans="1:4">
      <c r="A1697" s="76" t="s">
        <v>254</v>
      </c>
      <c r="B1697" s="85"/>
      <c r="C1697" s="85"/>
    </row>
    <row r="1698" spans="1:4">
      <c r="A1698" s="86">
        <v>0.70833333333333337</v>
      </c>
      <c r="B1698" s="85"/>
      <c r="C1698" s="85"/>
    </row>
    <row r="1703" spans="1:4">
      <c r="A1703" s="187" t="s">
        <v>529</v>
      </c>
      <c r="B1703" s="187"/>
      <c r="C1703" s="187"/>
    </row>
    <row r="1704" spans="1:4">
      <c r="A1704" s="85" t="s">
        <v>247</v>
      </c>
      <c r="B1704" s="85" t="s">
        <v>250</v>
      </c>
      <c r="C1704" s="85" t="s">
        <v>249</v>
      </c>
    </row>
    <row r="1705" spans="1:4">
      <c r="A1705" s="75">
        <v>0.45833333333333298</v>
      </c>
      <c r="B1705" s="85">
        <v>13235000</v>
      </c>
      <c r="C1705" s="85">
        <v>8260</v>
      </c>
    </row>
    <row r="1706" spans="1:4">
      <c r="A1706" s="76" t="s">
        <v>251</v>
      </c>
      <c r="B1706" s="85">
        <v>13185000</v>
      </c>
      <c r="C1706" s="85">
        <v>8230</v>
      </c>
    </row>
    <row r="1707" spans="1:4">
      <c r="A1707" s="77" t="s">
        <v>252</v>
      </c>
      <c r="B1707" s="85">
        <v>13190000</v>
      </c>
      <c r="C1707" s="85">
        <v>8230</v>
      </c>
    </row>
    <row r="1708" spans="1:4">
      <c r="A1708" s="75" t="s">
        <v>253</v>
      </c>
      <c r="B1708" s="85">
        <v>13135000</v>
      </c>
      <c r="C1708" s="85">
        <v>8230</v>
      </c>
    </row>
    <row r="1709" spans="1:4">
      <c r="A1709" s="83">
        <v>0.625</v>
      </c>
      <c r="B1709" s="85">
        <v>13115000</v>
      </c>
      <c r="C1709" s="85">
        <v>8210</v>
      </c>
      <c r="D1709">
        <f>B1711-D1692</f>
        <v>-135000</v>
      </c>
    </row>
    <row r="1710" spans="1:4">
      <c r="A1710" s="76" t="s">
        <v>254</v>
      </c>
      <c r="B1710" s="85">
        <v>13115000</v>
      </c>
      <c r="C1710" s="85">
        <v>8200</v>
      </c>
    </row>
    <row r="1711" spans="1:4">
      <c r="A1711" s="86">
        <v>0.70833333333333337</v>
      </c>
      <c r="B1711" s="85">
        <v>13115000</v>
      </c>
      <c r="C1711" s="85">
        <v>8210</v>
      </c>
    </row>
    <row r="1716" spans="1:3">
      <c r="A1716" s="187" t="s">
        <v>531</v>
      </c>
      <c r="B1716" s="187"/>
      <c r="C1716" s="187"/>
    </row>
    <row r="1717" spans="1:3">
      <c r="A1717" s="85" t="s">
        <v>247</v>
      </c>
      <c r="B1717" s="85" t="s">
        <v>250</v>
      </c>
      <c r="C1717" s="85" t="s">
        <v>249</v>
      </c>
    </row>
    <row r="1718" spans="1:3">
      <c r="A1718" s="75">
        <v>0.45833333333333298</v>
      </c>
      <c r="B1718" s="85">
        <v>13010000</v>
      </c>
      <c r="C1718" s="85">
        <v>8160</v>
      </c>
    </row>
    <row r="1719" spans="1:3">
      <c r="A1719" s="76" t="s">
        <v>251</v>
      </c>
      <c r="B1719" s="85">
        <v>13040000</v>
      </c>
      <c r="C1719" s="85">
        <v>8170</v>
      </c>
    </row>
    <row r="1720" spans="1:3">
      <c r="A1720" s="77" t="s">
        <v>252</v>
      </c>
      <c r="B1720" s="85">
        <v>13030000</v>
      </c>
      <c r="C1720" s="85">
        <v>8190</v>
      </c>
    </row>
    <row r="1721" spans="1:3">
      <c r="A1721" s="75" t="s">
        <v>253</v>
      </c>
      <c r="B1721" s="85">
        <v>13030000</v>
      </c>
      <c r="C1721" s="85">
        <v>8170</v>
      </c>
    </row>
    <row r="1722" spans="1:3">
      <c r="A1722" s="83">
        <v>0.625</v>
      </c>
      <c r="B1722" s="85">
        <v>13050000</v>
      </c>
      <c r="C1722" s="85">
        <v>8170</v>
      </c>
    </row>
    <row r="1723" spans="1:3">
      <c r="A1723" s="76" t="s">
        <v>254</v>
      </c>
      <c r="B1723" s="85">
        <v>13050000</v>
      </c>
      <c r="C1723" s="85">
        <v>8200</v>
      </c>
    </row>
    <row r="1724" spans="1:3">
      <c r="A1724" s="86">
        <v>0.70833333333333337</v>
      </c>
      <c r="B1724" s="85">
        <v>13050000</v>
      </c>
      <c r="C1724" s="85">
        <v>8200</v>
      </c>
    </row>
    <row r="1729" spans="1:3">
      <c r="A1729" s="187" t="s">
        <v>533</v>
      </c>
      <c r="B1729" s="187"/>
      <c r="C1729" s="187"/>
    </row>
    <row r="1730" spans="1:3">
      <c r="A1730" s="85" t="s">
        <v>247</v>
      </c>
      <c r="B1730" s="85" t="s">
        <v>250</v>
      </c>
      <c r="C1730" s="85" t="s">
        <v>249</v>
      </c>
    </row>
    <row r="1731" spans="1:3">
      <c r="A1731" s="75">
        <v>0.45833333333333298</v>
      </c>
      <c r="B1731" s="85">
        <v>12995000</v>
      </c>
      <c r="C1731" s="85">
        <v>8210</v>
      </c>
    </row>
    <row r="1732" spans="1:3">
      <c r="A1732" s="76" t="s">
        <v>251</v>
      </c>
      <c r="B1732" s="85">
        <v>13000000</v>
      </c>
      <c r="C1732" s="85">
        <v>8190</v>
      </c>
    </row>
    <row r="1733" spans="1:3">
      <c r="A1733" s="77" t="s">
        <v>252</v>
      </c>
      <c r="B1733" s="85">
        <v>13005000</v>
      </c>
      <c r="C1733" s="85">
        <v>8230</v>
      </c>
    </row>
    <row r="1734" spans="1:3">
      <c r="A1734" s="75" t="s">
        <v>253</v>
      </c>
      <c r="B1734" s="85">
        <v>13065000</v>
      </c>
      <c r="C1734" s="85">
        <v>8270</v>
      </c>
    </row>
    <row r="1735" spans="1:3">
      <c r="A1735" s="83">
        <v>0.625</v>
      </c>
      <c r="B1735" s="85">
        <v>13075000</v>
      </c>
      <c r="C1735" s="85">
        <v>8280</v>
      </c>
    </row>
    <row r="1736" spans="1:3">
      <c r="A1736" s="76" t="s">
        <v>254</v>
      </c>
      <c r="B1736" s="85">
        <v>13090000</v>
      </c>
      <c r="C1736" s="85">
        <v>8280</v>
      </c>
    </row>
    <row r="1737" spans="1:3">
      <c r="A1737" s="86">
        <v>0.70833333333333337</v>
      </c>
      <c r="B1737" s="85">
        <v>13095000</v>
      </c>
      <c r="C1737" s="85">
        <v>8280</v>
      </c>
    </row>
    <row r="1741" spans="1:3">
      <c r="B1741">
        <f>B1737-B1724</f>
        <v>45000</v>
      </c>
    </row>
  </sheetData>
  <mergeCells count="151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29:C1729"/>
    <mergeCell ref="A1716:C1716"/>
    <mergeCell ref="A1703:C1703"/>
    <mergeCell ref="A1453:D1453"/>
    <mergeCell ref="A1318:D1318"/>
    <mergeCell ref="A1563:D1563"/>
    <mergeCell ref="A1222:D1222"/>
    <mergeCell ref="A1441:D1441"/>
    <mergeCell ref="A1234:D123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89" t="s">
        <v>373</v>
      </c>
      <c r="B1" s="189"/>
      <c r="C1" s="18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5"/>
  <sheetViews>
    <sheetView zoomScale="85" zoomScaleNormal="85" workbookViewId="0">
      <selection activeCell="J5" sqref="J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42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>(E135-E134)*100/E134</f>
        <v>-0.10912775742458493</v>
      </c>
      <c r="I135">
        <v>0.76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2021-12-20T13:49:04Z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