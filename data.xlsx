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05C22015-23A1-4A03-86AF-81EFE909D9CF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set'!$A$1:$BN$207</definedName>
    <definedName name="_xlnm._FilterDatabase" localSheetId="1" hidden="1">weekly!$A$1:$K$51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Q203" i="1" s="1"/>
  <c r="BO14" i="1"/>
  <c r="BO15" i="1"/>
  <c r="BQ15" i="1" s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Q27" i="1" s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Q39" i="1" s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Q51" i="1" s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Q63" i="1" s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Q75" i="1" s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Q87" i="1" s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Q99" i="1" s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Q111" i="1" s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Q123" i="1" s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Q135" i="1" s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Q147" i="1" s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Q159" i="1" s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Q171" i="1" s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Q183" i="1" s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Q195" i="1" s="1"/>
  <c r="BO196" i="1"/>
  <c r="BO197" i="1"/>
  <c r="BO198" i="1"/>
  <c r="BO199" i="1"/>
  <c r="BO200" i="1"/>
  <c r="BO201" i="1"/>
  <c r="BO202" i="1"/>
  <c r="BO203" i="1"/>
  <c r="BP13" i="1"/>
  <c r="BO13" i="1"/>
  <c r="N208" i="1"/>
  <c r="N209" i="1"/>
  <c r="N210" i="1"/>
  <c r="N211" i="1"/>
  <c r="N212" i="1"/>
  <c r="N213" i="1"/>
  <c r="N214" i="1"/>
  <c r="N215" i="1"/>
  <c r="N216" i="1"/>
  <c r="N217" i="1"/>
  <c r="E208" i="1"/>
  <c r="E209" i="1"/>
  <c r="E210" i="1"/>
  <c r="E211" i="1"/>
  <c r="E212" i="1"/>
  <c r="E213" i="1"/>
  <c r="E214" i="1"/>
  <c r="E215" i="1"/>
  <c r="E216" i="1"/>
  <c r="E217" i="1"/>
  <c r="N207" i="1"/>
  <c r="E207" i="1"/>
  <c r="BQ193" i="1" l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G205" i="1" l="1"/>
  <c r="M201" i="1" l="1"/>
  <c r="L201" i="1"/>
  <c r="H129" i="5" l="1"/>
  <c r="H130" i="5"/>
  <c r="G129" i="5"/>
  <c r="G130" i="5"/>
  <c r="F129" i="5"/>
  <c r="F130" i="5"/>
  <c r="M200" i="1" l="1"/>
  <c r="L200" i="1"/>
  <c r="K205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2" i="2" l="1"/>
  <c r="J41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0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0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1" i="2"/>
  <c r="G50" i="2"/>
  <c r="G49" i="2"/>
  <c r="G48" i="2"/>
  <c r="G47" i="2"/>
  <c r="G46" i="2"/>
  <c r="G45" i="2"/>
  <c r="G44" i="2"/>
  <c r="G43" i="2"/>
  <c r="D39" i="2"/>
  <c r="C39" i="2"/>
  <c r="B39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3" i="2" s="1"/>
  <c r="G16" i="2"/>
  <c r="E16" i="2"/>
  <c r="C45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205" i="1" l="1"/>
  <c r="U1" i="1" s="1"/>
  <c r="L205" i="1"/>
  <c r="S1" i="1" s="1"/>
</calcChain>
</file>

<file path=xl/sharedStrings.xml><?xml version="1.0" encoding="utf-8"?>
<sst xmlns="http://schemas.openxmlformats.org/spreadsheetml/2006/main" count="1824" uniqueCount="528">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</sst>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2" xfId="0" applyFont="1" applyFill="1" applyBorder="1"/>
    <xf numFmtId="0" fontId="8" fillId="9" borderId="0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0" fillId="0" borderId="4" xfId="0" applyFill="1" applyBorder="1"/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0" fontId="8" fillId="9" borderId="0" xfId="0" applyFont="1" applyFill="1" applyBorder="1" applyAlignment="1">
      <alignment horizontal="right"/>
    </xf>
    <xf numFmtId="0" fontId="8" fillId="14" borderId="0" xfId="0" applyFont="1" applyFill="1" applyBorder="1" applyAlignment="1">
      <alignment horizontal="right"/>
    </xf>
    <xf numFmtId="0" fontId="8" fillId="14" borderId="3" xfId="0" applyFont="1" applyFill="1" applyBorder="1"/>
    <xf numFmtId="0" fontId="7" fillId="14" borderId="0" xfId="0" applyFont="1" applyFill="1" applyBorder="1"/>
    <xf numFmtId="0" fontId="0" fillId="15" borderId="0" xfId="0" applyFill="1"/>
    <xf numFmtId="0" fontId="0" fillId="16" borderId="0" xfId="0" applyFill="1"/>
    <xf numFmtId="0" fontId="1" fillId="17" borderId="0" xfId="0" applyFont="1" applyFill="1" applyBorder="1"/>
    <xf numFmtId="0" fontId="1" fillId="17" borderId="3" xfId="0" applyFont="1" applyFill="1" applyBorder="1"/>
    <xf numFmtId="0" fontId="0" fillId="18" borderId="0" xfId="0" applyFill="1"/>
    <xf numFmtId="0" fontId="1" fillId="19" borderId="0" xfId="0" applyFont="1" applyFill="1" applyBorder="1"/>
    <xf numFmtId="0" fontId="1" fillId="19" borderId="3" xfId="0" applyFont="1" applyFill="1" applyBorder="1"/>
    <xf numFmtId="0" fontId="1" fillId="10" borderId="3" xfId="0" applyFont="1" applyFill="1" applyBorder="1"/>
    <xf numFmtId="0" fontId="1" fillId="14" borderId="2" xfId="0" applyFont="1" applyFill="1" applyBorder="1"/>
    <xf numFmtId="0" fontId="0" fillId="20" borderId="0" xfId="0" applyFill="1"/>
    <xf numFmtId="0" fontId="8" fillId="10" borderId="0" xfId="0" applyFont="1" applyFill="1" applyBorder="1" applyAlignment="1">
      <alignment horizontal="right"/>
    </xf>
    <xf numFmtId="0" fontId="1" fillId="21" borderId="0" xfId="0" applyFont="1" applyFill="1" applyBorder="1"/>
    <xf numFmtId="0" fontId="1" fillId="21" borderId="3" xfId="0" applyFont="1" applyFill="1" applyBorder="1"/>
    <xf numFmtId="0" fontId="8" fillId="13" borderId="0" xfId="0" applyFont="1" applyFill="1" applyBorder="1" applyAlignment="1">
      <alignment horizontal="right"/>
    </xf>
    <xf numFmtId="0" fontId="1" fillId="13" borderId="3" xfId="0" applyFont="1" applyFill="1" applyBorder="1"/>
    <xf numFmtId="0" fontId="1" fillId="9" borderId="3" xfId="0" applyFont="1" applyFill="1" applyBorder="1"/>
    <xf numFmtId="0" fontId="0" fillId="22" borderId="0" xfId="0" applyFill="1"/>
    <xf numFmtId="0" fontId="0" fillId="23" borderId="0" xfId="0" applyFill="1"/>
    <xf numFmtId="0" fontId="0" fillId="6" borderId="0" xfId="0" applyFont="1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15749216"/>
        <c:axId val="-2015755200"/>
      </c:lineChart>
      <c:catAx>
        <c:axId val="-201574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55200"/>
        <c:crosses val="autoZero"/>
        <c:auto val="1"/>
        <c:lblAlgn val="ctr"/>
        <c:lblOffset val="100"/>
        <c:noMultiLvlLbl val="0"/>
      </c:catAx>
      <c:valAx>
        <c:axId val="-20157552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492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11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weekly!$B$27:$B$38</c15:sqref>
                  </c15:fullRef>
                </c:ext>
              </c:extLst>
              <c:f>weekly!$B$28:$B$38</c:f>
              <c:numCache>
                <c:formatCode>General</c:formatCode>
                <c:ptCount val="11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B4-412B-8EE7-530C5D3015CC}"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82-42BA-9479-C584E41A8602}"/>
                </c:ext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E4-405C-8475-AEA95D544B8E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weekly!$H$27:$H$38</c15:sqref>
                  </c15:fullRef>
                </c:ext>
              </c:extLst>
              <c:f>weekly!$H$28:$H$38</c:f>
              <c:numCache>
                <c:formatCode>General</c:formatCode>
                <c:ptCount val="11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15754656"/>
        <c:axId val="-201575084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6-4A6B-4C9B-BEA2-8EBE6A749D67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7-4A6B-4C9B-BEA2-8EBE6A749D67}"/>
                    </c:ext>
                  </c:extLst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weekly!$A$27:$A$38</c15:sqref>
                        </c15:fullRef>
                        <c15:formulaRef>
                          <c15:sqref>weekly!$A$28:$A$38</c15:sqref>
                        </c15:formulaRef>
                      </c:ext>
                    </c:extLst>
                    <c:strCache>
                      <c:ptCount val="11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201575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50848"/>
        <c:crosses val="autoZero"/>
        <c:auto val="1"/>
        <c:lblAlgn val="ctr"/>
        <c:lblOffset val="100"/>
        <c:noMultiLvlLbl val="0"/>
      </c:catAx>
      <c:valAx>
        <c:axId val="-201575084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546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هشتم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54-4089-9301-DA37CBEF2C51}"/>
                </c:ext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DC-4E3A-ABC2-D3DCFE8BB54A}"/>
                </c:ext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88-4582-B7D0-B01CB7080790}"/>
                </c:ext>
              </c:extLst>
            </c:dLbl>
            <c:dLbl>
              <c:idx val="36"/>
              <c:layout>
                <c:manualLayout>
                  <c:x val="-9.9945128987453443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11-4E6D-A106-256821490D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weekly!$A$2:$A$38</c:f>
              <c:strCache>
                <c:ptCount val="3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</c:strCache>
            </c:strRef>
          </c:cat>
          <c:val>
            <c:numRef>
              <c:f>weekly!$D$2:$D$38</c:f>
              <c:numCache>
                <c:formatCode>General</c:formatCode>
                <c:ptCount val="37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15754112"/>
        <c:axId val="-2015748672"/>
      </c:lineChart>
      <c:catAx>
        <c:axId val="-201575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48672"/>
        <c:crosses val="autoZero"/>
        <c:auto val="1"/>
        <c:lblAlgn val="ctr"/>
        <c:lblOffset val="100"/>
        <c:noMultiLvlLbl val="0"/>
      </c:catAx>
      <c:valAx>
        <c:axId val="-20157486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5411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15759008"/>
        <c:axId val="-2015753568"/>
      </c:lineChart>
      <c:catAx>
        <c:axId val="-201575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53568"/>
        <c:crosses val="autoZero"/>
        <c:auto val="1"/>
        <c:lblAlgn val="ctr"/>
        <c:lblOffset val="100"/>
        <c:noMultiLvlLbl val="0"/>
      </c:catAx>
      <c:valAx>
        <c:axId val="-20157535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590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هشتم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D-4537-93FF-04AD6F6C6719}"/>
                </c:ext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32-420B-B084-020FB4273E20}"/>
                </c:ext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AC-4035-A7C4-D69BBD3242C8}"/>
                </c:ext>
              </c:extLst>
            </c:dLbl>
            <c:dLbl>
              <c:idx val="36"/>
              <c:layout>
                <c:manualLayout>
                  <c:x val="-5.7244528219706093E-3"/>
                  <c:y val="8.512883109065784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7C-47CC-B96D-364BD1D2E0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weekly!$A$2:$A$38</c:f>
              <c:strCache>
                <c:ptCount val="3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</c:strCache>
            </c:strRef>
          </c:cat>
          <c:val>
            <c:numRef>
              <c:f>weekly!$F$2:$F$38</c:f>
              <c:numCache>
                <c:formatCode>General</c:formatCode>
                <c:ptCount val="37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15748128"/>
        <c:axId val="-2015761728"/>
      </c:lineChart>
      <c:catAx>
        <c:axId val="-201574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61728"/>
        <c:crosses val="autoZero"/>
        <c:auto val="1"/>
        <c:lblAlgn val="ctr"/>
        <c:lblOffset val="100"/>
        <c:noMultiLvlLbl val="0"/>
      </c:catAx>
      <c:valAx>
        <c:axId val="-20157617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481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11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AD86-49F7-BF57-13EC645662EA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AD86-49F7-BF57-13EC645662E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weekly!$C$27:$C$38</c15:sqref>
                  </c15:fullRef>
                </c:ext>
              </c:extLst>
              <c:f>weekly!$C$28:$C$38</c:f>
              <c:numCache>
                <c:formatCode>General</c:formatCode>
                <c:ptCount val="11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AD86-49F7-BF57-13EC645662EA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AD86-49F7-BF57-13EC645662EA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weekly!$I$27:$I$38</c15:sqref>
                  </c15:fullRef>
                </c:ext>
              </c:extLst>
              <c:f>weekly!$I$28:$I$38</c:f>
              <c:numCache>
                <c:formatCode>General</c:formatCode>
                <c:ptCount val="11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15761184"/>
        <c:axId val="-20163390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4-AD86-49F7-BF57-13EC645662EA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5-AD86-49F7-BF57-13EC645662EA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weekly!$A$27:$A$38</c15:sqref>
                        </c15:fullRef>
                        <c15:formulaRef>
                          <c15:sqref>weekly!$A$28:$A$38</c15:sqref>
                        </c15:formulaRef>
                      </c:ext>
                    </c:extLst>
                    <c:strCache>
                      <c:ptCount val="11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201576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6339056"/>
        <c:crosses val="autoZero"/>
        <c:auto val="1"/>
        <c:lblAlgn val="ctr"/>
        <c:lblOffset val="100"/>
        <c:noMultiLvlLbl val="0"/>
      </c:catAx>
      <c:valAx>
        <c:axId val="-201633905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6118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27469472"/>
        <c:axId val="-1727468384"/>
      </c:barChart>
      <c:catAx>
        <c:axId val="-172746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27468384"/>
        <c:crosses val="autoZero"/>
        <c:auto val="1"/>
        <c:lblAlgn val="ctr"/>
        <c:lblOffset val="100"/>
        <c:noMultiLvlLbl val="0"/>
      </c:catAx>
      <c:valAx>
        <c:axId val="-17274683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2746947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24 آذر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50"/>
          <c:order val="5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change'!$F$132:$I$132</c:f>
              <c:numCache>
                <c:formatCode>General</c:formatCode>
                <c:ptCount val="4"/>
                <c:pt idx="0">
                  <c:v>2.5354969574036512</c:v>
                </c:pt>
                <c:pt idx="1">
                  <c:v>1.2176560121765601</c:v>
                </c:pt>
                <c:pt idx="2">
                  <c:v>1.7272372020320437</c:v>
                </c:pt>
                <c:pt idx="3">
                  <c:v>0.11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53-4E58-A66E-D64A13DA992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839554528"/>
        <c:axId val="-183955398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</c:ext>
        </c:extLst>
      </c:barChart>
      <c:catAx>
        <c:axId val="-183955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9553984"/>
        <c:crosses val="autoZero"/>
        <c:auto val="1"/>
        <c:lblAlgn val="ctr"/>
        <c:lblOffset val="100"/>
        <c:noMultiLvlLbl val="0"/>
      </c:catAx>
      <c:valAx>
        <c:axId val="-18395539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955452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593</xdr:row>
      <xdr:rowOff>102960</xdr:rowOff>
    </xdr:from>
    <xdr:to>
      <xdr:col>11</xdr:col>
      <xdr:colOff>279360</xdr:colOff>
      <xdr:row>623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173</xdr:row>
      <xdr:rowOff>27711</xdr:rowOff>
    </xdr:from>
    <xdr:to>
      <xdr:col>41</xdr:col>
      <xdr:colOff>533400</xdr:colOff>
      <xdr:row>278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309</xdr:row>
      <xdr:rowOff>0</xdr:rowOff>
    </xdr:from>
    <xdr:to>
      <xdr:col>82</xdr:col>
      <xdr:colOff>0</xdr:colOff>
      <xdr:row>385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628</xdr:row>
      <xdr:rowOff>0</xdr:rowOff>
    </xdr:from>
    <xdr:to>
      <xdr:col>13</xdr:col>
      <xdr:colOff>354240</xdr:colOff>
      <xdr:row>658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408</xdr:row>
      <xdr:rowOff>0</xdr:rowOff>
    </xdr:from>
    <xdr:to>
      <xdr:col>83</xdr:col>
      <xdr:colOff>533400</xdr:colOff>
      <xdr:row>507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56</xdr:row>
      <xdr:rowOff>76321</xdr:rowOff>
    </xdr:from>
    <xdr:to>
      <xdr:col>44</xdr:col>
      <xdr:colOff>533400</xdr:colOff>
      <xdr:row>155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220"/>
  <sheetViews>
    <sheetView topLeftCell="B1" zoomScaleNormal="100" workbookViewId="0">
      <selection activeCell="F205" sqref="F205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8.554687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  <col min="65" max="66" width="8.554687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L205/G205</f>
        <v>5019372.82639091</v>
      </c>
      <c r="T1" s="3" t="s">
        <v>15</v>
      </c>
      <c r="U1" s="3">
        <f>M205/K205</f>
        <v>29324.687978829163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9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27"/>
        <v>106487939200</v>
      </c>
      <c r="M112" s="43">
        <f t="shared" si="28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  <c r="BN112" s="14">
        <f t="shared" si="23"/>
        <v>2.2748086010476576</v>
      </c>
      <c r="BO112" s="14">
        <f t="shared" si="24"/>
        <v>628</v>
      </c>
      <c r="BP112" s="14">
        <f t="shared" si="25"/>
        <v>635</v>
      </c>
      <c r="BQ112" s="14">
        <f t="shared" si="26"/>
        <v>7</v>
      </c>
    </row>
    <row r="113" spans="1:69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27"/>
        <v>134260629100</v>
      </c>
      <c r="M118" s="43">
        <f t="shared" si="28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  <c r="BN118" s="14">
        <f t="shared" si="23"/>
        <v>3.1761089818995938</v>
      </c>
      <c r="BO118" s="14">
        <f t="shared" si="24"/>
        <v>101</v>
      </c>
      <c r="BP118" s="14">
        <f t="shared" si="25"/>
        <v>102</v>
      </c>
      <c r="BQ118" s="14">
        <f t="shared" si="26"/>
        <v>1</v>
      </c>
    </row>
    <row r="119" spans="1:69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27"/>
        <v>183448909700</v>
      </c>
      <c r="M120" s="51">
        <f t="shared" si="28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27"/>
        <v>149141857900</v>
      </c>
      <c r="M121" s="57">
        <f t="shared" si="28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27"/>
        <v>205309734400</v>
      </c>
      <c r="M122" s="57">
        <f t="shared" si="28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27"/>
        <v>266569104600</v>
      </c>
      <c r="M123" s="57">
        <f t="shared" si="28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27"/>
        <v>172687578300</v>
      </c>
      <c r="M124" s="51">
        <f t="shared" si="28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9"/>
        <v>264502422700</v>
      </c>
      <c r="M134" s="9">
        <f t="shared" si="30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  <c r="BN134" s="14">
        <f t="shared" si="23"/>
        <v>4.0438239433940728</v>
      </c>
      <c r="BO134" s="14">
        <f t="shared" si="24"/>
        <v>0</v>
      </c>
      <c r="BP134" s="14">
        <f t="shared" si="25"/>
        <v>0</v>
      </c>
      <c r="BQ134" s="14">
        <f t="shared" si="26"/>
        <v>0</v>
      </c>
    </row>
    <row r="135" spans="1:69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9"/>
        <v>110853636800</v>
      </c>
      <c r="M145" s="93">
        <f t="shared" si="30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9"/>
        <v>214041993100</v>
      </c>
      <c r="M146" s="99">
        <f t="shared" si="30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9"/>
        <v>176486960000</v>
      </c>
      <c r="M147" s="99">
        <f t="shared" si="30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9"/>
        <v>220752610000</v>
      </c>
      <c r="M148" s="99">
        <f t="shared" si="30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9"/>
        <v>156650915000</v>
      </c>
      <c r="M149" s="99">
        <f t="shared" si="30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9"/>
        <v>225456814700</v>
      </c>
      <c r="M150" s="99">
        <f t="shared" si="30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9"/>
        <v>167101812600</v>
      </c>
      <c r="M151" s="99">
        <f t="shared" si="30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9"/>
        <v>239567814200</v>
      </c>
      <c r="M152" s="93">
        <f t="shared" si="30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9"/>
        <v>236480193600</v>
      </c>
      <c r="M153" s="93">
        <f t="shared" si="30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9"/>
        <v>225618976500</v>
      </c>
      <c r="M154" s="93">
        <f t="shared" si="30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9"/>
        <v>247369613400</v>
      </c>
      <c r="M155" s="93">
        <f t="shared" si="30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9"/>
        <v>255780758900</v>
      </c>
      <c r="M156" s="93">
        <f t="shared" si="30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9"/>
        <v>184510967800</v>
      </c>
      <c r="M157" s="93">
        <f t="shared" si="30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9"/>
        <v>249471569600</v>
      </c>
      <c r="M158" s="99">
        <f t="shared" si="30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9"/>
        <v>205217875200</v>
      </c>
      <c r="M159" s="99">
        <f t="shared" si="30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9"/>
        <v>261587595000</v>
      </c>
      <c r="M160" s="99">
        <f t="shared" si="30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9"/>
        <v>322139986200</v>
      </c>
      <c r="M161" s="99">
        <f t="shared" si="30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30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3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15" customFormat="1" ht="21" hidden="1" customHeight="1">
      <c r="A164" s="111"/>
      <c r="B164" s="112" t="s">
        <v>438</v>
      </c>
      <c r="C164" s="113">
        <v>9</v>
      </c>
      <c r="D164" s="114">
        <v>26546</v>
      </c>
      <c r="E164" s="113">
        <v>26393</v>
      </c>
      <c r="F164" s="113">
        <v>26446</v>
      </c>
      <c r="G164" s="113">
        <v>8525400</v>
      </c>
      <c r="H164" s="113">
        <v>30695</v>
      </c>
      <c r="I164" s="113">
        <v>30400</v>
      </c>
      <c r="J164" s="115">
        <v>30455</v>
      </c>
      <c r="K164" s="113">
        <v>1495700</v>
      </c>
      <c r="L164" s="99">
        <f t="shared" ref="L164:L202" si="35">F164*G164</f>
        <v>225462728400</v>
      </c>
      <c r="M164" s="99">
        <f t="shared" si="30"/>
        <v>45551543500</v>
      </c>
      <c r="N164" s="115">
        <v>26657</v>
      </c>
      <c r="O164" s="115">
        <v>30704</v>
      </c>
      <c r="P164" s="115">
        <v>26812</v>
      </c>
      <c r="Q164" s="115">
        <v>31002</v>
      </c>
      <c r="R164" s="113"/>
      <c r="S164" s="113"/>
      <c r="T164" s="113"/>
      <c r="U164" s="113"/>
      <c r="V164" s="115">
        <v>27480</v>
      </c>
      <c r="X164" s="115">
        <v>27540</v>
      </c>
      <c r="Y164" s="115">
        <v>31700</v>
      </c>
      <c r="Z164" s="113"/>
      <c r="AA164" s="113"/>
      <c r="AB164" s="113"/>
      <c r="AC164" s="113"/>
      <c r="AD164" s="113"/>
      <c r="AE164" s="113"/>
      <c r="AF164" s="113"/>
      <c r="AG164" s="113"/>
      <c r="AH164" s="113"/>
      <c r="AI164" s="113"/>
      <c r="AJ164" s="113"/>
      <c r="AK164" s="113"/>
      <c r="AL164" s="113"/>
      <c r="AM164" s="113"/>
      <c r="AN164" s="113"/>
      <c r="AO164" s="113"/>
      <c r="AP164" s="113"/>
      <c r="AQ164" s="113"/>
      <c r="AR164" s="113"/>
      <c r="AS164" s="114"/>
      <c r="AT164" s="114"/>
      <c r="AU164" s="114"/>
      <c r="AV164" s="114"/>
      <c r="AW164" s="114"/>
      <c r="AX164" s="114"/>
      <c r="AY164" s="113"/>
      <c r="AZ164" s="113"/>
      <c r="BA164" s="113"/>
      <c r="BB164" s="113"/>
      <c r="BC164" s="113"/>
      <c r="BE164" s="116"/>
      <c r="BF164" s="116"/>
      <c r="BG164" s="116"/>
      <c r="BH164" s="116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21" customFormat="1" ht="21" hidden="1" customHeight="1">
      <c r="A165" s="117"/>
      <c r="B165" s="118" t="s">
        <v>440</v>
      </c>
      <c r="C165" s="119">
        <v>10</v>
      </c>
      <c r="D165" s="120">
        <v>26413</v>
      </c>
      <c r="E165" s="119">
        <v>26457</v>
      </c>
      <c r="F165" s="119">
        <v>26505</v>
      </c>
      <c r="G165" s="119">
        <v>11227200</v>
      </c>
      <c r="H165" s="119">
        <v>30400</v>
      </c>
      <c r="I165" s="119">
        <v>30801</v>
      </c>
      <c r="J165" s="121">
        <v>30635</v>
      </c>
      <c r="K165" s="119">
        <v>1476900</v>
      </c>
      <c r="L165" s="99">
        <f t="shared" si="35"/>
        <v>297576936000</v>
      </c>
      <c r="M165" s="99">
        <f t="shared" si="30"/>
        <v>45244831500</v>
      </c>
      <c r="N165" s="121">
        <v>26722</v>
      </c>
      <c r="O165" s="121">
        <v>31109</v>
      </c>
      <c r="P165" s="121">
        <v>26677</v>
      </c>
      <c r="Q165" s="121">
        <v>30704</v>
      </c>
      <c r="R165" s="119"/>
      <c r="S165" s="119"/>
      <c r="T165" s="119"/>
      <c r="U165" s="119"/>
      <c r="V165" s="121">
        <v>27570</v>
      </c>
      <c r="X165" s="121">
        <v>27580</v>
      </c>
      <c r="Y165" s="121">
        <v>31935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20"/>
      <c r="AT165" s="120"/>
      <c r="AU165" s="120"/>
      <c r="AV165" s="120"/>
      <c r="AW165" s="120"/>
      <c r="AX165" s="120"/>
      <c r="AY165" s="119"/>
      <c r="AZ165" s="119"/>
      <c r="BA165" s="119"/>
      <c r="BB165" s="119"/>
      <c r="BC165" s="119"/>
      <c r="BE165" s="122"/>
      <c r="BF165" s="122"/>
      <c r="BG165" s="122"/>
      <c r="BH165" s="122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15" customFormat="1" ht="21" hidden="1" customHeight="1">
      <c r="A166" s="111"/>
      <c r="B166" s="112" t="s">
        <v>442</v>
      </c>
      <c r="C166" s="113">
        <v>11</v>
      </c>
      <c r="D166" s="114">
        <v>26563</v>
      </c>
      <c r="E166" s="113">
        <v>26559</v>
      </c>
      <c r="F166" s="113">
        <v>26555</v>
      </c>
      <c r="G166" s="113">
        <v>10481400</v>
      </c>
      <c r="H166" s="113">
        <v>30600</v>
      </c>
      <c r="I166" s="113">
        <v>30573</v>
      </c>
      <c r="J166" s="115">
        <v>30658</v>
      </c>
      <c r="K166" s="113">
        <v>1737100</v>
      </c>
      <c r="L166" s="99">
        <f t="shared" si="35"/>
        <v>278333577000</v>
      </c>
      <c r="M166" s="99">
        <f>J166*K166</f>
        <v>53256011800</v>
      </c>
      <c r="N166" s="115">
        <v>26825</v>
      </c>
      <c r="O166" s="115">
        <v>30878</v>
      </c>
      <c r="P166" s="115">
        <v>26828</v>
      </c>
      <c r="Q166" s="115">
        <v>30906</v>
      </c>
      <c r="R166" s="113"/>
      <c r="S166" s="113"/>
      <c r="T166" s="113"/>
      <c r="U166" s="113"/>
      <c r="V166" s="115">
        <v>27550</v>
      </c>
      <c r="X166" s="115">
        <v>27540</v>
      </c>
      <c r="Y166" s="115">
        <v>31878</v>
      </c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  <c r="AN166" s="113"/>
      <c r="AO166" s="113"/>
      <c r="AP166" s="113"/>
      <c r="AQ166" s="113"/>
      <c r="AR166" s="113"/>
      <c r="AS166" s="114"/>
      <c r="AT166" s="114"/>
      <c r="AU166" s="114"/>
      <c r="AV166" s="114"/>
      <c r="AW166" s="114"/>
      <c r="AX166" s="114"/>
      <c r="AY166" s="113"/>
      <c r="AZ166" s="113"/>
      <c r="BA166" s="113"/>
      <c r="BB166" s="113"/>
      <c r="BC166" s="113"/>
      <c r="BE166" s="116"/>
      <c r="BF166" s="116"/>
      <c r="BG166" s="116"/>
      <c r="BH166" s="116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15" customFormat="1" ht="21" hidden="1" customHeight="1">
      <c r="A167" s="111"/>
      <c r="B167" s="112" t="s">
        <v>444</v>
      </c>
      <c r="C167" s="113">
        <v>12</v>
      </c>
      <c r="D167" s="114">
        <v>26614</v>
      </c>
      <c r="E167" s="113">
        <v>26744</v>
      </c>
      <c r="F167" s="113">
        <v>26743</v>
      </c>
      <c r="G167" s="113">
        <v>10300800</v>
      </c>
      <c r="H167" s="113">
        <v>30573</v>
      </c>
      <c r="I167" s="113">
        <v>30800</v>
      </c>
      <c r="J167" s="115">
        <v>30787</v>
      </c>
      <c r="K167" s="113">
        <v>1773700</v>
      </c>
      <c r="L167" s="99">
        <f t="shared" si="35"/>
        <v>275474294400</v>
      </c>
      <c r="M167" s="99">
        <f t="shared" si="30"/>
        <v>54606901900</v>
      </c>
      <c r="N167" s="115">
        <v>27012</v>
      </c>
      <c r="O167" s="115">
        <v>31108</v>
      </c>
      <c r="P167" s="115">
        <v>26880</v>
      </c>
      <c r="Q167" s="115">
        <v>30878</v>
      </c>
      <c r="R167" s="113"/>
      <c r="S167" s="113"/>
      <c r="T167" s="113"/>
      <c r="U167" s="113"/>
      <c r="V167" s="115">
        <v>27620</v>
      </c>
      <c r="X167" s="115">
        <v>27800</v>
      </c>
      <c r="Y167" s="115">
        <v>31998</v>
      </c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  <c r="AN167" s="113"/>
      <c r="AO167" s="113"/>
      <c r="AP167" s="113"/>
      <c r="AQ167" s="113"/>
      <c r="AR167" s="113"/>
      <c r="AS167" s="114"/>
      <c r="AT167" s="114"/>
      <c r="AU167" s="114"/>
      <c r="AV167" s="114"/>
      <c r="AW167" s="114"/>
      <c r="AX167" s="114"/>
      <c r="AY167" s="113"/>
      <c r="AZ167" s="113"/>
      <c r="BA167" s="113"/>
      <c r="BB167" s="113"/>
      <c r="BC167" s="113"/>
      <c r="BE167" s="116"/>
      <c r="BF167" s="116"/>
      <c r="BG167" s="116"/>
      <c r="BH167" s="116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21" customFormat="1" ht="21" hidden="1" customHeight="1">
      <c r="A168" s="117"/>
      <c r="B168" s="118" t="s">
        <v>446</v>
      </c>
      <c r="C168" s="119">
        <v>13</v>
      </c>
      <c r="D168" s="120">
        <v>26823</v>
      </c>
      <c r="E168" s="119">
        <v>26805</v>
      </c>
      <c r="F168" s="119">
        <v>26777</v>
      </c>
      <c r="G168" s="119">
        <v>6743300</v>
      </c>
      <c r="H168" s="119">
        <v>30753</v>
      </c>
      <c r="I168" s="119">
        <v>30774</v>
      </c>
      <c r="J168" s="121">
        <v>30771</v>
      </c>
      <c r="K168" s="119">
        <v>1438700</v>
      </c>
      <c r="L168" s="123">
        <f t="shared" si="35"/>
        <v>180565344100</v>
      </c>
      <c r="M168" s="123">
        <f t="shared" si="30"/>
        <v>44270237700</v>
      </c>
      <c r="N168" s="121">
        <v>27073</v>
      </c>
      <c r="O168" s="121">
        <v>31082</v>
      </c>
      <c r="P168" s="121">
        <v>27068</v>
      </c>
      <c r="Q168" s="121">
        <v>31087</v>
      </c>
      <c r="R168" s="119"/>
      <c r="S168" s="119"/>
      <c r="T168" s="119"/>
      <c r="U168" s="119"/>
      <c r="V168" s="121">
        <v>27750</v>
      </c>
      <c r="X168" s="121">
        <v>27750</v>
      </c>
      <c r="Y168" s="121">
        <v>32035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20"/>
      <c r="AT168" s="120"/>
      <c r="AU168" s="120"/>
      <c r="AV168" s="120"/>
      <c r="AW168" s="120"/>
      <c r="AX168" s="120"/>
      <c r="AY168" s="119"/>
      <c r="AZ168" s="119"/>
      <c r="BA168" s="119"/>
      <c r="BB168" s="119"/>
      <c r="BC168" s="119"/>
      <c r="BE168" s="122"/>
      <c r="BF168" s="122"/>
      <c r="BG168" s="122"/>
      <c r="BH168" s="122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8" customFormat="1" ht="21" hidden="1" customHeight="1">
      <c r="A169" s="124"/>
      <c r="B169" s="125" t="s">
        <v>450</v>
      </c>
      <c r="C169" s="126">
        <v>15</v>
      </c>
      <c r="D169" s="127">
        <v>26897</v>
      </c>
      <c r="E169" s="126">
        <v>26764</v>
      </c>
      <c r="F169" s="126">
        <v>26851</v>
      </c>
      <c r="G169" s="126">
        <v>9862800</v>
      </c>
      <c r="H169" s="126">
        <v>30700</v>
      </c>
      <c r="I169" s="126">
        <v>30670</v>
      </c>
      <c r="J169" s="128">
        <v>30693</v>
      </c>
      <c r="K169" s="126">
        <v>2610400</v>
      </c>
      <c r="L169" s="99">
        <f t="shared" si="35"/>
        <v>264826042800</v>
      </c>
      <c r="M169" s="99">
        <f t="shared" si="30"/>
        <v>80121007200</v>
      </c>
      <c r="N169" s="128">
        <v>27032</v>
      </c>
      <c r="O169" s="128">
        <v>30977</v>
      </c>
      <c r="P169" s="128">
        <v>27165</v>
      </c>
      <c r="Q169" s="128">
        <v>31007</v>
      </c>
      <c r="R169" s="126"/>
      <c r="S169" s="126"/>
      <c r="T169" s="126"/>
      <c r="U169" s="126"/>
      <c r="V169" s="128">
        <v>27810</v>
      </c>
      <c r="X169" s="128">
        <v>27870</v>
      </c>
      <c r="Y169" s="128">
        <v>32072</v>
      </c>
      <c r="Z169" s="126"/>
      <c r="AA169" s="126"/>
      <c r="AB169" s="126"/>
      <c r="AC169" s="126"/>
      <c r="AD169" s="126"/>
      <c r="AE169" s="126"/>
      <c r="AF169" s="126"/>
      <c r="AG169" s="126"/>
      <c r="AH169" s="126"/>
      <c r="AI169" s="126"/>
      <c r="AJ169" s="126"/>
      <c r="AK169" s="126"/>
      <c r="AL169" s="126"/>
      <c r="AM169" s="126"/>
      <c r="AN169" s="126"/>
      <c r="AO169" s="126"/>
      <c r="AP169" s="126"/>
      <c r="AQ169" s="126"/>
      <c r="AR169" s="126"/>
      <c r="AS169" s="127"/>
      <c r="AT169" s="127"/>
      <c r="AU169" s="127"/>
      <c r="AV169" s="127"/>
      <c r="AW169" s="127"/>
      <c r="AX169" s="127"/>
      <c r="AY169" s="126"/>
      <c r="AZ169" s="126"/>
      <c r="BA169" s="126"/>
      <c r="BB169" s="126"/>
      <c r="BC169" s="126"/>
      <c r="BE169" s="129"/>
      <c r="BF169" s="129"/>
      <c r="BG169" s="129"/>
      <c r="BH169" s="129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8" customFormat="1" ht="21" hidden="1" customHeight="1">
      <c r="A170" s="124"/>
      <c r="B170" s="125" t="s">
        <v>451</v>
      </c>
      <c r="C170" s="126">
        <v>16</v>
      </c>
      <c r="D170" s="127">
        <v>26818</v>
      </c>
      <c r="E170" s="126">
        <v>27022</v>
      </c>
      <c r="F170" s="126">
        <v>26830</v>
      </c>
      <c r="G170" s="126">
        <v>10046600</v>
      </c>
      <c r="H170" s="126">
        <v>30680</v>
      </c>
      <c r="I170" s="126">
        <v>30679</v>
      </c>
      <c r="J170" s="128">
        <v>30683</v>
      </c>
      <c r="K170" s="126">
        <v>2758900</v>
      </c>
      <c r="L170" s="99">
        <f t="shared" si="35"/>
        <v>269550278000</v>
      </c>
      <c r="M170" s="99">
        <f t="shared" si="30"/>
        <v>84651328700</v>
      </c>
      <c r="N170" s="128">
        <v>27292</v>
      </c>
      <c r="O170" s="128">
        <v>30986</v>
      </c>
      <c r="P170" s="128">
        <v>27086</v>
      </c>
      <c r="Q170" s="128">
        <v>30987</v>
      </c>
      <c r="R170" s="126"/>
      <c r="S170" s="126"/>
      <c r="T170" s="126"/>
      <c r="U170" s="126"/>
      <c r="V170" s="128">
        <v>27830</v>
      </c>
      <c r="X170" s="128">
        <v>27900</v>
      </c>
      <c r="Y170" s="128">
        <v>32107</v>
      </c>
      <c r="Z170" s="126"/>
      <c r="AA170" s="126"/>
      <c r="AB170" s="126"/>
      <c r="AC170" s="126"/>
      <c r="AD170" s="126"/>
      <c r="AE170" s="126"/>
      <c r="AF170" s="126"/>
      <c r="AG170" s="126"/>
      <c r="AH170" s="126"/>
      <c r="AI170" s="126"/>
      <c r="AJ170" s="126"/>
      <c r="AK170" s="126"/>
      <c r="AL170" s="126"/>
      <c r="AM170" s="126"/>
      <c r="AN170" s="126"/>
      <c r="AO170" s="126"/>
      <c r="AP170" s="126"/>
      <c r="AQ170" s="126"/>
      <c r="AR170" s="126"/>
      <c r="AS170" s="127"/>
      <c r="AT170" s="127"/>
      <c r="AU170" s="127"/>
      <c r="AV170" s="127"/>
      <c r="AW170" s="127"/>
      <c r="AX170" s="127"/>
      <c r="AY170" s="126"/>
      <c r="AZ170" s="126"/>
      <c r="BA170" s="126"/>
      <c r="BB170" s="126"/>
      <c r="BC170" s="126"/>
      <c r="BE170" s="129"/>
      <c r="BF170" s="129"/>
      <c r="BG170" s="129"/>
      <c r="BH170" s="129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8" customFormat="1" ht="21" hidden="1" customHeight="1">
      <c r="A171" s="124"/>
      <c r="B171" s="125" t="s">
        <v>453</v>
      </c>
      <c r="C171" s="126">
        <v>17</v>
      </c>
      <c r="D171" s="127">
        <v>27207</v>
      </c>
      <c r="E171" s="126">
        <v>27354</v>
      </c>
      <c r="F171" s="126">
        <v>27306</v>
      </c>
      <c r="G171" s="126">
        <v>8489900</v>
      </c>
      <c r="H171" s="126">
        <v>31137</v>
      </c>
      <c r="I171" s="126">
        <v>31294</v>
      </c>
      <c r="J171" s="128">
        <v>31148</v>
      </c>
      <c r="K171" s="126">
        <v>2332400</v>
      </c>
      <c r="L171" s="99">
        <f t="shared" si="35"/>
        <v>231825209400</v>
      </c>
      <c r="M171" s="99">
        <f t="shared" si="30"/>
        <v>72649595200</v>
      </c>
      <c r="N171" s="128">
        <v>27627</v>
      </c>
      <c r="O171" s="128">
        <v>31607</v>
      </c>
      <c r="P171" s="128">
        <v>27479</v>
      </c>
      <c r="Q171" s="128">
        <v>31449</v>
      </c>
      <c r="R171" s="126"/>
      <c r="S171" s="126"/>
      <c r="T171" s="126"/>
      <c r="U171" s="126"/>
      <c r="V171" s="128">
        <v>28020</v>
      </c>
      <c r="X171" s="128">
        <v>28100</v>
      </c>
      <c r="Y171" s="128">
        <v>32413</v>
      </c>
      <c r="Z171" s="126"/>
      <c r="AA171" s="126"/>
      <c r="AB171" s="126"/>
      <c r="AC171" s="126"/>
      <c r="AD171" s="126"/>
      <c r="AE171" s="126"/>
      <c r="AF171" s="126"/>
      <c r="AG171" s="126"/>
      <c r="AH171" s="126"/>
      <c r="AI171" s="126"/>
      <c r="AJ171" s="126"/>
      <c r="AK171" s="126"/>
      <c r="AL171" s="126"/>
      <c r="AM171" s="126"/>
      <c r="AN171" s="126"/>
      <c r="AO171" s="126"/>
      <c r="AP171" s="126"/>
      <c r="AQ171" s="126"/>
      <c r="AR171" s="126"/>
      <c r="AS171" s="127"/>
      <c r="AT171" s="127"/>
      <c r="AU171" s="127"/>
      <c r="AV171" s="127"/>
      <c r="AW171" s="127"/>
      <c r="AX171" s="127"/>
      <c r="AY171" s="126"/>
      <c r="AZ171" s="126"/>
      <c r="BA171" s="126"/>
      <c r="BB171" s="126"/>
      <c r="BC171" s="126"/>
      <c r="BE171" s="129"/>
      <c r="BF171" s="129"/>
      <c r="BG171" s="129"/>
      <c r="BH171" s="129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8" customFormat="1" ht="21" hidden="1" customHeight="1">
      <c r="A172" s="124"/>
      <c r="B172" s="125" t="s">
        <v>455</v>
      </c>
      <c r="C172" s="126">
        <v>18</v>
      </c>
      <c r="D172" s="127">
        <v>27352</v>
      </c>
      <c r="E172" s="126">
        <v>27227</v>
      </c>
      <c r="F172" s="126">
        <v>27270</v>
      </c>
      <c r="G172" s="126">
        <v>10298600</v>
      </c>
      <c r="H172" s="126">
        <v>31233</v>
      </c>
      <c r="I172" s="126">
        <v>31400</v>
      </c>
      <c r="J172" s="128">
        <v>31345</v>
      </c>
      <c r="K172" s="126">
        <v>1564600</v>
      </c>
      <c r="L172" s="99">
        <f t="shared" si="35"/>
        <v>280842822000</v>
      </c>
      <c r="M172" s="99">
        <f t="shared" si="30"/>
        <v>49042387000</v>
      </c>
      <c r="N172" s="128">
        <v>27499</v>
      </c>
      <c r="O172" s="128">
        <v>31714</v>
      </c>
      <c r="P172" s="128">
        <v>27625</v>
      </c>
      <c r="Q172" s="128">
        <v>31545</v>
      </c>
      <c r="R172" s="126"/>
      <c r="S172" s="126"/>
      <c r="T172" s="126"/>
      <c r="U172" s="126"/>
      <c r="V172" s="128">
        <v>28080</v>
      </c>
      <c r="X172" s="128">
        <v>28140</v>
      </c>
      <c r="Y172" s="128">
        <v>32543</v>
      </c>
      <c r="Z172" s="126"/>
      <c r="AA172" s="126"/>
      <c r="AB172" s="126"/>
      <c r="AC172" s="126"/>
      <c r="AD172" s="126"/>
      <c r="AE172" s="126"/>
      <c r="AF172" s="126"/>
      <c r="AG172" s="126"/>
      <c r="AH172" s="126"/>
      <c r="AI172" s="126"/>
      <c r="AJ172" s="126"/>
      <c r="AK172" s="126"/>
      <c r="AL172" s="126"/>
      <c r="AM172" s="126"/>
      <c r="AN172" s="126"/>
      <c r="AO172" s="126"/>
      <c r="AP172" s="126"/>
      <c r="AQ172" s="126"/>
      <c r="AR172" s="126"/>
      <c r="AS172" s="127"/>
      <c r="AT172" s="127"/>
      <c r="AU172" s="127"/>
      <c r="AV172" s="127"/>
      <c r="AW172" s="127"/>
      <c r="AX172" s="127"/>
      <c r="AY172" s="126"/>
      <c r="AZ172" s="126"/>
      <c r="BA172" s="126"/>
      <c r="BB172" s="126"/>
      <c r="BC172" s="126"/>
      <c r="BE172" s="129"/>
      <c r="BF172" s="129"/>
      <c r="BG172" s="129"/>
      <c r="BH172" s="129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8" customFormat="1" ht="21" hidden="1" customHeight="1">
      <c r="A173" s="124"/>
      <c r="B173" s="125" t="s">
        <v>457</v>
      </c>
      <c r="C173" s="126">
        <v>19</v>
      </c>
      <c r="D173" s="127">
        <v>27425</v>
      </c>
      <c r="E173" s="126">
        <v>27317</v>
      </c>
      <c r="F173" s="126">
        <v>27320</v>
      </c>
      <c r="G173" s="126">
        <v>10920500</v>
      </c>
      <c r="H173" s="126">
        <v>31417</v>
      </c>
      <c r="I173" s="126">
        <v>31511</v>
      </c>
      <c r="J173" s="128">
        <v>31482</v>
      </c>
      <c r="K173" s="126">
        <v>1261900</v>
      </c>
      <c r="L173" s="99">
        <f t="shared" si="35"/>
        <v>298348060000</v>
      </c>
      <c r="M173" s="99">
        <f t="shared" si="30"/>
        <v>39727135800</v>
      </c>
      <c r="N173" s="128">
        <v>27590</v>
      </c>
      <c r="O173" s="128">
        <v>31826</v>
      </c>
      <c r="P173" s="128">
        <v>27699</v>
      </c>
      <c r="Q173" s="128">
        <v>31731</v>
      </c>
      <c r="R173" s="126"/>
      <c r="S173" s="126"/>
      <c r="T173" s="126"/>
      <c r="U173" s="126"/>
      <c r="V173" s="128">
        <v>28180</v>
      </c>
      <c r="X173" s="128">
        <v>28250</v>
      </c>
      <c r="Y173" s="128">
        <v>32578</v>
      </c>
      <c r="Z173" s="126"/>
      <c r="AA173" s="126"/>
      <c r="AB173" s="126"/>
      <c r="AC173" s="126"/>
      <c r="AD173" s="126"/>
      <c r="AE173" s="126"/>
      <c r="AF173" s="126"/>
      <c r="AG173" s="126"/>
      <c r="AH173" s="126"/>
      <c r="AI173" s="126"/>
      <c r="AJ173" s="126"/>
      <c r="AK173" s="126"/>
      <c r="AL173" s="126"/>
      <c r="AM173" s="126"/>
      <c r="AN173" s="126"/>
      <c r="AO173" s="126"/>
      <c r="AP173" s="126"/>
      <c r="AQ173" s="126"/>
      <c r="AR173" s="126"/>
      <c r="AS173" s="127"/>
      <c r="AT173" s="127"/>
      <c r="AU173" s="127"/>
      <c r="AV173" s="127"/>
      <c r="AW173" s="127"/>
      <c r="AX173" s="127"/>
      <c r="AY173" s="126"/>
      <c r="AZ173" s="126"/>
      <c r="BA173" s="126"/>
      <c r="BB173" s="126"/>
      <c r="BC173" s="126"/>
      <c r="BE173" s="129"/>
      <c r="BF173" s="129"/>
      <c r="BG173" s="129"/>
      <c r="BH173" s="129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8" customFormat="1" ht="21" hidden="1" customHeight="1">
      <c r="A174" s="124"/>
      <c r="B174" s="125" t="s">
        <v>459</v>
      </c>
      <c r="C174" s="126">
        <v>20</v>
      </c>
      <c r="D174" s="127">
        <v>27338</v>
      </c>
      <c r="E174" s="126">
        <v>27719</v>
      </c>
      <c r="F174" s="126">
        <v>27564</v>
      </c>
      <c r="G174" s="126">
        <v>7048800</v>
      </c>
      <c r="H174" s="126">
        <v>31502</v>
      </c>
      <c r="I174" s="126">
        <v>31582</v>
      </c>
      <c r="J174" s="128">
        <v>31542</v>
      </c>
      <c r="K174" s="126">
        <v>1145000</v>
      </c>
      <c r="L174" s="99">
        <f t="shared" si="35"/>
        <v>194293123200</v>
      </c>
      <c r="M174" s="99">
        <f t="shared" si="30"/>
        <v>36115590000</v>
      </c>
      <c r="N174" s="128">
        <v>27996</v>
      </c>
      <c r="O174" s="128">
        <v>31897</v>
      </c>
      <c r="P174" s="128">
        <v>27611</v>
      </c>
      <c r="Q174" s="128">
        <v>31817</v>
      </c>
      <c r="R174" s="126"/>
      <c r="S174" s="126"/>
      <c r="T174" s="126"/>
      <c r="U174" s="126"/>
      <c r="V174" s="128">
        <v>28340</v>
      </c>
      <c r="X174" s="128">
        <v>28370</v>
      </c>
      <c r="Y174" s="128">
        <v>32678</v>
      </c>
      <c r="Z174" s="126"/>
      <c r="AA174" s="126"/>
      <c r="AB174" s="126"/>
      <c r="AC174" s="126"/>
      <c r="AD174" s="126"/>
      <c r="AE174" s="126"/>
      <c r="AF174" s="126"/>
      <c r="AG174" s="126"/>
      <c r="AH174" s="126"/>
      <c r="AI174" s="126"/>
      <c r="AJ174" s="126"/>
      <c r="AK174" s="126"/>
      <c r="AL174" s="126"/>
      <c r="AM174" s="126"/>
      <c r="AN174" s="126"/>
      <c r="AO174" s="126"/>
      <c r="AP174" s="126"/>
      <c r="AQ174" s="126"/>
      <c r="AR174" s="126"/>
      <c r="AS174" s="127"/>
      <c r="AT174" s="127"/>
      <c r="AU174" s="127"/>
      <c r="AV174" s="127"/>
      <c r="AW174" s="127"/>
      <c r="AX174" s="127"/>
      <c r="AY174" s="126"/>
      <c r="AZ174" s="126"/>
      <c r="BA174" s="126"/>
      <c r="BB174" s="126"/>
      <c r="BC174" s="126"/>
      <c r="BE174" s="129"/>
      <c r="BF174" s="129"/>
      <c r="BG174" s="129"/>
      <c r="BH174" s="129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21" customFormat="1" ht="21" hidden="1" customHeight="1">
      <c r="A175" s="117"/>
      <c r="B175" s="118" t="s">
        <v>463</v>
      </c>
      <c r="C175" s="119">
        <v>22</v>
      </c>
      <c r="D175" s="120">
        <v>27657</v>
      </c>
      <c r="E175" s="119">
        <v>27585</v>
      </c>
      <c r="F175" s="119">
        <v>27691</v>
      </c>
      <c r="G175" s="119">
        <v>13052500</v>
      </c>
      <c r="H175" s="119">
        <v>31582</v>
      </c>
      <c r="I175" s="119">
        <v>31743</v>
      </c>
      <c r="J175" s="121">
        <v>31748</v>
      </c>
      <c r="K175" s="119">
        <v>1317900</v>
      </c>
      <c r="L175" s="123">
        <f t="shared" si="35"/>
        <v>361436777500</v>
      </c>
      <c r="M175" s="123">
        <f t="shared" si="30"/>
        <v>41840689200</v>
      </c>
      <c r="N175" s="121">
        <v>27860</v>
      </c>
      <c r="O175" s="121">
        <v>32061</v>
      </c>
      <c r="P175" s="121">
        <v>27933</v>
      </c>
      <c r="Q175" s="121">
        <v>31897</v>
      </c>
      <c r="R175" s="119"/>
      <c r="S175" s="119"/>
      <c r="T175" s="119"/>
      <c r="U175" s="119"/>
      <c r="V175" s="121">
        <v>28470</v>
      </c>
      <c r="X175" s="121">
        <v>28720</v>
      </c>
      <c r="Y175" s="121">
        <v>32655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20"/>
      <c r="AT175" s="120"/>
      <c r="AU175" s="120"/>
      <c r="AV175" s="120"/>
      <c r="AW175" s="120"/>
      <c r="AX175" s="120"/>
      <c r="AY175" s="119"/>
      <c r="AZ175" s="119"/>
      <c r="BA175" s="119"/>
      <c r="BB175" s="119"/>
      <c r="BC175" s="119"/>
      <c r="BE175" s="122"/>
      <c r="BF175" s="122"/>
      <c r="BG175" s="122"/>
      <c r="BH175" s="122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15" customFormat="1" ht="21" hidden="1" customHeight="1">
      <c r="A176" s="111"/>
      <c r="B176" s="112" t="s">
        <v>465</v>
      </c>
      <c r="C176" s="113">
        <v>23</v>
      </c>
      <c r="D176" s="114">
        <v>27494</v>
      </c>
      <c r="E176" s="113">
        <v>26882</v>
      </c>
      <c r="F176" s="113">
        <v>27339</v>
      </c>
      <c r="G176" s="113">
        <v>11746800</v>
      </c>
      <c r="H176" s="113">
        <v>31600</v>
      </c>
      <c r="I176" s="113">
        <v>31595</v>
      </c>
      <c r="J176" s="115">
        <v>31558</v>
      </c>
      <c r="K176" s="113">
        <v>915600</v>
      </c>
      <c r="L176" s="93">
        <f t="shared" si="35"/>
        <v>321145765200</v>
      </c>
      <c r="M176" s="93">
        <f t="shared" si="30"/>
        <v>28894504800</v>
      </c>
      <c r="N176" s="115">
        <v>27150</v>
      </c>
      <c r="O176" s="115">
        <v>31911</v>
      </c>
      <c r="P176" s="115">
        <v>27768</v>
      </c>
      <c r="Q176" s="115">
        <v>31916</v>
      </c>
      <c r="R176" s="113"/>
      <c r="S176" s="113"/>
      <c r="T176" s="113"/>
      <c r="U176" s="113"/>
      <c r="V176" s="115">
        <v>28720</v>
      </c>
      <c r="X176" s="115">
        <v>28580</v>
      </c>
      <c r="Y176" s="115">
        <v>32804</v>
      </c>
      <c r="Z176" s="113"/>
      <c r="AA176" s="113"/>
      <c r="AB176" s="113"/>
      <c r="AC176" s="113"/>
      <c r="AD176" s="113"/>
      <c r="AE176" s="113"/>
      <c r="AF176" s="113"/>
      <c r="AG176" s="113"/>
      <c r="AH176" s="113"/>
      <c r="AI176" s="113"/>
      <c r="AJ176" s="113"/>
      <c r="AK176" s="113"/>
      <c r="AL176" s="113"/>
      <c r="AM176" s="113"/>
      <c r="AN176" s="113"/>
      <c r="AO176" s="113"/>
      <c r="AP176" s="113"/>
      <c r="AQ176" s="113"/>
      <c r="AR176" s="113"/>
      <c r="AS176" s="114"/>
      <c r="AT176" s="114"/>
      <c r="AU176" s="114"/>
      <c r="AV176" s="114"/>
      <c r="AW176" s="114"/>
      <c r="AX176" s="114"/>
      <c r="AY176" s="113"/>
      <c r="AZ176" s="113"/>
      <c r="BA176" s="113"/>
      <c r="BB176" s="113"/>
      <c r="BC176" s="113"/>
      <c r="BE176" s="116"/>
      <c r="BF176" s="116"/>
      <c r="BG176" s="116"/>
      <c r="BH176" s="116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15" customFormat="1" ht="21" hidden="1" customHeight="1">
      <c r="A177" s="111"/>
      <c r="B177" s="112" t="s">
        <v>466</v>
      </c>
      <c r="C177" s="113">
        <v>24</v>
      </c>
      <c r="D177" s="114">
        <v>26862</v>
      </c>
      <c r="E177" s="113">
        <v>26874</v>
      </c>
      <c r="F177" s="113">
        <v>26871</v>
      </c>
      <c r="G177" s="113">
        <v>11601300</v>
      </c>
      <c r="H177" s="113">
        <v>31350</v>
      </c>
      <c r="I177" s="113">
        <v>31256</v>
      </c>
      <c r="J177" s="115">
        <v>31234</v>
      </c>
      <c r="K177" s="113">
        <v>1080600</v>
      </c>
      <c r="L177" s="93">
        <f t="shared" si="35"/>
        <v>311738532300</v>
      </c>
      <c r="M177" s="93">
        <f t="shared" si="30"/>
        <v>33751460400</v>
      </c>
      <c r="N177" s="115">
        <v>27143</v>
      </c>
      <c r="O177" s="115">
        <v>31569</v>
      </c>
      <c r="P177" s="115">
        <v>27130</v>
      </c>
      <c r="Q177" s="115">
        <v>31663</v>
      </c>
      <c r="R177" s="113"/>
      <c r="S177" s="113"/>
      <c r="T177" s="113"/>
      <c r="U177" s="113"/>
      <c r="V177" s="115">
        <v>28420</v>
      </c>
      <c r="X177" s="115">
        <v>28190</v>
      </c>
      <c r="Y177" s="115">
        <v>32283</v>
      </c>
      <c r="Z177" s="113"/>
      <c r="AA177" s="113"/>
      <c r="AB177" s="113"/>
      <c r="AC177" s="113"/>
      <c r="AD177" s="113"/>
      <c r="AE177" s="113"/>
      <c r="AF177" s="113"/>
      <c r="AG177" s="113"/>
      <c r="AH177" s="113"/>
      <c r="AI177" s="113"/>
      <c r="AJ177" s="113"/>
      <c r="AK177" s="113"/>
      <c r="AL177" s="113"/>
      <c r="AM177" s="113"/>
      <c r="AN177" s="113"/>
      <c r="AO177" s="113"/>
      <c r="AP177" s="113"/>
      <c r="AQ177" s="113"/>
      <c r="AR177" s="113"/>
      <c r="AS177" s="114"/>
      <c r="AT177" s="114"/>
      <c r="AU177" s="114"/>
      <c r="AV177" s="114"/>
      <c r="AW177" s="114"/>
      <c r="AX177" s="114"/>
      <c r="AY177" s="113"/>
      <c r="AZ177" s="113"/>
      <c r="BA177" s="113"/>
      <c r="BB177" s="113"/>
      <c r="BC177" s="113"/>
      <c r="BE177" s="116"/>
      <c r="BF177" s="116"/>
      <c r="BG177" s="116"/>
      <c r="BH177" s="116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15" customFormat="1" ht="21" hidden="1" customHeight="1">
      <c r="A178" s="111"/>
      <c r="B178" s="112" t="s">
        <v>468</v>
      </c>
      <c r="C178" s="113">
        <v>25</v>
      </c>
      <c r="D178" s="114">
        <v>26797</v>
      </c>
      <c r="E178" s="113">
        <v>26635</v>
      </c>
      <c r="F178" s="113">
        <v>26690</v>
      </c>
      <c r="G178" s="113">
        <v>12754500</v>
      </c>
      <c r="H178" s="113">
        <v>31269</v>
      </c>
      <c r="I178" s="113">
        <v>30757</v>
      </c>
      <c r="J178" s="115">
        <v>31087</v>
      </c>
      <c r="K178" s="113">
        <v>902900</v>
      </c>
      <c r="L178" s="93">
        <f t="shared" si="35"/>
        <v>340417605000</v>
      </c>
      <c r="M178" s="93">
        <f t="shared" si="30"/>
        <v>28068452300</v>
      </c>
      <c r="N178" s="115">
        <v>26901</v>
      </c>
      <c r="O178" s="115">
        <v>31064</v>
      </c>
      <c r="P178" s="115">
        <v>27065</v>
      </c>
      <c r="Q178" s="115">
        <v>31582</v>
      </c>
      <c r="R178" s="113"/>
      <c r="S178" s="113"/>
      <c r="T178" s="113"/>
      <c r="U178" s="113"/>
      <c r="V178" s="115">
        <v>28170</v>
      </c>
      <c r="X178" s="115">
        <v>28180</v>
      </c>
      <c r="Y178" s="115">
        <v>32023</v>
      </c>
      <c r="Z178" s="113"/>
      <c r="AA178" s="113"/>
      <c r="AB178" s="113"/>
      <c r="AC178" s="113"/>
      <c r="AD178" s="113"/>
      <c r="AE178" s="113"/>
      <c r="AF178" s="113"/>
      <c r="AG178" s="113"/>
      <c r="AH178" s="113"/>
      <c r="AI178" s="113"/>
      <c r="AJ178" s="113"/>
      <c r="AK178" s="113"/>
      <c r="AL178" s="113"/>
      <c r="AM178" s="113"/>
      <c r="AN178" s="113"/>
      <c r="AO178" s="113"/>
      <c r="AP178" s="113"/>
      <c r="AQ178" s="113"/>
      <c r="AR178" s="113"/>
      <c r="AS178" s="114"/>
      <c r="AT178" s="114"/>
      <c r="AU178" s="114"/>
      <c r="AV178" s="114"/>
      <c r="AW178" s="114"/>
      <c r="AX178" s="114"/>
      <c r="AY178" s="113"/>
      <c r="AZ178" s="113"/>
      <c r="BA178" s="113"/>
      <c r="BB178" s="113"/>
      <c r="BC178" s="113"/>
      <c r="BE178" s="116"/>
      <c r="BF178" s="116"/>
      <c r="BG178" s="116"/>
      <c r="BH178" s="116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15" customFormat="1" ht="21" hidden="1" customHeight="1">
      <c r="A179" s="111"/>
      <c r="B179" s="112" t="s">
        <v>470</v>
      </c>
      <c r="C179" s="113">
        <v>26</v>
      </c>
      <c r="D179" s="114">
        <v>26633</v>
      </c>
      <c r="E179" s="113">
        <v>26635</v>
      </c>
      <c r="F179" s="113">
        <v>26626</v>
      </c>
      <c r="G179" s="113">
        <v>9748900</v>
      </c>
      <c r="H179" s="113">
        <v>30627</v>
      </c>
      <c r="I179" s="113">
        <v>30205</v>
      </c>
      <c r="J179" s="115">
        <v>30213</v>
      </c>
      <c r="K179" s="113">
        <v>1327100</v>
      </c>
      <c r="L179" s="93">
        <f t="shared" si="35"/>
        <v>259574211400</v>
      </c>
      <c r="M179" s="93">
        <f t="shared" si="30"/>
        <v>40095672300</v>
      </c>
      <c r="N179" s="115">
        <v>26901</v>
      </c>
      <c r="O179" s="115">
        <v>30507</v>
      </c>
      <c r="P179" s="115">
        <v>26900</v>
      </c>
      <c r="Q179" s="115">
        <v>30933</v>
      </c>
      <c r="R179" s="113"/>
      <c r="S179" s="113"/>
      <c r="T179" s="113"/>
      <c r="U179" s="113"/>
      <c r="V179" s="115">
        <v>28340</v>
      </c>
      <c r="X179" s="115">
        <v>28190</v>
      </c>
      <c r="Y179" s="115">
        <v>32007</v>
      </c>
      <c r="Z179" s="113"/>
      <c r="AA179" s="113"/>
      <c r="AB179" s="113"/>
      <c r="AC179" s="113"/>
      <c r="AD179" s="113"/>
      <c r="AE179" s="113"/>
      <c r="AF179" s="113"/>
      <c r="AG179" s="113"/>
      <c r="AH179" s="113"/>
      <c r="AI179" s="113"/>
      <c r="AJ179" s="113"/>
      <c r="AK179" s="113"/>
      <c r="AL179" s="113"/>
      <c r="AM179" s="113"/>
      <c r="AN179" s="113"/>
      <c r="AO179" s="113"/>
      <c r="AP179" s="113"/>
      <c r="AQ179" s="113"/>
      <c r="AR179" s="113"/>
      <c r="AS179" s="114"/>
      <c r="AT179" s="114"/>
      <c r="AU179" s="114"/>
      <c r="AV179" s="114"/>
      <c r="AW179" s="114"/>
      <c r="AX179" s="114"/>
      <c r="AY179" s="113"/>
      <c r="AZ179" s="113"/>
      <c r="BA179" s="113"/>
      <c r="BB179" s="113"/>
      <c r="BC179" s="113"/>
      <c r="BE179" s="116"/>
      <c r="BF179" s="116"/>
      <c r="BG179" s="116"/>
      <c r="BH179" s="116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15" customFormat="1" ht="21" hidden="1" customHeight="1">
      <c r="A180" s="111"/>
      <c r="B180" s="112" t="s">
        <v>472</v>
      </c>
      <c r="C180" s="113">
        <v>27</v>
      </c>
      <c r="D180" s="114">
        <v>26632</v>
      </c>
      <c r="E180" s="113">
        <v>26632</v>
      </c>
      <c r="F180" s="113">
        <v>26620</v>
      </c>
      <c r="G180" s="113">
        <v>8735600</v>
      </c>
      <c r="H180" s="113">
        <v>30205</v>
      </c>
      <c r="I180" s="113">
        <v>30590</v>
      </c>
      <c r="J180" s="115">
        <v>30480</v>
      </c>
      <c r="K180" s="113">
        <v>493800</v>
      </c>
      <c r="L180" s="93">
        <f t="shared" si="35"/>
        <v>232541672000</v>
      </c>
      <c r="M180" s="93">
        <f t="shared" si="30"/>
        <v>15051024000</v>
      </c>
      <c r="N180" s="115">
        <v>26899</v>
      </c>
      <c r="O180" s="115">
        <v>30896</v>
      </c>
      <c r="P180" s="115">
        <v>26898</v>
      </c>
      <c r="Q180" s="115">
        <v>30507</v>
      </c>
      <c r="R180" s="113"/>
      <c r="S180" s="113"/>
      <c r="T180" s="113"/>
      <c r="U180" s="113"/>
      <c r="V180" s="115">
        <v>28210</v>
      </c>
      <c r="X180" s="115">
        <v>28150</v>
      </c>
      <c r="Y180" s="115">
        <v>31964</v>
      </c>
      <c r="Z180" s="113"/>
      <c r="AA180" s="113"/>
      <c r="AB180" s="113"/>
      <c r="AC180" s="113"/>
      <c r="AD180" s="113"/>
      <c r="AE180" s="113"/>
      <c r="AF180" s="113"/>
      <c r="AG180" s="113"/>
      <c r="AH180" s="113"/>
      <c r="AI180" s="113"/>
      <c r="AJ180" s="113"/>
      <c r="AK180" s="113"/>
      <c r="AL180" s="113"/>
      <c r="AM180" s="113"/>
      <c r="AN180" s="113"/>
      <c r="AO180" s="113"/>
      <c r="AP180" s="113"/>
      <c r="AQ180" s="113"/>
      <c r="AR180" s="113"/>
      <c r="AS180" s="114"/>
      <c r="AT180" s="114"/>
      <c r="AU180" s="114"/>
      <c r="AV180" s="114"/>
      <c r="AW180" s="114"/>
      <c r="AX180" s="114"/>
      <c r="AY180" s="113"/>
      <c r="AZ180" s="113"/>
      <c r="BA180" s="113"/>
      <c r="BB180" s="113"/>
      <c r="BC180" s="113"/>
      <c r="BE180" s="116"/>
      <c r="BF180" s="116"/>
      <c r="BG180" s="116"/>
      <c r="BH180" s="116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8" customFormat="1" ht="21" hidden="1" customHeight="1">
      <c r="A181" s="124"/>
      <c r="B181" s="125" t="s">
        <v>475</v>
      </c>
      <c r="C181" s="126">
        <v>29</v>
      </c>
      <c r="D181" s="127">
        <v>26630</v>
      </c>
      <c r="E181" s="126">
        <v>26609</v>
      </c>
      <c r="F181" s="126">
        <v>26601</v>
      </c>
      <c r="G181" s="126">
        <v>11727000</v>
      </c>
      <c r="H181" s="126">
        <v>30583</v>
      </c>
      <c r="I181" s="126">
        <v>30350</v>
      </c>
      <c r="J181" s="128">
        <v>30413</v>
      </c>
      <c r="K181" s="126">
        <v>675800</v>
      </c>
      <c r="L181" s="93">
        <f t="shared" si="35"/>
        <v>311949927000</v>
      </c>
      <c r="M181" s="93">
        <f t="shared" si="30"/>
        <v>20553105400</v>
      </c>
      <c r="N181" s="128">
        <v>26875</v>
      </c>
      <c r="O181" s="128">
        <v>30654</v>
      </c>
      <c r="P181" s="128">
        <v>26896</v>
      </c>
      <c r="Q181" s="128">
        <v>30890</v>
      </c>
      <c r="R181" s="126"/>
      <c r="S181" s="126"/>
      <c r="T181" s="126"/>
      <c r="U181" s="126"/>
      <c r="V181" s="128">
        <v>28180</v>
      </c>
      <c r="X181" s="128">
        <v>28180</v>
      </c>
      <c r="Y181" s="128">
        <v>31753</v>
      </c>
      <c r="Z181" s="126"/>
      <c r="AA181" s="126"/>
      <c r="AB181" s="126"/>
      <c r="AC181" s="126"/>
      <c r="AD181" s="126"/>
      <c r="AE181" s="126"/>
      <c r="AF181" s="126"/>
      <c r="AG181" s="126"/>
      <c r="AH181" s="126"/>
      <c r="AI181" s="126"/>
      <c r="AJ181" s="126"/>
      <c r="AK181" s="126"/>
      <c r="AL181" s="126"/>
      <c r="AM181" s="126"/>
      <c r="AN181" s="126"/>
      <c r="AO181" s="126"/>
      <c r="AP181" s="126"/>
      <c r="AQ181" s="126"/>
      <c r="AR181" s="126"/>
      <c r="AS181" s="127"/>
      <c r="AT181" s="127"/>
      <c r="AU181" s="127"/>
      <c r="AV181" s="127"/>
      <c r="AW181" s="127"/>
      <c r="AX181" s="127"/>
      <c r="AY181" s="126"/>
      <c r="AZ181" s="126"/>
      <c r="BA181" s="126"/>
      <c r="BB181" s="126"/>
      <c r="BC181" s="126"/>
      <c r="BE181" s="129"/>
      <c r="BF181" s="129"/>
      <c r="BG181" s="129"/>
      <c r="BH181" s="129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8" customFormat="1" ht="21" hidden="1" customHeight="1">
      <c r="A182" s="124"/>
      <c r="B182" s="125" t="s">
        <v>477</v>
      </c>
      <c r="C182" s="126">
        <v>30</v>
      </c>
      <c r="D182" s="127">
        <v>26579</v>
      </c>
      <c r="E182" s="126">
        <v>26600</v>
      </c>
      <c r="F182" s="126">
        <v>26565</v>
      </c>
      <c r="G182" s="126">
        <v>11408500</v>
      </c>
      <c r="H182" s="126">
        <v>30288</v>
      </c>
      <c r="I182" s="126">
        <v>30399</v>
      </c>
      <c r="J182" s="128">
        <v>30341</v>
      </c>
      <c r="K182" s="126">
        <v>908000</v>
      </c>
      <c r="L182" s="99">
        <f t="shared" si="35"/>
        <v>303066802500</v>
      </c>
      <c r="M182" s="99">
        <f t="shared" si="30"/>
        <v>27549628000</v>
      </c>
      <c r="N182" s="128">
        <v>26865</v>
      </c>
      <c r="O182" s="128">
        <v>30703</v>
      </c>
      <c r="P182" s="128">
        <v>26844</v>
      </c>
      <c r="Q182" s="128">
        <v>30591</v>
      </c>
      <c r="R182" s="126"/>
      <c r="S182" s="126"/>
      <c r="T182" s="126"/>
      <c r="U182" s="126"/>
      <c r="V182" s="128">
        <v>28090</v>
      </c>
      <c r="X182" s="128">
        <v>28290</v>
      </c>
      <c r="Y182" s="128">
        <v>31741</v>
      </c>
      <c r="Z182" s="126"/>
      <c r="AA182" s="126"/>
      <c r="AB182" s="126"/>
      <c r="AC182" s="126"/>
      <c r="AD182" s="126"/>
      <c r="AE182" s="126"/>
      <c r="AF182" s="126"/>
      <c r="AG182" s="126"/>
      <c r="AH182" s="126"/>
      <c r="AI182" s="126"/>
      <c r="AJ182" s="126"/>
      <c r="AK182" s="126"/>
      <c r="AL182" s="126"/>
      <c r="AM182" s="126"/>
      <c r="AN182" s="126"/>
      <c r="AO182" s="126"/>
      <c r="AP182" s="126"/>
      <c r="AQ182" s="126"/>
      <c r="AR182" s="126"/>
      <c r="AS182" s="127"/>
      <c r="AT182" s="127"/>
      <c r="AU182" s="127"/>
      <c r="AV182" s="127"/>
      <c r="AW182" s="127"/>
      <c r="AX182" s="127"/>
      <c r="AY182" s="126"/>
      <c r="AZ182" s="126"/>
      <c r="BA182" s="126"/>
      <c r="BB182" s="126"/>
      <c r="BC182" s="126"/>
      <c r="BE182" s="129"/>
      <c r="BF182" s="129"/>
      <c r="BG182" s="129"/>
      <c r="BH182" s="129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8" customFormat="1" ht="21" hidden="1" customHeight="1">
      <c r="A183" s="124"/>
      <c r="B183" s="125" t="s">
        <v>484</v>
      </c>
      <c r="C183" s="126">
        <v>1</v>
      </c>
      <c r="D183" s="127">
        <v>26577</v>
      </c>
      <c r="E183" s="126">
        <v>26580</v>
      </c>
      <c r="F183" s="126">
        <v>26574</v>
      </c>
      <c r="G183" s="126">
        <v>12381500</v>
      </c>
      <c r="H183" s="126">
        <v>30211</v>
      </c>
      <c r="I183" s="126">
        <v>30399</v>
      </c>
      <c r="J183" s="128">
        <v>30309</v>
      </c>
      <c r="K183" s="126">
        <v>953300</v>
      </c>
      <c r="L183" s="99">
        <f t="shared" si="35"/>
        <v>329025981000</v>
      </c>
      <c r="M183" s="99">
        <f t="shared" si="30"/>
        <v>28893569700</v>
      </c>
      <c r="N183" s="128">
        <v>26846</v>
      </c>
      <c r="O183" s="128">
        <v>30703</v>
      </c>
      <c r="P183" s="128">
        <v>26843</v>
      </c>
      <c r="Q183" s="128">
        <v>30513</v>
      </c>
      <c r="R183" s="126"/>
      <c r="S183" s="126"/>
      <c r="T183" s="126"/>
      <c r="U183" s="126"/>
      <c r="V183" s="128">
        <v>28350</v>
      </c>
      <c r="X183" s="128">
        <v>28400</v>
      </c>
      <c r="Y183" s="128">
        <v>31874</v>
      </c>
      <c r="Z183" s="126"/>
      <c r="AA183" s="126"/>
      <c r="AB183" s="126"/>
      <c r="AC183" s="126"/>
      <c r="AD183" s="126"/>
      <c r="AE183" s="126"/>
      <c r="AF183" s="126"/>
      <c r="AG183" s="126"/>
      <c r="AH183" s="126"/>
      <c r="AI183" s="126"/>
      <c r="AJ183" s="126"/>
      <c r="AK183" s="126"/>
      <c r="AL183" s="126"/>
      <c r="AM183" s="126"/>
      <c r="AN183" s="126"/>
      <c r="AO183" s="126"/>
      <c r="AP183" s="126"/>
      <c r="AQ183" s="126"/>
      <c r="AR183" s="126"/>
      <c r="AS183" s="127"/>
      <c r="AT183" s="127"/>
      <c r="AU183" s="127"/>
      <c r="AV183" s="127"/>
      <c r="AW183" s="127"/>
      <c r="AX183" s="127"/>
      <c r="AY183" s="126"/>
      <c r="AZ183" s="126"/>
      <c r="BA183" s="126"/>
      <c r="BB183" s="126"/>
      <c r="BC183" s="126"/>
      <c r="BE183" s="129"/>
      <c r="BF183" s="129"/>
      <c r="BG183" s="129"/>
      <c r="BH183" s="129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8" customFormat="1" ht="21" hidden="1" customHeight="1">
      <c r="A184" s="124"/>
      <c r="B184" s="125" t="s">
        <v>485</v>
      </c>
      <c r="C184" s="126">
        <v>2</v>
      </c>
      <c r="D184" s="127">
        <v>26578</v>
      </c>
      <c r="E184" s="126">
        <v>26579</v>
      </c>
      <c r="F184" s="126">
        <v>26576</v>
      </c>
      <c r="G184" s="126">
        <v>15697800</v>
      </c>
      <c r="H184" s="126">
        <v>30399</v>
      </c>
      <c r="I184" s="126">
        <v>30399</v>
      </c>
      <c r="J184" s="128">
        <v>30386</v>
      </c>
      <c r="K184" s="126">
        <v>1164500</v>
      </c>
      <c r="L184" s="99">
        <f t="shared" si="35"/>
        <v>417184732800</v>
      </c>
      <c r="M184" s="99">
        <f t="shared" si="30"/>
        <v>35384497000</v>
      </c>
      <c r="N184" s="128">
        <v>26845</v>
      </c>
      <c r="O184" s="128">
        <v>30703</v>
      </c>
      <c r="P184" s="128">
        <v>26844</v>
      </c>
      <c r="Q184" s="128">
        <v>30703</v>
      </c>
      <c r="R184" s="126"/>
      <c r="S184" s="126"/>
      <c r="T184" s="126"/>
      <c r="U184" s="126"/>
      <c r="V184" s="128">
        <v>28550</v>
      </c>
      <c r="X184" s="128">
        <v>28570</v>
      </c>
      <c r="Y184" s="128">
        <v>32223</v>
      </c>
      <c r="Z184" s="126"/>
      <c r="AA184" s="126"/>
      <c r="AB184" s="126"/>
      <c r="AC184" s="126"/>
      <c r="AD184" s="126"/>
      <c r="AE184" s="126"/>
      <c r="AF184" s="126"/>
      <c r="AG184" s="126"/>
      <c r="AH184" s="126"/>
      <c r="AI184" s="126"/>
      <c r="AJ184" s="126"/>
      <c r="AK184" s="126"/>
      <c r="AL184" s="126"/>
      <c r="AM184" s="126"/>
      <c r="AN184" s="126"/>
      <c r="AO184" s="126"/>
      <c r="AP184" s="126"/>
      <c r="AQ184" s="126"/>
      <c r="AR184" s="126"/>
      <c r="AS184" s="127"/>
      <c r="AT184" s="127"/>
      <c r="AU184" s="127"/>
      <c r="AV184" s="127"/>
      <c r="AW184" s="127"/>
      <c r="AX184" s="127"/>
      <c r="AY184" s="126"/>
      <c r="AZ184" s="126"/>
      <c r="BA184" s="126"/>
      <c r="BB184" s="126"/>
      <c r="BC184" s="126"/>
      <c r="BE184" s="129"/>
      <c r="BF184" s="129"/>
      <c r="BG184" s="129"/>
      <c r="BH184" s="129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8" customFormat="1" ht="21" hidden="1" customHeight="1">
      <c r="A185" s="124"/>
      <c r="B185" s="125" t="s">
        <v>486</v>
      </c>
      <c r="C185" s="126">
        <v>3</v>
      </c>
      <c r="D185" s="127">
        <v>27064</v>
      </c>
      <c r="E185" s="126">
        <v>27750</v>
      </c>
      <c r="F185" s="126">
        <v>27384</v>
      </c>
      <c r="G185" s="126">
        <v>12359200</v>
      </c>
      <c r="H185" s="126">
        <v>30399</v>
      </c>
      <c r="I185" s="126">
        <v>31492</v>
      </c>
      <c r="J185" s="128">
        <v>31335</v>
      </c>
      <c r="K185" s="126">
        <v>1055500</v>
      </c>
      <c r="L185" s="99">
        <f t="shared" si="35"/>
        <v>338444332800</v>
      </c>
      <c r="M185" s="99">
        <f t="shared" si="30"/>
        <v>33074092500</v>
      </c>
      <c r="N185" s="128">
        <v>28028</v>
      </c>
      <c r="O185" s="128">
        <v>31807</v>
      </c>
      <c r="P185" s="128">
        <v>27335</v>
      </c>
      <c r="Q185" s="128">
        <v>30703</v>
      </c>
      <c r="R185" s="126"/>
      <c r="S185" s="126"/>
      <c r="T185" s="126"/>
      <c r="U185" s="126"/>
      <c r="V185" s="128">
        <v>28850</v>
      </c>
      <c r="X185" s="128">
        <v>29050</v>
      </c>
      <c r="Y185" s="128">
        <v>32426</v>
      </c>
      <c r="Z185" s="126"/>
      <c r="AA185" s="126"/>
      <c r="AB185" s="126"/>
      <c r="AC185" s="126"/>
      <c r="AD185" s="126"/>
      <c r="AE185" s="126"/>
      <c r="AF185" s="126"/>
      <c r="AG185" s="126"/>
      <c r="AH185" s="126"/>
      <c r="AI185" s="126"/>
      <c r="AJ185" s="126"/>
      <c r="AK185" s="126"/>
      <c r="AL185" s="126"/>
      <c r="AM185" s="126"/>
      <c r="AN185" s="126"/>
      <c r="AO185" s="126"/>
      <c r="AP185" s="126"/>
      <c r="AQ185" s="126"/>
      <c r="AR185" s="126"/>
      <c r="AS185" s="127"/>
      <c r="AT185" s="127"/>
      <c r="AU185" s="127"/>
      <c r="AV185" s="127"/>
      <c r="AW185" s="127"/>
      <c r="AX185" s="127"/>
      <c r="AY185" s="126"/>
      <c r="AZ185" s="126"/>
      <c r="BA185" s="126"/>
      <c r="BB185" s="126"/>
      <c r="BC185" s="126"/>
      <c r="BE185" s="129"/>
      <c r="BF185" s="129"/>
      <c r="BG185" s="129"/>
      <c r="BH185" s="129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8" customFormat="1" ht="21" hidden="1" customHeight="1">
      <c r="A186" s="124"/>
      <c r="B186" s="125" t="s">
        <v>487</v>
      </c>
      <c r="C186" s="126">
        <v>4</v>
      </c>
      <c r="D186" s="127">
        <v>28042</v>
      </c>
      <c r="E186" s="126">
        <v>27723</v>
      </c>
      <c r="F186" s="126">
        <v>27768</v>
      </c>
      <c r="G186" s="126">
        <v>7533200</v>
      </c>
      <c r="H186" s="126">
        <v>31492</v>
      </c>
      <c r="I186" s="126">
        <v>31765</v>
      </c>
      <c r="J186" s="128">
        <v>31703</v>
      </c>
      <c r="K186" s="126">
        <v>442900</v>
      </c>
      <c r="L186" s="99">
        <f t="shared" si="35"/>
        <v>209181897600</v>
      </c>
      <c r="M186" s="99">
        <f t="shared" si="30"/>
        <v>14041258700</v>
      </c>
      <c r="N186" s="128">
        <v>28001</v>
      </c>
      <c r="O186" s="128">
        <v>32083</v>
      </c>
      <c r="P186" s="128">
        <v>28322</v>
      </c>
      <c r="Q186" s="128">
        <v>31807</v>
      </c>
      <c r="R186" s="126"/>
      <c r="S186" s="126"/>
      <c r="T186" s="126"/>
      <c r="U186" s="126"/>
      <c r="V186" s="128">
        <v>29030</v>
      </c>
      <c r="X186" s="128">
        <v>29050</v>
      </c>
      <c r="Y186" s="128">
        <v>32534</v>
      </c>
      <c r="Z186" s="126"/>
      <c r="AA186" s="126"/>
      <c r="AB186" s="126"/>
      <c r="AC186" s="126"/>
      <c r="AD186" s="126"/>
      <c r="AE186" s="126"/>
      <c r="AF186" s="126"/>
      <c r="AG186" s="126"/>
      <c r="AH186" s="126"/>
      <c r="AI186" s="126"/>
      <c r="AJ186" s="126"/>
      <c r="AK186" s="126"/>
      <c r="AL186" s="126"/>
      <c r="AM186" s="126"/>
      <c r="AN186" s="126"/>
      <c r="AO186" s="126"/>
      <c r="AP186" s="126"/>
      <c r="AQ186" s="126"/>
      <c r="AR186" s="126"/>
      <c r="AS186" s="127"/>
      <c r="AT186" s="127"/>
      <c r="AU186" s="127"/>
      <c r="AV186" s="127"/>
      <c r="AW186" s="127"/>
      <c r="AX186" s="127"/>
      <c r="AY186" s="126"/>
      <c r="AZ186" s="126"/>
      <c r="BA186" s="126"/>
      <c r="BB186" s="126"/>
      <c r="BC186" s="126"/>
      <c r="BE186" s="129"/>
      <c r="BF186" s="129"/>
      <c r="BG186" s="129"/>
      <c r="BH186" s="129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15" customFormat="1" ht="21" hidden="1" customHeight="1">
      <c r="A187" s="111"/>
      <c r="B187" s="112" t="s">
        <v>488</v>
      </c>
      <c r="C187" s="113">
        <v>6</v>
      </c>
      <c r="D187" s="114">
        <v>27760</v>
      </c>
      <c r="E187" s="113">
        <v>26482</v>
      </c>
      <c r="F187" s="113">
        <v>27139</v>
      </c>
      <c r="G187" s="113">
        <v>3812700</v>
      </c>
      <c r="H187" s="113">
        <v>31765</v>
      </c>
      <c r="I187" s="113">
        <v>30300</v>
      </c>
      <c r="J187" s="115">
        <v>30744</v>
      </c>
      <c r="K187" s="113">
        <v>280400</v>
      </c>
      <c r="L187" s="93">
        <f t="shared" si="35"/>
        <v>103472865300</v>
      </c>
      <c r="M187" s="93">
        <f t="shared" si="30"/>
        <v>8620617600</v>
      </c>
      <c r="N187" s="115">
        <v>26746</v>
      </c>
      <c r="O187" s="115">
        <v>30603</v>
      </c>
      <c r="P187" s="115">
        <v>28037</v>
      </c>
      <c r="Q187" s="115">
        <v>32083</v>
      </c>
      <c r="R187" s="113"/>
      <c r="S187" s="113"/>
      <c r="T187" s="113"/>
      <c r="U187" s="113"/>
      <c r="V187" s="115">
        <v>29270</v>
      </c>
      <c r="X187" s="115">
        <v>29150</v>
      </c>
      <c r="Y187" s="115">
        <v>33100</v>
      </c>
      <c r="Z187" s="113"/>
      <c r="AA187" s="113"/>
      <c r="AB187" s="113"/>
      <c r="AC187" s="113"/>
      <c r="AD187" s="113"/>
      <c r="AE187" s="113"/>
      <c r="AF187" s="113"/>
      <c r="AG187" s="113"/>
      <c r="AH187" s="113"/>
      <c r="AI187" s="113"/>
      <c r="AJ187" s="113"/>
      <c r="AK187" s="113"/>
      <c r="AL187" s="113"/>
      <c r="AM187" s="113"/>
      <c r="AN187" s="113"/>
      <c r="AO187" s="113"/>
      <c r="AP187" s="113"/>
      <c r="AQ187" s="113"/>
      <c r="AR187" s="113"/>
      <c r="AS187" s="114"/>
      <c r="AT187" s="114"/>
      <c r="AU187" s="114"/>
      <c r="AV187" s="114"/>
      <c r="AW187" s="114"/>
      <c r="AX187" s="114"/>
      <c r="AY187" s="113"/>
      <c r="AZ187" s="113"/>
      <c r="BA187" s="113"/>
      <c r="BB187" s="113"/>
      <c r="BC187" s="113"/>
      <c r="BE187" s="116"/>
      <c r="BF187" s="116"/>
      <c r="BG187" s="116"/>
      <c r="BH187" s="116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15" customFormat="1" ht="21" hidden="1" customHeight="1">
      <c r="A188" s="111"/>
      <c r="B188" s="112" t="s">
        <v>490</v>
      </c>
      <c r="C188" s="113">
        <v>7</v>
      </c>
      <c r="D188" s="114">
        <v>26482</v>
      </c>
      <c r="E188" s="113">
        <v>26063</v>
      </c>
      <c r="F188" s="113">
        <v>26151</v>
      </c>
      <c r="G188" s="113">
        <v>3931600</v>
      </c>
      <c r="H188" s="113">
        <v>30300</v>
      </c>
      <c r="I188" s="113">
        <v>30555</v>
      </c>
      <c r="J188" s="115">
        <v>30360</v>
      </c>
      <c r="K188" s="113">
        <v>292500</v>
      </c>
      <c r="L188" s="93">
        <f t="shared" si="35"/>
        <v>102815271600</v>
      </c>
      <c r="M188" s="93">
        <f t="shared" si="30"/>
        <v>8880300000</v>
      </c>
      <c r="N188" s="115">
        <v>26323</v>
      </c>
      <c r="O188" s="115">
        <v>30860</v>
      </c>
      <c r="P188" s="115">
        <v>26746</v>
      </c>
      <c r="Q188" s="115">
        <v>30603</v>
      </c>
      <c r="R188" s="113"/>
      <c r="S188" s="113"/>
      <c r="T188" s="113"/>
      <c r="U188" s="113"/>
      <c r="V188" s="115">
        <v>29080</v>
      </c>
      <c r="X188" s="115">
        <v>29250</v>
      </c>
      <c r="Y188" s="115">
        <v>32986</v>
      </c>
      <c r="Z188" s="113"/>
      <c r="AA188" s="113"/>
      <c r="AB188" s="113"/>
      <c r="AC188" s="113"/>
      <c r="AD188" s="113"/>
      <c r="AE188" s="113"/>
      <c r="AF188" s="113"/>
      <c r="AG188" s="113"/>
      <c r="AH188" s="113"/>
      <c r="AI188" s="113"/>
      <c r="AJ188" s="113"/>
      <c r="AK188" s="113"/>
      <c r="AL188" s="113"/>
      <c r="AM188" s="113"/>
      <c r="AN188" s="113"/>
      <c r="AO188" s="113"/>
      <c r="AP188" s="113"/>
      <c r="AQ188" s="113"/>
      <c r="AR188" s="113"/>
      <c r="AS188" s="114"/>
      <c r="AT188" s="114"/>
      <c r="AU188" s="114"/>
      <c r="AV188" s="114"/>
      <c r="AW188" s="114"/>
      <c r="AX188" s="114"/>
      <c r="AY188" s="113"/>
      <c r="AZ188" s="113"/>
      <c r="BA188" s="113"/>
      <c r="BB188" s="113"/>
      <c r="BC188" s="113"/>
      <c r="BE188" s="116"/>
      <c r="BF188" s="116"/>
      <c r="BG188" s="116"/>
      <c r="BH188" s="116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15" customFormat="1" ht="21" hidden="1" customHeight="1">
      <c r="A189" s="111"/>
      <c r="B189" s="112" t="s">
        <v>492</v>
      </c>
      <c r="C189" s="113">
        <v>8</v>
      </c>
      <c r="D189" s="114">
        <v>26850</v>
      </c>
      <c r="E189" s="113">
        <v>26196</v>
      </c>
      <c r="F189" s="113">
        <v>26428</v>
      </c>
      <c r="G189" s="113">
        <v>6785800</v>
      </c>
      <c r="H189" s="113">
        <v>30555</v>
      </c>
      <c r="I189" s="113">
        <v>30649</v>
      </c>
      <c r="J189" s="115">
        <v>30420</v>
      </c>
      <c r="K189" s="113">
        <v>469600</v>
      </c>
      <c r="L189" s="93">
        <f t="shared" si="35"/>
        <v>179335122400</v>
      </c>
      <c r="M189" s="93">
        <f t="shared" si="30"/>
        <v>14285232000</v>
      </c>
      <c r="N189" s="115">
        <v>26458</v>
      </c>
      <c r="O189" s="115">
        <v>30955</v>
      </c>
      <c r="P189" s="115">
        <v>27118</v>
      </c>
      <c r="Q189" s="115">
        <v>30860</v>
      </c>
      <c r="R189" s="113"/>
      <c r="S189" s="113"/>
      <c r="T189" s="113"/>
      <c r="U189" s="113"/>
      <c r="V189" s="115">
        <v>29540</v>
      </c>
      <c r="X189" s="115">
        <v>29500</v>
      </c>
      <c r="Y189" s="115">
        <v>33180</v>
      </c>
      <c r="Z189" s="113"/>
      <c r="AA189" s="113"/>
      <c r="AB189" s="113"/>
      <c r="AC189" s="113"/>
      <c r="AD189" s="113"/>
      <c r="AE189" s="113"/>
      <c r="AF189" s="113"/>
      <c r="AG189" s="113"/>
      <c r="AH189" s="113"/>
      <c r="AI189" s="113"/>
      <c r="AJ189" s="113"/>
      <c r="AK189" s="113"/>
      <c r="AL189" s="113"/>
      <c r="AM189" s="113"/>
      <c r="AN189" s="113"/>
      <c r="AO189" s="113"/>
      <c r="AP189" s="113"/>
      <c r="AQ189" s="113"/>
      <c r="AR189" s="113"/>
      <c r="AS189" s="114"/>
      <c r="AT189" s="114"/>
      <c r="AU189" s="114"/>
      <c r="AV189" s="114"/>
      <c r="AW189" s="114"/>
      <c r="AX189" s="114"/>
      <c r="AY189" s="113"/>
      <c r="AZ189" s="113"/>
      <c r="BA189" s="113"/>
      <c r="BB189" s="113"/>
      <c r="BC189" s="113"/>
      <c r="BE189" s="116"/>
      <c r="BF189" s="116"/>
      <c r="BG189" s="116"/>
      <c r="BH189" s="116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15" customFormat="1" ht="21" hidden="1" customHeight="1">
      <c r="A190" s="111"/>
      <c r="B190" s="112" t="s">
        <v>494</v>
      </c>
      <c r="C190" s="113">
        <v>9</v>
      </c>
      <c r="D190" s="114">
        <v>26196</v>
      </c>
      <c r="E190" s="113">
        <v>26218</v>
      </c>
      <c r="F190" s="113">
        <v>26243</v>
      </c>
      <c r="G190" s="113">
        <v>6483300</v>
      </c>
      <c r="H190" s="113">
        <v>30649</v>
      </c>
      <c r="I190" s="113">
        <v>30582</v>
      </c>
      <c r="J190" s="115">
        <v>30477</v>
      </c>
      <c r="K190" s="113">
        <v>324600</v>
      </c>
      <c r="L190" s="93">
        <f t="shared" si="35"/>
        <v>170141241900</v>
      </c>
      <c r="M190" s="93">
        <f t="shared" si="30"/>
        <v>9892834200</v>
      </c>
      <c r="N190" s="115">
        <v>26480</v>
      </c>
      <c r="O190" s="115">
        <v>30888</v>
      </c>
      <c r="P190" s="115">
        <v>26458</v>
      </c>
      <c r="Q190" s="115">
        <v>30955</v>
      </c>
      <c r="R190" s="113"/>
      <c r="S190" s="113"/>
      <c r="T190" s="113"/>
      <c r="U190" s="113"/>
      <c r="V190" s="115">
        <v>29140</v>
      </c>
      <c r="X190" s="115">
        <v>29110</v>
      </c>
      <c r="Y190" s="115">
        <v>33057</v>
      </c>
      <c r="Z190" s="113"/>
      <c r="AA190" s="113"/>
      <c r="AB190" s="113"/>
      <c r="AC190" s="113"/>
      <c r="AD190" s="113"/>
      <c r="AE190" s="113"/>
      <c r="AF190" s="113"/>
      <c r="AG190" s="113"/>
      <c r="AH190" s="113"/>
      <c r="AI190" s="113"/>
      <c r="AJ190" s="113"/>
      <c r="AK190" s="113"/>
      <c r="AL190" s="113"/>
      <c r="AM190" s="113"/>
      <c r="AN190" s="113"/>
      <c r="AO190" s="113"/>
      <c r="AP190" s="113"/>
      <c r="AQ190" s="113"/>
      <c r="AR190" s="113"/>
      <c r="AS190" s="114"/>
      <c r="AT190" s="114"/>
      <c r="AU190" s="114"/>
      <c r="AV190" s="114"/>
      <c r="AW190" s="114"/>
      <c r="AX190" s="114"/>
      <c r="AY190" s="113"/>
      <c r="AZ190" s="113"/>
      <c r="BA190" s="113"/>
      <c r="BB190" s="113"/>
      <c r="BC190" s="113"/>
      <c r="BE190" s="116"/>
      <c r="BF190" s="116"/>
      <c r="BG190" s="116"/>
      <c r="BH190" s="116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15" customFormat="1" ht="21" hidden="1" customHeight="1">
      <c r="A191" s="111"/>
      <c r="B191" s="112" t="s">
        <v>496</v>
      </c>
      <c r="C191" s="113">
        <v>10</v>
      </c>
      <c r="D191" s="114">
        <v>26232</v>
      </c>
      <c r="E191" s="113">
        <v>26361</v>
      </c>
      <c r="F191" s="113">
        <v>26418</v>
      </c>
      <c r="G191" s="113">
        <v>8065200</v>
      </c>
      <c r="H191" s="113">
        <v>30582</v>
      </c>
      <c r="I191" s="113">
        <v>30349</v>
      </c>
      <c r="J191" s="115">
        <v>30400</v>
      </c>
      <c r="K191" s="113">
        <v>384900</v>
      </c>
      <c r="L191" s="93">
        <f t="shared" si="35"/>
        <v>213066453600</v>
      </c>
      <c r="M191" s="93">
        <f t="shared" si="30"/>
        <v>11700960000</v>
      </c>
      <c r="N191" s="115">
        <v>26624</v>
      </c>
      <c r="O191" s="115">
        <v>30652</v>
      </c>
      <c r="P191" s="115">
        <v>26494</v>
      </c>
      <c r="Q191" s="115">
        <v>30888</v>
      </c>
      <c r="R191" s="113"/>
      <c r="S191" s="113"/>
      <c r="T191" s="113"/>
      <c r="U191" s="113"/>
      <c r="V191" s="115">
        <v>29220</v>
      </c>
      <c r="X191" s="115">
        <v>29270</v>
      </c>
      <c r="Y191" s="115">
        <v>33055</v>
      </c>
      <c r="Z191" s="113"/>
      <c r="AA191" s="113"/>
      <c r="AB191" s="113"/>
      <c r="AC191" s="113"/>
      <c r="AD191" s="113"/>
      <c r="AE191" s="113"/>
      <c r="AF191" s="113"/>
      <c r="AG191" s="113"/>
      <c r="AH191" s="113"/>
      <c r="AI191" s="113"/>
      <c r="AJ191" s="113"/>
      <c r="AK191" s="113"/>
      <c r="AL191" s="113"/>
      <c r="AM191" s="113"/>
      <c r="AN191" s="113"/>
      <c r="AO191" s="113"/>
      <c r="AP191" s="113"/>
      <c r="AQ191" s="113"/>
      <c r="AR191" s="113"/>
      <c r="AS191" s="114"/>
      <c r="AT191" s="114"/>
      <c r="AU191" s="114"/>
      <c r="AV191" s="114"/>
      <c r="AW191" s="114"/>
      <c r="AX191" s="114"/>
      <c r="AY191" s="113"/>
      <c r="AZ191" s="113"/>
      <c r="BA191" s="113"/>
      <c r="BB191" s="113"/>
      <c r="BC191" s="113"/>
      <c r="BE191" s="116"/>
      <c r="BF191" s="116"/>
      <c r="BG191" s="116"/>
      <c r="BH191" s="116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15" customFormat="1" ht="21" hidden="1" customHeight="1">
      <c r="A192" s="111"/>
      <c r="B192" s="112" t="s">
        <v>498</v>
      </c>
      <c r="C192" s="113">
        <v>11</v>
      </c>
      <c r="D192" s="114">
        <v>26407</v>
      </c>
      <c r="E192" s="113">
        <v>27059</v>
      </c>
      <c r="F192" s="113">
        <v>26673</v>
      </c>
      <c r="G192" s="113">
        <v>5925100</v>
      </c>
      <c r="H192" s="113">
        <v>30349</v>
      </c>
      <c r="I192" s="113">
        <v>31287</v>
      </c>
      <c r="J192" s="115">
        <v>31272</v>
      </c>
      <c r="K192" s="113">
        <v>177600</v>
      </c>
      <c r="L192" s="93">
        <f t="shared" si="35"/>
        <v>158040192300</v>
      </c>
      <c r="M192" s="93">
        <f t="shared" si="30"/>
        <v>5553907200</v>
      </c>
      <c r="N192" s="115">
        <v>27329</v>
      </c>
      <c r="O192" s="115">
        <v>31599</v>
      </c>
      <c r="P192" s="115">
        <v>26671</v>
      </c>
      <c r="Q192" s="115">
        <v>30652</v>
      </c>
      <c r="R192" s="113"/>
      <c r="S192" s="113"/>
      <c r="T192" s="113"/>
      <c r="U192" s="113"/>
      <c r="V192" s="115">
        <v>29300</v>
      </c>
      <c r="X192" s="115">
        <v>29360</v>
      </c>
      <c r="Y192" s="115">
        <v>33098</v>
      </c>
      <c r="Z192" s="113"/>
      <c r="AA192" s="113"/>
      <c r="AB192" s="113"/>
      <c r="AC192" s="113"/>
      <c r="AD192" s="113"/>
      <c r="AE192" s="113"/>
      <c r="AF192" s="113"/>
      <c r="AG192" s="113"/>
      <c r="AH192" s="113"/>
      <c r="AI192" s="113"/>
      <c r="AJ192" s="113"/>
      <c r="AK192" s="113"/>
      <c r="AL192" s="113"/>
      <c r="AM192" s="113"/>
      <c r="AN192" s="113"/>
      <c r="AO192" s="113"/>
      <c r="AP192" s="113"/>
      <c r="AQ192" s="113"/>
      <c r="AR192" s="113"/>
      <c r="AS192" s="114"/>
      <c r="AT192" s="114"/>
      <c r="AU192" s="114"/>
      <c r="AV192" s="114"/>
      <c r="AW192" s="114"/>
      <c r="AX192" s="114"/>
      <c r="AY192" s="113"/>
      <c r="AZ192" s="113"/>
      <c r="BA192" s="113"/>
      <c r="BB192" s="113"/>
      <c r="BC192" s="113"/>
      <c r="BE192" s="116"/>
      <c r="BF192" s="116"/>
      <c r="BG192" s="116"/>
      <c r="BH192" s="116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35" customFormat="1" ht="21" customHeight="1">
      <c r="A193" s="131"/>
      <c r="B193" s="132" t="s">
        <v>501</v>
      </c>
      <c r="C193" s="133">
        <v>13</v>
      </c>
      <c r="D193" s="134">
        <v>27796</v>
      </c>
      <c r="E193" s="133">
        <v>27699</v>
      </c>
      <c r="F193" s="133">
        <v>27715</v>
      </c>
      <c r="G193" s="133">
        <v>10546800</v>
      </c>
      <c r="H193" s="133">
        <v>31287</v>
      </c>
      <c r="I193" s="133">
        <v>32270</v>
      </c>
      <c r="J193" s="135">
        <v>31905</v>
      </c>
      <c r="K193" s="133">
        <v>581800</v>
      </c>
      <c r="L193" s="93">
        <f t="shared" si="35"/>
        <v>292304562000</v>
      </c>
      <c r="M193" s="93">
        <f t="shared" si="30"/>
        <v>18562329000</v>
      </c>
      <c r="N193" s="135">
        <v>27976</v>
      </c>
      <c r="O193" s="135">
        <v>32593</v>
      </c>
      <c r="P193" s="135">
        <v>28073</v>
      </c>
      <c r="Q193" s="135">
        <v>31599</v>
      </c>
      <c r="R193" s="133"/>
      <c r="S193" s="133"/>
      <c r="T193" s="133"/>
      <c r="U193" s="133"/>
      <c r="V193" s="135">
        <v>29850</v>
      </c>
      <c r="X193" s="135">
        <v>30180</v>
      </c>
      <c r="Y193" s="135">
        <v>33906</v>
      </c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  <c r="AR193" s="133"/>
      <c r="AS193" s="134"/>
      <c r="AT193" s="134"/>
      <c r="AU193" s="134"/>
      <c r="AV193" s="134"/>
      <c r="AW193" s="134"/>
      <c r="AX193" s="134"/>
      <c r="AY193" s="133"/>
      <c r="AZ193" s="133"/>
      <c r="BA193" s="133"/>
      <c r="BB193" s="133"/>
      <c r="BC193" s="133"/>
      <c r="BE193" s="136"/>
      <c r="BF193" s="136"/>
      <c r="BG193" s="136"/>
      <c r="BH193" s="136"/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35" customFormat="1" ht="21" customHeight="1">
      <c r="A194" s="131"/>
      <c r="B194" s="132" t="s">
        <v>503</v>
      </c>
      <c r="C194" s="133">
        <v>14</v>
      </c>
      <c r="D194" s="134">
        <v>27606</v>
      </c>
      <c r="E194" s="133">
        <v>27521</v>
      </c>
      <c r="F194" s="133">
        <v>27600</v>
      </c>
      <c r="G194" s="133">
        <v>8650200</v>
      </c>
      <c r="H194" s="133">
        <v>31849</v>
      </c>
      <c r="I194" s="133">
        <v>31849</v>
      </c>
      <c r="J194" s="135">
        <v>31779</v>
      </c>
      <c r="K194" s="133">
        <v>753800</v>
      </c>
      <c r="L194" s="93">
        <f t="shared" si="35"/>
        <v>238745520000</v>
      </c>
      <c r="M194" s="93">
        <f t="shared" ref="M194:M202" si="36">J194*K194</f>
        <v>23955010200</v>
      </c>
      <c r="N194" s="135">
        <v>27796</v>
      </c>
      <c r="O194" s="135">
        <v>32167</v>
      </c>
      <c r="P194" s="135">
        <v>27882</v>
      </c>
      <c r="Q194" s="135">
        <v>32168</v>
      </c>
      <c r="R194" s="133"/>
      <c r="S194" s="133"/>
      <c r="T194" s="133"/>
      <c r="U194" s="133"/>
      <c r="V194" s="135">
        <v>30540</v>
      </c>
      <c r="X194" s="135">
        <v>30320</v>
      </c>
      <c r="Y194" s="135">
        <v>34030</v>
      </c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  <c r="AR194" s="133"/>
      <c r="AS194" s="134"/>
      <c r="AT194" s="134"/>
      <c r="AU194" s="134"/>
      <c r="AV194" s="134"/>
      <c r="AW194" s="134"/>
      <c r="AX194" s="134"/>
      <c r="AY194" s="133"/>
      <c r="AZ194" s="133"/>
      <c r="BA194" s="133"/>
      <c r="BB194" s="133"/>
      <c r="BC194" s="133"/>
      <c r="BE194" s="136"/>
      <c r="BF194" s="136"/>
      <c r="BG194" s="136"/>
      <c r="BH194" s="136"/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35" customFormat="1" ht="21" customHeight="1">
      <c r="A195" s="131"/>
      <c r="B195" s="138" t="s">
        <v>505</v>
      </c>
      <c r="C195" s="134">
        <v>15</v>
      </c>
      <c r="D195" s="134">
        <v>27580</v>
      </c>
      <c r="E195" s="134">
        <v>27580</v>
      </c>
      <c r="F195" s="134">
        <v>27569</v>
      </c>
      <c r="G195" s="134">
        <v>9482800</v>
      </c>
      <c r="H195" s="134">
        <v>31747</v>
      </c>
      <c r="I195" s="134">
        <v>31749</v>
      </c>
      <c r="J195" s="135">
        <v>31730</v>
      </c>
      <c r="K195" s="134">
        <v>1007900</v>
      </c>
      <c r="L195" s="93">
        <f t="shared" si="35"/>
        <v>261431313200</v>
      </c>
      <c r="M195" s="93">
        <f t="shared" si="36"/>
        <v>31980667000</v>
      </c>
      <c r="N195" s="135">
        <v>27855</v>
      </c>
      <c r="O195" s="135">
        <v>32066</v>
      </c>
      <c r="P195" s="135">
        <v>27856</v>
      </c>
      <c r="Q195" s="135">
        <v>32065</v>
      </c>
      <c r="R195" s="134"/>
      <c r="S195" s="134"/>
      <c r="T195" s="134"/>
      <c r="U195" s="134"/>
      <c r="V195" s="135">
        <v>30580</v>
      </c>
      <c r="X195" s="135">
        <v>30550</v>
      </c>
      <c r="Y195" s="135">
        <v>34239</v>
      </c>
      <c r="Z195" s="139"/>
      <c r="AA195" s="134"/>
      <c r="AB195" s="139"/>
      <c r="AC195" s="134"/>
      <c r="AD195" s="134"/>
      <c r="AE195" s="134"/>
      <c r="AF195" s="134"/>
      <c r="AG195" s="134"/>
      <c r="AH195" s="134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  <c r="AS195" s="134"/>
      <c r="AT195" s="134"/>
      <c r="AU195" s="134"/>
      <c r="AV195" s="134"/>
      <c r="AW195" s="134"/>
      <c r="AX195" s="134"/>
      <c r="AY195" s="134"/>
      <c r="AZ195" s="134"/>
      <c r="BA195" s="134"/>
      <c r="BB195" s="134"/>
      <c r="BC195" s="134"/>
      <c r="BE195" s="140"/>
      <c r="BF195" s="140"/>
      <c r="BG195" s="140"/>
      <c r="BH195" s="140"/>
      <c r="BN195" s="141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35" customFormat="1" ht="21" customHeight="1">
      <c r="A196" s="131"/>
      <c r="B196" s="138" t="s">
        <v>507</v>
      </c>
      <c r="C196" s="134">
        <v>16</v>
      </c>
      <c r="D196" s="134">
        <v>27568</v>
      </c>
      <c r="E196" s="134">
        <v>27563</v>
      </c>
      <c r="F196" s="134">
        <v>27567</v>
      </c>
      <c r="G196" s="134">
        <v>8914500</v>
      </c>
      <c r="H196" s="134">
        <v>31740</v>
      </c>
      <c r="I196" s="134">
        <v>31738</v>
      </c>
      <c r="J196" s="135">
        <v>31733</v>
      </c>
      <c r="K196" s="134">
        <v>779400</v>
      </c>
      <c r="L196" s="93">
        <f t="shared" si="35"/>
        <v>245746021500</v>
      </c>
      <c r="M196" s="93">
        <f t="shared" si="36"/>
        <v>24732700200</v>
      </c>
      <c r="N196" s="135">
        <v>27839</v>
      </c>
      <c r="O196" s="135">
        <v>32056</v>
      </c>
      <c r="P196" s="135">
        <v>27844</v>
      </c>
      <c r="Q196" s="135">
        <v>32057</v>
      </c>
      <c r="R196" s="134"/>
      <c r="S196" s="134"/>
      <c r="T196" s="134"/>
      <c r="U196" s="134"/>
      <c r="V196" s="135">
        <v>30950</v>
      </c>
      <c r="X196" s="135">
        <v>30920</v>
      </c>
      <c r="Y196" s="135">
        <v>34492</v>
      </c>
      <c r="Z196" s="139"/>
      <c r="AA196" s="134"/>
      <c r="AB196" s="139"/>
      <c r="AC196" s="134"/>
      <c r="AD196" s="134"/>
      <c r="AE196" s="134"/>
      <c r="AF196" s="134"/>
      <c r="AG196" s="134"/>
      <c r="AH196" s="134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  <c r="AS196" s="134"/>
      <c r="AT196" s="134"/>
      <c r="AU196" s="134"/>
      <c r="AV196" s="134"/>
      <c r="AW196" s="134"/>
      <c r="AX196" s="134"/>
      <c r="AY196" s="134"/>
      <c r="AZ196" s="134"/>
      <c r="BA196" s="134"/>
      <c r="BB196" s="134"/>
      <c r="BC196" s="134"/>
      <c r="BE196" s="140"/>
      <c r="BF196" s="140"/>
      <c r="BG196" s="140"/>
      <c r="BH196" s="140"/>
      <c r="BN196" s="141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45" customFormat="1" ht="18">
      <c r="B197" s="138" t="s">
        <v>509</v>
      </c>
      <c r="C197" s="134">
        <v>17</v>
      </c>
      <c r="D197" s="146">
        <v>27560</v>
      </c>
      <c r="E197" s="145">
        <v>27400</v>
      </c>
      <c r="F197" s="145">
        <v>27541</v>
      </c>
      <c r="G197" s="145">
        <v>9655800</v>
      </c>
      <c r="H197" s="145">
        <v>31734</v>
      </c>
      <c r="I197" s="145">
        <v>31734</v>
      </c>
      <c r="J197" s="145">
        <v>31716</v>
      </c>
      <c r="K197" s="145">
        <v>468000</v>
      </c>
      <c r="L197" s="93">
        <f t="shared" si="35"/>
        <v>265930387800</v>
      </c>
      <c r="M197" s="93">
        <f t="shared" si="36"/>
        <v>14843088000</v>
      </c>
      <c r="N197" s="145">
        <v>27674</v>
      </c>
      <c r="O197" s="145">
        <v>32051</v>
      </c>
      <c r="P197" s="145">
        <v>27835</v>
      </c>
      <c r="Q197" s="145">
        <v>32051</v>
      </c>
      <c r="V197" s="145">
        <v>30880</v>
      </c>
      <c r="X197" s="145">
        <v>30850</v>
      </c>
      <c r="Y197" s="145">
        <v>34597</v>
      </c>
      <c r="Z197" s="147"/>
      <c r="AB197" s="147"/>
      <c r="AS197" s="147"/>
      <c r="AW197" s="146"/>
      <c r="BN197" s="145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45" customFormat="1" ht="18">
      <c r="B198" s="138" t="s">
        <v>511</v>
      </c>
      <c r="C198" s="134">
        <v>18</v>
      </c>
      <c r="D198" s="146">
        <v>27497</v>
      </c>
      <c r="E198" s="145">
        <v>27450</v>
      </c>
      <c r="F198" s="145">
        <v>27450</v>
      </c>
      <c r="G198" s="145">
        <v>7115400</v>
      </c>
      <c r="H198" s="145">
        <v>31745</v>
      </c>
      <c r="I198" s="145">
        <v>31678</v>
      </c>
      <c r="J198" s="145">
        <v>31721</v>
      </c>
      <c r="K198" s="145">
        <v>317500</v>
      </c>
      <c r="L198" s="149">
        <f t="shared" si="35"/>
        <v>195317730000</v>
      </c>
      <c r="M198" s="149">
        <f t="shared" si="36"/>
        <v>10071417500</v>
      </c>
      <c r="N198" s="145">
        <v>27724</v>
      </c>
      <c r="O198" s="145">
        <v>31995</v>
      </c>
      <c r="P198" s="145">
        <v>27772</v>
      </c>
      <c r="Q198" s="145">
        <v>32062</v>
      </c>
      <c r="V198" s="145">
        <v>30780</v>
      </c>
      <c r="X198" s="145">
        <v>30740</v>
      </c>
      <c r="Y198" s="145">
        <v>34573</v>
      </c>
      <c r="Z198" s="147"/>
      <c r="AB198" s="146"/>
      <c r="AS198" s="146"/>
      <c r="AW198" s="146"/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50" customFormat="1" ht="18">
      <c r="B199" s="151" t="s">
        <v>513</v>
      </c>
      <c r="C199" s="114">
        <v>20</v>
      </c>
      <c r="D199" s="152">
        <v>27433</v>
      </c>
      <c r="E199" s="150">
        <v>27435</v>
      </c>
      <c r="F199" s="150">
        <v>27430</v>
      </c>
      <c r="G199" s="150">
        <v>7427800</v>
      </c>
      <c r="H199" s="150">
        <v>31678</v>
      </c>
      <c r="I199" s="150">
        <v>31634</v>
      </c>
      <c r="J199" s="150">
        <v>31692</v>
      </c>
      <c r="K199" s="150">
        <v>513700</v>
      </c>
      <c r="L199" s="148">
        <f t="shared" si="35"/>
        <v>203744554000</v>
      </c>
      <c r="M199" s="148">
        <f t="shared" si="36"/>
        <v>16280180400</v>
      </c>
      <c r="N199" s="150">
        <v>27709</v>
      </c>
      <c r="O199" s="150">
        <v>31950</v>
      </c>
      <c r="P199" s="150">
        <v>27705</v>
      </c>
      <c r="Q199" s="150">
        <v>31995</v>
      </c>
      <c r="V199" s="150">
        <v>30820</v>
      </c>
      <c r="X199" s="150">
        <v>30700</v>
      </c>
      <c r="Y199" s="150">
        <v>34802</v>
      </c>
      <c r="Z199" s="153"/>
      <c r="AB199" s="152"/>
      <c r="AS199" s="152"/>
      <c r="AW199" s="152"/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50" customFormat="1" ht="18">
      <c r="B200" s="151" t="s">
        <v>515</v>
      </c>
      <c r="C200" s="114">
        <v>21</v>
      </c>
      <c r="D200" s="152">
        <v>27418</v>
      </c>
      <c r="E200" s="150">
        <v>27423</v>
      </c>
      <c r="F200" s="150">
        <v>27421</v>
      </c>
      <c r="G200" s="150">
        <v>8061700</v>
      </c>
      <c r="H200" s="150">
        <v>31634</v>
      </c>
      <c r="I200" s="150">
        <v>31276</v>
      </c>
      <c r="J200" s="150">
        <v>31475</v>
      </c>
      <c r="K200" s="150">
        <v>811100</v>
      </c>
      <c r="L200" s="148">
        <f t="shared" si="35"/>
        <v>221059875700</v>
      </c>
      <c r="M200" s="148">
        <f t="shared" si="36"/>
        <v>25529372500</v>
      </c>
      <c r="N200" s="150">
        <v>27697</v>
      </c>
      <c r="O200" s="150">
        <v>31588</v>
      </c>
      <c r="P200" s="150">
        <v>27692</v>
      </c>
      <c r="Q200" s="150">
        <v>31950</v>
      </c>
      <c r="X200" s="150">
        <v>30280</v>
      </c>
      <c r="Y200" s="150">
        <v>34293</v>
      </c>
      <c r="Z200" s="153"/>
      <c r="AB200" s="152"/>
      <c r="AS200" s="152"/>
      <c r="AW200" s="152"/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50" customFormat="1" ht="18">
      <c r="B201" s="151" t="s">
        <v>517</v>
      </c>
      <c r="C201" s="114">
        <v>22</v>
      </c>
      <c r="D201" s="152">
        <v>27416</v>
      </c>
      <c r="E201" s="150">
        <v>27287</v>
      </c>
      <c r="F201" s="150">
        <v>27386</v>
      </c>
      <c r="G201" s="150">
        <v>6759700</v>
      </c>
      <c r="H201" s="150">
        <v>31276</v>
      </c>
      <c r="I201" s="150">
        <v>31054</v>
      </c>
      <c r="J201" s="150">
        <v>31115</v>
      </c>
      <c r="K201" s="150">
        <v>495900</v>
      </c>
      <c r="L201" s="148">
        <f t="shared" si="35"/>
        <v>185121144200</v>
      </c>
      <c r="M201" s="148">
        <f t="shared" si="36"/>
        <v>15429928500</v>
      </c>
      <c r="N201" s="150">
        <v>27560</v>
      </c>
      <c r="O201" s="150">
        <v>31365</v>
      </c>
      <c r="P201" s="150">
        <v>27690</v>
      </c>
      <c r="Q201" s="150">
        <v>31588</v>
      </c>
      <c r="V201" s="150">
        <v>30130</v>
      </c>
      <c r="X201" s="150">
        <v>29760</v>
      </c>
      <c r="Y201" s="150">
        <v>33883</v>
      </c>
      <c r="Z201" s="153"/>
      <c r="AB201" s="152"/>
      <c r="AS201" s="152"/>
      <c r="AW201" s="152"/>
      <c r="BO201" s="157">
        <f t="shared" si="32"/>
        <v>-136</v>
      </c>
      <c r="BP201" s="157">
        <f t="shared" si="33"/>
        <v>-137</v>
      </c>
      <c r="BQ201" s="157">
        <f t="shared" si="34"/>
        <v>-1</v>
      </c>
    </row>
    <row r="202" spans="1:69" s="150" customFormat="1" ht="18">
      <c r="B202" s="151" t="s">
        <v>519</v>
      </c>
      <c r="C202" s="114">
        <v>23</v>
      </c>
      <c r="D202" s="152">
        <v>27309</v>
      </c>
      <c r="E202" s="150">
        <v>27150</v>
      </c>
      <c r="F202" s="150">
        <v>27250</v>
      </c>
      <c r="G202" s="150">
        <v>8314700</v>
      </c>
      <c r="H202" s="150">
        <v>31054</v>
      </c>
      <c r="I202" s="150">
        <v>30453</v>
      </c>
      <c r="J202" s="150">
        <v>30609</v>
      </c>
      <c r="K202" s="150">
        <v>523600</v>
      </c>
      <c r="L202" s="155">
        <f t="shared" si="35"/>
        <v>226575575000</v>
      </c>
      <c r="M202" s="155">
        <f t="shared" si="36"/>
        <v>16026872400</v>
      </c>
      <c r="N202" s="150">
        <v>27422</v>
      </c>
      <c r="O202" s="150">
        <v>30758</v>
      </c>
      <c r="P202" s="150">
        <v>27582</v>
      </c>
      <c r="Q202" s="150">
        <v>31365</v>
      </c>
      <c r="V202" s="150">
        <v>29530</v>
      </c>
      <c r="X202" s="150">
        <v>29580</v>
      </c>
      <c r="Y202" s="150">
        <v>33197</v>
      </c>
      <c r="Z202" s="153"/>
      <c r="AB202" s="152"/>
      <c r="AS202" s="152"/>
      <c r="AW202" s="152"/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50" customFormat="1" ht="18">
      <c r="B203" s="151" t="s">
        <v>521</v>
      </c>
      <c r="C203" s="114">
        <v>24</v>
      </c>
      <c r="D203" s="152">
        <v>27246</v>
      </c>
      <c r="E203" s="150">
        <v>27108</v>
      </c>
      <c r="F203" s="150">
        <v>27200</v>
      </c>
      <c r="G203" s="150">
        <v>8556900</v>
      </c>
      <c r="H203" s="150">
        <v>31025</v>
      </c>
      <c r="I203" s="150">
        <v>30679</v>
      </c>
      <c r="J203" s="150">
        <v>30578</v>
      </c>
      <c r="K203" s="150">
        <v>465600</v>
      </c>
      <c r="L203" s="148"/>
      <c r="M203" s="148"/>
      <c r="N203" s="150">
        <v>27379</v>
      </c>
      <c r="O203" s="150">
        <v>30986</v>
      </c>
      <c r="P203" s="150">
        <v>27519</v>
      </c>
      <c r="Q203" s="150">
        <v>31335</v>
      </c>
      <c r="V203" s="150">
        <v>30520</v>
      </c>
      <c r="X203" s="150">
        <v>30330</v>
      </c>
      <c r="Y203" s="150">
        <v>34414</v>
      </c>
      <c r="Z203" s="153"/>
      <c r="AB203" s="152"/>
      <c r="AS203" s="152"/>
      <c r="AW203" s="152"/>
      <c r="BO203" s="157">
        <f t="shared" si="32"/>
        <v>-42</v>
      </c>
      <c r="BP203" s="157">
        <f t="shared" si="33"/>
        <v>-43</v>
      </c>
      <c r="BQ203" s="157">
        <f t="shared" si="34"/>
        <v>-1</v>
      </c>
    </row>
    <row r="204" spans="1:69" s="142" customFormat="1" ht="18">
      <c r="B204" s="137" t="s">
        <v>525</v>
      </c>
      <c r="C204" s="110">
        <v>25</v>
      </c>
      <c r="D204" s="143">
        <v>27203</v>
      </c>
      <c r="E204" s="142">
        <v>27217</v>
      </c>
      <c r="F204" s="142">
        <v>27202</v>
      </c>
      <c r="G204" s="142">
        <v>5656700</v>
      </c>
      <c r="H204" s="142">
        <v>30900</v>
      </c>
      <c r="I204" s="142">
        <v>30782</v>
      </c>
      <c r="J204" s="142">
        <v>30665</v>
      </c>
      <c r="K204" s="142">
        <v>629600</v>
      </c>
      <c r="L204" s="156"/>
      <c r="M204" s="156"/>
      <c r="N204" s="142">
        <v>27489</v>
      </c>
      <c r="O204" s="142">
        <v>31090</v>
      </c>
      <c r="P204" s="142">
        <v>27475</v>
      </c>
      <c r="Q204" s="142">
        <v>31209</v>
      </c>
      <c r="V204" s="142">
        <v>30140</v>
      </c>
      <c r="X204" s="142">
        <v>30180</v>
      </c>
      <c r="Y204" s="142">
        <v>34077</v>
      </c>
      <c r="Z204" s="144"/>
      <c r="AB204" s="143"/>
      <c r="AS204" s="143"/>
      <c r="AW204" s="143"/>
      <c r="BO204" s="158"/>
      <c r="BP204" s="158"/>
      <c r="BQ204" s="158"/>
    </row>
    <row r="205" spans="1:69" ht="18">
      <c r="D205" s="26"/>
      <c r="G205">
        <f>SUM(G2:G201)/200</f>
        <v>6960436.9950000001</v>
      </c>
      <c r="K205">
        <f>SUM(K2:K199)</f>
        <v>199066300</v>
      </c>
      <c r="L205" s="148">
        <f>SUM(L2:L199)</f>
        <v>34937028312509</v>
      </c>
      <c r="M205" s="148">
        <f>SUM(M2:M199)</f>
        <v>5837557134600</v>
      </c>
      <c r="V205" s="150">
        <v>30110</v>
      </c>
      <c r="Z205" s="25"/>
      <c r="AS205" s="26"/>
      <c r="AW205" s="30"/>
    </row>
    <row r="206" spans="1:69" ht="18">
      <c r="V206" s="150">
        <v>30080</v>
      </c>
      <c r="Z206" s="25"/>
      <c r="AS206" s="26"/>
      <c r="AW206" s="30"/>
    </row>
    <row r="207" spans="1:69" ht="18">
      <c r="E207">
        <f t="shared" ref="E207:E216" si="37">E194-E193</f>
        <v>-178</v>
      </c>
      <c r="N207">
        <f t="shared" ref="N207:N216" si="38">N194-N193</f>
        <v>-180</v>
      </c>
      <c r="V207" s="150">
        <v>10140</v>
      </c>
      <c r="Z207" s="25"/>
      <c r="AS207" s="26"/>
      <c r="AW207" s="30"/>
    </row>
    <row r="208" spans="1:69" ht="18">
      <c r="D208" s="99"/>
      <c r="E208">
        <f t="shared" si="37"/>
        <v>59</v>
      </c>
      <c r="N208">
        <f t="shared" si="38"/>
        <v>59</v>
      </c>
      <c r="V208" s="135"/>
      <c r="Z208" s="25"/>
      <c r="AW208" s="30"/>
    </row>
    <row r="209" spans="4:26" ht="17.25" customHeight="1">
      <c r="D209" s="99"/>
      <c r="E209">
        <f t="shared" si="37"/>
        <v>-17</v>
      </c>
      <c r="N209">
        <f t="shared" si="38"/>
        <v>-16</v>
      </c>
      <c r="P209" t="s">
        <v>523</v>
      </c>
      <c r="Q209" t="s">
        <v>524</v>
      </c>
      <c r="V209" s="25"/>
      <c r="Z209" s="25"/>
    </row>
    <row r="210" spans="4:26" ht="18">
      <c r="D210" s="99"/>
      <c r="E210">
        <f t="shared" si="37"/>
        <v>-163</v>
      </c>
      <c r="N210">
        <f t="shared" si="38"/>
        <v>-165</v>
      </c>
      <c r="O210" s="132" t="s">
        <v>503</v>
      </c>
      <c r="P210">
        <v>-178</v>
      </c>
      <c r="Q210">
        <v>-180</v>
      </c>
      <c r="V210" s="25"/>
      <c r="Z210" s="25"/>
    </row>
    <row r="211" spans="4:26" ht="18">
      <c r="D211" s="99"/>
      <c r="E211">
        <f t="shared" si="37"/>
        <v>50</v>
      </c>
      <c r="N211">
        <f t="shared" si="38"/>
        <v>50</v>
      </c>
      <c r="O211" s="138" t="s">
        <v>505</v>
      </c>
      <c r="P211">
        <v>59</v>
      </c>
      <c r="Q211">
        <v>59</v>
      </c>
      <c r="V211" s="25"/>
    </row>
    <row r="212" spans="4:26" ht="18">
      <c r="D212" s="99"/>
      <c r="E212">
        <f t="shared" si="37"/>
        <v>-15</v>
      </c>
      <c r="N212">
        <f t="shared" si="38"/>
        <v>-15</v>
      </c>
      <c r="O212" s="138" t="s">
        <v>507</v>
      </c>
      <c r="P212">
        <v>-17</v>
      </c>
      <c r="Q212">
        <v>-16</v>
      </c>
      <c r="V212" s="25"/>
    </row>
    <row r="213" spans="4:26" ht="18">
      <c r="D213" s="113"/>
      <c r="E213">
        <f t="shared" si="37"/>
        <v>-12</v>
      </c>
      <c r="N213">
        <f t="shared" si="38"/>
        <v>-12</v>
      </c>
      <c r="O213" s="138" t="s">
        <v>509</v>
      </c>
      <c r="P213">
        <v>-163</v>
      </c>
      <c r="Q213">
        <v>-165</v>
      </c>
    </row>
    <row r="214" spans="4:26" ht="18">
      <c r="D214" s="113"/>
      <c r="E214">
        <f t="shared" si="37"/>
        <v>-136</v>
      </c>
      <c r="N214">
        <f t="shared" si="38"/>
        <v>-137</v>
      </c>
      <c r="O214" s="138" t="s">
        <v>511</v>
      </c>
      <c r="P214">
        <v>50</v>
      </c>
      <c r="Q214">
        <v>50</v>
      </c>
      <c r="X214" s="115">
        <v>29150</v>
      </c>
    </row>
    <row r="215" spans="4:26" ht="18">
      <c r="D215" s="119"/>
      <c r="E215">
        <f t="shared" si="37"/>
        <v>-137</v>
      </c>
      <c r="N215">
        <f t="shared" si="38"/>
        <v>-138</v>
      </c>
      <c r="O215" s="151" t="s">
        <v>513</v>
      </c>
      <c r="P215">
        <v>-15</v>
      </c>
      <c r="Q215">
        <v>-15</v>
      </c>
      <c r="X215" s="115">
        <v>29250</v>
      </c>
    </row>
    <row r="216" spans="4:26" ht="18">
      <c r="D216" s="113"/>
      <c r="E216">
        <f t="shared" si="37"/>
        <v>-42</v>
      </c>
      <c r="G216" s="9"/>
      <c r="N216">
        <f t="shared" si="38"/>
        <v>-43</v>
      </c>
      <c r="O216" s="151" t="s">
        <v>515</v>
      </c>
      <c r="P216">
        <v>-12</v>
      </c>
      <c r="Q216">
        <v>-12</v>
      </c>
      <c r="X216" s="115">
        <v>29500</v>
      </c>
    </row>
    <row r="217" spans="4:26" ht="18">
      <c r="D217" s="109"/>
      <c r="E217">
        <f>E205-E203</f>
        <v>-27108</v>
      </c>
      <c r="G217" s="9"/>
      <c r="N217">
        <f>N205-N203</f>
        <v>-27379</v>
      </c>
      <c r="O217" s="154" t="s">
        <v>517</v>
      </c>
      <c r="P217">
        <v>-136</v>
      </c>
      <c r="Q217">
        <v>-137</v>
      </c>
      <c r="X217" s="115">
        <v>29110</v>
      </c>
    </row>
    <row r="218" spans="4:26" ht="18">
      <c r="G218" s="9"/>
      <c r="O218" s="151" t="s">
        <v>519</v>
      </c>
      <c r="P218">
        <v>-137</v>
      </c>
      <c r="Q218">
        <v>-138</v>
      </c>
      <c r="X218" s="115">
        <v>29270</v>
      </c>
    </row>
    <row r="219" spans="4:26" ht="18">
      <c r="G219" s="9"/>
      <c r="O219" s="137" t="s">
        <v>521</v>
      </c>
      <c r="P219">
        <v>-42</v>
      </c>
      <c r="Q219">
        <v>-43</v>
      </c>
      <c r="X219" s="115">
        <v>29360</v>
      </c>
    </row>
    <row r="220" spans="4:26" ht="18">
      <c r="G220" s="9"/>
    </row>
  </sheetData>
  <autoFilter ref="A1:BN207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1"/>
  <sheetViews>
    <sheetView tabSelected="1" zoomScale="85" zoomScaleNormal="85" workbookViewId="0">
      <selection activeCell="F23" sqref="F23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2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5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5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5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5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5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8" si="0">D29/6</f>
        <v>7281166.666666667</v>
      </c>
      <c r="F29" s="73">
        <v>5993000</v>
      </c>
      <c r="G29" s="73">
        <f t="shared" ref="G29:G38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5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5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5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5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5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5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 s="73" customFormat="1" ht="13.95" customHeight="1">
      <c r="A36" s="73" t="s">
        <v>500</v>
      </c>
      <c r="B36" s="73">
        <v>26479</v>
      </c>
      <c r="C36" s="73">
        <v>30542</v>
      </c>
      <c r="D36" s="73">
        <v>35003700</v>
      </c>
      <c r="E36" s="73">
        <f t="shared" si="0"/>
        <v>5833950</v>
      </c>
      <c r="F36" s="73">
        <v>1929600</v>
      </c>
      <c r="G36" s="73">
        <f t="shared" si="1"/>
        <v>321600</v>
      </c>
      <c r="H36" s="73">
        <v>26660</v>
      </c>
      <c r="I36" s="73">
        <v>30926</v>
      </c>
      <c r="J36" s="73">
        <v>29273</v>
      </c>
      <c r="K36" s="73">
        <v>33079</v>
      </c>
    </row>
    <row r="37" spans="1:11" s="73" customFormat="1" ht="13.8" customHeight="1">
      <c r="A37" s="73" t="s">
        <v>512</v>
      </c>
      <c r="B37" s="73">
        <v>27581</v>
      </c>
      <c r="C37" s="73">
        <v>31764</v>
      </c>
      <c r="D37" s="73">
        <v>54365500</v>
      </c>
      <c r="E37" s="73">
        <f t="shared" si="0"/>
        <v>9060916.666666666</v>
      </c>
      <c r="F37" s="73">
        <v>3908400</v>
      </c>
      <c r="G37" s="73">
        <f t="shared" si="1"/>
        <v>651400</v>
      </c>
      <c r="H37" s="73">
        <v>27811</v>
      </c>
      <c r="I37" s="73">
        <v>32155</v>
      </c>
      <c r="J37" s="73">
        <v>30593</v>
      </c>
      <c r="K37" s="73">
        <v>34306</v>
      </c>
    </row>
    <row r="38" spans="1:11" s="73" customFormat="1" ht="13.8" customHeight="1">
      <c r="A38" s="73" t="s">
        <v>527</v>
      </c>
      <c r="B38" s="73">
        <v>27316</v>
      </c>
      <c r="C38" s="73">
        <v>31054</v>
      </c>
      <c r="D38" s="73">
        <v>44777500</v>
      </c>
      <c r="E38" s="73">
        <f t="shared" si="0"/>
        <v>7462916.666666667</v>
      </c>
      <c r="F38" s="73">
        <v>3439500</v>
      </c>
      <c r="G38" s="73">
        <f t="shared" si="1"/>
        <v>573250</v>
      </c>
      <c r="H38" s="73">
        <v>27543</v>
      </c>
      <c r="I38" s="73">
        <v>31289</v>
      </c>
      <c r="J38" s="73">
        <v>30138</v>
      </c>
      <c r="K38" s="73">
        <v>34111</v>
      </c>
    </row>
    <row r="39" spans="1:11">
      <c r="B39">
        <f>(B2-B8)/B2</f>
        <v>0.15346494762288476</v>
      </c>
      <c r="C39">
        <f>(C2-C8)/C2</f>
        <v>0.1154959674639829</v>
      </c>
      <c r="D39">
        <f>SUM(D2:D16)/15</f>
        <v>29639479.933333334</v>
      </c>
    </row>
    <row r="41" spans="1:11">
      <c r="J41">
        <f>(D36-D35)/D35</f>
        <v>-0.50773339408667473</v>
      </c>
    </row>
    <row r="42" spans="1:11">
      <c r="F42">
        <f>(F36-F35)/F35</f>
        <v>-0.62892307692307692</v>
      </c>
    </row>
    <row r="43" spans="1:11">
      <c r="D43">
        <v>5375132</v>
      </c>
      <c r="E43">
        <f>(E17-D43)/D43</f>
        <v>4.5958809321644006E-2</v>
      </c>
      <c r="G43">
        <f t="shared" ref="G43:G51" si="2">B3-B2</f>
        <v>-554</v>
      </c>
    </row>
    <row r="44" spans="1:11">
      <c r="G44">
        <f t="shared" si="2"/>
        <v>-302</v>
      </c>
    </row>
    <row r="45" spans="1:11">
      <c r="C45">
        <f>(D43-E16)/E16</f>
        <v>0.17110375179746395</v>
      </c>
      <c r="G45">
        <f t="shared" si="2"/>
        <v>-511</v>
      </c>
    </row>
    <row r="46" spans="1:11">
      <c r="G46">
        <f t="shared" si="2"/>
        <v>-362</v>
      </c>
    </row>
    <row r="47" spans="1:11">
      <c r="G47">
        <f t="shared" si="2"/>
        <v>-1699</v>
      </c>
    </row>
    <row r="48" spans="1:11">
      <c r="G48">
        <f t="shared" si="2"/>
        <v>-381</v>
      </c>
    </row>
    <row r="49" spans="6:10">
      <c r="G49">
        <f t="shared" si="2"/>
        <v>1075</v>
      </c>
    </row>
    <row r="50" spans="6:10">
      <c r="F50">
        <f>(F33-F32)/F32</f>
        <v>0.23948268173034043</v>
      </c>
      <c r="G50">
        <f t="shared" si="2"/>
        <v>151</v>
      </c>
      <c r="J50">
        <f>(F34-F35)/F34</f>
        <v>0.13877341459779063</v>
      </c>
    </row>
    <row r="51" spans="6:10">
      <c r="G51">
        <f t="shared" si="2"/>
        <v>1043</v>
      </c>
    </row>
  </sheetData>
  <autoFilter ref="A1:K51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698"/>
  <sheetViews>
    <sheetView topLeftCell="A1677" zoomScaleNormal="100" workbookViewId="0">
      <selection activeCell="D1693" sqref="D1693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6" max="6" width="12.33203125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159" t="s">
        <v>246</v>
      </c>
      <c r="B1" s="159"/>
      <c r="C1" s="159"/>
      <c r="D1" s="15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59" t="s">
        <v>256</v>
      </c>
      <c r="B11" s="159"/>
      <c r="C11" s="159"/>
      <c r="D11" s="15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59" t="s">
        <v>258</v>
      </c>
      <c r="B21" s="159"/>
      <c r="C21" s="159"/>
      <c r="D21" s="15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59" t="s">
        <v>259</v>
      </c>
      <c r="B31" s="159"/>
      <c r="C31" s="159"/>
      <c r="D31" s="15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59" t="s">
        <v>260</v>
      </c>
      <c r="B41" s="159"/>
      <c r="C41" s="159"/>
      <c r="D41" s="15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59" t="s">
        <v>262</v>
      </c>
      <c r="B51" s="159"/>
      <c r="C51" s="159"/>
      <c r="D51" s="15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59" t="s">
        <v>263</v>
      </c>
      <c r="B61" s="159"/>
      <c r="C61" s="159"/>
      <c r="D61" s="15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59" t="s">
        <v>264</v>
      </c>
      <c r="B71" s="159"/>
      <c r="C71" s="159"/>
      <c r="D71" s="15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59" t="s">
        <v>265</v>
      </c>
      <c r="B81" s="159"/>
      <c r="C81" s="159"/>
      <c r="D81" s="15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59" t="s">
        <v>269</v>
      </c>
      <c r="B93" s="159"/>
      <c r="C93" s="159"/>
      <c r="D93" s="15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59" t="s">
        <v>270</v>
      </c>
      <c r="B103" s="159"/>
      <c r="C103" s="159"/>
      <c r="D103" s="15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59" t="s">
        <v>272</v>
      </c>
      <c r="B113" s="159"/>
      <c r="C113" s="159"/>
      <c r="D113" s="15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59" t="s">
        <v>273</v>
      </c>
      <c r="B123" s="159"/>
      <c r="C123" s="159"/>
      <c r="D123" s="15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59" t="s">
        <v>274</v>
      </c>
      <c r="B133" s="159"/>
      <c r="C133" s="159"/>
      <c r="D133" s="15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59" t="s">
        <v>275</v>
      </c>
      <c r="B143" s="159"/>
      <c r="C143" s="159"/>
      <c r="D143" s="15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59" t="s">
        <v>277</v>
      </c>
      <c r="B153" s="159"/>
      <c r="C153" s="159"/>
      <c r="D153" s="15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59" t="s">
        <v>278</v>
      </c>
      <c r="B163" s="159"/>
      <c r="C163" s="159"/>
      <c r="D163" s="15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59" t="s">
        <v>279</v>
      </c>
      <c r="B173" s="159"/>
      <c r="C173" s="159"/>
      <c r="D173" s="15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59" t="s">
        <v>280</v>
      </c>
      <c r="B183" s="159"/>
      <c r="C183" s="159"/>
      <c r="D183" s="15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59" t="s">
        <v>281</v>
      </c>
      <c r="B193" s="159"/>
      <c r="C193" s="159"/>
      <c r="D193" s="15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59" t="s">
        <v>282</v>
      </c>
      <c r="B203" s="159"/>
      <c r="C203" s="159"/>
      <c r="D203" s="15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59" t="s">
        <v>283</v>
      </c>
      <c r="B213" s="159"/>
      <c r="C213" s="159"/>
      <c r="D213" s="15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59" t="s">
        <v>284</v>
      </c>
      <c r="B223" s="159"/>
      <c r="C223" s="159"/>
      <c r="D223" s="15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59" t="s">
        <v>285</v>
      </c>
      <c r="B233" s="159"/>
      <c r="C233" s="159"/>
      <c r="D233" s="15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59" t="s">
        <v>286</v>
      </c>
      <c r="B243" s="159"/>
      <c r="C243" s="159"/>
      <c r="D243" s="15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59" t="s">
        <v>287</v>
      </c>
      <c r="B253" s="159"/>
      <c r="C253" s="159"/>
      <c r="D253" s="15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59" t="s">
        <v>288</v>
      </c>
      <c r="B263" s="159"/>
      <c r="C263" s="159"/>
      <c r="D263" s="15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59" t="s">
        <v>289</v>
      </c>
      <c r="B273" s="159"/>
      <c r="C273" s="159"/>
      <c r="D273" s="15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59" t="s">
        <v>290</v>
      </c>
      <c r="B283" s="159"/>
      <c r="C283" s="159"/>
      <c r="D283" s="15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59" t="s">
        <v>291</v>
      </c>
      <c r="B293" s="159"/>
      <c r="C293" s="159"/>
      <c r="D293" s="15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59" t="s">
        <v>292</v>
      </c>
      <c r="B303" s="159"/>
      <c r="C303" s="159"/>
      <c r="D303" s="15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59" t="s">
        <v>296</v>
      </c>
      <c r="B313" s="159"/>
      <c r="C313" s="159"/>
      <c r="D313" s="15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59" t="s">
        <v>300</v>
      </c>
      <c r="B324" s="159"/>
      <c r="C324" s="159"/>
      <c r="D324" s="15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59" t="s">
        <v>303</v>
      </c>
      <c r="B335" s="159"/>
      <c r="C335" s="159"/>
      <c r="D335" s="15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59" t="s">
        <v>304</v>
      </c>
      <c r="B346" s="159"/>
      <c r="C346" s="159"/>
      <c r="D346" s="15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59" t="s">
        <v>305</v>
      </c>
      <c r="B357" s="159"/>
      <c r="C357" s="159"/>
      <c r="D357" s="15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59" t="s">
        <v>306</v>
      </c>
      <c r="B368" s="159"/>
      <c r="C368" s="159"/>
      <c r="D368" s="15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59" t="s">
        <v>307</v>
      </c>
      <c r="B379" s="159"/>
      <c r="C379" s="159"/>
      <c r="D379" s="15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59" t="s">
        <v>308</v>
      </c>
      <c r="B390" s="159"/>
      <c r="C390" s="159"/>
      <c r="D390" s="15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59" t="s">
        <v>309</v>
      </c>
      <c r="B401" s="159"/>
      <c r="C401" s="159"/>
      <c r="D401" s="15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59" t="s">
        <v>310</v>
      </c>
      <c r="B412" s="159"/>
      <c r="C412" s="159"/>
      <c r="D412" s="15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59" t="s">
        <v>311</v>
      </c>
      <c r="B423" s="159"/>
      <c r="C423" s="159"/>
      <c r="D423" s="15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59" t="s">
        <v>315</v>
      </c>
      <c r="B434" s="159"/>
      <c r="C434" s="159"/>
      <c r="D434" s="15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59" t="s">
        <v>316</v>
      </c>
      <c r="B445" s="159"/>
      <c r="C445" s="159"/>
      <c r="D445" s="15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59" t="s">
        <v>317</v>
      </c>
      <c r="B456" s="159"/>
      <c r="C456" s="159"/>
      <c r="D456" s="15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59" t="s">
        <v>318</v>
      </c>
      <c r="B467" s="159"/>
      <c r="C467" s="159"/>
      <c r="D467" s="15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59" t="s">
        <v>319</v>
      </c>
      <c r="B478" s="159"/>
      <c r="C478" s="159"/>
      <c r="D478" s="15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59" t="s">
        <v>320</v>
      </c>
      <c r="B489" s="159"/>
      <c r="C489" s="159"/>
      <c r="D489" s="15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59" t="s">
        <v>323</v>
      </c>
      <c r="B500" s="159"/>
      <c r="C500" s="159"/>
      <c r="D500" s="15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59" t="s">
        <v>324</v>
      </c>
      <c r="B511" s="159"/>
      <c r="C511" s="159"/>
      <c r="D511" s="15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59" t="s">
        <v>325</v>
      </c>
      <c r="B522" s="159"/>
      <c r="C522" s="159"/>
      <c r="D522" s="15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59" t="s">
        <v>326</v>
      </c>
      <c r="B533" s="159"/>
      <c r="C533" s="159"/>
      <c r="D533" s="15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59" t="s">
        <v>327</v>
      </c>
      <c r="B544" s="159"/>
      <c r="C544" s="159"/>
      <c r="D544" s="15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59" t="s">
        <v>328</v>
      </c>
      <c r="B555" s="159"/>
      <c r="C555" s="159"/>
      <c r="D555" s="15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59" t="s">
        <v>328</v>
      </c>
      <c r="B567" s="159"/>
      <c r="C567" s="159"/>
      <c r="D567" s="15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59" t="s">
        <v>333</v>
      </c>
      <c r="B579" s="159"/>
      <c r="C579" s="159"/>
      <c r="D579" s="15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59" t="s">
        <v>334</v>
      </c>
      <c r="B590" s="159"/>
      <c r="C590" s="159"/>
      <c r="D590" s="15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59" t="s">
        <v>335</v>
      </c>
      <c r="B601" s="159"/>
      <c r="C601" s="159"/>
      <c r="D601" s="15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59" t="s">
        <v>336</v>
      </c>
      <c r="B612" s="159"/>
      <c r="C612" s="159"/>
      <c r="D612" s="15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59" t="s">
        <v>337</v>
      </c>
      <c r="B623" s="159"/>
      <c r="C623" s="159"/>
      <c r="D623" s="15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59" t="s">
        <v>338</v>
      </c>
      <c r="B635" s="159"/>
      <c r="C635" s="159"/>
      <c r="D635" s="15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59" t="s">
        <v>340</v>
      </c>
      <c r="B647" s="159"/>
      <c r="C647" s="159"/>
      <c r="D647" s="15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59" t="s">
        <v>341</v>
      </c>
      <c r="B658" s="159"/>
      <c r="C658" s="159"/>
      <c r="D658" s="15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59" t="s">
        <v>342</v>
      </c>
      <c r="B670" s="159"/>
      <c r="C670" s="159"/>
      <c r="D670" s="15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59" t="s">
        <v>343</v>
      </c>
      <c r="B681" s="159"/>
      <c r="C681" s="159"/>
      <c r="D681" s="15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59" t="s">
        <v>344</v>
      </c>
      <c r="B692" s="159"/>
      <c r="C692" s="159"/>
      <c r="D692" s="15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59" t="s">
        <v>345</v>
      </c>
      <c r="B703" s="159"/>
      <c r="C703" s="159"/>
      <c r="D703" s="15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59" t="s">
        <v>348</v>
      </c>
      <c r="B715" s="159"/>
      <c r="C715" s="159"/>
      <c r="D715" s="15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59" t="s">
        <v>349</v>
      </c>
      <c r="B726" s="159"/>
      <c r="C726" s="159"/>
      <c r="D726" s="15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59" t="s">
        <v>350</v>
      </c>
      <c r="B738" s="159"/>
      <c r="C738" s="159"/>
      <c r="D738" s="15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59" t="s">
        <v>351</v>
      </c>
      <c r="B749" s="159"/>
      <c r="C749" s="159"/>
      <c r="D749" s="15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59" t="s">
        <v>352</v>
      </c>
      <c r="B760" s="159"/>
      <c r="C760" s="159"/>
      <c r="D760" s="15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59" t="s">
        <v>353</v>
      </c>
      <c r="B772" s="159"/>
      <c r="C772" s="159"/>
      <c r="D772" s="15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59" t="s">
        <v>355</v>
      </c>
      <c r="B784" s="159"/>
      <c r="C784" s="159"/>
      <c r="D784" s="15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59" t="s">
        <v>356</v>
      </c>
      <c r="B796" s="159"/>
      <c r="C796" s="159"/>
      <c r="D796" s="15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59" t="s">
        <v>357</v>
      </c>
      <c r="B809" s="159"/>
      <c r="C809" s="159"/>
      <c r="D809" s="15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59" t="s">
        <v>358</v>
      </c>
      <c r="B820" s="159"/>
      <c r="C820" s="159"/>
      <c r="D820" s="15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59" t="s">
        <v>359</v>
      </c>
      <c r="B831" s="159"/>
      <c r="C831" s="159"/>
      <c r="D831" s="15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59" t="s">
        <v>360</v>
      </c>
      <c r="B842" s="159"/>
      <c r="C842" s="159"/>
      <c r="D842" s="15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59" t="s">
        <v>361</v>
      </c>
      <c r="B854" s="159"/>
      <c r="C854" s="159"/>
      <c r="D854" s="15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59" t="s">
        <v>363</v>
      </c>
      <c r="B865" s="159"/>
      <c r="C865" s="159"/>
      <c r="D865" s="15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59" t="s">
        <v>364</v>
      </c>
      <c r="B876" s="159"/>
      <c r="C876" s="159"/>
      <c r="D876" s="15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59" t="s">
        <v>367</v>
      </c>
      <c r="B888" s="159"/>
      <c r="C888" s="159"/>
      <c r="D888" s="15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59" t="s">
        <v>368</v>
      </c>
      <c r="B901" s="159"/>
      <c r="C901" s="159"/>
      <c r="D901" s="15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59" t="s">
        <v>369</v>
      </c>
      <c r="B913" s="159"/>
      <c r="C913" s="159"/>
      <c r="D913" s="15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59" t="s">
        <v>370</v>
      </c>
      <c r="B925" s="159"/>
      <c r="C925" s="159"/>
      <c r="D925" s="15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59" t="s">
        <v>371</v>
      </c>
      <c r="B937" s="159"/>
      <c r="C937" s="159"/>
      <c r="D937" s="15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59" t="s">
        <v>372</v>
      </c>
      <c r="B949" s="159"/>
      <c r="C949" s="159"/>
      <c r="D949" s="15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59" t="s">
        <v>400</v>
      </c>
      <c r="B961" s="159"/>
      <c r="C961" s="159"/>
      <c r="D961" s="159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59" t="s">
        <v>402</v>
      </c>
      <c r="B974" s="159"/>
      <c r="C974" s="159"/>
      <c r="D974" s="159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59" t="s">
        <v>404</v>
      </c>
      <c r="B987" s="159"/>
      <c r="C987" s="159"/>
      <c r="D987" s="159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59" t="s">
        <v>405</v>
      </c>
      <c r="B1000" s="159"/>
      <c r="C1000" s="159"/>
      <c r="D1000" s="159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59" t="s">
        <v>408</v>
      </c>
      <c r="B1012" s="159"/>
      <c r="C1012" s="159"/>
      <c r="D1012" s="159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59" t="s">
        <v>410</v>
      </c>
      <c r="B1025" s="159"/>
      <c r="C1025" s="159"/>
      <c r="D1025" s="159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59" t="s">
        <v>413</v>
      </c>
      <c r="B1037" s="159"/>
      <c r="C1037" s="159"/>
      <c r="D1037" s="159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59" t="s">
        <v>415</v>
      </c>
      <c r="B1049" s="159"/>
      <c r="C1049" s="159"/>
      <c r="D1049" s="159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59" t="s">
        <v>417</v>
      </c>
      <c r="B1061" s="159"/>
      <c r="C1061" s="159"/>
      <c r="D1061" s="159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59" t="s">
        <v>419</v>
      </c>
      <c r="B1073" s="159"/>
      <c r="C1073" s="159"/>
      <c r="D1073" s="159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59" t="s">
        <v>421</v>
      </c>
      <c r="B1085" s="159"/>
      <c r="C1085" s="159"/>
      <c r="D1085" s="159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59" t="s">
        <v>423</v>
      </c>
      <c r="B1098" s="159"/>
      <c r="C1098" s="159"/>
      <c r="D1098" s="159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59" t="s">
        <v>426</v>
      </c>
      <c r="B1110" s="159"/>
      <c r="C1110" s="159"/>
      <c r="D1110" s="159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59" t="s">
        <v>428</v>
      </c>
      <c r="B1123" s="159"/>
      <c r="C1123" s="159"/>
      <c r="D1123" s="159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59" t="s">
        <v>430</v>
      </c>
      <c r="B1136" s="159"/>
      <c r="C1136" s="159"/>
      <c r="D1136" s="159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59" t="s">
        <v>432</v>
      </c>
      <c r="B1149" s="159"/>
      <c r="C1149" s="159"/>
      <c r="D1149" s="159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59" t="s">
        <v>434</v>
      </c>
      <c r="B1162" s="159"/>
      <c r="C1162" s="159"/>
      <c r="D1162" s="159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59" t="s">
        <v>437</v>
      </c>
      <c r="B1173" s="159"/>
      <c r="C1173" s="159"/>
      <c r="D1173" s="159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59" t="s">
        <v>439</v>
      </c>
      <c r="B1185" s="159"/>
      <c r="C1185" s="159"/>
      <c r="D1185" s="159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59" t="s">
        <v>441</v>
      </c>
      <c r="B1197" s="159"/>
      <c r="C1197" s="159"/>
      <c r="D1197" s="159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59" t="s">
        <v>443</v>
      </c>
      <c r="B1209" s="159"/>
      <c r="C1209" s="159"/>
      <c r="D1209" s="159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59" t="s">
        <v>445</v>
      </c>
      <c r="B1222" s="159"/>
      <c r="C1222" s="159"/>
      <c r="D1222" s="159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59" t="s">
        <v>447</v>
      </c>
      <c r="B1234" s="159"/>
      <c r="C1234" s="159"/>
      <c r="D1234" s="159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59" t="s">
        <v>449</v>
      </c>
      <c r="B1246" s="159"/>
      <c r="C1246" s="159"/>
      <c r="D1246" s="159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59" t="s">
        <v>452</v>
      </c>
      <c r="B1258" s="159"/>
      <c r="C1258" s="159"/>
      <c r="D1258" s="159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59" t="s">
        <v>454</v>
      </c>
      <c r="B1270" s="159"/>
      <c r="C1270" s="159"/>
      <c r="D1270" s="159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59" t="s">
        <v>456</v>
      </c>
      <c r="B1282" s="159"/>
      <c r="C1282" s="159"/>
      <c r="D1282" s="159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59" t="s">
        <v>458</v>
      </c>
      <c r="B1294" s="159"/>
      <c r="C1294" s="159"/>
      <c r="D1294" s="159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59" t="s">
        <v>460</v>
      </c>
      <c r="B1306" s="159"/>
      <c r="C1306" s="159"/>
      <c r="D1306" s="159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59" t="s">
        <v>462</v>
      </c>
      <c r="B1318" s="159"/>
      <c r="C1318" s="159"/>
      <c r="D1318" s="159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59" t="s">
        <v>464</v>
      </c>
      <c r="B1330" s="159"/>
      <c r="C1330" s="159"/>
      <c r="D1330" s="159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59" t="s">
        <v>467</v>
      </c>
      <c r="B1343" s="159"/>
      <c r="C1343" s="159"/>
      <c r="D1343" s="159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59" t="s">
        <v>469</v>
      </c>
      <c r="B1355" s="159"/>
      <c r="C1355" s="159"/>
      <c r="D1355" s="159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59" t="s">
        <v>471</v>
      </c>
      <c r="B1368" s="159"/>
      <c r="C1368" s="159"/>
      <c r="D1368" s="159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59" t="s">
        <v>473</v>
      </c>
      <c r="B1380" s="159"/>
      <c r="C1380" s="159"/>
      <c r="D1380" s="159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59" t="s">
        <v>476</v>
      </c>
      <c r="B1392" s="159"/>
      <c r="C1392" s="159"/>
      <c r="D1392" s="159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59" t="s">
        <v>478</v>
      </c>
      <c r="B1404" s="159"/>
      <c r="C1404" s="159"/>
      <c r="D1404" s="159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59" t="s">
        <v>479</v>
      </c>
      <c r="B1416" s="159"/>
      <c r="C1416" s="159"/>
      <c r="D1416" s="159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0">
        <v>12550000</v>
      </c>
    </row>
    <row r="1428" spans="1:4">
      <c r="A1428" s="159" t="s">
        <v>480</v>
      </c>
      <c r="B1428" s="159"/>
      <c r="C1428" s="159"/>
      <c r="D1428" s="159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0">
        <v>12485000</v>
      </c>
    </row>
    <row r="1441" spans="1:6">
      <c r="A1441" s="159" t="s">
        <v>481</v>
      </c>
      <c r="B1441" s="159"/>
      <c r="C1441" s="159"/>
      <c r="D1441" s="159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0">
        <v>12680000</v>
      </c>
    </row>
    <row r="1450" spans="1:6">
      <c r="F1450">
        <f>3.673*7920</f>
        <v>29090.16</v>
      </c>
    </row>
    <row r="1453" spans="1:6">
      <c r="A1453" s="159" t="s">
        <v>482</v>
      </c>
      <c r="B1453" s="159"/>
      <c r="C1453" s="159"/>
      <c r="D1453" s="159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0"/>
    </row>
    <row r="1465" spans="1:5">
      <c r="A1465" s="159" t="s">
        <v>489</v>
      </c>
      <c r="B1465" s="159"/>
      <c r="C1465" s="159"/>
      <c r="D1465" s="159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0">
        <v>12585000</v>
      </c>
    </row>
    <row r="1477" spans="1:4">
      <c r="A1477" s="159" t="s">
        <v>491</v>
      </c>
      <c r="B1477" s="159"/>
      <c r="C1477" s="159"/>
      <c r="D1477" s="159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0">
        <v>12595000</v>
      </c>
    </row>
    <row r="1490" spans="1:4">
      <c r="A1490" s="159" t="s">
        <v>493</v>
      </c>
      <c r="B1490" s="159"/>
      <c r="C1490" s="159"/>
      <c r="D1490" s="159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0">
        <v>12685000</v>
      </c>
    </row>
    <row r="1502" spans="1:4">
      <c r="A1502" s="159" t="s">
        <v>495</v>
      </c>
      <c r="B1502" s="159"/>
      <c r="C1502" s="159"/>
      <c r="D1502" s="159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0">
        <v>12555000</v>
      </c>
    </row>
    <row r="1514" spans="1:4">
      <c r="A1514" s="159" t="s">
        <v>497</v>
      </c>
      <c r="B1514" s="159"/>
      <c r="C1514" s="159"/>
      <c r="D1514" s="159"/>
    </row>
    <row r="1515" spans="1:4">
      <c r="A1515" s="85" t="s">
        <v>247</v>
      </c>
      <c r="B1515" s="85" t="s">
        <v>248</v>
      </c>
      <c r="C1515" s="85" t="s">
        <v>249</v>
      </c>
      <c r="D1515" s="85" t="s">
        <v>250</v>
      </c>
    </row>
    <row r="1516" spans="1:4">
      <c r="A1516" s="75">
        <v>0.45833333333333298</v>
      </c>
      <c r="B1516" s="85">
        <v>29220</v>
      </c>
      <c r="C1516" s="85">
        <v>8000</v>
      </c>
      <c r="D1516">
        <v>12630000</v>
      </c>
    </row>
    <row r="1517" spans="1:4">
      <c r="A1517" s="76" t="s">
        <v>251</v>
      </c>
      <c r="B1517" s="85">
        <v>29220</v>
      </c>
      <c r="C1517" s="85">
        <v>7990</v>
      </c>
      <c r="D1517">
        <v>12625000</v>
      </c>
    </row>
    <row r="1518" spans="1:4">
      <c r="A1518" s="77" t="s">
        <v>252</v>
      </c>
      <c r="B1518" s="85">
        <v>29250</v>
      </c>
      <c r="C1518" s="85">
        <v>7990</v>
      </c>
      <c r="D1518">
        <v>12620000</v>
      </c>
    </row>
    <row r="1519" spans="1:4">
      <c r="A1519" s="75" t="s">
        <v>253</v>
      </c>
      <c r="B1519" s="85">
        <v>29270</v>
      </c>
      <c r="C1519" s="85">
        <v>8000</v>
      </c>
      <c r="D1519">
        <v>12630000</v>
      </c>
    </row>
    <row r="1520" spans="1:4">
      <c r="A1520" s="83">
        <v>0.625</v>
      </c>
      <c r="B1520" s="85">
        <v>29270</v>
      </c>
      <c r="C1520" s="85">
        <v>8000</v>
      </c>
      <c r="D1520">
        <v>12635000</v>
      </c>
    </row>
    <row r="1521" spans="1:5">
      <c r="A1521" s="76" t="s">
        <v>254</v>
      </c>
      <c r="B1521" s="85">
        <v>29270</v>
      </c>
      <c r="C1521" s="85">
        <v>8000</v>
      </c>
      <c r="D1521" s="85">
        <v>12630000</v>
      </c>
    </row>
    <row r="1522" spans="1:5">
      <c r="A1522" s="86">
        <v>0.70833333333333337</v>
      </c>
      <c r="B1522" s="85">
        <v>29270</v>
      </c>
      <c r="C1522" s="85">
        <v>8000</v>
      </c>
      <c r="D1522" s="130">
        <v>12630000</v>
      </c>
    </row>
    <row r="1526" spans="1:5">
      <c r="A1526" s="159" t="s">
        <v>499</v>
      </c>
      <c r="B1526" s="159"/>
      <c r="C1526" s="159"/>
      <c r="D1526" s="159"/>
    </row>
    <row r="1527" spans="1:5">
      <c r="A1527" s="85" t="s">
        <v>247</v>
      </c>
      <c r="B1527" s="85" t="s">
        <v>248</v>
      </c>
      <c r="C1527" s="85" t="s">
        <v>249</v>
      </c>
      <c r="D1527" s="85" t="s">
        <v>250</v>
      </c>
    </row>
    <row r="1528" spans="1:5">
      <c r="A1528" s="75">
        <v>0.45833333333333298</v>
      </c>
      <c r="B1528" s="85"/>
      <c r="C1528" s="85"/>
      <c r="E1528">
        <v>12597000</v>
      </c>
    </row>
    <row r="1529" spans="1:5">
      <c r="A1529" s="76" t="s">
        <v>251</v>
      </c>
      <c r="B1529" s="85"/>
      <c r="C1529" s="85"/>
    </row>
    <row r="1530" spans="1:5">
      <c r="A1530" s="77" t="s">
        <v>252</v>
      </c>
      <c r="B1530" s="85"/>
      <c r="C1530" s="85"/>
    </row>
    <row r="1531" spans="1:5">
      <c r="A1531" s="75" t="s">
        <v>253</v>
      </c>
      <c r="B1531" s="85"/>
      <c r="C1531" s="85"/>
    </row>
    <row r="1532" spans="1:5">
      <c r="A1532" s="83">
        <v>0.625</v>
      </c>
      <c r="B1532" s="85"/>
      <c r="C1532" s="85"/>
    </row>
    <row r="1533" spans="1:5">
      <c r="A1533" s="76" t="s">
        <v>254</v>
      </c>
      <c r="B1533" s="85"/>
      <c r="C1533" s="85"/>
      <c r="D1533" s="85"/>
    </row>
    <row r="1534" spans="1:5">
      <c r="A1534" s="86">
        <v>0.70833333333333337</v>
      </c>
      <c r="B1534" s="85"/>
      <c r="C1534" s="85"/>
      <c r="D1534" s="130"/>
    </row>
    <row r="1539" spans="1:4">
      <c r="A1539" s="159" t="s">
        <v>502</v>
      </c>
      <c r="B1539" s="159"/>
      <c r="C1539" s="159"/>
      <c r="D1539" s="159"/>
    </row>
    <row r="1540" spans="1:4">
      <c r="A1540" s="85" t="s">
        <v>247</v>
      </c>
      <c r="B1540" s="85" t="s">
        <v>248</v>
      </c>
      <c r="C1540" s="85" t="s">
        <v>249</v>
      </c>
      <c r="D1540" s="85" t="s">
        <v>250</v>
      </c>
    </row>
    <row r="1541" spans="1:4">
      <c r="A1541" s="75">
        <v>0.45833333333333298</v>
      </c>
      <c r="B1541" s="85">
        <v>29850</v>
      </c>
      <c r="C1541" s="85">
        <v>8180</v>
      </c>
      <c r="D1541">
        <v>12905000</v>
      </c>
    </row>
    <row r="1542" spans="1:4">
      <c r="A1542" s="76" t="s">
        <v>251</v>
      </c>
      <c r="B1542" s="85">
        <v>29850</v>
      </c>
      <c r="C1542" s="85">
        <v>8190</v>
      </c>
      <c r="D1542">
        <v>12990000</v>
      </c>
    </row>
    <row r="1543" spans="1:4">
      <c r="A1543" s="77" t="s">
        <v>252</v>
      </c>
      <c r="B1543" s="85">
        <v>29950</v>
      </c>
      <c r="C1543" s="85">
        <v>8180</v>
      </c>
      <c r="D1543">
        <v>12975000</v>
      </c>
    </row>
    <row r="1544" spans="1:4">
      <c r="A1544" s="75" t="s">
        <v>253</v>
      </c>
      <c r="B1544" s="85">
        <v>30150</v>
      </c>
      <c r="C1544" s="85">
        <v>8200</v>
      </c>
      <c r="D1544">
        <v>13010000</v>
      </c>
    </row>
    <row r="1545" spans="1:4">
      <c r="A1545" s="83">
        <v>0.625</v>
      </c>
      <c r="B1545" s="85">
        <v>30180</v>
      </c>
      <c r="C1545" s="85">
        <v>8280</v>
      </c>
      <c r="D1545">
        <v>13015000</v>
      </c>
    </row>
    <row r="1546" spans="1:4">
      <c r="A1546" s="76" t="s">
        <v>254</v>
      </c>
      <c r="B1546" s="85">
        <v>30180</v>
      </c>
      <c r="C1546" s="85">
        <v>8290</v>
      </c>
      <c r="D1546" s="85">
        <v>13015000</v>
      </c>
    </row>
    <row r="1547" spans="1:4">
      <c r="A1547" s="86">
        <v>0.70833333333333337</v>
      </c>
      <c r="B1547" s="85">
        <v>30180</v>
      </c>
      <c r="C1547" s="85">
        <v>8290</v>
      </c>
      <c r="D1547" s="130">
        <v>13015000</v>
      </c>
    </row>
    <row r="1551" spans="1:4">
      <c r="A1551" s="159" t="s">
        <v>504</v>
      </c>
      <c r="B1551" s="159"/>
      <c r="C1551" s="159"/>
      <c r="D1551" s="159"/>
    </row>
    <row r="1552" spans="1:4">
      <c r="A1552" s="85" t="s">
        <v>247</v>
      </c>
      <c r="B1552" s="85" t="s">
        <v>248</v>
      </c>
      <c r="C1552" s="85" t="s">
        <v>249</v>
      </c>
      <c r="D1552" s="85" t="s">
        <v>250</v>
      </c>
    </row>
    <row r="1553" spans="1:4">
      <c r="A1553" s="75">
        <v>0.45833333333333298</v>
      </c>
      <c r="B1553" s="85">
        <v>30490</v>
      </c>
      <c r="C1553" s="85">
        <v>8345</v>
      </c>
      <c r="D1553">
        <v>13140000</v>
      </c>
    </row>
    <row r="1554" spans="1:4">
      <c r="A1554" s="76" t="s">
        <v>251</v>
      </c>
      <c r="B1554" s="85">
        <v>30390</v>
      </c>
      <c r="C1554" s="85">
        <v>8310</v>
      </c>
      <c r="D1554">
        <v>13015000</v>
      </c>
    </row>
    <row r="1555" spans="1:4">
      <c r="A1555" s="77" t="s">
        <v>252</v>
      </c>
      <c r="B1555" s="85">
        <v>30250</v>
      </c>
      <c r="C1555" s="85">
        <v>8310</v>
      </c>
      <c r="D1555">
        <v>13025000</v>
      </c>
    </row>
    <row r="1556" spans="1:4">
      <c r="A1556" s="75" t="s">
        <v>253</v>
      </c>
      <c r="B1556" s="85">
        <v>30320</v>
      </c>
      <c r="C1556" s="85">
        <v>8335</v>
      </c>
      <c r="D1556">
        <v>13030000</v>
      </c>
    </row>
    <row r="1557" spans="1:4">
      <c r="A1557" s="83">
        <v>0.625</v>
      </c>
      <c r="B1557" s="85">
        <v>30320</v>
      </c>
      <c r="C1557" s="85">
        <v>8345</v>
      </c>
      <c r="D1557">
        <v>13070000</v>
      </c>
    </row>
    <row r="1558" spans="1:4">
      <c r="A1558" s="76" t="s">
        <v>254</v>
      </c>
      <c r="B1558" s="85">
        <v>30320</v>
      </c>
      <c r="C1558" s="85">
        <v>8345</v>
      </c>
      <c r="D1558" s="85">
        <v>13040000</v>
      </c>
    </row>
    <row r="1559" spans="1:4">
      <c r="A1559" s="86">
        <v>0.70833333333333337</v>
      </c>
      <c r="B1559" s="85">
        <v>30320</v>
      </c>
      <c r="C1559" s="85">
        <v>8345</v>
      </c>
      <c r="D1559" s="130">
        <v>13040000</v>
      </c>
    </row>
    <row r="1563" spans="1:4">
      <c r="A1563" s="159" t="s">
        <v>506</v>
      </c>
      <c r="B1563" s="159"/>
      <c r="C1563" s="159"/>
      <c r="D1563" s="159"/>
    </row>
    <row r="1564" spans="1:4">
      <c r="A1564" s="85" t="s">
        <v>247</v>
      </c>
      <c r="B1564" s="85" t="s">
        <v>248</v>
      </c>
      <c r="C1564" s="85" t="s">
        <v>249</v>
      </c>
      <c r="D1564" s="85" t="s">
        <v>250</v>
      </c>
    </row>
    <row r="1565" spans="1:4">
      <c r="A1565" s="75">
        <v>0.45833333333333298</v>
      </c>
      <c r="B1565" s="85">
        <v>30580</v>
      </c>
      <c r="C1565" s="85">
        <v>8390</v>
      </c>
      <c r="D1565">
        <v>13100000</v>
      </c>
    </row>
    <row r="1566" spans="1:4">
      <c r="A1566" s="76" t="s">
        <v>251</v>
      </c>
      <c r="B1566" s="85">
        <v>30570</v>
      </c>
      <c r="C1566" s="85">
        <v>8400</v>
      </c>
      <c r="D1566">
        <v>13120000</v>
      </c>
    </row>
    <row r="1567" spans="1:4">
      <c r="A1567" s="77" t="s">
        <v>252</v>
      </c>
      <c r="B1567" s="85">
        <v>30470</v>
      </c>
      <c r="C1567" s="85">
        <v>8380</v>
      </c>
      <c r="D1567">
        <v>13155000</v>
      </c>
    </row>
    <row r="1568" spans="1:4">
      <c r="A1568" s="75" t="s">
        <v>253</v>
      </c>
      <c r="B1568" s="85">
        <v>30550</v>
      </c>
      <c r="C1568" s="85">
        <v>8370</v>
      </c>
      <c r="D1568">
        <v>13230000</v>
      </c>
    </row>
    <row r="1569" spans="1:4">
      <c r="A1569" s="83">
        <v>0.625</v>
      </c>
      <c r="B1569" s="85">
        <v>30550</v>
      </c>
      <c r="C1569" s="85">
        <v>8380</v>
      </c>
      <c r="D1569">
        <v>13230000</v>
      </c>
    </row>
    <row r="1570" spans="1:4">
      <c r="A1570" s="76" t="s">
        <v>254</v>
      </c>
      <c r="B1570" s="85">
        <v>30550</v>
      </c>
      <c r="C1570" s="85">
        <v>8390</v>
      </c>
      <c r="D1570" s="85">
        <v>13230000</v>
      </c>
    </row>
    <row r="1571" spans="1:4">
      <c r="A1571" s="86">
        <v>0.70833333333333337</v>
      </c>
      <c r="B1571" s="85">
        <v>30550</v>
      </c>
      <c r="C1571" s="85">
        <v>8400</v>
      </c>
      <c r="D1571" s="130">
        <v>13230000</v>
      </c>
    </row>
    <row r="1576" spans="1:4">
      <c r="A1576" s="159" t="s">
        <v>508</v>
      </c>
      <c r="B1576" s="159"/>
      <c r="C1576" s="159"/>
      <c r="D1576" s="159"/>
    </row>
    <row r="1577" spans="1:4">
      <c r="A1577" s="85" t="s">
        <v>247</v>
      </c>
      <c r="B1577" s="85" t="s">
        <v>248</v>
      </c>
      <c r="C1577" s="85" t="s">
        <v>249</v>
      </c>
      <c r="D1577" s="85" t="s">
        <v>250</v>
      </c>
    </row>
    <row r="1578" spans="1:4">
      <c r="A1578" s="75">
        <v>0.45833333333333298</v>
      </c>
      <c r="B1578" s="85">
        <v>30950</v>
      </c>
      <c r="C1578" s="85">
        <v>8440</v>
      </c>
      <c r="D1578">
        <v>13215000</v>
      </c>
    </row>
    <row r="1579" spans="1:4">
      <c r="A1579" s="76" t="s">
        <v>251</v>
      </c>
      <c r="B1579" s="85">
        <v>30890</v>
      </c>
      <c r="C1579" s="85">
        <v>8430</v>
      </c>
      <c r="D1579">
        <v>13230000</v>
      </c>
    </row>
    <row r="1580" spans="1:4">
      <c r="A1580" s="77" t="s">
        <v>252</v>
      </c>
      <c r="B1580" s="85">
        <v>30940</v>
      </c>
      <c r="C1580" s="85">
        <v>8420</v>
      </c>
      <c r="D1580">
        <v>13220000</v>
      </c>
    </row>
    <row r="1581" spans="1:4">
      <c r="A1581" s="75" t="s">
        <v>253</v>
      </c>
      <c r="B1581" s="85">
        <v>30920</v>
      </c>
      <c r="C1581" s="85">
        <v>8440</v>
      </c>
      <c r="D1581">
        <v>13255000</v>
      </c>
    </row>
    <row r="1582" spans="1:4">
      <c r="A1582" s="83">
        <v>0.625</v>
      </c>
      <c r="B1582" s="85">
        <v>30920</v>
      </c>
      <c r="C1582" s="85">
        <v>8440</v>
      </c>
      <c r="D1582">
        <v>13260000</v>
      </c>
    </row>
    <row r="1583" spans="1:4">
      <c r="A1583" s="76" t="s">
        <v>254</v>
      </c>
      <c r="B1583" s="85">
        <v>30920</v>
      </c>
      <c r="C1583" s="85">
        <v>8450</v>
      </c>
      <c r="D1583" s="85">
        <v>13265000</v>
      </c>
    </row>
    <row r="1584" spans="1:4">
      <c r="A1584" s="86">
        <v>0.70833333333333337</v>
      </c>
      <c r="B1584" s="85">
        <v>30920</v>
      </c>
      <c r="C1584" s="85">
        <v>8460</v>
      </c>
      <c r="D1584" s="130">
        <v>13265000</v>
      </c>
    </row>
    <row r="1589" spans="1:4">
      <c r="A1589" s="159" t="s">
        <v>510</v>
      </c>
      <c r="B1589" s="159"/>
      <c r="C1589" s="159"/>
      <c r="D1589" s="159"/>
    </row>
    <row r="1590" spans="1:4">
      <c r="A1590" s="85" t="s">
        <v>247</v>
      </c>
      <c r="B1590" s="85" t="s">
        <v>248</v>
      </c>
      <c r="C1590" s="85" t="s">
        <v>249</v>
      </c>
      <c r="D1590" s="85" t="s">
        <v>250</v>
      </c>
    </row>
    <row r="1591" spans="1:4">
      <c r="A1591" s="75">
        <v>0.45833333333333298</v>
      </c>
      <c r="B1591" s="85"/>
      <c r="C1591" s="85"/>
    </row>
    <row r="1592" spans="1:4">
      <c r="A1592" s="76" t="s">
        <v>251</v>
      </c>
      <c r="B1592" s="85"/>
      <c r="C1592" s="85"/>
    </row>
    <row r="1593" spans="1:4">
      <c r="A1593" s="77" t="s">
        <v>252</v>
      </c>
      <c r="B1593" s="85"/>
      <c r="C1593" s="85"/>
    </row>
    <row r="1594" spans="1:4">
      <c r="A1594" s="75" t="s">
        <v>253</v>
      </c>
      <c r="B1594" s="85"/>
      <c r="C1594" s="85"/>
    </row>
    <row r="1595" spans="1:4">
      <c r="A1595" s="83">
        <v>0.625</v>
      </c>
      <c r="B1595" s="85"/>
      <c r="C1595" s="85"/>
    </row>
    <row r="1596" spans="1:4">
      <c r="A1596" s="76" t="s">
        <v>254</v>
      </c>
      <c r="B1596" s="85"/>
      <c r="C1596" s="85"/>
      <c r="D1596" s="85"/>
    </row>
    <row r="1597" spans="1:4">
      <c r="A1597" s="86">
        <v>0.70833333333333337</v>
      </c>
      <c r="B1597" s="85"/>
      <c r="C1597" s="85"/>
      <c r="D1597" s="130"/>
    </row>
    <row r="1601" spans="1:4">
      <c r="A1601" s="160" t="s">
        <v>510</v>
      </c>
      <c r="B1601" s="160"/>
      <c r="C1601" s="160"/>
    </row>
    <row r="1602" spans="1:4">
      <c r="A1602" s="85" t="s">
        <v>247</v>
      </c>
      <c r="B1602" s="85" t="s">
        <v>250</v>
      </c>
      <c r="C1602" s="85" t="s">
        <v>249</v>
      </c>
    </row>
    <row r="1603" spans="1:4">
      <c r="A1603" s="75">
        <v>0.45833333333333298</v>
      </c>
      <c r="B1603" s="85">
        <v>13195000</v>
      </c>
      <c r="C1603" s="85">
        <v>8400</v>
      </c>
    </row>
    <row r="1604" spans="1:4">
      <c r="A1604" s="76" t="s">
        <v>251</v>
      </c>
      <c r="B1604" s="85">
        <v>13175000</v>
      </c>
      <c r="C1604" s="85">
        <v>8420</v>
      </c>
    </row>
    <row r="1605" spans="1:4">
      <c r="A1605" s="77" t="s">
        <v>252</v>
      </c>
      <c r="B1605" s="85">
        <v>13185000</v>
      </c>
      <c r="C1605" s="85">
        <v>8420</v>
      </c>
    </row>
    <row r="1606" spans="1:4">
      <c r="A1606" s="75" t="s">
        <v>253</v>
      </c>
      <c r="B1606" s="85">
        <v>13200000</v>
      </c>
      <c r="C1606" s="85">
        <v>8420</v>
      </c>
      <c r="D1606">
        <f>B1609-D1584</f>
        <v>-85000</v>
      </c>
    </row>
    <row r="1607" spans="1:4">
      <c r="A1607" s="83">
        <v>0.625</v>
      </c>
      <c r="B1607" s="85">
        <v>13180000</v>
      </c>
      <c r="C1607" s="85">
        <v>8410</v>
      </c>
    </row>
    <row r="1608" spans="1:4">
      <c r="A1608" s="76" t="s">
        <v>254</v>
      </c>
      <c r="B1608" s="85">
        <v>13180000</v>
      </c>
      <c r="C1608" s="85">
        <v>8420</v>
      </c>
    </row>
    <row r="1609" spans="1:4">
      <c r="A1609" s="86">
        <v>0.70833333333333337</v>
      </c>
      <c r="B1609" s="85">
        <v>13180000</v>
      </c>
      <c r="C1609" s="85">
        <v>8430</v>
      </c>
    </row>
    <row r="1613" spans="1:4">
      <c r="A1613" s="160" t="s">
        <v>510</v>
      </c>
      <c r="B1613" s="160"/>
      <c r="C1613" s="160"/>
    </row>
    <row r="1614" spans="1:4">
      <c r="A1614" s="85" t="s">
        <v>247</v>
      </c>
      <c r="B1614" s="85" t="s">
        <v>250</v>
      </c>
      <c r="C1614" s="85" t="s">
        <v>249</v>
      </c>
    </row>
    <row r="1615" spans="1:4">
      <c r="A1615" s="75">
        <v>0.45833333333333298</v>
      </c>
      <c r="B1615" s="85"/>
      <c r="C1615" s="85">
        <v>8400</v>
      </c>
      <c r="D1615">
        <v>13170000</v>
      </c>
    </row>
    <row r="1616" spans="1:4">
      <c r="A1616" s="76" t="s">
        <v>251</v>
      </c>
      <c r="B1616" s="85"/>
      <c r="C1616" s="85">
        <v>8420</v>
      </c>
      <c r="D1616">
        <v>13160000</v>
      </c>
    </row>
    <row r="1617" spans="1:4">
      <c r="A1617" s="77" t="s">
        <v>252</v>
      </c>
      <c r="B1617" s="85"/>
      <c r="C1617" s="85">
        <v>8420</v>
      </c>
      <c r="D1617">
        <v>13165000</v>
      </c>
    </row>
    <row r="1618" spans="1:4">
      <c r="A1618" s="75" t="s">
        <v>253</v>
      </c>
      <c r="B1618" s="85"/>
      <c r="C1618" s="85">
        <v>8420</v>
      </c>
    </row>
    <row r="1619" spans="1:4">
      <c r="A1619" s="83">
        <v>0.625</v>
      </c>
      <c r="B1619" s="85"/>
      <c r="C1619" s="85">
        <v>8410</v>
      </c>
    </row>
    <row r="1620" spans="1:4">
      <c r="A1620" s="76" t="s">
        <v>254</v>
      </c>
      <c r="B1620" s="85"/>
      <c r="C1620" s="85">
        <v>8420</v>
      </c>
    </row>
    <row r="1621" spans="1:4">
      <c r="A1621" s="86">
        <v>0.70833333333333337</v>
      </c>
      <c r="B1621" s="85"/>
      <c r="C1621" s="85">
        <v>8430</v>
      </c>
    </row>
    <row r="1629" spans="1:4">
      <c r="A1629" s="160" t="s">
        <v>514</v>
      </c>
      <c r="B1629" s="160"/>
      <c r="C1629" s="160"/>
    </row>
    <row r="1630" spans="1:4">
      <c r="A1630" s="85" t="s">
        <v>247</v>
      </c>
      <c r="B1630" s="85" t="s">
        <v>250</v>
      </c>
      <c r="C1630" s="85" t="s">
        <v>249</v>
      </c>
    </row>
    <row r="1631" spans="1:4">
      <c r="A1631" s="75">
        <v>0.45833333333333298</v>
      </c>
      <c r="B1631" s="85">
        <v>13220000</v>
      </c>
      <c r="C1631" s="85">
        <v>8420</v>
      </c>
    </row>
    <row r="1632" spans="1:4">
      <c r="A1632" s="76" t="s">
        <v>251</v>
      </c>
      <c r="B1632" s="85">
        <v>13195000</v>
      </c>
      <c r="C1632" s="85">
        <v>8410</v>
      </c>
    </row>
    <row r="1633" spans="1:5">
      <c r="A1633" s="77" t="s">
        <v>252</v>
      </c>
      <c r="B1633" s="85">
        <v>13225000</v>
      </c>
      <c r="C1633" s="85">
        <v>8400</v>
      </c>
    </row>
    <row r="1634" spans="1:5">
      <c r="A1634" s="75" t="s">
        <v>253</v>
      </c>
      <c r="B1634" s="85">
        <v>13140000</v>
      </c>
      <c r="C1634" s="85">
        <v>8390</v>
      </c>
    </row>
    <row r="1635" spans="1:5">
      <c r="A1635" s="83">
        <v>0.625</v>
      </c>
      <c r="B1635" s="85">
        <v>13110000</v>
      </c>
      <c r="C1635" s="85">
        <v>8350</v>
      </c>
    </row>
    <row r="1636" spans="1:5">
      <c r="A1636" s="76" t="s">
        <v>254</v>
      </c>
      <c r="B1636" s="85">
        <v>13110000</v>
      </c>
      <c r="C1636" s="85">
        <v>8360</v>
      </c>
    </row>
    <row r="1637" spans="1:5">
      <c r="A1637" s="86">
        <v>0.70833333333333337</v>
      </c>
      <c r="B1637" s="85">
        <v>13110000</v>
      </c>
      <c r="C1637" s="85">
        <v>8350</v>
      </c>
    </row>
    <row r="1638" spans="1:5">
      <c r="E1638">
        <f>B1637-D1617</f>
        <v>-55000</v>
      </c>
    </row>
    <row r="1640" spans="1:5">
      <c r="A1640" s="160" t="s">
        <v>516</v>
      </c>
      <c r="B1640" s="160"/>
      <c r="C1640" s="160"/>
    </row>
    <row r="1641" spans="1:5">
      <c r="A1641" s="85" t="s">
        <v>247</v>
      </c>
      <c r="B1641" s="85" t="s">
        <v>250</v>
      </c>
      <c r="C1641" s="85" t="s">
        <v>249</v>
      </c>
    </row>
    <row r="1642" spans="1:5">
      <c r="A1642" s="75">
        <v>0.45833333333333298</v>
      </c>
      <c r="B1642" s="85"/>
      <c r="C1642" s="85"/>
    </row>
    <row r="1643" spans="1:5">
      <c r="A1643" s="76" t="s">
        <v>251</v>
      </c>
      <c r="B1643" s="85"/>
      <c r="C1643" s="85"/>
    </row>
    <row r="1644" spans="1:5">
      <c r="A1644" s="77" t="s">
        <v>252</v>
      </c>
      <c r="B1644" s="85"/>
      <c r="C1644" s="85"/>
    </row>
    <row r="1645" spans="1:5">
      <c r="A1645" s="75" t="s">
        <v>253</v>
      </c>
      <c r="B1645" s="85"/>
      <c r="C1645" s="85"/>
    </row>
    <row r="1646" spans="1:5">
      <c r="A1646" s="83">
        <v>0.625</v>
      </c>
      <c r="B1646" s="85"/>
      <c r="C1646" s="85"/>
    </row>
    <row r="1647" spans="1:5">
      <c r="A1647" s="76" t="s">
        <v>254</v>
      </c>
      <c r="B1647" s="85"/>
      <c r="C1647" s="85"/>
    </row>
    <row r="1648" spans="1:5">
      <c r="A1648" s="86">
        <v>0.70833333333333337</v>
      </c>
      <c r="B1648" s="85">
        <v>13070000</v>
      </c>
      <c r="C1648" s="85"/>
    </row>
    <row r="1653" spans="1:3">
      <c r="A1653" s="160" t="s">
        <v>518</v>
      </c>
      <c r="B1653" s="160"/>
      <c r="C1653" s="160"/>
    </row>
    <row r="1654" spans="1:3">
      <c r="A1654" s="85" t="s">
        <v>247</v>
      </c>
      <c r="B1654" s="85" t="s">
        <v>250</v>
      </c>
      <c r="C1654" s="85" t="s">
        <v>249</v>
      </c>
    </row>
    <row r="1655" spans="1:3">
      <c r="A1655" s="75">
        <v>0.45833333333333298</v>
      </c>
      <c r="B1655" s="85">
        <v>13035000</v>
      </c>
      <c r="C1655" s="85">
        <v>8230</v>
      </c>
    </row>
    <row r="1656" spans="1:3">
      <c r="A1656" s="76" t="s">
        <v>251</v>
      </c>
      <c r="B1656" s="85">
        <v>13025000</v>
      </c>
      <c r="C1656" s="85">
        <v>8200</v>
      </c>
    </row>
    <row r="1657" spans="1:3">
      <c r="A1657" s="77" t="s">
        <v>252</v>
      </c>
      <c r="B1657" s="85">
        <v>13010000</v>
      </c>
      <c r="C1657" s="85">
        <v>8145</v>
      </c>
    </row>
    <row r="1658" spans="1:3">
      <c r="A1658" s="75" t="s">
        <v>253</v>
      </c>
      <c r="B1658" s="85">
        <v>12985000</v>
      </c>
      <c r="C1658" s="85">
        <v>8140</v>
      </c>
    </row>
    <row r="1659" spans="1:3">
      <c r="A1659" s="83">
        <v>0.625</v>
      </c>
      <c r="B1659" s="85">
        <v>12975000</v>
      </c>
      <c r="C1659" s="85">
        <v>8165</v>
      </c>
    </row>
    <row r="1660" spans="1:3">
      <c r="A1660" s="76" t="s">
        <v>254</v>
      </c>
      <c r="B1660" s="85">
        <v>12975000</v>
      </c>
      <c r="C1660" s="85">
        <v>8160</v>
      </c>
    </row>
    <row r="1661" spans="1:3">
      <c r="A1661" s="86">
        <v>0.70833333333333337</v>
      </c>
      <c r="B1661" s="85">
        <v>12975000</v>
      </c>
      <c r="C1661" s="85">
        <v>8160</v>
      </c>
    </row>
    <row r="1665" spans="1:3">
      <c r="A1665" s="160" t="s">
        <v>520</v>
      </c>
      <c r="B1665" s="160"/>
      <c r="C1665" s="160"/>
    </row>
    <row r="1666" spans="1:3">
      <c r="A1666" s="85" t="s">
        <v>247</v>
      </c>
      <c r="B1666" s="85" t="s">
        <v>250</v>
      </c>
      <c r="C1666" s="85" t="s">
        <v>249</v>
      </c>
    </row>
    <row r="1667" spans="1:3">
      <c r="A1667" s="75">
        <v>0.45833333333333298</v>
      </c>
      <c r="B1667" s="85">
        <v>12950000</v>
      </c>
      <c r="C1667" s="85">
        <v>8130</v>
      </c>
    </row>
    <row r="1668" spans="1:3">
      <c r="A1668" s="76" t="s">
        <v>251</v>
      </c>
      <c r="B1668" s="85">
        <v>13015000</v>
      </c>
      <c r="C1668" s="85">
        <v>8120</v>
      </c>
    </row>
    <row r="1669" spans="1:3">
      <c r="A1669" s="77" t="s">
        <v>252</v>
      </c>
      <c r="B1669" s="85">
        <v>13050000</v>
      </c>
      <c r="C1669" s="85">
        <v>8140</v>
      </c>
    </row>
    <row r="1670" spans="1:3">
      <c r="A1670" s="75" t="s">
        <v>253</v>
      </c>
      <c r="B1670" s="85">
        <v>13120000</v>
      </c>
      <c r="C1670" s="85">
        <v>8150</v>
      </c>
    </row>
    <row r="1671" spans="1:3">
      <c r="A1671" s="83">
        <v>0.625</v>
      </c>
      <c r="B1671" s="85">
        <v>13140000</v>
      </c>
      <c r="C1671" s="85">
        <v>8160</v>
      </c>
    </row>
    <row r="1672" spans="1:3">
      <c r="A1672" s="76" t="s">
        <v>254</v>
      </c>
      <c r="B1672" s="85">
        <v>13140000</v>
      </c>
      <c r="C1672" s="85">
        <v>8170</v>
      </c>
    </row>
    <row r="1673" spans="1:3">
      <c r="A1673" s="86">
        <v>0.70833333333333337</v>
      </c>
      <c r="B1673" s="85">
        <v>13140000</v>
      </c>
      <c r="C1673" s="85">
        <v>8200</v>
      </c>
    </row>
    <row r="1677" spans="1:3">
      <c r="A1677" s="160" t="s">
        <v>522</v>
      </c>
      <c r="B1677" s="160"/>
      <c r="C1677" s="160"/>
    </row>
    <row r="1678" spans="1:3">
      <c r="A1678" s="85" t="s">
        <v>247</v>
      </c>
      <c r="B1678" s="85" t="s">
        <v>250</v>
      </c>
      <c r="C1678" s="85" t="s">
        <v>249</v>
      </c>
    </row>
    <row r="1679" spans="1:3">
      <c r="A1679" s="75">
        <v>0.45833333333333298</v>
      </c>
      <c r="B1679" s="85">
        <v>13400000</v>
      </c>
      <c r="C1679" s="85">
        <v>8380</v>
      </c>
    </row>
    <row r="1680" spans="1:3">
      <c r="A1680" s="76" t="s">
        <v>251</v>
      </c>
      <c r="B1680" s="85">
        <v>13420000</v>
      </c>
      <c r="C1680" s="85">
        <v>8320</v>
      </c>
    </row>
    <row r="1681" spans="1:4">
      <c r="A1681" s="77" t="s">
        <v>252</v>
      </c>
      <c r="B1681" s="85">
        <v>13380000</v>
      </c>
      <c r="C1681" s="85">
        <v>8350</v>
      </c>
    </row>
    <row r="1682" spans="1:4">
      <c r="A1682" s="75" t="s">
        <v>253</v>
      </c>
      <c r="B1682" s="85">
        <v>13355000</v>
      </c>
      <c r="C1682" s="85">
        <v>8300</v>
      </c>
    </row>
    <row r="1683" spans="1:4">
      <c r="A1683" s="83">
        <v>0.625</v>
      </c>
      <c r="B1683" s="85">
        <v>13300000</v>
      </c>
      <c r="C1683" s="85">
        <v>8290</v>
      </c>
    </row>
    <row r="1684" spans="1:4">
      <c r="A1684" s="76" t="s">
        <v>254</v>
      </c>
      <c r="B1684" s="85">
        <v>13300000</v>
      </c>
      <c r="C1684" s="85">
        <v>8280</v>
      </c>
    </row>
    <row r="1685" spans="1:4">
      <c r="A1685" s="86">
        <v>0.70833333333333337</v>
      </c>
      <c r="B1685" s="85">
        <v>13300000</v>
      </c>
      <c r="C1685" s="85">
        <v>8280</v>
      </c>
    </row>
    <row r="1690" spans="1:4">
      <c r="A1690" s="160" t="s">
        <v>526</v>
      </c>
      <c r="B1690" s="160"/>
      <c r="C1690" s="160"/>
    </row>
    <row r="1691" spans="1:4">
      <c r="A1691" s="85" t="s">
        <v>247</v>
      </c>
      <c r="B1691" s="85" t="s">
        <v>250</v>
      </c>
      <c r="C1691" s="85" t="s">
        <v>249</v>
      </c>
    </row>
    <row r="1692" spans="1:4">
      <c r="A1692" s="75">
        <v>0.45833333333333298</v>
      </c>
      <c r="B1692" s="85"/>
      <c r="C1692" s="85"/>
      <c r="D1692">
        <v>13250000</v>
      </c>
    </row>
    <row r="1693" spans="1:4">
      <c r="A1693" s="76" t="s">
        <v>251</v>
      </c>
      <c r="B1693" s="85"/>
      <c r="C1693" s="85"/>
    </row>
    <row r="1694" spans="1:4">
      <c r="A1694" s="77" t="s">
        <v>252</v>
      </c>
      <c r="B1694" s="85"/>
      <c r="C1694" s="85"/>
    </row>
    <row r="1695" spans="1:4">
      <c r="A1695" s="75" t="s">
        <v>253</v>
      </c>
      <c r="B1695" s="85"/>
      <c r="C1695" s="85"/>
    </row>
    <row r="1696" spans="1:4">
      <c r="A1696" s="83">
        <v>0.625</v>
      </c>
      <c r="B1696" s="85"/>
      <c r="C1696" s="85"/>
    </row>
    <row r="1697" spans="1:3">
      <c r="A1697" s="76" t="s">
        <v>254</v>
      </c>
      <c r="B1697" s="85"/>
      <c r="C1697" s="85"/>
    </row>
    <row r="1698" spans="1:3">
      <c r="A1698" s="86">
        <v>0.70833333333333337</v>
      </c>
      <c r="B1698" s="85"/>
      <c r="C1698" s="85"/>
    </row>
  </sheetData>
  <mergeCells count="148"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453:D1453"/>
    <mergeCell ref="A1318:D1318"/>
    <mergeCell ref="A1563:D1563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D16" sqref="D16"/>
    </sheetView>
  </sheetViews>
  <sheetFormatPr defaultColWidth="8.5546875" defaultRowHeight="14.4"/>
  <cols>
    <col min="1" max="1" width="23.6640625" style="88" customWidth="1"/>
    <col min="2" max="2" width="22.109375" style="88" customWidth="1"/>
    <col min="3" max="3" width="22.5546875" style="88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161" t="s">
        <v>373</v>
      </c>
      <c r="B1" s="161"/>
      <c r="C1" s="161"/>
    </row>
    <row r="2" spans="1:6" ht="24.9" customHeight="1">
      <c r="A2" s="89"/>
      <c r="B2" s="89" t="s">
        <v>374</v>
      </c>
      <c r="C2" s="89" t="s">
        <v>375</v>
      </c>
    </row>
    <row r="3" spans="1:6" ht="24.9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32"/>
  <sheetViews>
    <sheetView topLeftCell="A115" zoomScale="85" zoomScaleNormal="85" workbookViewId="0">
      <selection activeCell="H134" sqref="H134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3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32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2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2021-12-16T14:31:50Z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