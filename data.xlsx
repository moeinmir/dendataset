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 activeTab="2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set'!$A$1:$BL$195</definedName>
    <definedName name="_xlnm._FilterDatabase" localSheetId="1" hidden="1">weekly!$A$1:$K$48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21" i="5" l="1"/>
  <c r="G121" i="5"/>
  <c r="F121" i="5"/>
  <c r="L190" i="1"/>
  <c r="L191" i="1"/>
  <c r="V193" i="1" l="1"/>
  <c r="T195" i="1"/>
  <c r="W195" i="1"/>
  <c r="M189" i="1" l="1"/>
  <c r="M191" i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47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G191" i="1" l="1"/>
  <c r="M178" i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47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8" i="2"/>
  <c r="G47" i="2"/>
  <c r="G46" i="2"/>
  <c r="G45" i="2"/>
  <c r="G44" i="2"/>
  <c r="G43" i="2"/>
  <c r="G42" i="2"/>
  <c r="G41" i="2"/>
  <c r="G40" i="2"/>
  <c r="D36" i="2"/>
  <c r="C36" i="2"/>
  <c r="B36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0" i="2" s="1"/>
  <c r="G16" i="2"/>
  <c r="E16" i="2"/>
  <c r="C42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J191" i="1"/>
  <c r="BI191" i="1"/>
  <c r="K191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U1" i="1" l="1"/>
  <c r="S1" i="1"/>
</calcChain>
</file>

<file path=xl/sharedStrings.xml><?xml version="1.0" encoding="utf-8"?>
<sst xmlns="http://schemas.openxmlformats.org/spreadsheetml/2006/main" count="1668" uniqueCount="496">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</sst>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4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7" fillId="10" borderId="0" xfId="0" applyFont="1" applyFill="1" applyBorder="1"/>
    <xf numFmtId="0" fontId="0" fillId="0" borderId="4" xfId="0" applyFill="1" applyBorder="1"/>
    <xf numFmtId="0" fontId="1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478952576"/>
        <c:axId val="-1478955840"/>
      </c:lineChart>
      <c:catAx>
        <c:axId val="-147895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78955840"/>
        <c:crosses val="autoZero"/>
        <c:auto val="1"/>
        <c:lblAlgn val="ctr"/>
        <c:lblOffset val="100"/>
        <c:noMultiLvlLbl val="0"/>
      </c:catAx>
      <c:valAx>
        <c:axId val="-14789558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7895257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8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weekly!$B$27:$B$35</c15:sqref>
                  </c15:fullRef>
                </c:ext>
              </c:extLst>
              <c:f>weekly!$B$28:$B$35</c:f>
              <c:numCache>
                <c:formatCode>General</c:formatCode>
                <c:ptCount val="8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weekly!$H$27:$H$35</c15:sqref>
                  </c15:fullRef>
                </c:ext>
              </c:extLst>
              <c:f>weekly!$H$28:$H$35</c:f>
              <c:numCache>
                <c:formatCode>General</c:formatCode>
                <c:ptCount val="8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weekly!$J$27:$J$35</c15:sqref>
                  </c15:fullRef>
                </c:ext>
              </c:extLst>
              <c:f>weekly!$J$28:$J$35</c:f>
              <c:numCache>
                <c:formatCode>General</c:formatCode>
                <c:ptCount val="8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  <c:pt idx="6">
                  <c:v>28335</c:v>
                </c:pt>
                <c:pt idx="7">
                  <c:v>28590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478947136"/>
        <c:axId val="-1478946592"/>
      </c:lineChart>
      <c:catAx>
        <c:axId val="-14789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78946592"/>
        <c:crosses val="autoZero"/>
        <c:auto val="1"/>
        <c:lblAlgn val="ctr"/>
        <c:lblOffset val="100"/>
        <c:noMultiLvlLbl val="0"/>
      </c:catAx>
      <c:valAx>
        <c:axId val="-1478946592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7894713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پنجم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weekly!$A$2:$A$35</c:f>
              <c:strCache>
                <c:ptCount val="3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</c:strCache>
            </c:strRef>
          </c:cat>
          <c:val>
            <c:numRef>
              <c:f>weekly!$D$2:$D$35</c:f>
              <c:numCache>
                <c:formatCode>General</c:formatCode>
                <c:ptCount val="34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478946048"/>
        <c:axId val="-1478944960"/>
      </c:lineChart>
      <c:catAx>
        <c:axId val="-147894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78944960"/>
        <c:crosses val="autoZero"/>
        <c:auto val="1"/>
        <c:lblAlgn val="ctr"/>
        <c:lblOffset val="100"/>
        <c:noMultiLvlLbl val="0"/>
      </c:catAx>
      <c:valAx>
        <c:axId val="-14789449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7894604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478955296"/>
        <c:axId val="-1478944416"/>
      </c:lineChart>
      <c:catAx>
        <c:axId val="-147895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78944416"/>
        <c:crosses val="autoZero"/>
        <c:auto val="1"/>
        <c:lblAlgn val="ctr"/>
        <c:lblOffset val="100"/>
        <c:noMultiLvlLbl val="0"/>
      </c:catAx>
      <c:valAx>
        <c:axId val="-14789444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7895529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پنجم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weekly!$A$2:$A$35</c:f>
              <c:strCache>
                <c:ptCount val="3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</c:strCache>
            </c:strRef>
          </c:cat>
          <c:val>
            <c:numRef>
              <c:f>weekly!$F$2:$F$35</c:f>
              <c:numCache>
                <c:formatCode>General</c:formatCode>
                <c:ptCount val="34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478942784"/>
        <c:axId val="-1478942240"/>
      </c:lineChart>
      <c:catAx>
        <c:axId val="-147894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78942240"/>
        <c:crosses val="autoZero"/>
        <c:auto val="1"/>
        <c:lblAlgn val="ctr"/>
        <c:lblOffset val="100"/>
        <c:noMultiLvlLbl val="0"/>
      </c:catAx>
      <c:valAx>
        <c:axId val="-14789422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7894278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8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weekly!$C$27:$C$35</c15:sqref>
                  </c15:fullRef>
                </c:ext>
              </c:extLst>
              <c:f>weekly!$C$28:$C$35</c:f>
              <c:numCache>
                <c:formatCode>General</c:formatCode>
                <c:ptCount val="8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weekly!$K$27:$K$35</c15:sqref>
                  </c15:fullRef>
                </c:ext>
              </c:extLst>
              <c:f>weekly!$K$28:$K$35</c:f>
              <c:numCache>
                <c:formatCode>General</c:formatCode>
                <c:ptCount val="8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  <c:pt idx="6">
                  <c:v>32289</c:v>
                </c:pt>
                <c:pt idx="7">
                  <c:v>32092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weekly!$I$27:$I$35</c15:sqref>
                  </c15:fullRef>
                </c:ext>
              </c:extLst>
              <c:f>weekly!$I$28:$I$35</c:f>
              <c:numCache>
                <c:formatCode>General</c:formatCode>
                <c:ptCount val="8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478954208"/>
        <c:axId val="-1478952032"/>
      </c:lineChart>
      <c:catAx>
        <c:axId val="-1478954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78952032"/>
        <c:crosses val="autoZero"/>
        <c:auto val="1"/>
        <c:lblAlgn val="ctr"/>
        <c:lblOffset val="100"/>
        <c:noMultiLvlLbl val="0"/>
      </c:catAx>
      <c:valAx>
        <c:axId val="-1478952032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7895420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478949856"/>
        <c:axId val="-1478949312"/>
      </c:barChart>
      <c:catAx>
        <c:axId val="-1478949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78949312"/>
        <c:crosses val="autoZero"/>
        <c:auto val="1"/>
        <c:lblAlgn val="ctr"/>
        <c:lblOffset val="100"/>
        <c:noMultiLvlLbl val="0"/>
      </c:catAx>
      <c:valAx>
        <c:axId val="-14789493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7894985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سه‌شنبه 09 آذر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89940433215801E-2"/>
          <c:w val="0.92055640483045009"/>
          <c:h val="0.88440480368315355"/>
        </c:manualLayout>
      </c:layout>
      <c:barChart>
        <c:barDir val="col"/>
        <c:grouping val="clustered"/>
        <c:varyColors val="0"/>
        <c:ser>
          <c:idx val="39"/>
          <c:order val="39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change'!$F$121:$I$121</c:f>
              <c:numCache>
                <c:formatCode>General</c:formatCode>
                <c:ptCount val="4"/>
                <c:pt idx="0">
                  <c:v>-1.3220338983050848</c:v>
                </c:pt>
                <c:pt idx="1">
                  <c:v>-1.0248324793062673</c:v>
                </c:pt>
                <c:pt idx="2">
                  <c:v>-1.0237832729563712</c:v>
                </c:pt>
                <c:pt idx="3">
                  <c:v>-0.5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473178832"/>
        <c:axId val="-147317992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473178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73179920"/>
        <c:crosses val="autoZero"/>
        <c:auto val="1"/>
        <c:lblAlgn val="ctr"/>
        <c:lblOffset val="100"/>
        <c:noMultiLvlLbl val="0"/>
      </c:catAx>
      <c:valAx>
        <c:axId val="-14731799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7317883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590</xdr:row>
      <xdr:rowOff>102960</xdr:rowOff>
    </xdr:from>
    <xdr:to>
      <xdr:col>11</xdr:col>
      <xdr:colOff>279360</xdr:colOff>
      <xdr:row>620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170</xdr:row>
      <xdr:rowOff>27711</xdr:rowOff>
    </xdr:from>
    <xdr:to>
      <xdr:col>41</xdr:col>
      <xdr:colOff>533400</xdr:colOff>
      <xdr:row>275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306</xdr:row>
      <xdr:rowOff>0</xdr:rowOff>
    </xdr:from>
    <xdr:to>
      <xdr:col>82</xdr:col>
      <xdr:colOff>0</xdr:colOff>
      <xdr:row>382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625</xdr:row>
      <xdr:rowOff>0</xdr:rowOff>
    </xdr:from>
    <xdr:to>
      <xdr:col>13</xdr:col>
      <xdr:colOff>354240</xdr:colOff>
      <xdr:row>655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405</xdr:row>
      <xdr:rowOff>0</xdr:rowOff>
    </xdr:from>
    <xdr:to>
      <xdr:col>83</xdr:col>
      <xdr:colOff>533400</xdr:colOff>
      <xdr:row>504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53</xdr:row>
      <xdr:rowOff>76321</xdr:rowOff>
    </xdr:from>
    <xdr:to>
      <xdr:col>44</xdr:col>
      <xdr:colOff>533400</xdr:colOff>
      <xdr:row>152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449816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208"/>
  <sheetViews>
    <sheetView topLeftCell="B1" zoomScale="85" zoomScaleNormal="85" workbookViewId="0">
      <selection activeCell="B190" sqref="B190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L191/G191</f>
        <v>4801108.6317632804</v>
      </c>
      <c r="T1" s="3" t="s">
        <v>15</v>
      </c>
      <c r="U1" s="3">
        <f>M191/K191</f>
        <v>45155.912103411312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K191/K62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89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hidden="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hidden="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hidden="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hidden="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hidden="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hidden="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hidden="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hidden="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hidden="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hidden="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hidden="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hidden="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hidden="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hidden="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hidden="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hidden="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0" s="101" customFormat="1" ht="21" hidden="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0" s="101" customFormat="1" ht="21" hidden="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0" s="107" customFormat="1" ht="21" hidden="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0" s="119" customFormat="1" ht="21" hidden="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90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0" s="125" customFormat="1" ht="21" hidden="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0" s="119" customFormat="1" ht="21" hidden="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0" s="119" customFormat="1" ht="21" hidden="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0" s="125" customFormat="1" ht="21" hidden="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0" s="132" customFormat="1" ht="21" hidden="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0" s="132" customFormat="1" ht="21" hidden="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3"/>
        <v>269550278000</v>
      </c>
      <c r="M170" s="99">
        <f t="shared" si="22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</row>
    <row r="171" spans="1:60" s="132" customFormat="1" ht="21" hidden="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>
        <f t="shared" si="23"/>
        <v>231825209400</v>
      </c>
      <c r="M171" s="99">
        <f t="shared" si="22"/>
        <v>72649595200</v>
      </c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</row>
    <row r="172" spans="1:60" s="132" customFormat="1" ht="21" hidden="1" customHeight="1">
      <c r="A172" s="128"/>
      <c r="B172" s="129" t="s">
        <v>455</v>
      </c>
      <c r="C172" s="130">
        <v>18</v>
      </c>
      <c r="D172" s="131">
        <v>27352</v>
      </c>
      <c r="E172" s="130">
        <v>27227</v>
      </c>
      <c r="F172" s="130">
        <v>27270</v>
      </c>
      <c r="G172" s="130">
        <v>10298600</v>
      </c>
      <c r="H172" s="130">
        <v>31233</v>
      </c>
      <c r="I172" s="130">
        <v>31400</v>
      </c>
      <c r="J172" s="132">
        <v>31345</v>
      </c>
      <c r="K172" s="130">
        <v>1564600</v>
      </c>
      <c r="L172" s="99">
        <f t="shared" si="23"/>
        <v>280842822000</v>
      </c>
      <c r="M172" s="99">
        <f t="shared" si="22"/>
        <v>49042387000</v>
      </c>
      <c r="N172" s="132">
        <v>27499</v>
      </c>
      <c r="O172" s="132">
        <v>31714</v>
      </c>
      <c r="P172" s="132">
        <v>27625</v>
      </c>
      <c r="Q172" s="132">
        <v>31545</v>
      </c>
      <c r="R172" s="130"/>
      <c r="S172" s="130"/>
      <c r="T172" s="130"/>
      <c r="U172" s="130"/>
      <c r="V172" s="132">
        <v>28080</v>
      </c>
      <c r="X172" s="132">
        <v>28140</v>
      </c>
      <c r="Y172" s="132">
        <v>32543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1"/>
      <c r="AT172" s="131"/>
      <c r="AU172" s="131"/>
      <c r="AV172" s="131"/>
      <c r="AW172" s="131"/>
      <c r="AX172" s="131"/>
      <c r="AY172" s="130"/>
      <c r="AZ172" s="130"/>
      <c r="BA172" s="130"/>
      <c r="BB172" s="130"/>
      <c r="BC172" s="130"/>
      <c r="BE172" s="133"/>
      <c r="BF172" s="133"/>
      <c r="BG172" s="133"/>
      <c r="BH172" s="133"/>
    </row>
    <row r="173" spans="1:60" s="132" customFormat="1" ht="21" hidden="1" customHeight="1">
      <c r="A173" s="128"/>
      <c r="B173" s="129" t="s">
        <v>457</v>
      </c>
      <c r="C173" s="130">
        <v>19</v>
      </c>
      <c r="D173" s="131">
        <v>27425</v>
      </c>
      <c r="E173" s="130">
        <v>27317</v>
      </c>
      <c r="F173" s="130">
        <v>27320</v>
      </c>
      <c r="G173" s="130">
        <v>10920500</v>
      </c>
      <c r="H173" s="130">
        <v>31417</v>
      </c>
      <c r="I173" s="130">
        <v>31511</v>
      </c>
      <c r="J173" s="132">
        <v>31482</v>
      </c>
      <c r="K173" s="130">
        <v>1261900</v>
      </c>
      <c r="L173" s="99">
        <f t="shared" si="23"/>
        <v>298348060000</v>
      </c>
      <c r="M173" s="99">
        <f t="shared" si="22"/>
        <v>39727135800</v>
      </c>
      <c r="N173" s="132">
        <v>27590</v>
      </c>
      <c r="O173" s="132">
        <v>31826</v>
      </c>
      <c r="P173" s="132">
        <v>27699</v>
      </c>
      <c r="Q173" s="132">
        <v>31731</v>
      </c>
      <c r="R173" s="130"/>
      <c r="S173" s="130"/>
      <c r="T173" s="130"/>
      <c r="U173" s="130"/>
      <c r="V173" s="132">
        <v>28180</v>
      </c>
      <c r="X173" s="132">
        <v>28250</v>
      </c>
      <c r="Y173" s="132">
        <v>32578</v>
      </c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1"/>
      <c r="AT173" s="131"/>
      <c r="AU173" s="131"/>
      <c r="AV173" s="131"/>
      <c r="AW173" s="131"/>
      <c r="AX173" s="131"/>
      <c r="AY173" s="130"/>
      <c r="AZ173" s="130"/>
      <c r="BA173" s="130"/>
      <c r="BB173" s="130"/>
      <c r="BC173" s="130"/>
      <c r="BE173" s="133"/>
      <c r="BF173" s="133"/>
      <c r="BG173" s="133"/>
      <c r="BH173" s="133"/>
    </row>
    <row r="174" spans="1:60" s="132" customFormat="1" ht="21" hidden="1" customHeight="1">
      <c r="A174" s="128"/>
      <c r="B174" s="129" t="s">
        <v>459</v>
      </c>
      <c r="C174" s="130">
        <v>20</v>
      </c>
      <c r="D174" s="131">
        <v>27338</v>
      </c>
      <c r="E174" s="130">
        <v>27719</v>
      </c>
      <c r="F174" s="130">
        <v>27564</v>
      </c>
      <c r="G174" s="130">
        <v>7048800</v>
      </c>
      <c r="H174" s="130">
        <v>31502</v>
      </c>
      <c r="I174" s="130">
        <v>31582</v>
      </c>
      <c r="J174" s="132">
        <v>31542</v>
      </c>
      <c r="K174" s="130">
        <v>1145000</v>
      </c>
      <c r="L174" s="99">
        <f t="shared" si="23"/>
        <v>194293123200</v>
      </c>
      <c r="M174" s="99">
        <f t="shared" si="22"/>
        <v>36115590000</v>
      </c>
      <c r="N174" s="132">
        <v>27996</v>
      </c>
      <c r="O174" s="132">
        <v>31897</v>
      </c>
      <c r="P174" s="132">
        <v>27611</v>
      </c>
      <c r="Q174" s="132">
        <v>31817</v>
      </c>
      <c r="R174" s="130"/>
      <c r="S174" s="130"/>
      <c r="T174" s="130"/>
      <c r="U174" s="130"/>
      <c r="V174" s="132">
        <v>28340</v>
      </c>
      <c r="X174" s="132">
        <v>28370</v>
      </c>
      <c r="Y174" s="132">
        <v>32678</v>
      </c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  <c r="AQ174" s="130"/>
      <c r="AR174" s="130"/>
      <c r="AS174" s="131"/>
      <c r="AT174" s="131"/>
      <c r="AU174" s="131"/>
      <c r="AV174" s="131"/>
      <c r="AW174" s="131"/>
      <c r="AX174" s="131"/>
      <c r="AY174" s="130"/>
      <c r="AZ174" s="130"/>
      <c r="BA174" s="130"/>
      <c r="BB174" s="130"/>
      <c r="BC174" s="130"/>
      <c r="BE174" s="133"/>
      <c r="BF174" s="133"/>
      <c r="BG174" s="133"/>
      <c r="BH174" s="133"/>
    </row>
    <row r="175" spans="1:60" s="125" customFormat="1" ht="21" hidden="1" customHeight="1">
      <c r="A175" s="121"/>
      <c r="B175" s="122" t="s">
        <v>463</v>
      </c>
      <c r="C175" s="123">
        <v>22</v>
      </c>
      <c r="D175" s="124">
        <v>27657</v>
      </c>
      <c r="E175" s="123">
        <v>27585</v>
      </c>
      <c r="F175" s="123">
        <v>27691</v>
      </c>
      <c r="G175" s="123">
        <v>13052500</v>
      </c>
      <c r="H175" s="123">
        <v>31582</v>
      </c>
      <c r="I175" s="123">
        <v>31743</v>
      </c>
      <c r="J175" s="125">
        <v>31748</v>
      </c>
      <c r="K175" s="123">
        <v>1317900</v>
      </c>
      <c r="L175" s="127">
        <f t="shared" si="23"/>
        <v>361436777500</v>
      </c>
      <c r="M175" s="127">
        <f t="shared" si="22"/>
        <v>41840689200</v>
      </c>
      <c r="N175" s="125">
        <v>27860</v>
      </c>
      <c r="O175" s="125">
        <v>32061</v>
      </c>
      <c r="P175" s="125">
        <v>27933</v>
      </c>
      <c r="Q175" s="125">
        <v>31897</v>
      </c>
      <c r="R175" s="123"/>
      <c r="S175" s="123"/>
      <c r="T175" s="123"/>
      <c r="U175" s="123"/>
      <c r="V175" s="125">
        <v>28470</v>
      </c>
      <c r="X175" s="125">
        <v>28720</v>
      </c>
      <c r="Y175" s="125">
        <v>32655</v>
      </c>
      <c r="Z175" s="123"/>
      <c r="AA175" s="123"/>
      <c r="AB175" s="123"/>
      <c r="AC175" s="123"/>
      <c r="AD175" s="123"/>
      <c r="AE175" s="123"/>
      <c r="AF175" s="123"/>
      <c r="AG175" s="123"/>
      <c r="AH175" s="123"/>
      <c r="AI175" s="123"/>
      <c r="AJ175" s="123"/>
      <c r="AK175" s="123"/>
      <c r="AL175" s="123"/>
      <c r="AM175" s="123"/>
      <c r="AN175" s="123"/>
      <c r="AO175" s="123"/>
      <c r="AP175" s="123"/>
      <c r="AQ175" s="123"/>
      <c r="AR175" s="123"/>
      <c r="AS175" s="124"/>
      <c r="AT175" s="124"/>
      <c r="AU175" s="124"/>
      <c r="AV175" s="124"/>
      <c r="AW175" s="124"/>
      <c r="AX175" s="124"/>
      <c r="AY175" s="123"/>
      <c r="AZ175" s="123"/>
      <c r="BA175" s="123"/>
      <c r="BB175" s="123"/>
      <c r="BC175" s="123"/>
      <c r="BE175" s="126"/>
      <c r="BF175" s="126"/>
      <c r="BG175" s="126"/>
      <c r="BH175" s="126"/>
    </row>
    <row r="176" spans="1:60" s="119" customFormat="1" ht="21" hidden="1" customHeight="1">
      <c r="A176" s="115"/>
      <c r="B176" s="116" t="s">
        <v>465</v>
      </c>
      <c r="C176" s="117">
        <v>23</v>
      </c>
      <c r="D176" s="118">
        <v>27494</v>
      </c>
      <c r="E176" s="117">
        <v>26882</v>
      </c>
      <c r="F176" s="117">
        <v>27339</v>
      </c>
      <c r="G176" s="117">
        <v>11746800</v>
      </c>
      <c r="H176" s="117">
        <v>31600</v>
      </c>
      <c r="I176" s="117">
        <v>31595</v>
      </c>
      <c r="J176" s="119">
        <v>31558</v>
      </c>
      <c r="K176" s="117">
        <v>915600</v>
      </c>
      <c r="L176" s="93">
        <f t="shared" si="23"/>
        <v>321145765200</v>
      </c>
      <c r="M176" s="93">
        <f t="shared" si="22"/>
        <v>28894504800</v>
      </c>
      <c r="N176" s="119">
        <v>27150</v>
      </c>
      <c r="O176" s="119">
        <v>31911</v>
      </c>
      <c r="P176" s="119">
        <v>27768</v>
      </c>
      <c r="Q176" s="119">
        <v>31916</v>
      </c>
      <c r="R176" s="117"/>
      <c r="S176" s="117"/>
      <c r="T176" s="117"/>
      <c r="U176" s="117"/>
      <c r="V176" s="119">
        <v>28720</v>
      </c>
      <c r="X176" s="119">
        <v>28580</v>
      </c>
      <c r="Y176" s="119">
        <v>32804</v>
      </c>
      <c r="Z176" s="117"/>
      <c r="AA176" s="117"/>
      <c r="AB176" s="117"/>
      <c r="AC176" s="117"/>
      <c r="AD176" s="117"/>
      <c r="AE176" s="117"/>
      <c r="AF176" s="117"/>
      <c r="AG176" s="117"/>
      <c r="AH176" s="117"/>
      <c r="AI176" s="117"/>
      <c r="AJ176" s="117"/>
      <c r="AK176" s="117"/>
      <c r="AL176" s="117"/>
      <c r="AM176" s="117"/>
      <c r="AN176" s="117"/>
      <c r="AO176" s="117"/>
      <c r="AP176" s="117"/>
      <c r="AQ176" s="117"/>
      <c r="AR176" s="117"/>
      <c r="AS176" s="118"/>
      <c r="AT176" s="118"/>
      <c r="AU176" s="118"/>
      <c r="AV176" s="118"/>
      <c r="AW176" s="118"/>
      <c r="AX176" s="118"/>
      <c r="AY176" s="117"/>
      <c r="AZ176" s="117"/>
      <c r="BA176" s="117"/>
      <c r="BB176" s="117"/>
      <c r="BC176" s="117"/>
      <c r="BE176" s="120"/>
      <c r="BF176" s="120"/>
      <c r="BG176" s="120"/>
      <c r="BH176" s="120"/>
    </row>
    <row r="177" spans="1:62" s="119" customFormat="1" ht="21" hidden="1" customHeight="1">
      <c r="A177" s="115"/>
      <c r="B177" s="116" t="s">
        <v>466</v>
      </c>
      <c r="C177" s="117">
        <v>24</v>
      </c>
      <c r="D177" s="118">
        <v>26862</v>
      </c>
      <c r="E177" s="117">
        <v>26874</v>
      </c>
      <c r="F177" s="117">
        <v>26871</v>
      </c>
      <c r="G177" s="117">
        <v>11601300</v>
      </c>
      <c r="H177" s="117">
        <v>31350</v>
      </c>
      <c r="I177" s="117">
        <v>31256</v>
      </c>
      <c r="J177" s="119">
        <v>31234</v>
      </c>
      <c r="K177" s="117">
        <v>1080600</v>
      </c>
      <c r="L177" s="93">
        <f t="shared" si="23"/>
        <v>311738532300</v>
      </c>
      <c r="M177" s="93">
        <f t="shared" si="22"/>
        <v>33751460400</v>
      </c>
      <c r="N177" s="119">
        <v>27143</v>
      </c>
      <c r="O177" s="119">
        <v>31569</v>
      </c>
      <c r="P177" s="119">
        <v>27130</v>
      </c>
      <c r="Q177" s="119">
        <v>31663</v>
      </c>
      <c r="R177" s="117"/>
      <c r="S177" s="117"/>
      <c r="T177" s="117"/>
      <c r="U177" s="117"/>
      <c r="V177" s="119">
        <v>28420</v>
      </c>
      <c r="X177" s="119">
        <v>28190</v>
      </c>
      <c r="Y177" s="119">
        <v>32283</v>
      </c>
      <c r="Z177" s="117"/>
      <c r="AA177" s="117"/>
      <c r="AB177" s="117"/>
      <c r="AC177" s="117"/>
      <c r="AD177" s="117"/>
      <c r="AE177" s="117"/>
      <c r="AF177" s="117"/>
      <c r="AG177" s="117"/>
      <c r="AH177" s="117"/>
      <c r="AI177" s="117"/>
      <c r="AJ177" s="117"/>
      <c r="AK177" s="117"/>
      <c r="AL177" s="117"/>
      <c r="AM177" s="117"/>
      <c r="AN177" s="117"/>
      <c r="AO177" s="117"/>
      <c r="AP177" s="117"/>
      <c r="AQ177" s="117"/>
      <c r="AR177" s="117"/>
      <c r="AS177" s="118"/>
      <c r="AT177" s="118"/>
      <c r="AU177" s="118"/>
      <c r="AV177" s="118"/>
      <c r="AW177" s="118"/>
      <c r="AX177" s="118"/>
      <c r="AY177" s="117"/>
      <c r="AZ177" s="117"/>
      <c r="BA177" s="117"/>
      <c r="BB177" s="117"/>
      <c r="BC177" s="117"/>
      <c r="BE177" s="120"/>
      <c r="BF177" s="120"/>
      <c r="BG177" s="120"/>
      <c r="BH177" s="120"/>
    </row>
    <row r="178" spans="1:62" s="119" customFormat="1" ht="21" hidden="1" customHeight="1">
      <c r="A178" s="115"/>
      <c r="B178" s="116" t="s">
        <v>468</v>
      </c>
      <c r="C178" s="117">
        <v>25</v>
      </c>
      <c r="D178" s="118">
        <v>26797</v>
      </c>
      <c r="E178" s="117">
        <v>26635</v>
      </c>
      <c r="F178" s="117">
        <v>26690</v>
      </c>
      <c r="G178" s="117">
        <v>12754500</v>
      </c>
      <c r="H178" s="117">
        <v>31269</v>
      </c>
      <c r="I178" s="117">
        <v>30757</v>
      </c>
      <c r="J178" s="119">
        <v>31087</v>
      </c>
      <c r="K178" s="117">
        <v>902900</v>
      </c>
      <c r="L178" s="93">
        <f t="shared" si="23"/>
        <v>340417605000</v>
      </c>
      <c r="M178" s="93">
        <f t="shared" si="22"/>
        <v>28068452300</v>
      </c>
      <c r="N178" s="119">
        <v>26901</v>
      </c>
      <c r="O178" s="119">
        <v>31064</v>
      </c>
      <c r="P178" s="119">
        <v>27065</v>
      </c>
      <c r="Q178" s="119">
        <v>31582</v>
      </c>
      <c r="R178" s="117"/>
      <c r="S178" s="117"/>
      <c r="T178" s="117"/>
      <c r="U178" s="117"/>
      <c r="V178" s="119">
        <v>28170</v>
      </c>
      <c r="X178" s="119">
        <v>28180</v>
      </c>
      <c r="Y178" s="119">
        <v>32023</v>
      </c>
      <c r="Z178" s="117"/>
      <c r="AA178" s="117"/>
      <c r="AB178" s="117"/>
      <c r="AC178" s="117"/>
      <c r="AD178" s="117"/>
      <c r="AE178" s="117"/>
      <c r="AF178" s="117"/>
      <c r="AG178" s="117"/>
      <c r="AH178" s="117"/>
      <c r="AI178" s="117"/>
      <c r="AJ178" s="117"/>
      <c r="AK178" s="117"/>
      <c r="AL178" s="117"/>
      <c r="AM178" s="117"/>
      <c r="AN178" s="117"/>
      <c r="AO178" s="117"/>
      <c r="AP178" s="117"/>
      <c r="AQ178" s="117"/>
      <c r="AR178" s="117"/>
      <c r="AS178" s="118"/>
      <c r="AT178" s="118"/>
      <c r="AU178" s="118"/>
      <c r="AV178" s="118"/>
      <c r="AW178" s="118"/>
      <c r="AX178" s="118"/>
      <c r="AY178" s="117"/>
      <c r="AZ178" s="117"/>
      <c r="BA178" s="117"/>
      <c r="BB178" s="117"/>
      <c r="BC178" s="117"/>
      <c r="BE178" s="120"/>
      <c r="BF178" s="120"/>
      <c r="BG178" s="120"/>
      <c r="BH178" s="120"/>
    </row>
    <row r="179" spans="1:62" s="119" customFormat="1" ht="21" hidden="1" customHeight="1">
      <c r="A179" s="115"/>
      <c r="B179" s="116" t="s">
        <v>470</v>
      </c>
      <c r="C179" s="117">
        <v>26</v>
      </c>
      <c r="D179" s="118">
        <v>26633</v>
      </c>
      <c r="E179" s="117">
        <v>26635</v>
      </c>
      <c r="F179" s="117">
        <v>26626</v>
      </c>
      <c r="G179" s="117">
        <v>9748900</v>
      </c>
      <c r="H179" s="117">
        <v>30627</v>
      </c>
      <c r="I179" s="117">
        <v>30205</v>
      </c>
      <c r="J179" s="119">
        <v>30213</v>
      </c>
      <c r="K179" s="117">
        <v>1327100</v>
      </c>
      <c r="L179" s="93">
        <f t="shared" si="23"/>
        <v>259574211400</v>
      </c>
      <c r="M179" s="93">
        <f t="shared" si="22"/>
        <v>40095672300</v>
      </c>
      <c r="N179" s="119">
        <v>26901</v>
      </c>
      <c r="O179" s="119">
        <v>30507</v>
      </c>
      <c r="P179" s="119">
        <v>26900</v>
      </c>
      <c r="Q179" s="119">
        <v>30933</v>
      </c>
      <c r="R179" s="117"/>
      <c r="S179" s="117"/>
      <c r="T179" s="117"/>
      <c r="U179" s="117"/>
      <c r="V179" s="119">
        <v>28340</v>
      </c>
      <c r="X179" s="119">
        <v>28190</v>
      </c>
      <c r="Y179" s="119">
        <v>32007</v>
      </c>
      <c r="Z179" s="117"/>
      <c r="AA179" s="117"/>
      <c r="AB179" s="117"/>
      <c r="AC179" s="117"/>
      <c r="AD179" s="117"/>
      <c r="AE179" s="117"/>
      <c r="AF179" s="117"/>
      <c r="AG179" s="117"/>
      <c r="AH179" s="117"/>
      <c r="AI179" s="117"/>
      <c r="AJ179" s="117"/>
      <c r="AK179" s="117"/>
      <c r="AL179" s="117"/>
      <c r="AM179" s="117"/>
      <c r="AN179" s="117"/>
      <c r="AO179" s="117"/>
      <c r="AP179" s="117"/>
      <c r="AQ179" s="117"/>
      <c r="AR179" s="117"/>
      <c r="AS179" s="118"/>
      <c r="AT179" s="118"/>
      <c r="AU179" s="118"/>
      <c r="AV179" s="118"/>
      <c r="AW179" s="118"/>
      <c r="AX179" s="118"/>
      <c r="AY179" s="117"/>
      <c r="AZ179" s="117"/>
      <c r="BA179" s="117"/>
      <c r="BB179" s="117"/>
      <c r="BC179" s="117"/>
      <c r="BE179" s="120"/>
      <c r="BF179" s="120"/>
      <c r="BG179" s="120"/>
      <c r="BH179" s="120"/>
    </row>
    <row r="180" spans="1:62" s="119" customFormat="1" ht="21" hidden="1" customHeight="1">
      <c r="A180" s="115"/>
      <c r="B180" s="116" t="s">
        <v>472</v>
      </c>
      <c r="C180" s="117">
        <v>27</v>
      </c>
      <c r="D180" s="118">
        <v>26632</v>
      </c>
      <c r="E180" s="117">
        <v>26632</v>
      </c>
      <c r="F180" s="117">
        <v>26620</v>
      </c>
      <c r="G180" s="117">
        <v>8735600</v>
      </c>
      <c r="H180" s="117">
        <v>30205</v>
      </c>
      <c r="I180" s="117">
        <v>30590</v>
      </c>
      <c r="J180" s="119">
        <v>30480</v>
      </c>
      <c r="K180" s="117">
        <v>493800</v>
      </c>
      <c r="L180" s="93">
        <f t="shared" si="23"/>
        <v>232541672000</v>
      </c>
      <c r="M180" s="93">
        <f t="shared" si="22"/>
        <v>15051024000</v>
      </c>
      <c r="N180" s="119">
        <v>26899</v>
      </c>
      <c r="O180" s="119">
        <v>30896</v>
      </c>
      <c r="P180" s="119">
        <v>26898</v>
      </c>
      <c r="Q180" s="119">
        <v>30507</v>
      </c>
      <c r="R180" s="117"/>
      <c r="S180" s="117"/>
      <c r="T180" s="117"/>
      <c r="U180" s="117"/>
      <c r="V180" s="119">
        <v>28210</v>
      </c>
      <c r="X180" s="119">
        <v>28150</v>
      </c>
      <c r="Y180" s="119">
        <v>31964</v>
      </c>
      <c r="Z180" s="117"/>
      <c r="AA180" s="117"/>
      <c r="AB180" s="117"/>
      <c r="AC180" s="117"/>
      <c r="AD180" s="117"/>
      <c r="AE180" s="117"/>
      <c r="AF180" s="117"/>
      <c r="AG180" s="117"/>
      <c r="AH180" s="117"/>
      <c r="AI180" s="117"/>
      <c r="AJ180" s="117"/>
      <c r="AK180" s="117"/>
      <c r="AL180" s="117"/>
      <c r="AM180" s="117"/>
      <c r="AN180" s="117"/>
      <c r="AO180" s="117"/>
      <c r="AP180" s="117"/>
      <c r="AQ180" s="117"/>
      <c r="AR180" s="117"/>
      <c r="AS180" s="118"/>
      <c r="AT180" s="118"/>
      <c r="AU180" s="118"/>
      <c r="AV180" s="118"/>
      <c r="AW180" s="118"/>
      <c r="AX180" s="118"/>
      <c r="AY180" s="117"/>
      <c r="AZ180" s="117"/>
      <c r="BA180" s="117"/>
      <c r="BB180" s="117"/>
      <c r="BC180" s="117"/>
      <c r="BE180" s="120"/>
      <c r="BF180" s="120"/>
      <c r="BG180" s="120"/>
      <c r="BH180" s="120"/>
    </row>
    <row r="181" spans="1:62" s="132" customFormat="1" ht="21" customHeight="1">
      <c r="A181" s="128"/>
      <c r="B181" s="129" t="s">
        <v>475</v>
      </c>
      <c r="C181" s="130">
        <v>29</v>
      </c>
      <c r="D181" s="131">
        <v>26630</v>
      </c>
      <c r="E181" s="130">
        <v>26609</v>
      </c>
      <c r="F181" s="130">
        <v>26601</v>
      </c>
      <c r="G181" s="130">
        <v>11727000</v>
      </c>
      <c r="H181" s="130">
        <v>30583</v>
      </c>
      <c r="I181" s="130">
        <v>30350</v>
      </c>
      <c r="J181" s="132">
        <v>30413</v>
      </c>
      <c r="K181" s="130">
        <v>675800</v>
      </c>
      <c r="L181" s="93">
        <f t="shared" si="23"/>
        <v>311949927000</v>
      </c>
      <c r="M181" s="93">
        <f t="shared" si="22"/>
        <v>20553105400</v>
      </c>
      <c r="N181" s="132">
        <v>26875</v>
      </c>
      <c r="O181" s="132">
        <v>30654</v>
      </c>
      <c r="P181" s="132">
        <v>26896</v>
      </c>
      <c r="Q181" s="132">
        <v>30890</v>
      </c>
      <c r="R181" s="130"/>
      <c r="S181" s="130"/>
      <c r="T181" s="130"/>
      <c r="U181" s="130"/>
      <c r="V181" s="132">
        <v>28180</v>
      </c>
      <c r="X181" s="132">
        <v>28180</v>
      </c>
      <c r="Y181" s="132">
        <v>31753</v>
      </c>
      <c r="Z181" s="130"/>
      <c r="AA181" s="130"/>
      <c r="AB181" s="130"/>
      <c r="AC181" s="130"/>
      <c r="AD181" s="130"/>
      <c r="AE181" s="130"/>
      <c r="AF181" s="130"/>
      <c r="AG181" s="130"/>
      <c r="AH181" s="130"/>
      <c r="AI181" s="130"/>
      <c r="AJ181" s="130"/>
      <c r="AK181" s="130"/>
      <c r="AL181" s="130"/>
      <c r="AM181" s="130"/>
      <c r="AN181" s="130"/>
      <c r="AO181" s="130"/>
      <c r="AP181" s="130"/>
      <c r="AQ181" s="130"/>
      <c r="AR181" s="130"/>
      <c r="AS181" s="131"/>
      <c r="AT181" s="131"/>
      <c r="AU181" s="131"/>
      <c r="AV181" s="131"/>
      <c r="AW181" s="131"/>
      <c r="AX181" s="131"/>
      <c r="AY181" s="130"/>
      <c r="AZ181" s="130"/>
      <c r="BA181" s="130"/>
      <c r="BB181" s="130"/>
      <c r="BC181" s="130"/>
      <c r="BE181" s="133"/>
      <c r="BF181" s="133"/>
      <c r="BG181" s="133"/>
      <c r="BH181" s="133"/>
    </row>
    <row r="182" spans="1:62" s="132" customFormat="1" ht="21" customHeight="1">
      <c r="A182" s="128"/>
      <c r="B182" s="129" t="s">
        <v>477</v>
      </c>
      <c r="C182" s="130">
        <v>30</v>
      </c>
      <c r="D182" s="131">
        <v>26579</v>
      </c>
      <c r="E182" s="130">
        <v>26600</v>
      </c>
      <c r="F182" s="130">
        <v>26565</v>
      </c>
      <c r="G182" s="130">
        <v>11408500</v>
      </c>
      <c r="H182" s="130">
        <v>30288</v>
      </c>
      <c r="I182" s="130">
        <v>30399</v>
      </c>
      <c r="J182" s="132">
        <v>30341</v>
      </c>
      <c r="K182" s="130">
        <v>908000</v>
      </c>
      <c r="L182" s="99">
        <f t="shared" si="23"/>
        <v>303066802500</v>
      </c>
      <c r="M182" s="99">
        <f t="shared" si="22"/>
        <v>27549628000</v>
      </c>
      <c r="N182" s="132">
        <v>26865</v>
      </c>
      <c r="O182" s="132">
        <v>30703</v>
      </c>
      <c r="P182" s="132">
        <v>26844</v>
      </c>
      <c r="Q182" s="132">
        <v>30591</v>
      </c>
      <c r="R182" s="130"/>
      <c r="S182" s="130"/>
      <c r="T182" s="130"/>
      <c r="U182" s="130"/>
      <c r="V182" s="132">
        <v>28090</v>
      </c>
      <c r="X182" s="132">
        <v>28290</v>
      </c>
      <c r="Y182" s="132">
        <v>31741</v>
      </c>
      <c r="Z182" s="130"/>
      <c r="AA182" s="130"/>
      <c r="AB182" s="130"/>
      <c r="AC182" s="130"/>
      <c r="AD182" s="130"/>
      <c r="AE182" s="130"/>
      <c r="AF182" s="130"/>
      <c r="AG182" s="130"/>
      <c r="AH182" s="130"/>
      <c r="AI182" s="130"/>
      <c r="AJ182" s="130"/>
      <c r="AK182" s="130"/>
      <c r="AL182" s="130"/>
      <c r="AM182" s="130"/>
      <c r="AN182" s="130"/>
      <c r="AO182" s="130"/>
      <c r="AP182" s="130"/>
      <c r="AQ182" s="130"/>
      <c r="AR182" s="130"/>
      <c r="AS182" s="131"/>
      <c r="AT182" s="131"/>
      <c r="AU182" s="131"/>
      <c r="AV182" s="131"/>
      <c r="AW182" s="131"/>
      <c r="AX182" s="131"/>
      <c r="AY182" s="130"/>
      <c r="AZ182" s="130"/>
      <c r="BA182" s="130"/>
      <c r="BB182" s="130"/>
      <c r="BC182" s="130"/>
      <c r="BE182" s="133"/>
      <c r="BF182" s="133"/>
      <c r="BG182" s="133"/>
      <c r="BH182" s="133"/>
    </row>
    <row r="183" spans="1:62" s="132" customFormat="1" ht="21" customHeight="1">
      <c r="A183" s="128"/>
      <c r="B183" s="129" t="s">
        <v>484</v>
      </c>
      <c r="C183" s="130">
        <v>1</v>
      </c>
      <c r="D183" s="131">
        <v>26577</v>
      </c>
      <c r="E183" s="130">
        <v>26580</v>
      </c>
      <c r="F183" s="130">
        <v>26574</v>
      </c>
      <c r="G183" s="130">
        <v>12381500</v>
      </c>
      <c r="H183" s="130">
        <v>30211</v>
      </c>
      <c r="I183" s="130">
        <v>30399</v>
      </c>
      <c r="J183" s="132">
        <v>30309</v>
      </c>
      <c r="K183" s="130">
        <v>953300</v>
      </c>
      <c r="L183" s="99">
        <f t="shared" si="23"/>
        <v>329025981000</v>
      </c>
      <c r="M183" s="99">
        <f t="shared" si="22"/>
        <v>28893569700</v>
      </c>
      <c r="N183" s="132">
        <v>26846</v>
      </c>
      <c r="O183" s="132">
        <v>30703</v>
      </c>
      <c r="P183" s="132">
        <v>26843</v>
      </c>
      <c r="Q183" s="132">
        <v>30513</v>
      </c>
      <c r="R183" s="130"/>
      <c r="S183" s="130"/>
      <c r="T183" s="130"/>
      <c r="U183" s="130"/>
      <c r="V183" s="132">
        <v>28350</v>
      </c>
      <c r="X183" s="132">
        <v>28400</v>
      </c>
      <c r="Y183" s="132">
        <v>31874</v>
      </c>
      <c r="Z183" s="130"/>
      <c r="AA183" s="130"/>
      <c r="AB183" s="130"/>
      <c r="AC183" s="130"/>
      <c r="AD183" s="130"/>
      <c r="AE183" s="130"/>
      <c r="AF183" s="130"/>
      <c r="AG183" s="130"/>
      <c r="AH183" s="130"/>
      <c r="AI183" s="130"/>
      <c r="AJ183" s="130"/>
      <c r="AK183" s="130"/>
      <c r="AL183" s="130"/>
      <c r="AM183" s="130"/>
      <c r="AN183" s="130"/>
      <c r="AO183" s="130"/>
      <c r="AP183" s="130"/>
      <c r="AQ183" s="130"/>
      <c r="AR183" s="130"/>
      <c r="AS183" s="131"/>
      <c r="AT183" s="131"/>
      <c r="AU183" s="131"/>
      <c r="AV183" s="131"/>
      <c r="AW183" s="131"/>
      <c r="AX183" s="131"/>
      <c r="AY183" s="130"/>
      <c r="AZ183" s="130"/>
      <c r="BA183" s="130"/>
      <c r="BB183" s="130"/>
      <c r="BC183" s="130"/>
      <c r="BE183" s="133"/>
      <c r="BF183" s="133"/>
      <c r="BG183" s="133"/>
      <c r="BH183" s="133"/>
    </row>
    <row r="184" spans="1:62" s="132" customFormat="1" ht="21" customHeight="1">
      <c r="A184" s="128"/>
      <c r="B184" s="129" t="s">
        <v>485</v>
      </c>
      <c r="C184" s="130">
        <v>2</v>
      </c>
      <c r="D184" s="131">
        <v>26578</v>
      </c>
      <c r="E184" s="130">
        <v>26579</v>
      </c>
      <c r="F184" s="130">
        <v>26576</v>
      </c>
      <c r="G184" s="130">
        <v>15697800</v>
      </c>
      <c r="H184" s="130">
        <v>30399</v>
      </c>
      <c r="I184" s="130">
        <v>30399</v>
      </c>
      <c r="J184" s="132">
        <v>30386</v>
      </c>
      <c r="K184" s="130">
        <v>1164500</v>
      </c>
      <c r="L184" s="99">
        <f t="shared" si="23"/>
        <v>417184732800</v>
      </c>
      <c r="M184" s="99">
        <f t="shared" si="22"/>
        <v>35384497000</v>
      </c>
      <c r="N184" s="132">
        <v>26845</v>
      </c>
      <c r="O184" s="132">
        <v>30703</v>
      </c>
      <c r="P184" s="132">
        <v>26844</v>
      </c>
      <c r="Q184" s="132">
        <v>30703</v>
      </c>
      <c r="R184" s="130"/>
      <c r="S184" s="130"/>
      <c r="T184" s="130"/>
      <c r="U184" s="130"/>
      <c r="V184" s="132">
        <v>28550</v>
      </c>
      <c r="X184" s="132">
        <v>28570</v>
      </c>
      <c r="Y184" s="132">
        <v>32223</v>
      </c>
      <c r="Z184" s="130"/>
      <c r="AA184" s="130"/>
      <c r="AB184" s="130"/>
      <c r="AC184" s="130"/>
      <c r="AD184" s="130"/>
      <c r="AE184" s="130"/>
      <c r="AF184" s="130"/>
      <c r="AG184" s="130"/>
      <c r="AH184" s="130"/>
      <c r="AI184" s="130"/>
      <c r="AJ184" s="130"/>
      <c r="AK184" s="130"/>
      <c r="AL184" s="130"/>
      <c r="AM184" s="130"/>
      <c r="AN184" s="130"/>
      <c r="AO184" s="130"/>
      <c r="AP184" s="130"/>
      <c r="AQ184" s="130"/>
      <c r="AR184" s="130"/>
      <c r="AS184" s="131"/>
      <c r="AT184" s="131"/>
      <c r="AU184" s="131"/>
      <c r="AV184" s="131"/>
      <c r="AW184" s="131"/>
      <c r="AX184" s="131"/>
      <c r="AY184" s="130"/>
      <c r="AZ184" s="130"/>
      <c r="BA184" s="130"/>
      <c r="BB184" s="130"/>
      <c r="BC184" s="130"/>
      <c r="BE184" s="133"/>
      <c r="BF184" s="133"/>
      <c r="BG184" s="133"/>
      <c r="BH184" s="133"/>
    </row>
    <row r="185" spans="1:62" s="132" customFormat="1" ht="21" customHeight="1">
      <c r="A185" s="128"/>
      <c r="B185" s="129" t="s">
        <v>486</v>
      </c>
      <c r="C185" s="130">
        <v>3</v>
      </c>
      <c r="D185" s="131">
        <v>27064</v>
      </c>
      <c r="E185" s="130">
        <v>27750</v>
      </c>
      <c r="F185" s="130">
        <v>27384</v>
      </c>
      <c r="G185" s="130">
        <v>12359200</v>
      </c>
      <c r="H185" s="130">
        <v>30399</v>
      </c>
      <c r="I185" s="130">
        <v>31492</v>
      </c>
      <c r="J185" s="132">
        <v>31335</v>
      </c>
      <c r="K185" s="130">
        <v>1055500</v>
      </c>
      <c r="L185" s="99">
        <f t="shared" si="23"/>
        <v>338444332800</v>
      </c>
      <c r="M185" s="99">
        <f t="shared" si="22"/>
        <v>33074092500</v>
      </c>
      <c r="N185" s="132">
        <v>28028</v>
      </c>
      <c r="O185" s="132">
        <v>31807</v>
      </c>
      <c r="P185" s="132">
        <v>27335</v>
      </c>
      <c r="Q185" s="132">
        <v>30703</v>
      </c>
      <c r="R185" s="130"/>
      <c r="S185" s="130"/>
      <c r="T185" s="130"/>
      <c r="U185" s="130"/>
      <c r="V185" s="132">
        <v>28850</v>
      </c>
      <c r="X185" s="132">
        <v>29050</v>
      </c>
      <c r="Y185" s="132">
        <v>32426</v>
      </c>
      <c r="Z185" s="130"/>
      <c r="AA185" s="130"/>
      <c r="AB185" s="130"/>
      <c r="AC185" s="130"/>
      <c r="AD185" s="130"/>
      <c r="AE185" s="130"/>
      <c r="AF185" s="130"/>
      <c r="AG185" s="130"/>
      <c r="AH185" s="130"/>
      <c r="AI185" s="130"/>
      <c r="AJ185" s="130"/>
      <c r="AK185" s="130"/>
      <c r="AL185" s="130"/>
      <c r="AM185" s="130"/>
      <c r="AN185" s="130"/>
      <c r="AO185" s="130"/>
      <c r="AP185" s="130"/>
      <c r="AQ185" s="130"/>
      <c r="AR185" s="130"/>
      <c r="AS185" s="131"/>
      <c r="AT185" s="131"/>
      <c r="AU185" s="131"/>
      <c r="AV185" s="131"/>
      <c r="AW185" s="131"/>
      <c r="AX185" s="131"/>
      <c r="AY185" s="130"/>
      <c r="AZ185" s="130"/>
      <c r="BA185" s="130"/>
      <c r="BB185" s="130"/>
      <c r="BC185" s="130"/>
      <c r="BE185" s="133"/>
      <c r="BF185" s="133"/>
      <c r="BG185" s="133"/>
      <c r="BH185" s="133"/>
    </row>
    <row r="186" spans="1:62" s="132" customFormat="1" ht="21" customHeight="1">
      <c r="A186" s="128"/>
      <c r="B186" s="129" t="s">
        <v>487</v>
      </c>
      <c r="C186" s="130">
        <v>4</v>
      </c>
      <c r="D186" s="131">
        <v>28042</v>
      </c>
      <c r="E186" s="130">
        <v>27723</v>
      </c>
      <c r="F186" s="130">
        <v>27768</v>
      </c>
      <c r="G186" s="130">
        <v>7533200</v>
      </c>
      <c r="H186" s="130">
        <v>31492</v>
      </c>
      <c r="I186" s="130">
        <v>31765</v>
      </c>
      <c r="J186" s="132">
        <v>31703</v>
      </c>
      <c r="K186" s="130">
        <v>442900</v>
      </c>
      <c r="L186" s="99">
        <f t="shared" si="23"/>
        <v>209181897600</v>
      </c>
      <c r="M186" s="99">
        <f t="shared" si="22"/>
        <v>14041258700</v>
      </c>
      <c r="N186" s="132">
        <v>28001</v>
      </c>
      <c r="O186" s="132">
        <v>32083</v>
      </c>
      <c r="P186" s="132">
        <v>28322</v>
      </c>
      <c r="Q186" s="132">
        <v>31807</v>
      </c>
      <c r="R186" s="130"/>
      <c r="S186" s="130"/>
      <c r="T186" s="130"/>
      <c r="U186" s="130"/>
      <c r="V186" s="132">
        <v>29030</v>
      </c>
      <c r="X186" s="132">
        <v>29050</v>
      </c>
      <c r="Y186" s="132">
        <v>32534</v>
      </c>
      <c r="Z186" s="130"/>
      <c r="AA186" s="130"/>
      <c r="AB186" s="130"/>
      <c r="AC186" s="130"/>
      <c r="AD186" s="130"/>
      <c r="AE186" s="130"/>
      <c r="AF186" s="130"/>
      <c r="AG186" s="130"/>
      <c r="AH186" s="130"/>
      <c r="AI186" s="130"/>
      <c r="AJ186" s="130"/>
      <c r="AK186" s="130"/>
      <c r="AL186" s="130"/>
      <c r="AM186" s="130"/>
      <c r="AN186" s="130"/>
      <c r="AO186" s="130"/>
      <c r="AP186" s="130"/>
      <c r="AQ186" s="130"/>
      <c r="AR186" s="130"/>
      <c r="AS186" s="131"/>
      <c r="AT186" s="131"/>
      <c r="AU186" s="131"/>
      <c r="AV186" s="131"/>
      <c r="AW186" s="131"/>
      <c r="AX186" s="131"/>
      <c r="AY186" s="130"/>
      <c r="AZ186" s="130"/>
      <c r="BA186" s="130"/>
      <c r="BB186" s="130"/>
      <c r="BC186" s="130"/>
      <c r="BE186" s="133"/>
      <c r="BF186" s="133"/>
      <c r="BG186" s="133"/>
      <c r="BH186" s="133"/>
    </row>
    <row r="187" spans="1:62" s="119" customFormat="1" ht="21" customHeight="1">
      <c r="A187" s="115"/>
      <c r="B187" s="116" t="s">
        <v>488</v>
      </c>
      <c r="C187" s="117">
        <v>6</v>
      </c>
      <c r="D187" s="118">
        <v>27760</v>
      </c>
      <c r="E187" s="117">
        <v>26482</v>
      </c>
      <c r="F187" s="117">
        <v>27139</v>
      </c>
      <c r="G187" s="117">
        <v>3812700</v>
      </c>
      <c r="H187" s="117">
        <v>31765</v>
      </c>
      <c r="I187" s="117">
        <v>30300</v>
      </c>
      <c r="J187" s="119">
        <v>30744</v>
      </c>
      <c r="K187" s="117">
        <v>280400</v>
      </c>
      <c r="L187" s="93">
        <f t="shared" si="23"/>
        <v>103472865300</v>
      </c>
      <c r="M187" s="93">
        <f t="shared" si="22"/>
        <v>8620617600</v>
      </c>
      <c r="N187" s="119">
        <v>26746</v>
      </c>
      <c r="O187" s="119">
        <v>30603</v>
      </c>
      <c r="P187" s="119">
        <v>28037</v>
      </c>
      <c r="Q187" s="119">
        <v>32083</v>
      </c>
      <c r="R187" s="117"/>
      <c r="S187" s="117"/>
      <c r="T187" s="117"/>
      <c r="U187" s="117"/>
      <c r="V187" s="119">
        <v>29270</v>
      </c>
      <c r="X187" s="119">
        <v>29150</v>
      </c>
      <c r="Y187" s="119">
        <v>33100</v>
      </c>
      <c r="Z187" s="117"/>
      <c r="AA187" s="117"/>
      <c r="AB187" s="117"/>
      <c r="AC187" s="117"/>
      <c r="AD187" s="117"/>
      <c r="AE187" s="117"/>
      <c r="AF187" s="117"/>
      <c r="AG187" s="117"/>
      <c r="AH187" s="117"/>
      <c r="AI187" s="117"/>
      <c r="AJ187" s="117"/>
      <c r="AK187" s="117"/>
      <c r="AL187" s="117"/>
      <c r="AM187" s="117"/>
      <c r="AN187" s="117"/>
      <c r="AO187" s="117"/>
      <c r="AP187" s="117"/>
      <c r="AQ187" s="117"/>
      <c r="AR187" s="117"/>
      <c r="AS187" s="118"/>
      <c r="AT187" s="118"/>
      <c r="AU187" s="118"/>
      <c r="AV187" s="118"/>
      <c r="AW187" s="118"/>
      <c r="AX187" s="118"/>
      <c r="AY187" s="117"/>
      <c r="AZ187" s="117"/>
      <c r="BA187" s="117"/>
      <c r="BB187" s="117"/>
      <c r="BC187" s="117"/>
      <c r="BE187" s="120"/>
      <c r="BF187" s="120"/>
      <c r="BG187" s="120"/>
      <c r="BH187" s="120"/>
    </row>
    <row r="188" spans="1:62" s="119" customFormat="1" ht="21" customHeight="1">
      <c r="A188" s="115"/>
      <c r="B188" s="116" t="s">
        <v>490</v>
      </c>
      <c r="C188" s="117">
        <v>7</v>
      </c>
      <c r="D188" s="118">
        <v>26482</v>
      </c>
      <c r="E188" s="117">
        <v>26063</v>
      </c>
      <c r="F188" s="117">
        <v>26151</v>
      </c>
      <c r="G188" s="117">
        <v>3931600</v>
      </c>
      <c r="H188" s="117">
        <v>30300</v>
      </c>
      <c r="I188" s="117">
        <v>30555</v>
      </c>
      <c r="J188" s="119">
        <v>30360</v>
      </c>
      <c r="K188" s="117">
        <v>292500</v>
      </c>
      <c r="L188" s="93">
        <f t="shared" si="23"/>
        <v>102815271600</v>
      </c>
      <c r="M188" s="93">
        <f t="shared" si="22"/>
        <v>8880300000</v>
      </c>
      <c r="N188" s="119">
        <v>26323</v>
      </c>
      <c r="O188" s="119">
        <v>30860</v>
      </c>
      <c r="P188" s="119">
        <v>26746</v>
      </c>
      <c r="Q188" s="119">
        <v>30603</v>
      </c>
      <c r="R188" s="117"/>
      <c r="S188" s="117"/>
      <c r="T188" s="117"/>
      <c r="U188" s="117"/>
      <c r="V188" s="119">
        <v>29080</v>
      </c>
      <c r="X188" s="119">
        <v>29250</v>
      </c>
      <c r="Y188" s="119">
        <v>32986</v>
      </c>
      <c r="Z188" s="117"/>
      <c r="AA188" s="117"/>
      <c r="AB188" s="117"/>
      <c r="AC188" s="117"/>
      <c r="AD188" s="117"/>
      <c r="AE188" s="117"/>
      <c r="AF188" s="117"/>
      <c r="AG188" s="117"/>
      <c r="AH188" s="117"/>
      <c r="AI188" s="117"/>
      <c r="AJ188" s="117"/>
      <c r="AK188" s="117"/>
      <c r="AL188" s="117"/>
      <c r="AM188" s="117"/>
      <c r="AN188" s="117"/>
      <c r="AO188" s="117"/>
      <c r="AP188" s="117"/>
      <c r="AQ188" s="117"/>
      <c r="AR188" s="117"/>
      <c r="AS188" s="118"/>
      <c r="AT188" s="118"/>
      <c r="AU188" s="118"/>
      <c r="AV188" s="118"/>
      <c r="AW188" s="118"/>
      <c r="AX188" s="118"/>
      <c r="AY188" s="117"/>
      <c r="AZ188" s="117"/>
      <c r="BA188" s="117"/>
      <c r="BB188" s="117"/>
      <c r="BC188" s="117"/>
      <c r="BE188" s="120"/>
      <c r="BF188" s="120"/>
      <c r="BG188" s="120"/>
      <c r="BH188" s="120"/>
    </row>
    <row r="189" spans="1:62" s="119" customFormat="1" ht="21" customHeight="1">
      <c r="A189" s="115"/>
      <c r="B189" s="116" t="s">
        <v>492</v>
      </c>
      <c r="C189" s="117">
        <v>8</v>
      </c>
      <c r="D189" s="118">
        <v>26850</v>
      </c>
      <c r="E189" s="117">
        <v>26196</v>
      </c>
      <c r="F189" s="117">
        <v>26428</v>
      </c>
      <c r="G189" s="117">
        <v>6785800</v>
      </c>
      <c r="H189" s="117">
        <v>30555</v>
      </c>
      <c r="I189" s="117">
        <v>30649</v>
      </c>
      <c r="J189" s="119">
        <v>30420</v>
      </c>
      <c r="K189" s="117">
        <v>469600</v>
      </c>
      <c r="L189" s="93">
        <f t="shared" si="23"/>
        <v>179335122400</v>
      </c>
      <c r="M189" s="93">
        <f t="shared" si="22"/>
        <v>14285232000</v>
      </c>
      <c r="N189" s="119">
        <v>26458</v>
      </c>
      <c r="O189" s="119">
        <v>30955</v>
      </c>
      <c r="P189" s="119">
        <v>27118</v>
      </c>
      <c r="Q189" s="119">
        <v>30860</v>
      </c>
      <c r="R189" s="117"/>
      <c r="S189" s="117"/>
      <c r="T189" s="117"/>
      <c r="U189" s="117"/>
      <c r="V189" s="119">
        <v>29540</v>
      </c>
      <c r="X189" s="119">
        <v>29500</v>
      </c>
      <c r="Y189" s="119">
        <v>33180</v>
      </c>
      <c r="Z189" s="117"/>
      <c r="AA189" s="117"/>
      <c r="AB189" s="117"/>
      <c r="AC189" s="117"/>
      <c r="AD189" s="117"/>
      <c r="AE189" s="117"/>
      <c r="AF189" s="117"/>
      <c r="AG189" s="117"/>
      <c r="AH189" s="117"/>
      <c r="AI189" s="117"/>
      <c r="AJ189" s="117"/>
      <c r="AK189" s="117"/>
      <c r="AL189" s="117"/>
      <c r="AM189" s="117"/>
      <c r="AN189" s="117"/>
      <c r="AO189" s="117"/>
      <c r="AP189" s="117"/>
      <c r="AQ189" s="117"/>
      <c r="AR189" s="117"/>
      <c r="AS189" s="118"/>
      <c r="AT189" s="118"/>
      <c r="AU189" s="118"/>
      <c r="AV189" s="118"/>
      <c r="AW189" s="118"/>
      <c r="AX189" s="118"/>
      <c r="AY189" s="117"/>
      <c r="AZ189" s="117"/>
      <c r="BA189" s="117"/>
      <c r="BB189" s="117"/>
      <c r="BC189" s="117"/>
      <c r="BE189" s="120"/>
      <c r="BF189" s="120"/>
      <c r="BG189" s="120"/>
      <c r="BH189" s="120"/>
    </row>
    <row r="190" spans="1:62" s="113" customFormat="1" ht="21" customHeight="1">
      <c r="A190" s="109"/>
      <c r="B190" s="110" t="s">
        <v>494</v>
      </c>
      <c r="C190" s="111">
        <v>9</v>
      </c>
      <c r="D190" s="112">
        <v>26196</v>
      </c>
      <c r="E190" s="111">
        <v>26218</v>
      </c>
      <c r="F190" s="111"/>
      <c r="G190" s="111">
        <v>6483300</v>
      </c>
      <c r="H190" s="111">
        <v>30649</v>
      </c>
      <c r="I190" s="111">
        <v>30582</v>
      </c>
      <c r="K190" s="111">
        <v>324600</v>
      </c>
      <c r="L190" s="137">
        <f t="shared" si="23"/>
        <v>0</v>
      </c>
      <c r="M190" s="137"/>
      <c r="N190" s="113">
        <v>26480</v>
      </c>
      <c r="O190" s="113">
        <v>30888</v>
      </c>
      <c r="P190" s="113">
        <v>26458</v>
      </c>
      <c r="Q190" s="113">
        <v>30955</v>
      </c>
      <c r="R190" s="111"/>
      <c r="S190" s="111"/>
      <c r="T190" s="111"/>
      <c r="U190" s="111"/>
      <c r="V190" s="113">
        <v>29140</v>
      </c>
      <c r="X190" s="113">
        <v>29110</v>
      </c>
      <c r="Y190" s="113">
        <v>33057</v>
      </c>
      <c r="Z190" s="111"/>
      <c r="AA190" s="111"/>
      <c r="AB190" s="111"/>
      <c r="AC190" s="111"/>
      <c r="AD190" s="111"/>
      <c r="AE190" s="111"/>
      <c r="AF190" s="111"/>
      <c r="AG190" s="111"/>
      <c r="AH190" s="111"/>
      <c r="AI190" s="111"/>
      <c r="AJ190" s="111"/>
      <c r="AK190" s="111"/>
      <c r="AL190" s="111"/>
      <c r="AM190" s="111"/>
      <c r="AN190" s="111"/>
      <c r="AO190" s="111"/>
      <c r="AP190" s="111"/>
      <c r="AQ190" s="111"/>
      <c r="AR190" s="111"/>
      <c r="AS190" s="112"/>
      <c r="AT190" s="112"/>
      <c r="AU190" s="112"/>
      <c r="AV190" s="112"/>
      <c r="AW190" s="112"/>
      <c r="AX190" s="112"/>
      <c r="AY190" s="111"/>
      <c r="AZ190" s="111"/>
      <c r="BA190" s="111"/>
      <c r="BB190" s="111"/>
      <c r="BC190" s="111"/>
      <c r="BE190" s="114"/>
      <c r="BF190" s="114"/>
      <c r="BG190" s="114"/>
      <c r="BH190" s="114"/>
    </row>
    <row r="191" spans="1:62" ht="18">
      <c r="A191" s="7"/>
      <c r="B191" s="8"/>
      <c r="C191" s="8"/>
      <c r="D191" s="26"/>
      <c r="E191" s="8"/>
      <c r="F191" s="8"/>
      <c r="G191" s="8">
        <f>SUM(G2:G182)/181</f>
        <v>6809377.3425414367</v>
      </c>
      <c r="H191" s="8"/>
      <c r="I191" s="8"/>
      <c r="J191" s="8"/>
      <c r="K191" s="8">
        <f>SUM(K2:K126)</f>
        <v>125564600</v>
      </c>
      <c r="L191" s="8">
        <f>SUM(L2:L190)</f>
        <v>32692560336209</v>
      </c>
      <c r="M191" s="9">
        <f>SUM(M2:M189)</f>
        <v>5669984040900</v>
      </c>
      <c r="N191" s="9"/>
      <c r="O191" s="9"/>
      <c r="P191" s="9"/>
      <c r="Q191" s="9"/>
      <c r="R191" s="9"/>
      <c r="S191" s="9"/>
      <c r="T191" s="9"/>
      <c r="U191" s="9"/>
      <c r="V191" s="119">
        <v>29130</v>
      </c>
      <c r="W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Y191" s="9"/>
      <c r="AZ191" s="9"/>
      <c r="BA191" s="9"/>
      <c r="BB191" s="9"/>
      <c r="BC191" s="9"/>
      <c r="BD191" s="9"/>
      <c r="BE191" s="10"/>
      <c r="BF191" s="10"/>
      <c r="BG191" s="10"/>
      <c r="BH191" s="10"/>
      <c r="BI191" t="e">
        <f>#REF!-N191</f>
        <v>#REF!</v>
      </c>
      <c r="BJ191" t="e">
        <f>(Y191-O191)/O191</f>
        <v>#DIV/0!</v>
      </c>
    </row>
    <row r="192" spans="1:62" ht="18">
      <c r="D192" s="26"/>
      <c r="V192" s="135"/>
      <c r="Z192" s="25"/>
      <c r="AB192" s="25"/>
      <c r="AS192" s="25"/>
      <c r="AW192" s="30"/>
    </row>
    <row r="193" spans="4:49" ht="18">
      <c r="D193" s="26"/>
      <c r="V193" s="135">
        <f>T195-V190</f>
        <v>97.080000000001746</v>
      </c>
      <c r="Z193" s="25"/>
      <c r="AS193" s="26"/>
      <c r="AW193" s="30"/>
    </row>
    <row r="194" spans="4:49" ht="18">
      <c r="V194" s="134"/>
      <c r="Z194" s="25"/>
      <c r="AS194" s="26"/>
      <c r="AW194" s="30"/>
    </row>
    <row r="195" spans="4:49" ht="18">
      <c r="T195">
        <f>3.673*7960</f>
        <v>29237.08</v>
      </c>
      <c r="V195" s="25"/>
      <c r="W195">
        <f>X189-V190</f>
        <v>360</v>
      </c>
      <c r="Z195" s="25"/>
      <c r="AS195" s="26"/>
      <c r="AW195" s="30"/>
    </row>
    <row r="196" spans="4:49" ht="18">
      <c r="D196" s="99"/>
      <c r="V196" s="25"/>
      <c r="Z196" s="25"/>
      <c r="AW196" s="30"/>
    </row>
    <row r="197" spans="4:49" ht="17.25" customHeight="1">
      <c r="D197" s="99"/>
      <c r="V197" s="25"/>
      <c r="Z197" s="25"/>
    </row>
    <row r="198" spans="4:49" ht="18">
      <c r="D198" s="99"/>
      <c r="V198" s="25"/>
      <c r="Z198" s="25"/>
    </row>
    <row r="199" spans="4:49" ht="18">
      <c r="D199" s="99"/>
      <c r="V199" s="25"/>
    </row>
    <row r="200" spans="4:49" ht="18">
      <c r="D200" s="99"/>
      <c r="V200" s="25"/>
    </row>
    <row r="201" spans="4:49" ht="18">
      <c r="D201" s="117"/>
    </row>
    <row r="202" spans="4:49" ht="18">
      <c r="D202" s="117"/>
    </row>
    <row r="203" spans="4:49" ht="18">
      <c r="D203" s="123"/>
    </row>
    <row r="204" spans="4:49" ht="18">
      <c r="D204" s="117"/>
      <c r="G204" s="9"/>
    </row>
    <row r="205" spans="4:49" ht="18">
      <c r="D205" s="111"/>
      <c r="G205" s="9"/>
    </row>
    <row r="206" spans="4:49" ht="18">
      <c r="G206" s="9"/>
    </row>
    <row r="207" spans="4:49" ht="18">
      <c r="G207" s="9"/>
    </row>
    <row r="208" spans="4:49" ht="18">
      <c r="G208" s="9"/>
    </row>
  </sheetData>
  <autoFilter ref="A1:BL195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8"/>
  <sheetViews>
    <sheetView topLeftCell="A22" zoomScale="70" zoomScaleNormal="70" workbookViewId="0">
      <selection activeCell="D43" sqref="D43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5" si="0">D29/6</f>
        <v>7281166.666666667</v>
      </c>
      <c r="F29" s="73">
        <v>5993000</v>
      </c>
      <c r="G29" s="73">
        <f t="shared" ref="G29:G35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 s="73" customFormat="1" ht="13.9" customHeight="1">
      <c r="A35" s="73" t="s">
        <v>483</v>
      </c>
      <c r="B35" s="73">
        <v>26845</v>
      </c>
      <c r="C35" s="73">
        <v>30672</v>
      </c>
      <c r="D35" s="73">
        <v>71107200</v>
      </c>
      <c r="E35" s="73">
        <f t="shared" si="0"/>
        <v>11851200</v>
      </c>
      <c r="F35" s="73">
        <v>5200000</v>
      </c>
      <c r="G35" s="73">
        <f t="shared" si="1"/>
        <v>866666.66666666663</v>
      </c>
      <c r="H35" s="73">
        <v>27243</v>
      </c>
      <c r="I35" s="73">
        <v>31109</v>
      </c>
      <c r="J35" s="73">
        <v>28590</v>
      </c>
      <c r="K35" s="73">
        <v>32092</v>
      </c>
    </row>
    <row r="36" spans="1:11">
      <c r="B36">
        <f>(B2-B8)/B2</f>
        <v>0.15346494762288476</v>
      </c>
      <c r="C36">
        <f>(C2-C8)/C2</f>
        <v>0.1154959674639829</v>
      </c>
      <c r="D36">
        <f>SUM(D2:D16)/15</f>
        <v>29639479.933333334</v>
      </c>
    </row>
    <row r="40" spans="1:11">
      <c r="D40">
        <v>5375132</v>
      </c>
      <c r="E40">
        <f>(E17-D40)/D40</f>
        <v>4.5958809321644006E-2</v>
      </c>
      <c r="G40">
        <f t="shared" ref="G40:G48" si="2">B3-B2</f>
        <v>-554</v>
      </c>
    </row>
    <row r="41" spans="1:11">
      <c r="G41">
        <f t="shared" si="2"/>
        <v>-302</v>
      </c>
    </row>
    <row r="42" spans="1:11">
      <c r="C42">
        <f>(D40-E16)/E16</f>
        <v>0.17110375179746395</v>
      </c>
      <c r="G42">
        <f t="shared" si="2"/>
        <v>-511</v>
      </c>
    </row>
    <row r="43" spans="1:11">
      <c r="G43">
        <f t="shared" si="2"/>
        <v>-362</v>
      </c>
    </row>
    <row r="44" spans="1:11">
      <c r="G44">
        <f t="shared" si="2"/>
        <v>-1699</v>
      </c>
    </row>
    <row r="45" spans="1:11">
      <c r="G45">
        <f t="shared" si="2"/>
        <v>-381</v>
      </c>
    </row>
    <row r="46" spans="1:11">
      <c r="G46">
        <f t="shared" si="2"/>
        <v>1075</v>
      </c>
    </row>
    <row r="47" spans="1:11">
      <c r="F47">
        <f>(F33-F32)/F32</f>
        <v>0.23948268173034043</v>
      </c>
      <c r="G47">
        <f t="shared" si="2"/>
        <v>151</v>
      </c>
      <c r="J47">
        <f>(F34-F35)/F34</f>
        <v>0.13877341459779063</v>
      </c>
    </row>
    <row r="48" spans="1:11">
      <c r="G48">
        <f t="shared" si="2"/>
        <v>1043</v>
      </c>
    </row>
  </sheetData>
  <autoFilter ref="A1:K48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10"/>
  <sheetViews>
    <sheetView tabSelected="1" topLeftCell="A1495" zoomScale="85" zoomScaleNormal="85" workbookViewId="0">
      <selection activeCell="F1503" sqref="F1503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38" t="s">
        <v>246</v>
      </c>
      <c r="B1" s="138"/>
      <c r="C1" s="138"/>
      <c r="D1" s="138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8" t="s">
        <v>256</v>
      </c>
      <c r="B11" s="138"/>
      <c r="C11" s="138"/>
      <c r="D11" s="138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8" t="s">
        <v>258</v>
      </c>
      <c r="B21" s="138"/>
      <c r="C21" s="138"/>
      <c r="D21" s="138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8" t="s">
        <v>259</v>
      </c>
      <c r="B31" s="138"/>
      <c r="C31" s="138"/>
      <c r="D31" s="138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8" t="s">
        <v>260</v>
      </c>
      <c r="B41" s="138"/>
      <c r="C41" s="138"/>
      <c r="D41" s="138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8" t="s">
        <v>262</v>
      </c>
      <c r="B51" s="138"/>
      <c r="C51" s="138"/>
      <c r="D51" s="138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8" t="s">
        <v>263</v>
      </c>
      <c r="B61" s="138"/>
      <c r="C61" s="138"/>
      <c r="D61" s="138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8" t="s">
        <v>264</v>
      </c>
      <c r="B71" s="138"/>
      <c r="C71" s="138"/>
      <c r="D71" s="138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8" t="s">
        <v>265</v>
      </c>
      <c r="B81" s="138"/>
      <c r="C81" s="138"/>
      <c r="D81" s="138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8" t="s">
        <v>269</v>
      </c>
      <c r="B93" s="138"/>
      <c r="C93" s="138"/>
      <c r="D93" s="138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8" t="s">
        <v>270</v>
      </c>
      <c r="B103" s="138"/>
      <c r="C103" s="138"/>
      <c r="D103" s="138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8" t="s">
        <v>272</v>
      </c>
      <c r="B113" s="138"/>
      <c r="C113" s="138"/>
      <c r="D113" s="138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8" t="s">
        <v>273</v>
      </c>
      <c r="B123" s="138"/>
      <c r="C123" s="138"/>
      <c r="D123" s="138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8" t="s">
        <v>274</v>
      </c>
      <c r="B133" s="138"/>
      <c r="C133" s="138"/>
      <c r="D133" s="138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8" t="s">
        <v>275</v>
      </c>
      <c r="B143" s="138"/>
      <c r="C143" s="138"/>
      <c r="D143" s="138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8" t="s">
        <v>277</v>
      </c>
      <c r="B153" s="138"/>
      <c r="C153" s="138"/>
      <c r="D153" s="138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8" t="s">
        <v>278</v>
      </c>
      <c r="B163" s="138"/>
      <c r="C163" s="138"/>
      <c r="D163" s="138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8" t="s">
        <v>279</v>
      </c>
      <c r="B173" s="138"/>
      <c r="C173" s="138"/>
      <c r="D173" s="138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8" t="s">
        <v>280</v>
      </c>
      <c r="B183" s="138"/>
      <c r="C183" s="138"/>
      <c r="D183" s="138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8" t="s">
        <v>281</v>
      </c>
      <c r="B193" s="138"/>
      <c r="C193" s="138"/>
      <c r="D193" s="138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8" t="s">
        <v>282</v>
      </c>
      <c r="B203" s="138"/>
      <c r="C203" s="138"/>
      <c r="D203" s="138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8" t="s">
        <v>283</v>
      </c>
      <c r="B213" s="138"/>
      <c r="C213" s="138"/>
      <c r="D213" s="138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8" t="s">
        <v>284</v>
      </c>
      <c r="B223" s="138"/>
      <c r="C223" s="138"/>
      <c r="D223" s="138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8" t="s">
        <v>285</v>
      </c>
      <c r="B233" s="138"/>
      <c r="C233" s="138"/>
      <c r="D233" s="138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8" t="s">
        <v>286</v>
      </c>
      <c r="B243" s="138"/>
      <c r="C243" s="138"/>
      <c r="D243" s="138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8" t="s">
        <v>287</v>
      </c>
      <c r="B253" s="138"/>
      <c r="C253" s="138"/>
      <c r="D253" s="138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8" t="s">
        <v>288</v>
      </c>
      <c r="B263" s="138"/>
      <c r="C263" s="138"/>
      <c r="D263" s="138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8" t="s">
        <v>289</v>
      </c>
      <c r="B273" s="138"/>
      <c r="C273" s="138"/>
      <c r="D273" s="138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8" t="s">
        <v>290</v>
      </c>
      <c r="B283" s="138"/>
      <c r="C283" s="138"/>
      <c r="D283" s="138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8" t="s">
        <v>291</v>
      </c>
      <c r="B293" s="138"/>
      <c r="C293" s="138"/>
      <c r="D293" s="138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8" t="s">
        <v>292</v>
      </c>
      <c r="B303" s="138"/>
      <c r="C303" s="138"/>
      <c r="D303" s="138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8" t="s">
        <v>296</v>
      </c>
      <c r="B313" s="138"/>
      <c r="C313" s="138"/>
      <c r="D313" s="138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8" t="s">
        <v>300</v>
      </c>
      <c r="B324" s="138"/>
      <c r="C324" s="138"/>
      <c r="D324" s="138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8" t="s">
        <v>303</v>
      </c>
      <c r="B335" s="138"/>
      <c r="C335" s="138"/>
      <c r="D335" s="138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8" t="s">
        <v>304</v>
      </c>
      <c r="B346" s="138"/>
      <c r="C346" s="138"/>
      <c r="D346" s="138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8" t="s">
        <v>305</v>
      </c>
      <c r="B357" s="138"/>
      <c r="C357" s="138"/>
      <c r="D357" s="138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8" t="s">
        <v>306</v>
      </c>
      <c r="B368" s="138"/>
      <c r="C368" s="138"/>
      <c r="D368" s="138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8" t="s">
        <v>307</v>
      </c>
      <c r="B379" s="138"/>
      <c r="C379" s="138"/>
      <c r="D379" s="138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8" t="s">
        <v>308</v>
      </c>
      <c r="B390" s="138"/>
      <c r="C390" s="138"/>
      <c r="D390" s="138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8" t="s">
        <v>309</v>
      </c>
      <c r="B401" s="138"/>
      <c r="C401" s="138"/>
      <c r="D401" s="138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8" t="s">
        <v>310</v>
      </c>
      <c r="B412" s="138"/>
      <c r="C412" s="138"/>
      <c r="D412" s="138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8" t="s">
        <v>311</v>
      </c>
      <c r="B423" s="138"/>
      <c r="C423" s="138"/>
      <c r="D423" s="138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8" t="s">
        <v>315</v>
      </c>
      <c r="B434" s="138"/>
      <c r="C434" s="138"/>
      <c r="D434" s="138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8" t="s">
        <v>316</v>
      </c>
      <c r="B445" s="138"/>
      <c r="C445" s="138"/>
      <c r="D445" s="138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8" t="s">
        <v>317</v>
      </c>
      <c r="B456" s="138"/>
      <c r="C456" s="138"/>
      <c r="D456" s="138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8" t="s">
        <v>318</v>
      </c>
      <c r="B467" s="138"/>
      <c r="C467" s="138"/>
      <c r="D467" s="138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8" t="s">
        <v>319</v>
      </c>
      <c r="B478" s="138"/>
      <c r="C478" s="138"/>
      <c r="D478" s="138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8" t="s">
        <v>320</v>
      </c>
      <c r="B489" s="138"/>
      <c r="C489" s="138"/>
      <c r="D489" s="138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8" t="s">
        <v>323</v>
      </c>
      <c r="B500" s="138"/>
      <c r="C500" s="138"/>
      <c r="D500" s="138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8" t="s">
        <v>324</v>
      </c>
      <c r="B511" s="138"/>
      <c r="C511" s="138"/>
      <c r="D511" s="138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8" t="s">
        <v>325</v>
      </c>
      <c r="B522" s="138"/>
      <c r="C522" s="138"/>
      <c r="D522" s="138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8" t="s">
        <v>326</v>
      </c>
      <c r="B533" s="138"/>
      <c r="C533" s="138"/>
      <c r="D533" s="138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8" t="s">
        <v>327</v>
      </c>
      <c r="B544" s="138"/>
      <c r="C544" s="138"/>
      <c r="D544" s="138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8" t="s">
        <v>328</v>
      </c>
      <c r="B555" s="138"/>
      <c r="C555" s="138"/>
      <c r="D555" s="138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8" t="s">
        <v>328</v>
      </c>
      <c r="B567" s="138"/>
      <c r="C567" s="138"/>
      <c r="D567" s="138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8" t="s">
        <v>333</v>
      </c>
      <c r="B579" s="138"/>
      <c r="C579" s="138"/>
      <c r="D579" s="138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8" t="s">
        <v>334</v>
      </c>
      <c r="B590" s="138"/>
      <c r="C590" s="138"/>
      <c r="D590" s="138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8" t="s">
        <v>335</v>
      </c>
      <c r="B601" s="138"/>
      <c r="C601" s="138"/>
      <c r="D601" s="138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8" t="s">
        <v>336</v>
      </c>
      <c r="B612" s="138"/>
      <c r="C612" s="138"/>
      <c r="D612" s="138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8" t="s">
        <v>337</v>
      </c>
      <c r="B623" s="138"/>
      <c r="C623" s="138"/>
      <c r="D623" s="138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8" t="s">
        <v>338</v>
      </c>
      <c r="B635" s="138"/>
      <c r="C635" s="138"/>
      <c r="D635" s="138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8" t="s">
        <v>340</v>
      </c>
      <c r="B647" s="138"/>
      <c r="C647" s="138"/>
      <c r="D647" s="138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8" t="s">
        <v>341</v>
      </c>
      <c r="B658" s="138"/>
      <c r="C658" s="138"/>
      <c r="D658" s="138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8" t="s">
        <v>342</v>
      </c>
      <c r="B670" s="138"/>
      <c r="C670" s="138"/>
      <c r="D670" s="138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8" t="s">
        <v>343</v>
      </c>
      <c r="B681" s="138"/>
      <c r="C681" s="138"/>
      <c r="D681" s="138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8" t="s">
        <v>344</v>
      </c>
      <c r="B692" s="138"/>
      <c r="C692" s="138"/>
      <c r="D692" s="138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8" t="s">
        <v>345</v>
      </c>
      <c r="B703" s="138"/>
      <c r="C703" s="138"/>
      <c r="D703" s="138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8" t="s">
        <v>348</v>
      </c>
      <c r="B715" s="138"/>
      <c r="C715" s="138"/>
      <c r="D715" s="138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8" t="s">
        <v>349</v>
      </c>
      <c r="B726" s="138"/>
      <c r="C726" s="138"/>
      <c r="D726" s="138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8" t="s">
        <v>350</v>
      </c>
      <c r="B738" s="138"/>
      <c r="C738" s="138"/>
      <c r="D738" s="138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8" t="s">
        <v>351</v>
      </c>
      <c r="B749" s="138"/>
      <c r="C749" s="138"/>
      <c r="D749" s="138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8" t="s">
        <v>352</v>
      </c>
      <c r="B760" s="138"/>
      <c r="C760" s="138"/>
      <c r="D760" s="138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8" t="s">
        <v>353</v>
      </c>
      <c r="B772" s="138"/>
      <c r="C772" s="138"/>
      <c r="D772" s="138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8" t="s">
        <v>355</v>
      </c>
      <c r="B784" s="138"/>
      <c r="C784" s="138"/>
      <c r="D784" s="138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8" t="s">
        <v>356</v>
      </c>
      <c r="B796" s="138"/>
      <c r="C796" s="138"/>
      <c r="D796" s="138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8" t="s">
        <v>357</v>
      </c>
      <c r="B809" s="138"/>
      <c r="C809" s="138"/>
      <c r="D809" s="138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8" t="s">
        <v>358</v>
      </c>
      <c r="B820" s="138"/>
      <c r="C820" s="138"/>
      <c r="D820" s="138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8" t="s">
        <v>359</v>
      </c>
      <c r="B831" s="138"/>
      <c r="C831" s="138"/>
      <c r="D831" s="138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8" t="s">
        <v>360</v>
      </c>
      <c r="B842" s="138"/>
      <c r="C842" s="138"/>
      <c r="D842" s="138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8" t="s">
        <v>361</v>
      </c>
      <c r="B854" s="138"/>
      <c r="C854" s="138"/>
      <c r="D854" s="138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8" t="s">
        <v>363</v>
      </c>
      <c r="B865" s="138"/>
      <c r="C865" s="138"/>
      <c r="D865" s="138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8" t="s">
        <v>364</v>
      </c>
      <c r="B876" s="138"/>
      <c r="C876" s="138"/>
      <c r="D876" s="138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8" t="s">
        <v>367</v>
      </c>
      <c r="B888" s="138"/>
      <c r="C888" s="138"/>
      <c r="D888" s="138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8" t="s">
        <v>368</v>
      </c>
      <c r="B901" s="138"/>
      <c r="C901" s="138"/>
      <c r="D901" s="138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8" t="s">
        <v>369</v>
      </c>
      <c r="B913" s="138"/>
      <c r="C913" s="138"/>
      <c r="D913" s="138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8" t="s">
        <v>370</v>
      </c>
      <c r="B925" s="138"/>
      <c r="C925" s="138"/>
      <c r="D925" s="138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8" t="s">
        <v>371</v>
      </c>
      <c r="B937" s="138"/>
      <c r="C937" s="138"/>
      <c r="D937" s="138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8" t="s">
        <v>372</v>
      </c>
      <c r="B949" s="138"/>
      <c r="C949" s="138"/>
      <c r="D949" s="138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8" t="s">
        <v>400</v>
      </c>
      <c r="B961" s="138"/>
      <c r="C961" s="138"/>
      <c r="D961" s="138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8" t="s">
        <v>402</v>
      </c>
      <c r="B974" s="138"/>
      <c r="C974" s="138"/>
      <c r="D974" s="138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8" t="s">
        <v>404</v>
      </c>
      <c r="B987" s="138"/>
      <c r="C987" s="138"/>
      <c r="D987" s="138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8" t="s">
        <v>405</v>
      </c>
      <c r="B1000" s="138"/>
      <c r="C1000" s="138"/>
      <c r="D1000" s="138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8" t="s">
        <v>408</v>
      </c>
      <c r="B1012" s="138"/>
      <c r="C1012" s="138"/>
      <c r="D1012" s="138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8" t="s">
        <v>410</v>
      </c>
      <c r="B1025" s="138"/>
      <c r="C1025" s="138"/>
      <c r="D1025" s="138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8" t="s">
        <v>413</v>
      </c>
      <c r="B1037" s="138"/>
      <c r="C1037" s="138"/>
      <c r="D1037" s="138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8" t="s">
        <v>415</v>
      </c>
      <c r="B1049" s="138"/>
      <c r="C1049" s="138"/>
      <c r="D1049" s="138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8" t="s">
        <v>417</v>
      </c>
      <c r="B1061" s="138"/>
      <c r="C1061" s="138"/>
      <c r="D1061" s="138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8" t="s">
        <v>419</v>
      </c>
      <c r="B1073" s="138"/>
      <c r="C1073" s="138"/>
      <c r="D1073" s="138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8" t="s">
        <v>421</v>
      </c>
      <c r="B1085" s="138"/>
      <c r="C1085" s="138"/>
      <c r="D1085" s="138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8" t="s">
        <v>423</v>
      </c>
      <c r="B1098" s="138"/>
      <c r="C1098" s="138"/>
      <c r="D1098" s="138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8" t="s">
        <v>426</v>
      </c>
      <c r="B1110" s="138"/>
      <c r="C1110" s="138"/>
      <c r="D1110" s="138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8" t="s">
        <v>428</v>
      </c>
      <c r="B1123" s="138"/>
      <c r="C1123" s="138"/>
      <c r="D1123" s="138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8" t="s">
        <v>430</v>
      </c>
      <c r="B1136" s="138"/>
      <c r="C1136" s="138"/>
      <c r="D1136" s="138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8" t="s">
        <v>432</v>
      </c>
      <c r="B1149" s="138"/>
      <c r="C1149" s="138"/>
      <c r="D1149" s="138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8" t="s">
        <v>434</v>
      </c>
      <c r="B1162" s="138"/>
      <c r="C1162" s="138"/>
      <c r="D1162" s="138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8" t="s">
        <v>437</v>
      </c>
      <c r="B1173" s="138"/>
      <c r="C1173" s="138"/>
      <c r="D1173" s="138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8" t="s">
        <v>439</v>
      </c>
      <c r="B1185" s="138"/>
      <c r="C1185" s="138"/>
      <c r="D1185" s="138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8" t="s">
        <v>441</v>
      </c>
      <c r="B1197" s="138"/>
      <c r="C1197" s="138"/>
      <c r="D1197" s="138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8" t="s">
        <v>443</v>
      </c>
      <c r="B1209" s="138"/>
      <c r="C1209" s="138"/>
      <c r="D1209" s="138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8" t="s">
        <v>445</v>
      </c>
      <c r="B1222" s="138"/>
      <c r="C1222" s="138"/>
      <c r="D1222" s="138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8" t="s">
        <v>447</v>
      </c>
      <c r="B1234" s="138"/>
      <c r="C1234" s="138"/>
      <c r="D1234" s="138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8" t="s">
        <v>449</v>
      </c>
      <c r="B1246" s="138"/>
      <c r="C1246" s="138"/>
      <c r="D1246" s="138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8" t="s">
        <v>452</v>
      </c>
      <c r="B1258" s="138"/>
      <c r="C1258" s="138"/>
      <c r="D1258" s="138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8" t="s">
        <v>454</v>
      </c>
      <c r="B1270" s="138"/>
      <c r="C1270" s="138"/>
      <c r="D1270" s="138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38" t="s">
        <v>456</v>
      </c>
      <c r="B1282" s="138"/>
      <c r="C1282" s="138"/>
      <c r="D1282" s="138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38" t="s">
        <v>458</v>
      </c>
      <c r="B1294" s="138"/>
      <c r="C1294" s="138"/>
      <c r="D1294" s="138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38" t="s">
        <v>460</v>
      </c>
      <c r="B1306" s="138"/>
      <c r="C1306" s="138"/>
      <c r="D1306" s="138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38" t="s">
        <v>462</v>
      </c>
      <c r="B1318" s="138"/>
      <c r="C1318" s="138"/>
      <c r="D1318" s="138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38" t="s">
        <v>464</v>
      </c>
      <c r="B1330" s="138"/>
      <c r="C1330" s="138"/>
      <c r="D1330" s="138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38" t="s">
        <v>467</v>
      </c>
      <c r="B1343" s="138"/>
      <c r="C1343" s="138"/>
      <c r="D1343" s="138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38" t="s">
        <v>469</v>
      </c>
      <c r="B1355" s="138"/>
      <c r="C1355" s="138"/>
      <c r="D1355" s="138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38" t="s">
        <v>471</v>
      </c>
      <c r="B1368" s="138"/>
      <c r="C1368" s="138"/>
      <c r="D1368" s="138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38" t="s">
        <v>473</v>
      </c>
      <c r="B1380" s="138"/>
      <c r="C1380" s="138"/>
      <c r="D1380" s="138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38" t="s">
        <v>476</v>
      </c>
      <c r="B1392" s="138"/>
      <c r="C1392" s="138"/>
      <c r="D1392" s="138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38" t="s">
        <v>478</v>
      </c>
      <c r="B1404" s="138"/>
      <c r="C1404" s="138"/>
      <c r="D1404" s="138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4">
      <c r="A1409" s="75" t="s">
        <v>253</v>
      </c>
      <c r="B1409" s="85">
        <v>28280</v>
      </c>
      <c r="C1409" s="85">
        <v>7720</v>
      </c>
      <c r="D1409">
        <v>12405000</v>
      </c>
    </row>
    <row r="1410" spans="1:4">
      <c r="A1410" s="83">
        <v>0.625</v>
      </c>
      <c r="B1410" s="85">
        <v>28300</v>
      </c>
      <c r="C1410" s="85">
        <v>7720</v>
      </c>
      <c r="D1410">
        <v>12435000</v>
      </c>
    </row>
    <row r="1411" spans="1:4">
      <c r="A1411" s="76" t="s">
        <v>254</v>
      </c>
      <c r="B1411" s="85">
        <v>28290</v>
      </c>
      <c r="C1411" s="85">
        <v>7720</v>
      </c>
      <c r="D1411">
        <v>12440000</v>
      </c>
    </row>
    <row r="1412" spans="1:4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6" spans="1:4">
      <c r="A1416" s="138" t="s">
        <v>479</v>
      </c>
      <c r="B1416" s="138"/>
      <c r="C1416" s="138"/>
      <c r="D1416" s="138"/>
    </row>
    <row r="1417" spans="1:4">
      <c r="A1417" s="85" t="s">
        <v>247</v>
      </c>
      <c r="B1417" s="85" t="s">
        <v>248</v>
      </c>
      <c r="C1417" s="85" t="s">
        <v>249</v>
      </c>
      <c r="D1417" s="85" t="s">
        <v>250</v>
      </c>
    </row>
    <row r="1418" spans="1:4">
      <c r="A1418" s="75">
        <v>0.45833333333333298</v>
      </c>
      <c r="B1418" s="85">
        <v>28350</v>
      </c>
      <c r="C1418" s="85">
        <v>7750</v>
      </c>
      <c r="D1418">
        <v>12520000</v>
      </c>
    </row>
    <row r="1419" spans="1:4">
      <c r="A1419" s="76" t="s">
        <v>251</v>
      </c>
      <c r="B1419" s="85">
        <v>28330</v>
      </c>
      <c r="C1419" s="85">
        <v>7745</v>
      </c>
      <c r="D1419">
        <v>12500000</v>
      </c>
    </row>
    <row r="1420" spans="1:4">
      <c r="A1420" s="77" t="s">
        <v>252</v>
      </c>
      <c r="B1420" s="85">
        <v>28300</v>
      </c>
      <c r="C1420" s="85">
        <v>7740</v>
      </c>
      <c r="D1420">
        <v>12495000</v>
      </c>
    </row>
    <row r="1421" spans="1:4">
      <c r="A1421" s="75" t="s">
        <v>253</v>
      </c>
      <c r="B1421" s="85">
        <v>28350</v>
      </c>
      <c r="C1421" s="85">
        <v>7760</v>
      </c>
      <c r="D1421">
        <v>12565000</v>
      </c>
    </row>
    <row r="1422" spans="1:4">
      <c r="A1422" s="83">
        <v>0.625</v>
      </c>
      <c r="B1422" s="85">
        <v>28400</v>
      </c>
      <c r="C1422" s="85">
        <v>7770</v>
      </c>
      <c r="D1422">
        <v>12580000</v>
      </c>
    </row>
    <row r="1423" spans="1:4">
      <c r="A1423" s="76" t="s">
        <v>254</v>
      </c>
      <c r="B1423" s="85">
        <v>28400</v>
      </c>
      <c r="C1423" s="85">
        <v>7780</v>
      </c>
      <c r="D1423" s="85">
        <v>12570000</v>
      </c>
    </row>
    <row r="1424" spans="1:4">
      <c r="A1424" s="86">
        <v>0.70833333333333304</v>
      </c>
      <c r="B1424" s="85">
        <v>28400</v>
      </c>
      <c r="C1424" s="85">
        <v>7775</v>
      </c>
      <c r="D1424" s="136">
        <v>12550000</v>
      </c>
    </row>
    <row r="1428" spans="1:4">
      <c r="A1428" s="138" t="s">
        <v>480</v>
      </c>
      <c r="B1428" s="138"/>
      <c r="C1428" s="138"/>
      <c r="D1428" s="138"/>
    </row>
    <row r="1429" spans="1:4">
      <c r="A1429" s="85" t="s">
        <v>247</v>
      </c>
      <c r="B1429" s="85" t="s">
        <v>248</v>
      </c>
      <c r="C1429" s="85" t="s">
        <v>249</v>
      </c>
      <c r="D1429" s="85" t="s">
        <v>250</v>
      </c>
    </row>
    <row r="1430" spans="1:4">
      <c r="A1430" s="75">
        <v>0.45833333333333298</v>
      </c>
      <c r="B1430" s="85">
        <v>28550</v>
      </c>
      <c r="C1430" s="85">
        <v>7810</v>
      </c>
      <c r="D1430">
        <v>12480000</v>
      </c>
    </row>
    <row r="1431" spans="1:4">
      <c r="A1431" s="76" t="s">
        <v>251</v>
      </c>
      <c r="B1431" s="85">
        <v>28620</v>
      </c>
      <c r="C1431" s="85">
        <v>7820</v>
      </c>
      <c r="D1431">
        <v>12475000</v>
      </c>
    </row>
    <row r="1432" spans="1:4">
      <c r="A1432" s="77" t="s">
        <v>252</v>
      </c>
      <c r="B1432" s="85">
        <v>28600</v>
      </c>
      <c r="C1432" s="85">
        <v>7830</v>
      </c>
      <c r="D1432">
        <v>12515000</v>
      </c>
    </row>
    <row r="1433" spans="1:4">
      <c r="A1433" s="75" t="s">
        <v>253</v>
      </c>
      <c r="B1433" s="85">
        <v>28570</v>
      </c>
      <c r="C1433" s="85">
        <v>7810</v>
      </c>
      <c r="D1433">
        <v>12510000</v>
      </c>
    </row>
    <row r="1434" spans="1:4">
      <c r="A1434" s="83">
        <v>0.625</v>
      </c>
      <c r="B1434" s="85">
        <v>28570</v>
      </c>
      <c r="C1434" s="85">
        <v>7810</v>
      </c>
      <c r="D1434">
        <v>12455000</v>
      </c>
    </row>
    <row r="1435" spans="1:4">
      <c r="A1435" s="76" t="s">
        <v>254</v>
      </c>
      <c r="B1435" s="85">
        <v>28570</v>
      </c>
      <c r="C1435" s="85">
        <v>7820</v>
      </c>
      <c r="D1435" s="85">
        <v>12475000</v>
      </c>
    </row>
    <row r="1436" spans="1:4">
      <c r="A1436" s="86">
        <v>0.70833333333333304</v>
      </c>
      <c r="B1436" s="85">
        <v>28570</v>
      </c>
      <c r="C1436" s="85">
        <v>7810</v>
      </c>
      <c r="D1436" s="136">
        <v>12485000</v>
      </c>
    </row>
    <row r="1441" spans="1:6">
      <c r="A1441" s="138" t="s">
        <v>481</v>
      </c>
      <c r="B1441" s="138"/>
      <c r="C1441" s="138"/>
      <c r="D1441" s="138"/>
    </row>
    <row r="1442" spans="1:6">
      <c r="A1442" s="85" t="s">
        <v>247</v>
      </c>
      <c r="B1442" s="85" t="s">
        <v>248</v>
      </c>
      <c r="C1442" s="85" t="s">
        <v>249</v>
      </c>
      <c r="D1442" s="85" t="s">
        <v>250</v>
      </c>
    </row>
    <row r="1443" spans="1:6">
      <c r="A1443" s="75">
        <v>0.45833333333333298</v>
      </c>
      <c r="B1443" s="85">
        <v>28850</v>
      </c>
      <c r="C1443" s="85">
        <v>7870</v>
      </c>
      <c r="D1443">
        <v>12570000</v>
      </c>
    </row>
    <row r="1444" spans="1:6">
      <c r="A1444" s="76" t="s">
        <v>251</v>
      </c>
      <c r="B1444" s="85">
        <v>28940</v>
      </c>
      <c r="C1444" s="85">
        <v>7880</v>
      </c>
      <c r="D1444">
        <v>12615000</v>
      </c>
    </row>
    <row r="1445" spans="1:6">
      <c r="A1445" s="77" t="s">
        <v>252</v>
      </c>
      <c r="B1445" s="85">
        <v>28980</v>
      </c>
      <c r="C1445" s="85">
        <v>7890</v>
      </c>
      <c r="D1445">
        <v>12645000</v>
      </c>
    </row>
    <row r="1446" spans="1:6">
      <c r="A1446" s="75" t="s">
        <v>253</v>
      </c>
      <c r="B1446" s="85">
        <v>29050</v>
      </c>
      <c r="C1446" s="85">
        <v>7900</v>
      </c>
      <c r="D1446">
        <v>12655000</v>
      </c>
    </row>
    <row r="1447" spans="1:6">
      <c r="A1447" s="83">
        <v>0.625</v>
      </c>
      <c r="B1447" s="85">
        <v>29050</v>
      </c>
      <c r="C1447" s="85">
        <v>7940</v>
      </c>
      <c r="D1447">
        <v>12680000</v>
      </c>
    </row>
    <row r="1448" spans="1:6">
      <c r="A1448" s="76" t="s">
        <v>254</v>
      </c>
      <c r="B1448" s="85">
        <v>29050</v>
      </c>
      <c r="C1448" s="85">
        <v>7980</v>
      </c>
      <c r="D1448" s="85">
        <v>12680000</v>
      </c>
    </row>
    <row r="1449" spans="1:6">
      <c r="A1449" s="86">
        <v>0.70833333333333304</v>
      </c>
      <c r="B1449" s="85">
        <v>29050</v>
      </c>
      <c r="C1449" s="85">
        <v>7980</v>
      </c>
      <c r="D1449" s="136">
        <v>12680000</v>
      </c>
    </row>
    <row r="1450" spans="1:6">
      <c r="F1450">
        <f>3.673*7920</f>
        <v>29090.16</v>
      </c>
    </row>
    <row r="1453" spans="1:6">
      <c r="A1453" s="138" t="s">
        <v>482</v>
      </c>
      <c r="B1453" s="138"/>
      <c r="C1453" s="138"/>
      <c r="D1453" s="138"/>
    </row>
    <row r="1454" spans="1:6">
      <c r="A1454" s="85" t="s">
        <v>247</v>
      </c>
      <c r="B1454" s="85" t="s">
        <v>248</v>
      </c>
      <c r="C1454" s="85" t="s">
        <v>249</v>
      </c>
      <c r="D1454" s="85" t="s">
        <v>250</v>
      </c>
    </row>
    <row r="1455" spans="1:6">
      <c r="A1455" s="75">
        <v>0.45833333333333298</v>
      </c>
      <c r="B1455" s="85"/>
      <c r="C1455" s="85"/>
      <c r="E1455">
        <v>12640000</v>
      </c>
    </row>
    <row r="1456" spans="1:6">
      <c r="A1456" s="76" t="s">
        <v>251</v>
      </c>
      <c r="B1456" s="85"/>
      <c r="C1456" s="85"/>
      <c r="E1456">
        <v>12620000</v>
      </c>
    </row>
    <row r="1457" spans="1:5">
      <c r="A1457" s="77" t="s">
        <v>252</v>
      </c>
      <c r="B1457" s="85"/>
      <c r="C1457" s="85"/>
      <c r="E1457">
        <v>12600000</v>
      </c>
    </row>
    <row r="1458" spans="1:5">
      <c r="A1458" s="75" t="s">
        <v>253</v>
      </c>
      <c r="B1458" s="85"/>
      <c r="C1458" s="85"/>
    </row>
    <row r="1459" spans="1:5">
      <c r="A1459" s="83">
        <v>0.625</v>
      </c>
      <c r="B1459" s="85"/>
      <c r="C1459" s="85"/>
    </row>
    <row r="1460" spans="1:5">
      <c r="A1460" s="76" t="s">
        <v>254</v>
      </c>
      <c r="B1460" s="85"/>
      <c r="C1460" s="85"/>
      <c r="D1460" s="85"/>
    </row>
    <row r="1461" spans="1:5">
      <c r="A1461" s="86">
        <v>0.70833333333333304</v>
      </c>
      <c r="B1461" s="85"/>
      <c r="C1461" s="85"/>
      <c r="D1461" s="136"/>
    </row>
    <row r="1465" spans="1:5">
      <c r="A1465" s="138" t="s">
        <v>489</v>
      </c>
      <c r="B1465" s="138"/>
      <c r="C1465" s="138"/>
      <c r="D1465" s="138"/>
    </row>
    <row r="1466" spans="1:5">
      <c r="A1466" s="85" t="s">
        <v>247</v>
      </c>
      <c r="B1466" s="85" t="s">
        <v>248</v>
      </c>
      <c r="C1466" s="85" t="s">
        <v>249</v>
      </c>
      <c r="D1466" s="85" t="s">
        <v>250</v>
      </c>
    </row>
    <row r="1467" spans="1:5">
      <c r="A1467" s="75">
        <v>0.45833333333333298</v>
      </c>
      <c r="B1467" s="85">
        <v>29270</v>
      </c>
      <c r="C1467" s="85">
        <v>7990</v>
      </c>
      <c r="D1467">
        <v>12675000</v>
      </c>
    </row>
    <row r="1468" spans="1:5">
      <c r="A1468" s="76" t="s">
        <v>251</v>
      </c>
      <c r="B1468" s="85">
        <v>29300</v>
      </c>
      <c r="C1468" s="85">
        <v>8000</v>
      </c>
      <c r="D1468">
        <v>12700000</v>
      </c>
    </row>
    <row r="1469" spans="1:5">
      <c r="A1469" s="77" t="s">
        <v>252</v>
      </c>
      <c r="B1469" s="85">
        <v>29260</v>
      </c>
      <c r="C1469" s="85">
        <v>7980</v>
      </c>
      <c r="D1469">
        <v>12645000</v>
      </c>
    </row>
    <row r="1470" spans="1:5">
      <c r="A1470" s="75" t="s">
        <v>253</v>
      </c>
      <c r="B1470" s="85">
        <v>29240</v>
      </c>
      <c r="C1470" s="85">
        <v>7970</v>
      </c>
      <c r="D1470">
        <v>12580000</v>
      </c>
    </row>
    <row r="1471" spans="1:5">
      <c r="A1471" s="83">
        <v>0.625</v>
      </c>
      <c r="B1471" s="85">
        <v>29180</v>
      </c>
      <c r="C1471" s="85">
        <v>7960</v>
      </c>
      <c r="D1471">
        <v>12565000</v>
      </c>
    </row>
    <row r="1472" spans="1:5">
      <c r="A1472" s="76" t="s">
        <v>254</v>
      </c>
      <c r="B1472" s="85">
        <v>29150</v>
      </c>
      <c r="C1472" s="85">
        <v>7950</v>
      </c>
      <c r="D1472" s="85">
        <v>12585000</v>
      </c>
    </row>
    <row r="1473" spans="1:4">
      <c r="A1473" s="86">
        <v>0.70833333333333304</v>
      </c>
      <c r="B1473" s="85">
        <v>29150</v>
      </c>
      <c r="C1473" s="85">
        <v>7950</v>
      </c>
      <c r="D1473" s="136">
        <v>12585000</v>
      </c>
    </row>
    <row r="1477" spans="1:4">
      <c r="A1477" s="138" t="s">
        <v>491</v>
      </c>
      <c r="B1477" s="138"/>
      <c r="C1477" s="138"/>
      <c r="D1477" s="138"/>
    </row>
    <row r="1478" spans="1:4">
      <c r="A1478" s="85" t="s">
        <v>247</v>
      </c>
      <c r="B1478" s="85" t="s">
        <v>248</v>
      </c>
      <c r="C1478" s="85" t="s">
        <v>249</v>
      </c>
      <c r="D1478" s="85" t="s">
        <v>250</v>
      </c>
    </row>
    <row r="1479" spans="1:4">
      <c r="A1479" s="75">
        <v>0.45833333333333298</v>
      </c>
      <c r="B1479" s="85">
        <v>29090</v>
      </c>
      <c r="C1479" s="85">
        <v>7970</v>
      </c>
      <c r="D1479">
        <v>12575000</v>
      </c>
    </row>
    <row r="1480" spans="1:4">
      <c r="A1480" s="76" t="s">
        <v>251</v>
      </c>
      <c r="B1480" s="85">
        <v>29070</v>
      </c>
      <c r="C1480" s="85">
        <v>7970</v>
      </c>
      <c r="D1480">
        <v>12550000</v>
      </c>
    </row>
    <row r="1481" spans="1:4">
      <c r="A1481" s="77" t="s">
        <v>252</v>
      </c>
      <c r="B1481" s="85">
        <v>29160</v>
      </c>
      <c r="C1481" s="85">
        <v>7970</v>
      </c>
      <c r="D1481">
        <v>12530000</v>
      </c>
    </row>
    <row r="1482" spans="1:4">
      <c r="A1482" s="75" t="s">
        <v>253</v>
      </c>
      <c r="B1482" s="85">
        <v>29200</v>
      </c>
      <c r="C1482" s="85">
        <v>7980</v>
      </c>
      <c r="D1482">
        <v>12550000</v>
      </c>
    </row>
    <row r="1483" spans="1:4">
      <c r="A1483" s="83">
        <v>0.625</v>
      </c>
      <c r="B1483" s="85">
        <v>29250</v>
      </c>
      <c r="C1483" s="85">
        <v>7990</v>
      </c>
      <c r="D1483">
        <v>12560000</v>
      </c>
    </row>
    <row r="1484" spans="1:4">
      <c r="A1484" s="76" t="s">
        <v>254</v>
      </c>
      <c r="B1484" s="85">
        <v>29250</v>
      </c>
      <c r="C1484" s="85">
        <v>7990</v>
      </c>
      <c r="D1484" s="85">
        <v>12595000</v>
      </c>
    </row>
    <row r="1485" spans="1:4">
      <c r="A1485" s="86">
        <v>0.70833333333333304</v>
      </c>
      <c r="B1485" s="85">
        <v>29250</v>
      </c>
      <c r="C1485" s="85">
        <v>7990</v>
      </c>
      <c r="D1485" s="136">
        <v>12595000</v>
      </c>
    </row>
    <row r="1490" spans="1:4">
      <c r="A1490" s="138" t="s">
        <v>493</v>
      </c>
      <c r="B1490" s="138"/>
      <c r="C1490" s="138"/>
      <c r="D1490" s="138"/>
    </row>
    <row r="1491" spans="1:4">
      <c r="A1491" s="85" t="s">
        <v>247</v>
      </c>
      <c r="B1491" s="85" t="s">
        <v>248</v>
      </c>
      <c r="C1491" s="85" t="s">
        <v>249</v>
      </c>
      <c r="D1491" s="85" t="s">
        <v>250</v>
      </c>
    </row>
    <row r="1492" spans="1:4">
      <c r="A1492" s="75">
        <v>0.45833333333333298</v>
      </c>
      <c r="B1492" s="85">
        <v>29540</v>
      </c>
      <c r="C1492" s="85">
        <v>8060</v>
      </c>
      <c r="D1492">
        <v>12720000</v>
      </c>
    </row>
    <row r="1493" spans="1:4">
      <c r="A1493" s="76" t="s">
        <v>251</v>
      </c>
      <c r="B1493" s="85">
        <v>29370</v>
      </c>
      <c r="C1493" s="85">
        <v>8050</v>
      </c>
      <c r="D1493">
        <v>12690000</v>
      </c>
    </row>
    <row r="1494" spans="1:4">
      <c r="A1494" s="77" t="s">
        <v>252</v>
      </c>
      <c r="B1494" s="85">
        <v>29430</v>
      </c>
      <c r="C1494" s="85">
        <v>8040</v>
      </c>
      <c r="D1494">
        <v>12685000</v>
      </c>
    </row>
    <row r="1495" spans="1:4">
      <c r="A1495" s="75" t="s">
        <v>253</v>
      </c>
      <c r="B1495" s="85">
        <v>29430</v>
      </c>
      <c r="C1495" s="85">
        <v>8020</v>
      </c>
      <c r="D1495">
        <v>12710000</v>
      </c>
    </row>
    <row r="1496" spans="1:4">
      <c r="A1496" s="83">
        <v>0.625</v>
      </c>
      <c r="B1496" s="85">
        <v>29430</v>
      </c>
      <c r="C1496" s="85">
        <v>8030</v>
      </c>
      <c r="D1496">
        <v>12685000</v>
      </c>
    </row>
    <row r="1497" spans="1:4">
      <c r="A1497" s="76" t="s">
        <v>254</v>
      </c>
      <c r="B1497" s="85">
        <v>29480</v>
      </c>
      <c r="C1497" s="85">
        <v>8040</v>
      </c>
      <c r="D1497" s="85">
        <v>12685000</v>
      </c>
    </row>
    <row r="1498" spans="1:4">
      <c r="A1498" s="86">
        <v>0.70833333333333304</v>
      </c>
      <c r="B1498" s="85">
        <v>29500</v>
      </c>
      <c r="C1498" s="85">
        <v>8050</v>
      </c>
      <c r="D1498" s="136">
        <v>12685000</v>
      </c>
    </row>
    <row r="1502" spans="1:4">
      <c r="A1502" s="138" t="s">
        <v>495</v>
      </c>
      <c r="B1502" s="138"/>
      <c r="C1502" s="138"/>
      <c r="D1502" s="138"/>
    </row>
    <row r="1503" spans="1:4">
      <c r="A1503" s="85" t="s">
        <v>247</v>
      </c>
      <c r="B1503" s="85" t="s">
        <v>248</v>
      </c>
      <c r="C1503" s="85" t="s">
        <v>249</v>
      </c>
      <c r="D1503" s="85" t="s">
        <v>250</v>
      </c>
    </row>
    <row r="1504" spans="1:4">
      <c r="A1504" s="75">
        <v>0.45833333333333298</v>
      </c>
      <c r="B1504" s="85">
        <v>29140</v>
      </c>
      <c r="C1504" s="85">
        <v>7960</v>
      </c>
      <c r="D1504">
        <v>12585000</v>
      </c>
    </row>
    <row r="1505" spans="1:4">
      <c r="A1505" s="76" t="s">
        <v>251</v>
      </c>
      <c r="B1505" s="85">
        <v>29080</v>
      </c>
      <c r="C1505" s="85">
        <v>7950</v>
      </c>
      <c r="D1505">
        <v>12595000</v>
      </c>
    </row>
    <row r="1506" spans="1:4">
      <c r="A1506" s="77" t="s">
        <v>252</v>
      </c>
      <c r="B1506" s="85">
        <v>29120</v>
      </c>
      <c r="C1506" s="85">
        <v>7940</v>
      </c>
      <c r="D1506">
        <v>12565000</v>
      </c>
    </row>
    <row r="1507" spans="1:4">
      <c r="A1507" s="75" t="s">
        <v>253</v>
      </c>
      <c r="B1507" s="85">
        <v>29100</v>
      </c>
      <c r="C1507" s="85">
        <v>7930</v>
      </c>
      <c r="D1507">
        <v>12545000</v>
      </c>
    </row>
    <row r="1508" spans="1:4">
      <c r="A1508" s="83">
        <v>0.625</v>
      </c>
      <c r="B1508" s="85">
        <v>29090</v>
      </c>
      <c r="C1508" s="85">
        <v>7920</v>
      </c>
      <c r="D1508">
        <v>12555000</v>
      </c>
    </row>
    <row r="1509" spans="1:4">
      <c r="A1509" s="76" t="s">
        <v>254</v>
      </c>
      <c r="B1509" s="85">
        <v>29090</v>
      </c>
      <c r="C1509" s="85">
        <v>7910</v>
      </c>
      <c r="D1509" s="85">
        <v>12555000</v>
      </c>
    </row>
    <row r="1510" spans="1:4">
      <c r="A1510" s="86">
        <v>0.70833333333333337</v>
      </c>
      <c r="B1510" s="85">
        <v>29110</v>
      </c>
      <c r="C1510" s="85">
        <v>7920</v>
      </c>
      <c r="D1510" s="136">
        <v>12555000</v>
      </c>
    </row>
  </sheetData>
  <mergeCells count="133">
    <mergeCell ref="A1502:D1502"/>
    <mergeCell ref="A1490:D1490"/>
    <mergeCell ref="A1477:D1477"/>
    <mergeCell ref="A1025:D1025"/>
    <mergeCell ref="A949:D949"/>
    <mergeCell ref="A974:D974"/>
    <mergeCell ref="A1465:D1465"/>
    <mergeCell ref="A738:D738"/>
    <mergeCell ref="A692:D692"/>
    <mergeCell ref="A703:D703"/>
    <mergeCell ref="A715:D715"/>
    <mergeCell ref="A726:D726"/>
    <mergeCell ref="A1037:D1037"/>
    <mergeCell ref="A1098:D1098"/>
    <mergeCell ref="A1085:D1085"/>
    <mergeCell ref="A1073:D1073"/>
    <mergeCell ref="A1061:D1061"/>
    <mergeCell ref="A1185:D1185"/>
    <mergeCell ref="A1162:D1162"/>
    <mergeCell ref="A1136:D1136"/>
    <mergeCell ref="A1149:D1149"/>
    <mergeCell ref="A1123:D1123"/>
    <mergeCell ref="A1173:D1173"/>
    <mergeCell ref="A1049:D1049"/>
    <mergeCell ref="A1453:D1453"/>
    <mergeCell ref="A842:D842"/>
    <mergeCell ref="A681:D681"/>
    <mergeCell ref="A796:D796"/>
    <mergeCell ref="A854:D854"/>
    <mergeCell ref="A1000:D1000"/>
    <mergeCell ref="A987:D987"/>
    <mergeCell ref="A1012:D1012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888:D888"/>
    <mergeCell ref="A901:D901"/>
    <mergeCell ref="A913:D913"/>
    <mergeCell ref="A961:D961"/>
    <mergeCell ref="A925:D925"/>
    <mergeCell ref="A937:D937"/>
    <mergeCell ref="A1318:D1318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670:D670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47:D647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273:D273"/>
    <mergeCell ref="A283:D283"/>
    <mergeCell ref="A293:D293"/>
    <mergeCell ref="A303:D303"/>
    <mergeCell ref="A1294:D1294"/>
    <mergeCell ref="A1110:D1110"/>
    <mergeCell ref="A1222:D1222"/>
    <mergeCell ref="A1441:D1441"/>
    <mergeCell ref="A1234:D1234"/>
    <mergeCell ref="A1209:D1209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428:D1428"/>
    <mergeCell ref="A1355:D1355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C21" sqref="C21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39" t="s">
        <v>373</v>
      </c>
      <c r="B1" s="139"/>
      <c r="C1" s="139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21"/>
  <sheetViews>
    <sheetView zoomScale="85" zoomScaleNormal="85" workbookViewId="0">
      <selection activeCell="I17" sqref="I17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21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2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21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2021-11-30T13:06:25Z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