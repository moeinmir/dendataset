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4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set'!$A$1:$BN$234</definedName>
    <definedName name="_xlnm._FilterDatabase" localSheetId="1" hidden="1">weekly!$A$1:$K$55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6" i="5" l="1"/>
  <c r="G156" i="5"/>
  <c r="F156" i="5"/>
  <c r="H155" i="5" l="1"/>
  <c r="G155" i="5"/>
  <c r="F155" i="5"/>
  <c r="V242" i="1"/>
  <c r="P235" i="1"/>
  <c r="D233" i="1"/>
  <c r="H154" i="5" l="1"/>
  <c r="G154" i="5"/>
  <c r="F154" i="5"/>
  <c r="Y243" i="1"/>
  <c r="Y245" i="1"/>
  <c r="BR228" i="1"/>
  <c r="D2001" i="3" l="1"/>
  <c r="H153" i="5"/>
  <c r="G153" i="5"/>
  <c r="F153" i="5"/>
  <c r="O233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U233" i="1"/>
  <c r="D1946" i="3" l="1"/>
  <c r="H150" i="5" l="1"/>
  <c r="G150" i="5"/>
  <c r="F150" i="5"/>
  <c r="D1927" i="3" l="1"/>
  <c r="D1934" i="3"/>
  <c r="H149" i="5" l="1"/>
  <c r="G149" i="5"/>
  <c r="F149" i="5"/>
  <c r="Y238" i="1" l="1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2" i="1" l="1"/>
  <c r="M216" i="1"/>
  <c r="L216" i="1"/>
  <c r="D1850" i="3" l="1"/>
  <c r="M215" i="1"/>
  <c r="L215" i="1"/>
  <c r="Y242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8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9" i="1"/>
  <c r="N240" i="1"/>
  <c r="N241" i="1"/>
  <c r="N242" i="1"/>
  <c r="N243" i="1"/>
  <c r="N244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2" i="1" l="1"/>
  <c r="S1" i="1" s="1"/>
  <c r="M232" i="1"/>
  <c r="U1" i="1" s="1"/>
</calcChain>
</file>

<file path=xl/sharedStrings.xml><?xml version="1.0" encoding="utf-8"?>
<sst xmlns="http://schemas.openxmlformats.org/spreadsheetml/2006/main" count="2073" uniqueCount="588">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</sst>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77568"/>
        <c:axId val="-1550883008"/>
      </c:lineChart>
      <c:catAx>
        <c:axId val="-155087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83008"/>
        <c:crosses val="autoZero"/>
        <c:auto val="1"/>
        <c:lblAlgn val="ctr"/>
        <c:lblOffset val="100"/>
        <c:noMultiLvlLbl val="0"/>
      </c:catAx>
      <c:valAx>
        <c:axId val="-15508830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775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84640"/>
        <c:axId val="-155087702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55088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77024"/>
        <c:crosses val="autoZero"/>
        <c:auto val="1"/>
        <c:lblAlgn val="ctr"/>
        <c:lblOffset val="100"/>
        <c:noMultiLvlLbl val="0"/>
      </c:catAx>
      <c:valAx>
        <c:axId val="-155087702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846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74848"/>
        <c:axId val="-1550874304"/>
      </c:lineChart>
      <c:catAx>
        <c:axId val="-155087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74304"/>
        <c:crosses val="autoZero"/>
        <c:auto val="1"/>
        <c:lblAlgn val="ctr"/>
        <c:lblOffset val="100"/>
        <c:noMultiLvlLbl val="0"/>
      </c:catAx>
      <c:valAx>
        <c:axId val="-1550874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748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73216"/>
        <c:axId val="-1550890704"/>
      </c:lineChart>
      <c:catAx>
        <c:axId val="-155087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0704"/>
        <c:crosses val="autoZero"/>
        <c:auto val="1"/>
        <c:lblAlgn val="ctr"/>
        <c:lblOffset val="100"/>
        <c:noMultiLvlLbl val="0"/>
      </c:catAx>
      <c:valAx>
        <c:axId val="-1550890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73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96144"/>
        <c:axId val="-1550886896"/>
      </c:lineChart>
      <c:catAx>
        <c:axId val="-155089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86896"/>
        <c:crosses val="autoZero"/>
        <c:auto val="1"/>
        <c:lblAlgn val="ctr"/>
        <c:lblOffset val="100"/>
        <c:noMultiLvlLbl val="0"/>
      </c:catAx>
      <c:valAx>
        <c:axId val="-15508868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61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550895056"/>
        <c:axId val="-155089233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55089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2336"/>
        <c:crosses val="autoZero"/>
        <c:auto val="1"/>
        <c:lblAlgn val="ctr"/>
        <c:lblOffset val="100"/>
        <c:noMultiLvlLbl val="0"/>
      </c:catAx>
      <c:valAx>
        <c:axId val="-155089233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50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550898320"/>
        <c:axId val="-1550899952"/>
      </c:barChart>
      <c:catAx>
        <c:axId val="-155089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9952"/>
        <c:crosses val="autoZero"/>
        <c:auto val="1"/>
        <c:lblAlgn val="ctr"/>
        <c:lblOffset val="100"/>
        <c:noMultiLvlLbl val="0"/>
      </c:catAx>
      <c:valAx>
        <c:axId val="-1550899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83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28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4"/>
          <c:order val="7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change'!$F$156:$I$156</c:f>
              <c:numCache>
                <c:formatCode>General</c:formatCode>
                <c:ptCount val="4"/>
                <c:pt idx="0">
                  <c:v>1.0948905109489051</c:v>
                </c:pt>
                <c:pt idx="1">
                  <c:v>0.16380016380016379</c:v>
                </c:pt>
                <c:pt idx="2">
                  <c:v>-0.87490535879532261</c:v>
                </c:pt>
                <c:pt idx="3">
                  <c:v>-2.34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50891792"/>
        <c:axId val="-155089940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55089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9408"/>
        <c:crosses val="autoZero"/>
        <c:auto val="1"/>
        <c:lblAlgn val="ctr"/>
        <c:lblOffset val="100"/>
        <c:noMultiLvlLbl val="0"/>
      </c:catAx>
      <c:valAx>
        <c:axId val="-15508994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089179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47"/>
  <sheetViews>
    <sheetView tabSelected="1" topLeftCell="V1" zoomScaleNormal="100" workbookViewId="0">
      <pane ySplit="1" topLeftCell="A221" activePane="bottomLeft" state="frozen"/>
      <selection activeCell="B1" sqref="B1"/>
      <selection pane="bottomLeft" activeCell="W234" sqref="W234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L232/G232</f>
        <v>#DIV/0!</v>
      </c>
      <c r="T1" s="3" t="s">
        <v>15</v>
      </c>
      <c r="U1" s="3">
        <f>M232/K232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36" customFormat="1" ht="18">
      <c r="B231" s="131" t="s">
        <v>586</v>
      </c>
      <c r="C231" s="104">
        <v>28</v>
      </c>
      <c r="D231" s="137">
        <v>25372</v>
      </c>
      <c r="H231" s="136">
        <v>28625</v>
      </c>
      <c r="L231" s="208"/>
      <c r="M231" s="208"/>
      <c r="P231" s="136">
        <v>25626</v>
      </c>
      <c r="Q231" s="136">
        <v>28911</v>
      </c>
      <c r="V231" s="136">
        <v>27250</v>
      </c>
      <c r="X231" s="136">
        <v>27700</v>
      </c>
      <c r="Y231" s="136">
        <v>31102</v>
      </c>
      <c r="Z231" s="138"/>
      <c r="AB231" s="137"/>
      <c r="AS231" s="137"/>
      <c r="AW231" s="137"/>
      <c r="BI231" s="177"/>
      <c r="BO231" s="151"/>
      <c r="BP231" s="151"/>
      <c r="BQ231" s="151"/>
      <c r="BR231" s="151"/>
    </row>
    <row r="232" spans="2:70" ht="18">
      <c r="D232" s="26"/>
      <c r="K232">
        <f>SUM(K2:K216)</f>
        <v>210358000</v>
      </c>
      <c r="L232" s="142">
        <f>SUM(L2:L216)</f>
        <v>38488576407409</v>
      </c>
      <c r="M232" s="142">
        <f>SUM(M2:M216)</f>
        <v>6182194847600</v>
      </c>
      <c r="V232" s="152">
        <v>27280</v>
      </c>
      <c r="Z232" s="25"/>
      <c r="AS232" s="26"/>
      <c r="AW232" s="30"/>
    </row>
    <row r="233" spans="2:70" ht="18">
      <c r="D233">
        <f>D230-F229</f>
        <v>-241</v>
      </c>
      <c r="O233">
        <f>P228-N227</f>
        <v>-190</v>
      </c>
      <c r="U233">
        <f>(X224-X210)/X210</f>
        <v>-8.9256198347107435E-2</v>
      </c>
      <c r="V233" s="152">
        <v>27300</v>
      </c>
      <c r="Z233" s="25"/>
      <c r="AS233" s="26"/>
      <c r="AW233" s="30"/>
    </row>
    <row r="234" spans="2:70" ht="18">
      <c r="W234" s="152"/>
      <c r="Z234" s="25"/>
      <c r="AS234" s="26"/>
      <c r="AW234" s="30"/>
    </row>
    <row r="235" spans="2:70" ht="18">
      <c r="D235" s="93"/>
      <c r="P235">
        <f>P230-N229</f>
        <v>24</v>
      </c>
      <c r="W235" s="152"/>
      <c r="Z235" s="25"/>
      <c r="AW235" s="30"/>
    </row>
    <row r="236" spans="2:70" ht="17.25" customHeight="1">
      <c r="D236" s="93"/>
      <c r="P236" t="s">
        <v>523</v>
      </c>
      <c r="Q236" t="s">
        <v>524</v>
      </c>
      <c r="W236" s="152"/>
      <c r="Z236" s="25"/>
    </row>
    <row r="237" spans="2:70" ht="18">
      <c r="D237" s="93"/>
      <c r="O237" s="126" t="s">
        <v>503</v>
      </c>
      <c r="P237">
        <v>-178</v>
      </c>
      <c r="Q237">
        <v>-180</v>
      </c>
      <c r="V237" s="25"/>
      <c r="W237" s="152"/>
      <c r="Z237" s="25"/>
    </row>
    <row r="238" spans="2:70" ht="18">
      <c r="D238" s="93"/>
      <c r="H238">
        <f>(27376-26532)/26532</f>
        <v>3.1810643750942259E-2</v>
      </c>
      <c r="O238" s="132" t="s">
        <v>505</v>
      </c>
      <c r="P238">
        <v>59</v>
      </c>
      <c r="Q238">
        <v>59</v>
      </c>
      <c r="V238" s="25"/>
      <c r="W238" s="152"/>
      <c r="Y238">
        <f>(30920-28470)/30920</f>
        <v>7.923673997412678E-2</v>
      </c>
    </row>
    <row r="239" spans="2:70" ht="18">
      <c r="D239" s="93"/>
      <c r="N239">
        <f t="shared" ref="N239:N243" si="42">N199-N198</f>
        <v>-15</v>
      </c>
      <c r="O239" s="132" t="s">
        <v>507</v>
      </c>
      <c r="P239">
        <v>-17</v>
      </c>
      <c r="Q239">
        <v>-16</v>
      </c>
      <c r="V239" s="25"/>
      <c r="W239" s="152"/>
    </row>
    <row r="240" spans="2:70" ht="18">
      <c r="D240" s="107"/>
      <c r="N240">
        <f t="shared" si="42"/>
        <v>-12</v>
      </c>
      <c r="O240" s="132" t="s">
        <v>509</v>
      </c>
      <c r="P240">
        <v>-163</v>
      </c>
      <c r="Q240">
        <v>-165</v>
      </c>
      <c r="W240" s="144"/>
    </row>
    <row r="241" spans="4:25" ht="18">
      <c r="D241" s="107"/>
      <c r="N241">
        <f t="shared" si="42"/>
        <v>-137</v>
      </c>
      <c r="O241" s="132" t="s">
        <v>511</v>
      </c>
      <c r="P241">
        <v>50</v>
      </c>
      <c r="Q241">
        <v>50</v>
      </c>
      <c r="W241" s="144"/>
      <c r="X241" s="109"/>
    </row>
    <row r="242" spans="4:25" ht="18">
      <c r="D242" s="113"/>
      <c r="N242">
        <f t="shared" si="42"/>
        <v>-138</v>
      </c>
      <c r="O242" s="145" t="s">
        <v>513</v>
      </c>
      <c r="P242">
        <v>-15</v>
      </c>
      <c r="Q242">
        <v>-15</v>
      </c>
      <c r="V242">
        <f>(3376-3251)/3251</f>
        <v>3.8449707782220857E-2</v>
      </c>
      <c r="W242" s="144"/>
      <c r="X242" s="109"/>
      <c r="Y242">
        <f>(W240-X215)/X215</f>
        <v>-1</v>
      </c>
    </row>
    <row r="243" spans="4:25" ht="18">
      <c r="D243" s="107"/>
      <c r="G243" s="9"/>
      <c r="N243">
        <f t="shared" si="42"/>
        <v>-43</v>
      </c>
      <c r="O243" s="145" t="s">
        <v>515</v>
      </c>
      <c r="P243">
        <v>-12</v>
      </c>
      <c r="Q243">
        <v>-12</v>
      </c>
      <c r="X243" s="109"/>
      <c r="Y243">
        <f>(43725-42669)/42669</f>
        <v>2.4748646558391339E-2</v>
      </c>
    </row>
    <row r="244" spans="4:25" ht="18">
      <c r="D244" s="103"/>
      <c r="G244" s="9"/>
      <c r="N244">
        <f>N232-N203</f>
        <v>-27379</v>
      </c>
      <c r="O244" s="148" t="s">
        <v>517</v>
      </c>
      <c r="P244">
        <v>-136</v>
      </c>
      <c r="Q244">
        <v>-137</v>
      </c>
      <c r="X244" s="109"/>
    </row>
    <row r="245" spans="4:25" ht="18">
      <c r="G245" s="9"/>
      <c r="O245" s="145" t="s">
        <v>519</v>
      </c>
      <c r="P245">
        <v>-137</v>
      </c>
      <c r="Q245">
        <v>-138</v>
      </c>
      <c r="X245" s="109"/>
      <c r="Y245">
        <f>(3365-3279)/3279</f>
        <v>2.6227508386703263E-2</v>
      </c>
    </row>
    <row r="246" spans="4:25" ht="18">
      <c r="G246" s="9"/>
      <c r="O246" s="131" t="s">
        <v>521</v>
      </c>
      <c r="P246">
        <v>-42</v>
      </c>
      <c r="Q246">
        <v>-43</v>
      </c>
      <c r="X246" s="109"/>
    </row>
    <row r="247" spans="4:25" ht="18">
      <c r="G247" s="9"/>
    </row>
  </sheetData>
  <autoFilter ref="A1:BN23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opLeftCell="A124" zoomScale="25" zoomScaleNormal="25" workbookViewId="0">
      <selection activeCell="BF153" sqref="BF15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37"/>
  <sheetViews>
    <sheetView topLeftCell="A2024" zoomScaleNormal="100" workbookViewId="0">
      <selection activeCell="B2032" sqref="B203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</sheetData>
  <mergeCells count="175">
    <mergeCell ref="A2029:C2029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2017:C2017"/>
    <mergeCell ref="A2005:C2005"/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992:C1992"/>
    <mergeCell ref="A1979:C197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6"/>
  <sheetViews>
    <sheetView zoomScale="85" zoomScaleNormal="85" workbookViewId="0">
      <selection activeCell="A19" sqref="A19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6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2022-01-18T12:40:29Z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