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set'!$A$1:$BN$239</definedName>
    <definedName name="_xlnm._FilterDatabase" localSheetId="1" hidden="1">weekly!$A$1:$K$56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60" i="5" l="1"/>
  <c r="G160" i="5"/>
  <c r="F160" i="5"/>
  <c r="D2084" i="3" l="1"/>
  <c r="X241" i="1"/>
  <c r="H159" i="5" l="1"/>
  <c r="G159" i="5"/>
  <c r="F159" i="5"/>
  <c r="H158" i="5" l="1"/>
  <c r="G158" i="5"/>
  <c r="F158" i="5"/>
  <c r="I44" i="2"/>
  <c r="C46" i="2"/>
  <c r="H45" i="2"/>
  <c r="B47" i="2"/>
  <c r="D2061" i="3"/>
  <c r="H157" i="5" l="1"/>
  <c r="G157" i="5"/>
  <c r="F157" i="5"/>
  <c r="H156" i="5" l="1"/>
  <c r="G156" i="5"/>
  <c r="F156" i="5"/>
  <c r="H155" i="5" l="1"/>
  <c r="G155" i="5"/>
  <c r="F155" i="5"/>
  <c r="V247" i="1"/>
  <c r="P240" i="1"/>
  <c r="H154" i="5" l="1"/>
  <c r="G154" i="5"/>
  <c r="F154" i="5"/>
  <c r="Y248" i="1"/>
  <c r="Y250" i="1"/>
  <c r="BR228" i="1"/>
  <c r="D2001" i="3" l="1"/>
  <c r="H153" i="5"/>
  <c r="G153" i="5"/>
  <c r="F153" i="5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D1946" i="3" l="1"/>
  <c r="H150" i="5" l="1"/>
  <c r="G150" i="5"/>
  <c r="F150" i="5"/>
  <c r="D1927" i="3" l="1"/>
  <c r="D1934" i="3"/>
  <c r="H149" i="5" l="1"/>
  <c r="G149" i="5"/>
  <c r="F149" i="5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37" i="1" l="1"/>
  <c r="M216" i="1"/>
  <c r="L216" i="1"/>
  <c r="D1850" i="3" l="1"/>
  <c r="M215" i="1"/>
  <c r="L215" i="1"/>
  <c r="Y247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4" i="2" l="1"/>
  <c r="E46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43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44" i="1"/>
  <c r="N245" i="1"/>
  <c r="N246" i="1"/>
  <c r="N247" i="1"/>
  <c r="N248" i="1"/>
  <c r="N249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7" i="2" l="1"/>
  <c r="J46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5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5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6" i="2"/>
  <c r="G55" i="2"/>
  <c r="G54" i="2"/>
  <c r="G53" i="2"/>
  <c r="G52" i="2"/>
  <c r="G51" i="2"/>
  <c r="G50" i="2"/>
  <c r="G49" i="2"/>
  <c r="G48" i="2"/>
  <c r="C44" i="2"/>
  <c r="B44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8" i="2" s="1"/>
  <c r="G16" i="2"/>
  <c r="E16" i="2"/>
  <c r="C50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37" i="1" l="1"/>
  <c r="S1" i="1" s="1"/>
  <c r="M237" i="1"/>
  <c r="U1" i="1" s="1"/>
</calcChain>
</file>

<file path=xl/sharedStrings.xml><?xml version="1.0" encoding="utf-8"?>
<sst xmlns="http://schemas.openxmlformats.org/spreadsheetml/2006/main" count="2119" uniqueCount="599">
  <si>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</si>
  <si>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</si>
  <si>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</si>
  <si>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</si>
  <si>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</si>
  <si>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</si>
  <si>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</si>
  <si>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</si>
  <si>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</si>
  <si>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</si>
  <si>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</si>
  <si>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</si>
  <si>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</si>
  <si>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</si>
  <si>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</si>
  <si>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</si>
  <si>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</si>
  <si>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</si>
  <si>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</si>
  <si>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</si>
  <si>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</si>
  <si>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</si>
  <si>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</si>
  <si>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</si>
  <si>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</si>
  <si>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</si>
  <si>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</si>
  <si>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</si>
  <si>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</si>
  <si>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</si>
  <si>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</si>
  <si>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</si>
  <si>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</si>
  <si>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</si>
  <si>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</si>
  <si>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</si>
  <si>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</si>
  <si>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</si>
  <si>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</si>
  <si>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</si>
  <si>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</si>
  <si>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</si>
  <si>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</si>
  <si>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</si>
  <si>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</si>
  <si>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</si>
  <si>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</si>
  <si>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</si>
  <si>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</si>
  <si>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</si>
  <si>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</si>
  <si>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</si>
  <si>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</si>
  <si>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</si>
  <si>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</si>
  <si>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</si>
  <si>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</si>
  <si>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</si>
  <si>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</si>
  <si>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</si>
  <si>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</si>
  <si>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</si>
  <si>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</si>
  <si>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</si>
  <si>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</si>
  <si>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</si>
  <si>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</si>
  <si>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</si>
  <si>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</si>
  <si>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</si>
  <si>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</si>
  <si>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</si>
  <si>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</si>
  <si>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</si>
  <si>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</si>
  <si>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</si>
  <si>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</si>
  <si>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</si>
  <si>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</si>
  <si>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</si>
  <si>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</si>
  <si>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</si>
  <si>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</si>
  <si>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</si>
  <si>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</si>
  <si>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</si>
  <si>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</si>
  <si>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</si>
  <si>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</si>
  <si>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</si>
  <si>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</si>
  <si>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</si>
  <si>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</si>
  <si>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</si>
  <si>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</si>
  <si>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</si>
  <si>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</si>
  <si>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</si>
  <si>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</si>
  <si>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</si>
  <si>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</si>
  <si>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</si>
  <si>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</si>
  <si>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</si>
  <si>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</si>
  <si>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</si>
  <si>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</si>
  <si>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</si>
  <si>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</si>
  <si>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</si>
  <si>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</si>
  <si>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</si>
  <si>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</si>
  <si>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</si>
  <si>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</si>
  <si>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</si>
  <si>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</si>
  <si>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</si>
  <si>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</si>
  <si>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</si>
  <si>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</si>
  <si>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</si>
  <si>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</si>
  <si>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</si>
  <si>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</si>
  <si>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</si>
  <si>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</si>
  <si>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</si>
  <si>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</si>
  <si>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</si>
  <si>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</si>
  <si>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</si>
  <si>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</si>
  <si>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</si>
  <si>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</si>
  <si>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</si>
  <si>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</si>
  <si>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</si>
  <si>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</si>
  <si>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</si>
  <si>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</si>
  <si>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</si>
  <si>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</si>
  <si>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</si>
  <si>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</si>
  <si>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</si>
  <si>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</si>
  <si>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</si>
  <si>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</si>
  <si>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</si>
  <si>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</si>
  <si>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</si>
  <si>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</si>
  <si>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</si>
  <si>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</si>
  <si>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</si>
  <si>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</si>
  <si>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</si>
  <si>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</si>
  <si>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</si>
  <si>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</si>
  <si>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</si>
  <si>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</si>
  <si>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</si>
  <si>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</si>
  <si>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</si>
  <si>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</si>
  <si>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</si>
  <si>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</si>
  <si>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</si>
  <si>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</si>
  <si>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</si>
  <si>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</si>
  <si>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</si>
  <si>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</si>
  <si>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</si>
  <si>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</si>
  <si>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</si>
  <si>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</si>
  <si>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</si>
  <si>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</si>
  <si>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</si>
  <si>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</si>
  <si>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</si>
  <si>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</si>
  <si>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</si>
  <si>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</si>
  <si>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</si>
  <si>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</si>
  <si>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</si>
  <si>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</si>
  <si>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</si>
  <si>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</si>
  <si>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</si>
  <si>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</si>
  <si>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</si>
  <si>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</si>
  <si>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</si>
  <si>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</si>
  <si>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</si>
  <si>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</si>
  <si>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</si>
  <si>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</si>
  <si>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</si>
  <si>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</si>
  <si>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</si>
  <si>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</si>
  <si>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</si>
  <si>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</si>
  <si>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</si>
  <si>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</si>
  <si>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</si>
  <si>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</si>
  <si>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</si>
  <si>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</si>
  <si>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</si>
  <si>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</si>
  <si>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</si>
  <si>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</si>
  <si>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</si>
  <si>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</si>
  <si>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</si>
  <si>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</si>
  <si>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</si>
  <si>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</si>
  <si>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</si>
  <si>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</si>
  <si>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</si>
  <si>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</si>
  <si>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</si>
  <si>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</si>
  <si>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</si>
  <si>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</si>
  <si>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</si>
  <si>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</si>
  <si>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</si>
  <si>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</si>
  <si>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</si>
  <si>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</si>
  <si>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</si>
  <si>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</si>
  <si>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</si>
  <si>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</si>
  <si>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</si>
  <si>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</si>
  <si>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</si>
  <si>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</si>
  <si>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</si>
  <si>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</si>
  <si>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</si>
  <si>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</si>
  <si>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</si>
  <si>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</si>
  <si>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</si>
  <si>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</si>
  <si>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</si>
  <si>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</si>
  <si>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</si>
  <si>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</si>
  <si>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</si>
  <si>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</si>
  <si>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</si>
  <si>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</si>
  <si>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</si>
  <si>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</si>
  <si>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</si>
  <si>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</si>
  <si>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</si>
  <si>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</si>
  <si>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</si>
  <si>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</si>
  <si>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</si>
  <si>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</si>
  <si>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</si>
  <si>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</si>
  <si>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</si>
  <si>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</si>
  <si>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</si>
  <si>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</si>
  <si>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</si>
  <si>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</si>
  <si>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</si>
  <si>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</si>
  <si>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</si>
  <si>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</si>
  <si>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</si>
  <si>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</si>
  <si>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</si>
  <si>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</si>
  <si>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</si>
  <si>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</si>
  <si>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</si>
  <si>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</si>
  <si>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</si>
  <si>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</si>
  <si>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</si>
  <si>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</si>
  <si>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</si>
  <si>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</si>
  <si>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</si>
  <si>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</si>
  <si>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</si>
  <si>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</si>
  <si>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</si>
  <si>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</si>
  <si>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</si>
  <si>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</si>
  <si>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</si>
  <si>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</si>
  <si>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</si>
  <si>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</si>
  <si>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</si>
  <si>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</si>
  <si>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</si>
  <si>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</si>
  <si>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</si>
  <si>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</si>
  <si>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</si>
  <si>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</si>
  <si>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</si>
  <si>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</si>
  <si>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</si>
  <si>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</si>
  <si>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</si>
  <si>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</si>
  <si>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</si>
  <si>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</si>
  <si>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</si>
  <si>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</si>
  <si>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</si>
  <si>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</si>
  <si>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</si>
  <si>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</si>
  <si>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</si>
  <si>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</si>
  <si>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</si>
  <si>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</si>
  <si>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</si>
  <si>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</si>
  <si>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</si>
  <si>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</si>
  <si>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</si>
  <si>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</si>
  <si>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</si>
  <si>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</si>
  <si>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</si>
  <si>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</si>
  <si>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</si>
  <si>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</si>
  <si>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</si>
  <si>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</si>
  <si>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</si>
  <si>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</si>
  <si>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</si>
  <si>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</si>
  <si>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</si>
  <si>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</si>
  <si>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</si>
  <si>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</si>
  <si>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</si>
  <si>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</si>
  <si>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</si>
  <si>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</si>
  <si>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</si>
  <si>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</si>
  <si>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</si>
  <si>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</si>
  <si>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</si>
  <si>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</si>
  <si>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</si>
  <si>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</si>
  <si>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</si>
  <si>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</si>
  <si>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</si>
  <si>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</si>
  <si>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</si>
  <si>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</si>
  <si>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</si>
  <si>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</si>
  <si>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</si>
  <si>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</si>
  <si>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</si>
  <si>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</si>
  <si>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</si>
  <si>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</si>
  <si>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</si>
  <si>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</si>
  <si>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</si>
  <si>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</si>
  <si>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</si>
  <si>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</si>
  <si>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</si>
  <si>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</si>
  <si>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</si>
  <si>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</si>
  <si>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</si>
  <si>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</si>
  <si>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</si>
  <si>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</si>
  <si>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</si>
  <si>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</si>
  <si>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</si>
  <si>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</si>
  <si>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</si>
  <si>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</si>
  <si>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</si>
  <si>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</si>
  <si>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</si>
  <si>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</si>
  <si>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</si>
  <si>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</si>
  <si>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</si>
  <si>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</si>
  <si>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</si>
  <si>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</si>
  <si>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</si>
  <si>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</si>
  <si>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</si>
  <si>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</si>
  <si>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</si>
  <si>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</si>
  <si>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</si>
  <si>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</si>
  <si>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</si>
  <si>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</si>
  <si>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</si>
  <si>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</si>
  <si>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</si>
  <si>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</si>
  <si>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</si>
  <si>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</si>
  <si>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</si>
  <si>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</si>
  <si>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</si>
  <si>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</si>
  <si>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</si>
  <si>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</si>
  <si>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</si>
  <si>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</si>
  <si>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</si>
  <si>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</si>
  <si>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</si>
  <si>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</si>
  <si>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</si>
  <si>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</si>
  <si>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</si>
  <si>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</si>
  <si>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</si>
  <si>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</si>
  <si>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</si>
  <si>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</si>
  <si>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</si>
  <si>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</si>
  <si>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</si>
  <si>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</si>
  <si>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</si>
  <si>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</si>
  <si>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</si>
  <si>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</si>
  <si>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</si>
  <si>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</si>
  <si>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</si>
  <si>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</si>
  <si>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</si>
  <si>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</si>
  <si>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</si>
  <si>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</si>
  <si>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</si>
  <si>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</si>
  <si>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</si>
  <si>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</si>
  <si>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</si>
  <si>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</si>
  <si>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</si>
  <si>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</si>
  <si>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</si>
  <si>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</si>
  <si>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</si>
  <si>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</si>
  <si>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</si>
  <si>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</si>
  <si>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</si>
  <si>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</si>
  <si>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</si>
  <si>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</si>
  <si>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</si>
  <si>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</si>
  <si>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</si>
  <si>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</si>
  <si>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</si>
  <si>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</si>
  <si>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</si>
  <si>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</si>
  <si>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</si>
  <si>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</si>
  <si>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</si>
  <si>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</si>
  <si>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</si>
  <si>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</si>
  <si>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</si>
  <si>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</si>
  <si>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</si>
  <si>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</si>
  <si>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</si>
  <si>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</si>
  <si>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</si>
  <si>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</si>
  <si>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</si>
  <si>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</si>
  <si>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</si>
  <si>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</si>
  <si>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</si>
  <si>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</si>
  <si>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</si>
  <si>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</si>
  <si>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</si>
  <si>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</si>
  <si>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</si>
  <si>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</si>
  <si>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</si>
  <si>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</si>
  <si>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</si>
  <si>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</si>
  <si>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</si>
  <si>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</si>
  <si>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</si>
  <si>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</si>
  <si>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</si>
  <si>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</si>
  <si>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</si>
  <si>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</si>
  <si>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</si>
  <si>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</si>
  <si>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</si>
  <si>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</si>
  <si>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</si>
  <si>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</si>
  <si>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</si>
  <si>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</si>
  <si>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</si>
  <si>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</si>
  <si>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</si>
  <si>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</si>
  <si>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</si>
  <si>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</si>
  <si>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</si>
  <si>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</si>
  <si>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</si>
  <si>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</si>
  <si>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</si>
  <si>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</si>
  <si>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</si>
  <si>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</si>
  <si>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</si>
  <si>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</si>
  <si>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</si>
  <si>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</si>
  <si>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</si>
  <si>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</si>
  <si>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</si>
  <si>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</si>
  <si>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</si>
  <si>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</si>
  <si>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</si>
  <si>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</si>
  <si>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</si>
  <si>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</si>
  <si>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</si>
  <si>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</si>
  <si>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</si>
  <si>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</si>
  <si>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</si>
  <si>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</si>
  <si>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</si>
  <si>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</si>
  <si>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</si>
  <si>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</si>
  <si>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</si>
  <si>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</si>
  <si>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</si>
  <si>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</si>
  <si>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</si>
  <si>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</si>
  <si>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</si>
  <si>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</si>
  <si>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</si>
  <si>
    <t>28دی1400</t>
  </si>
  <si>
    <t>روند روزانه بهای سکه و ارز ( سه‌شنبه 28 دی 1400)</t>
  </si>
  <si>
    <t>29دی1400</t>
  </si>
  <si>
    <t>روند روزانه بهای سکه و ارز ( چهارشنبه 29 دی 1400)</t>
  </si>
  <si>
    <t>30دی1400</t>
  </si>
  <si>
    <t>روند روزانه بهای سکه و ارز ( پنجشنبه 30 دی 1400)</t>
  </si>
  <si>
    <t>هفته 43 سال</t>
  </si>
  <si>
    <t>2بهمن 1400</t>
  </si>
  <si>
    <t>روند روزانه بهای سکه و ارز ( شنبه 02 بهمن 1400)</t>
  </si>
  <si>
    <t>03بهمن1400</t>
  </si>
  <si>
    <t>روند روزانه بهای سکه و ارز ( یکشنبه 03 بهمن 1400)</t>
  </si>
  <si>
    <t>04بهمن1400</t>
  </si>
  <si>
    <t>روند روزانه بهای سکه و ارز ( دوشنبه 04 بهمن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</si>
</sst>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0" borderId="3" xfId="0" applyFill="1" applyBorder="1"/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750828416"/>
        <c:axId val="-1750826784"/>
      </c:lineChart>
      <c:catAx>
        <c:axId val="-1750828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50826784"/>
        <c:crosses val="autoZero"/>
        <c:auto val="1"/>
        <c:lblAlgn val="ctr"/>
        <c:lblOffset val="100"/>
        <c:noMultiLvlLbl val="0"/>
      </c:catAx>
      <c:valAx>
        <c:axId val="-17508267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5082841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16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1.5192293530399801E-2"/>
                  <c:y val="1.74805091264456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90F-4F51-9A35-6F5002F923BD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weekly!$A$27:$A$43</c15:sqref>
                  </c15:fullRef>
                </c:ext>
              </c:extLst>
              <c:f>weekly!$A$28:$A$43</c:f>
              <c:strCache>
                <c:ptCount val="1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weekly!$B$27:$B$43</c15:sqref>
                  </c15:fullRef>
                </c:ext>
              </c:extLst>
              <c:f>weekly!$B$28:$B$43</c:f>
              <c:numCache>
                <c:formatCode>General</c:formatCode>
                <c:ptCount val="16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  <c:pt idx="15">
                  <c:v>25505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355E-4B62-A857-364C7FFBA74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5.9286999143024939E-3"/>
                  <c:y val="-1.344654548188180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0869157614784573E-16"/>
                  <c:y val="-2.21868000451042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weekly!$A$27:$A$43</c15:sqref>
                  </c15:fullRef>
                </c:ext>
              </c:extLst>
              <c:f>weekly!$A$28:$A$43</c:f>
              <c:strCache>
                <c:ptCount val="1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weekly!$H$27:$H$43</c15:sqref>
                  </c15:fullRef>
                </c:ext>
              </c:extLst>
              <c:f>weekly!$H$28:$H$43</c:f>
              <c:numCache>
                <c:formatCode>General</c:formatCode>
                <c:ptCount val="16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  <c:pt idx="15">
                  <c:v>25731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750818624"/>
        <c:axId val="-1750830592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weekly!$A$27:$A$43</c15:sqref>
                        </c15:fullRef>
                        <c15:formulaRef>
                          <c15:sqref>weekly!$A$28:$A$43</c15:sqref>
                        </c15:formulaRef>
                      </c:ext>
                    </c:extLst>
                    <c:strCache>
                      <c:ptCount val="16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1750818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50830592"/>
        <c:crosses val="autoZero"/>
        <c:auto val="1"/>
        <c:lblAlgn val="ctr"/>
        <c:lblOffset val="100"/>
        <c:noMultiLvlLbl val="0"/>
      </c:catAx>
      <c:valAx>
        <c:axId val="-1750830592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5081862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750825152"/>
        <c:axId val="-1750823520"/>
      </c:lineChart>
      <c:catAx>
        <c:axId val="-1750825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50823520"/>
        <c:crosses val="autoZero"/>
        <c:auto val="1"/>
        <c:lblAlgn val="ctr"/>
        <c:lblOffset val="100"/>
        <c:noMultiLvlLbl val="0"/>
      </c:catAx>
      <c:valAx>
        <c:axId val="-17508235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5082515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750817536"/>
        <c:axId val="-1750816992"/>
      </c:lineChart>
      <c:catAx>
        <c:axId val="-1750817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50816992"/>
        <c:crosses val="autoZero"/>
        <c:auto val="1"/>
        <c:lblAlgn val="ctr"/>
        <c:lblOffset val="100"/>
        <c:noMultiLvlLbl val="0"/>
      </c:catAx>
      <c:valAx>
        <c:axId val="-17508169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5081753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750816448"/>
        <c:axId val="-1750815360"/>
      </c:lineChart>
      <c:catAx>
        <c:axId val="-1750816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50815360"/>
        <c:crosses val="autoZero"/>
        <c:auto val="1"/>
        <c:lblAlgn val="ctr"/>
        <c:lblOffset val="100"/>
        <c:noMultiLvlLbl val="0"/>
      </c:catAx>
      <c:valAx>
        <c:axId val="-17508153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5081644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16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weekly!$A$27:$A$43</c15:sqref>
                  </c15:fullRef>
                </c:ext>
              </c:extLst>
              <c:f>weekly!$A$28:$A$43</c:f>
              <c:strCache>
                <c:ptCount val="1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weekly!$C$27:$C$43</c15:sqref>
                  </c15:fullRef>
                </c:ext>
              </c:extLst>
              <c:f>weekly!$C$28:$C$43</c:f>
              <c:numCache>
                <c:formatCode>General</c:formatCode>
                <c:ptCount val="16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  <c:pt idx="15">
                  <c:v>28892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CC3E-4439-B070-3AEFA3B2358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weekly!$A$27:$A$43</c15:sqref>
                  </c15:fullRef>
                </c:ext>
              </c:extLst>
              <c:f>weekly!$A$28:$A$43</c:f>
              <c:strCache>
                <c:ptCount val="1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weekly!$I$27:$I$43</c15:sqref>
                  </c15:fullRef>
                </c:ext>
              </c:extLst>
              <c:f>weekly!$I$28:$I$43</c:f>
              <c:numCache>
                <c:formatCode>General</c:formatCode>
                <c:ptCount val="16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  <c:pt idx="15">
                  <c:v>29043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665409648"/>
        <c:axId val="-1665420528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weekly!$A$27:$A$43</c15:sqref>
                        </c15:fullRef>
                        <c15:formulaRef>
                          <c15:sqref>weekly!$A$28:$A$43</c15:sqref>
                        </c15:formulaRef>
                      </c:ext>
                    </c:extLst>
                    <c:strCache>
                      <c:ptCount val="16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1665409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65420528"/>
        <c:crosses val="autoZero"/>
        <c:auto val="1"/>
        <c:lblAlgn val="ctr"/>
        <c:lblOffset val="100"/>
        <c:noMultiLvlLbl val="0"/>
      </c:catAx>
      <c:valAx>
        <c:axId val="-1665420528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6540964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665408560"/>
        <c:axId val="-1665411824"/>
      </c:barChart>
      <c:catAx>
        <c:axId val="-1665408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65411824"/>
        <c:crosses val="autoZero"/>
        <c:auto val="1"/>
        <c:lblAlgn val="ctr"/>
        <c:lblOffset val="100"/>
        <c:noMultiLvlLbl val="0"/>
      </c:catAx>
      <c:valAx>
        <c:axId val="-16654118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6540856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دوشنبه 4 بهمن 1400)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78"/>
          <c:order val="78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change'!$F$160:$I$160</c:f>
              <c:numCache>
                <c:formatCode>General</c:formatCode>
                <c:ptCount val="4"/>
                <c:pt idx="0">
                  <c:v>0.89445438282647582</c:v>
                </c:pt>
                <c:pt idx="1">
                  <c:v>0.47923322683706071</c:v>
                </c:pt>
                <c:pt idx="2">
                  <c:v>2.0171249794170922</c:v>
                </c:pt>
                <c:pt idx="3">
                  <c:v>-1.74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665409104"/>
        <c:axId val="-166541128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7CB-4623-96D1-F21BF08FFBA1}"/>
                  </c:ext>
                </c:extLst>
              </c15:ser>
            </c15:filteredBarSeries>
            <c15:filteredBarSeries>
              <c15:ser>
                <c:idx val="73"/>
                <c:order val="7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change'!$F$155:$I$155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-0.86830680173661356</c:v>
                      </c:pt>
                      <c:pt idx="1">
                        <c:v>-0.73170731707317072</c:v>
                      </c:pt>
                      <c:pt idx="2">
                        <c:v>-0.98292378175760098</c:v>
                      </c:pt>
                      <c:pt idx="3">
                        <c:v>-0.33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7CB-4623-96D1-F21BF08FFBA1}"/>
                  </c:ext>
                </c:extLst>
              </c15:ser>
            </c15:filteredBarSeries>
            <c15:filteredBarSeries>
              <c15:ser>
                <c:idx val="74"/>
                <c:order val="7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change'!$F$156:$I$156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1.0948905109489051</c:v>
                      </c:pt>
                      <c:pt idx="1">
                        <c:v>0.16380016380016379</c:v>
                      </c:pt>
                      <c:pt idx="2">
                        <c:v>-0.87490535879532261</c:v>
                      </c:pt>
                      <c:pt idx="3">
                        <c:v>-2.34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7CB-4623-96D1-F21BF08FFBA1}"/>
                  </c:ext>
                </c:extLst>
              </c15:ser>
            </c15:filteredBarSeries>
            <c15:filteredBarSeries>
              <c15:ser>
                <c:idx val="75"/>
                <c:order val="7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change'!$F$157:$I$157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0.79422382671480141</c:v>
                      </c:pt>
                      <c:pt idx="1">
                        <c:v>0.77677841373671297</c:v>
                      </c:pt>
                      <c:pt idx="2">
                        <c:v>1.4767037257065263</c:v>
                      </c:pt>
                      <c:pt idx="3">
                        <c:v>0.27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7CB-4623-96D1-F21BF08FFBA1}"/>
                  </c:ext>
                </c:extLst>
              </c15:ser>
            </c15:filteredBarSeries>
            <c15:filteredBarSeries>
              <c15:ser>
                <c:idx val="76"/>
                <c:order val="7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change'!$F$158:$I$158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-0.14326647564469913</c:v>
                      </c:pt>
                      <c:pt idx="1">
                        <c:v>0.28397565922920892</c:v>
                      </c:pt>
                      <c:pt idx="2">
                        <c:v>1.480304424186669</c:v>
                      </c:pt>
                      <c:pt idx="3">
                        <c:v>0.19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D5-49DE-A5A4-FBE70B88F2CA}"/>
                  </c:ext>
                </c:extLst>
              </c15:ser>
            </c15:filteredBarSeries>
            <c15:filteredBarSeries>
              <c15:ser>
                <c:idx val="77"/>
                <c:order val="7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change'!$F$159:$I$159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0.25107604017216645</c:v>
                      </c:pt>
                      <c:pt idx="1">
                        <c:v>1.2944983818770226</c:v>
                      </c:pt>
                      <c:pt idx="2">
                        <c:v>9.8895665073347613E-2</c:v>
                      </c:pt>
                      <c:pt idx="3">
                        <c:v>-1.97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665409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65411280"/>
        <c:crosses val="autoZero"/>
        <c:auto val="1"/>
        <c:lblAlgn val="ctr"/>
        <c:lblOffset val="100"/>
        <c:noMultiLvlLbl val="0"/>
      </c:catAx>
      <c:valAx>
        <c:axId val="-166541128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6540910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598</xdr:row>
      <xdr:rowOff>102960</xdr:rowOff>
    </xdr:from>
    <xdr:to>
      <xdr:col>11</xdr:col>
      <xdr:colOff>279360</xdr:colOff>
      <xdr:row>628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178</xdr:row>
      <xdr:rowOff>27711</xdr:rowOff>
    </xdr:from>
    <xdr:to>
      <xdr:col>41</xdr:col>
      <xdr:colOff>533400</xdr:colOff>
      <xdr:row>283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314</xdr:row>
      <xdr:rowOff>0</xdr:rowOff>
    </xdr:from>
    <xdr:to>
      <xdr:col>82</xdr:col>
      <xdr:colOff>0</xdr:colOff>
      <xdr:row>390</xdr:row>
      <xdr:rowOff>152161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633</xdr:row>
      <xdr:rowOff>0</xdr:rowOff>
    </xdr:from>
    <xdr:to>
      <xdr:col>13</xdr:col>
      <xdr:colOff>354240</xdr:colOff>
      <xdr:row>663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413</xdr:row>
      <xdr:rowOff>0</xdr:rowOff>
    </xdr:from>
    <xdr:to>
      <xdr:col>83</xdr:col>
      <xdr:colOff>533400</xdr:colOff>
      <xdr:row>512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61</xdr:row>
      <xdr:rowOff>76321</xdr:rowOff>
    </xdr:from>
    <xdr:to>
      <xdr:col>44</xdr:col>
      <xdr:colOff>533400</xdr:colOff>
      <xdr:row>160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853433</xdr:colOff>
      <xdr:row>6</xdr:row>
      <xdr:rowOff>24833</xdr:rowOff>
    </xdr:from>
    <xdr:to>
      <xdr:col>7</xdr:col>
      <xdr:colOff>1122169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52"/>
  <sheetViews>
    <sheetView tabSelected="1" topLeftCell="F1" zoomScaleNormal="100" workbookViewId="0">
      <pane ySplit="1" topLeftCell="A224" activePane="bottomLeft" state="frozen"/>
      <selection activeCell="B1" sqref="B1"/>
      <selection pane="bottomLeft" activeCell="I236" sqref="I236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9" width="8.570312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L237/G237</f>
        <v>#DIV/0!</v>
      </c>
      <c r="T1" s="3" t="s">
        <v>15</v>
      </c>
      <c r="U1" s="3">
        <f>M237/K237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52" customFormat="1" ht="18">
      <c r="B230" s="153" t="s">
        <v>584</v>
      </c>
      <c r="C230" s="121">
        <v>27</v>
      </c>
      <c r="D230" s="154">
        <v>25583</v>
      </c>
      <c r="E230" s="152">
        <v>25372</v>
      </c>
      <c r="F230" s="152">
        <v>25188</v>
      </c>
      <c r="H230" s="152">
        <v>28731</v>
      </c>
      <c r="I230" s="152">
        <v>28625</v>
      </c>
      <c r="J230" s="152">
        <v>28650</v>
      </c>
      <c r="L230" s="201"/>
      <c r="M230" s="201"/>
      <c r="N230" s="152">
        <v>25626</v>
      </c>
      <c r="O230" s="152">
        <v>28911</v>
      </c>
      <c r="P230" s="152">
        <v>25839</v>
      </c>
      <c r="Q230" s="152">
        <v>29018</v>
      </c>
      <c r="V230" s="152">
        <v>27480</v>
      </c>
      <c r="X230" s="152">
        <v>27400</v>
      </c>
      <c r="Y230" s="152">
        <v>31384</v>
      </c>
      <c r="Z230" s="155"/>
      <c r="AB230" s="154"/>
      <c r="AS230" s="154"/>
      <c r="AW230" s="154"/>
      <c r="BI230" s="178"/>
      <c r="BO230" s="156"/>
      <c r="BP230" s="156"/>
      <c r="BQ230" s="156"/>
      <c r="BR230" s="156"/>
    </row>
    <row r="231" spans="2:70" s="152" customFormat="1" ht="18">
      <c r="B231" s="153" t="s">
        <v>586</v>
      </c>
      <c r="C231" s="121">
        <v>28</v>
      </c>
      <c r="D231" s="154">
        <v>25372</v>
      </c>
      <c r="E231" s="152">
        <v>25287</v>
      </c>
      <c r="F231" s="152">
        <v>25282</v>
      </c>
      <c r="H231" s="152">
        <v>28625</v>
      </c>
      <c r="I231" s="152">
        <v>28870</v>
      </c>
      <c r="J231" s="152">
        <v>28966</v>
      </c>
      <c r="L231" s="201"/>
      <c r="M231" s="201"/>
      <c r="N231" s="152">
        <v>25540</v>
      </c>
      <c r="O231" s="152">
        <v>29159</v>
      </c>
      <c r="P231" s="152">
        <v>25626</v>
      </c>
      <c r="Q231" s="152">
        <v>28911</v>
      </c>
      <c r="V231" s="152">
        <v>27250</v>
      </c>
      <c r="X231" s="152">
        <v>27700</v>
      </c>
      <c r="Y231" s="152">
        <v>31102</v>
      </c>
      <c r="Z231" s="155"/>
      <c r="AB231" s="154"/>
      <c r="AS231" s="154"/>
      <c r="AW231" s="154"/>
      <c r="BI231" s="178"/>
      <c r="BO231" s="156"/>
      <c r="BP231" s="156"/>
      <c r="BQ231" s="156"/>
      <c r="BR231" s="156"/>
    </row>
    <row r="232" spans="2:70" s="152" customFormat="1" ht="18">
      <c r="B232" s="153" t="s">
        <v>588</v>
      </c>
      <c r="C232" s="121">
        <v>29</v>
      </c>
      <c r="D232" s="154">
        <v>25644</v>
      </c>
      <c r="E232" s="152">
        <v>25289</v>
      </c>
      <c r="F232" s="152">
        <v>25357</v>
      </c>
      <c r="H232" s="152">
        <v>28870</v>
      </c>
      <c r="I232" s="152">
        <v>28606</v>
      </c>
      <c r="J232" s="152">
        <v>28898</v>
      </c>
      <c r="L232" s="201"/>
      <c r="M232" s="201"/>
      <c r="N232" s="152">
        <v>25541</v>
      </c>
      <c r="O232" s="152">
        <v>28892</v>
      </c>
      <c r="P232" s="152">
        <v>25900</v>
      </c>
      <c r="Q232" s="152">
        <v>29159</v>
      </c>
      <c r="V232" s="152">
        <v>27800</v>
      </c>
      <c r="X232" s="152">
        <v>27920</v>
      </c>
      <c r="Y232" s="152">
        <v>31471</v>
      </c>
      <c r="Z232" s="155"/>
      <c r="AB232" s="154"/>
      <c r="AS232" s="154"/>
      <c r="AW232" s="154"/>
      <c r="BI232" s="178"/>
      <c r="BO232" s="156"/>
      <c r="BP232" s="156"/>
      <c r="BQ232" s="156"/>
      <c r="BR232" s="156"/>
    </row>
    <row r="233" spans="2:70" s="152" customFormat="1" ht="18">
      <c r="B233" s="153" t="s">
        <v>590</v>
      </c>
      <c r="C233" s="121">
        <v>30</v>
      </c>
      <c r="D233" s="154">
        <v>25289</v>
      </c>
      <c r="E233" s="152">
        <v>25450</v>
      </c>
      <c r="F233" s="152">
        <v>25314</v>
      </c>
      <c r="H233" s="152">
        <v>28606</v>
      </c>
      <c r="I233" s="152">
        <v>28700</v>
      </c>
      <c r="J233" s="152">
        <v>28713</v>
      </c>
      <c r="L233" s="201"/>
      <c r="M233" s="201"/>
      <c r="N233" s="152">
        <v>25704</v>
      </c>
      <c r="O233" s="152">
        <v>28987</v>
      </c>
      <c r="P233" s="152">
        <v>25542</v>
      </c>
      <c r="Q233" s="152">
        <v>28892</v>
      </c>
      <c r="V233" s="152">
        <v>27850</v>
      </c>
      <c r="X233" s="152">
        <v>27880</v>
      </c>
      <c r="Y233" s="152">
        <v>31696</v>
      </c>
      <c r="Z233" s="155"/>
      <c r="AB233" s="154"/>
      <c r="AS233" s="154"/>
      <c r="AW233" s="154"/>
      <c r="BI233" s="178"/>
      <c r="BO233" s="156"/>
      <c r="BP233" s="156"/>
      <c r="BQ233" s="156"/>
      <c r="BR233" s="156"/>
    </row>
    <row r="234" spans="2:70" s="144" customFormat="1" ht="18">
      <c r="B234" s="145" t="s">
        <v>593</v>
      </c>
      <c r="C234" s="108">
        <v>2</v>
      </c>
      <c r="D234" s="146">
        <v>25600</v>
      </c>
      <c r="E234" s="144">
        <v>25552</v>
      </c>
      <c r="F234" s="144">
        <v>25504</v>
      </c>
      <c r="H234" s="144">
        <v>28700</v>
      </c>
      <c r="I234" s="144">
        <v>28700</v>
      </c>
      <c r="J234" s="144">
        <v>28768</v>
      </c>
      <c r="L234" s="142"/>
      <c r="M234" s="142"/>
      <c r="N234" s="144">
        <v>25808</v>
      </c>
      <c r="O234" s="144">
        <v>28987</v>
      </c>
      <c r="P234" s="144">
        <v>25856</v>
      </c>
      <c r="Q234" s="144">
        <v>28987</v>
      </c>
      <c r="X234" s="144">
        <v>27880</v>
      </c>
      <c r="Y234" s="144">
        <v>31638</v>
      </c>
      <c r="Z234" s="147"/>
      <c r="AB234" s="146"/>
      <c r="AS234" s="146"/>
      <c r="AW234" s="146"/>
      <c r="BI234" s="207"/>
      <c r="BO234" s="150"/>
      <c r="BP234" s="150"/>
      <c r="BQ234" s="150"/>
      <c r="BR234" s="150"/>
    </row>
    <row r="235" spans="2:70" s="144" customFormat="1" ht="18">
      <c r="B235" s="145" t="s">
        <v>595</v>
      </c>
      <c r="C235" s="108">
        <v>3</v>
      </c>
      <c r="D235" s="146">
        <v>25477</v>
      </c>
      <c r="E235" s="144">
        <v>25468</v>
      </c>
      <c r="F235" s="144">
        <v>25474</v>
      </c>
      <c r="H235" s="144">
        <v>28990</v>
      </c>
      <c r="I235" s="144">
        <v>28942</v>
      </c>
      <c r="J235" s="144">
        <v>28707</v>
      </c>
      <c r="L235" s="142"/>
      <c r="M235" s="142"/>
      <c r="N235" s="144">
        <v>25723</v>
      </c>
      <c r="O235" s="144">
        <v>29231</v>
      </c>
      <c r="P235" s="144">
        <v>25732</v>
      </c>
      <c r="Q235" s="144">
        <v>29280</v>
      </c>
      <c r="V235" s="144">
        <v>27850</v>
      </c>
      <c r="X235" s="144">
        <v>27950</v>
      </c>
      <c r="Y235" s="144">
        <v>31581</v>
      </c>
      <c r="Z235" s="147"/>
      <c r="AB235" s="146"/>
      <c r="AS235" s="146"/>
      <c r="AW235" s="146"/>
      <c r="BI235" s="207"/>
      <c r="BO235" s="150"/>
      <c r="BP235" s="150"/>
      <c r="BQ235" s="150"/>
      <c r="BR235" s="150"/>
    </row>
    <row r="236" spans="2:70" s="136" customFormat="1" ht="18">
      <c r="B236" s="131" t="s">
        <v>597</v>
      </c>
      <c r="C236" s="104">
        <v>4</v>
      </c>
      <c r="D236" s="137">
        <v>25456</v>
      </c>
      <c r="E236" s="136">
        <v>25264</v>
      </c>
      <c r="F236" s="136">
        <v>25310</v>
      </c>
      <c r="H236" s="136">
        <v>28942</v>
      </c>
      <c r="I236" s="136">
        <v>28680</v>
      </c>
      <c r="J236" s="136">
        <v>28765</v>
      </c>
      <c r="L236" s="208"/>
      <c r="M236" s="208"/>
      <c r="N236" s="136">
        <v>25517</v>
      </c>
      <c r="O236" s="136">
        <v>28967</v>
      </c>
      <c r="P236" s="136">
        <v>25711</v>
      </c>
      <c r="Q236" s="136">
        <v>29231</v>
      </c>
      <c r="V236" s="136">
        <v>28080</v>
      </c>
      <c r="X236" s="136">
        <v>28200</v>
      </c>
      <c r="Y236" s="136">
        <v>31837</v>
      </c>
      <c r="Z236" s="138"/>
      <c r="AB236" s="137"/>
      <c r="AS236" s="137"/>
      <c r="AW236" s="137"/>
      <c r="BI236" s="177"/>
      <c r="BO236" s="151"/>
      <c r="BP236" s="151"/>
      <c r="BQ236" s="151"/>
      <c r="BR236" s="151"/>
    </row>
    <row r="237" spans="2:70" ht="18">
      <c r="D237" s="26"/>
      <c r="K237">
        <f>SUM(K2:K216)</f>
        <v>210358000</v>
      </c>
      <c r="L237" s="142">
        <f>SUM(L2:L216)</f>
        <v>38488576407409</v>
      </c>
      <c r="M237" s="142">
        <f>SUM(M2:M216)</f>
        <v>6182194847600</v>
      </c>
      <c r="V237" s="152">
        <v>28100</v>
      </c>
      <c r="Z237" s="25"/>
      <c r="AS237" s="26"/>
      <c r="AW237" s="30"/>
    </row>
    <row r="238" spans="2:70" ht="18">
      <c r="V238" s="152"/>
      <c r="Z238" s="25"/>
      <c r="AS238" s="26"/>
      <c r="AW238" s="30"/>
    </row>
    <row r="239" spans="2:70" ht="18">
      <c r="V239" s="152"/>
      <c r="W239" s="152"/>
      <c r="Z239" s="25"/>
      <c r="AS239" s="26"/>
      <c r="AW239" s="30"/>
    </row>
    <row r="240" spans="2:70" ht="18">
      <c r="D240" s="93"/>
      <c r="P240">
        <f>P230-N229</f>
        <v>24</v>
      </c>
      <c r="W240" s="152"/>
      <c r="Z240" s="25"/>
      <c r="AW240" s="30"/>
    </row>
    <row r="241" spans="4:26" ht="17.25" customHeight="1">
      <c r="D241" s="93"/>
      <c r="P241" t="s">
        <v>523</v>
      </c>
      <c r="Q241" t="s">
        <v>524</v>
      </c>
      <c r="W241" s="152"/>
      <c r="X241">
        <f>X235-X234</f>
        <v>70</v>
      </c>
      <c r="Z241" s="25"/>
    </row>
    <row r="242" spans="4:26" ht="18">
      <c r="D242" s="93"/>
      <c r="O242" s="126" t="s">
        <v>503</v>
      </c>
      <c r="P242">
        <v>-178</v>
      </c>
      <c r="Q242">
        <v>-180</v>
      </c>
      <c r="V242" s="25"/>
      <c r="W242" s="152"/>
      <c r="Z242" s="25"/>
    </row>
    <row r="243" spans="4:26" ht="18">
      <c r="D243" s="93"/>
      <c r="H243">
        <f>(27376-26532)/26532</f>
        <v>3.1810643750942259E-2</v>
      </c>
      <c r="O243" s="132" t="s">
        <v>505</v>
      </c>
      <c r="P243">
        <v>59</v>
      </c>
      <c r="Q243">
        <v>59</v>
      </c>
      <c r="V243" s="25"/>
      <c r="W243" s="152"/>
    </row>
    <row r="244" spans="4:26" ht="18">
      <c r="D244" s="93"/>
      <c r="N244">
        <f t="shared" ref="N244:N248" si="42">N199-N198</f>
        <v>-15</v>
      </c>
      <c r="O244" s="132" t="s">
        <v>507</v>
      </c>
      <c r="P244">
        <v>-17</v>
      </c>
      <c r="Q244">
        <v>-16</v>
      </c>
      <c r="V244" s="25"/>
      <c r="W244" s="152"/>
    </row>
    <row r="245" spans="4:26" ht="18">
      <c r="D245" s="107"/>
      <c r="N245">
        <f t="shared" si="42"/>
        <v>-12</v>
      </c>
      <c r="O245" s="132" t="s">
        <v>509</v>
      </c>
      <c r="P245">
        <v>-163</v>
      </c>
      <c r="Q245">
        <v>-165</v>
      </c>
      <c r="W245" s="144"/>
    </row>
    <row r="246" spans="4:26" ht="18">
      <c r="D246" s="107"/>
      <c r="N246">
        <f t="shared" si="42"/>
        <v>-137</v>
      </c>
      <c r="O246" s="132" t="s">
        <v>511</v>
      </c>
      <c r="P246">
        <v>50</v>
      </c>
      <c r="Q246">
        <v>50</v>
      </c>
      <c r="W246" s="144"/>
      <c r="X246" s="109"/>
    </row>
    <row r="247" spans="4:26" ht="18">
      <c r="D247" s="113"/>
      <c r="N247">
        <f t="shared" si="42"/>
        <v>-138</v>
      </c>
      <c r="O247" s="145" t="s">
        <v>513</v>
      </c>
      <c r="P247">
        <v>-15</v>
      </c>
      <c r="Q247">
        <v>-15</v>
      </c>
      <c r="V247">
        <f>(3376-3251)/3251</f>
        <v>3.8449707782220857E-2</v>
      </c>
      <c r="W247" s="144"/>
      <c r="X247" s="109"/>
      <c r="Y247">
        <f>(W245-X215)/X215</f>
        <v>-1</v>
      </c>
    </row>
    <row r="248" spans="4:26" ht="18">
      <c r="D248" s="107"/>
      <c r="G248" s="9"/>
      <c r="N248">
        <f t="shared" si="42"/>
        <v>-43</v>
      </c>
      <c r="O248" s="145" t="s">
        <v>515</v>
      </c>
      <c r="P248">
        <v>-12</v>
      </c>
      <c r="Q248">
        <v>-12</v>
      </c>
      <c r="X248" s="109"/>
      <c r="Y248">
        <f>(43725-42669)/42669</f>
        <v>2.4748646558391339E-2</v>
      </c>
    </row>
    <row r="249" spans="4:26" ht="18">
      <c r="D249" s="103"/>
      <c r="G249" s="9"/>
      <c r="N249">
        <f>N237-N203</f>
        <v>-27379</v>
      </c>
      <c r="O249" s="148" t="s">
        <v>517</v>
      </c>
      <c r="P249">
        <v>-136</v>
      </c>
      <c r="Q249">
        <v>-137</v>
      </c>
      <c r="X249" s="109"/>
    </row>
    <row r="250" spans="4:26" ht="18">
      <c r="G250" s="9"/>
      <c r="O250" s="145" t="s">
        <v>519</v>
      </c>
      <c r="P250">
        <v>-137</v>
      </c>
      <c r="Q250">
        <v>-138</v>
      </c>
      <c r="X250" s="109"/>
      <c r="Y250">
        <f>(3365-3279)/3279</f>
        <v>2.6227508386703263E-2</v>
      </c>
    </row>
    <row r="251" spans="4:26" ht="18">
      <c r="G251" s="9"/>
      <c r="O251" s="131" t="s">
        <v>521</v>
      </c>
      <c r="P251">
        <v>-42</v>
      </c>
      <c r="Q251">
        <v>-43</v>
      </c>
      <c r="X251" s="109"/>
    </row>
    <row r="252" spans="4:26" ht="18">
      <c r="G252" s="9"/>
    </row>
  </sheetData>
  <autoFilter ref="A1:BN239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6"/>
  <sheetViews>
    <sheetView topLeftCell="F21" zoomScaleNormal="100" workbookViewId="0">
      <selection activeCell="I43" sqref="I43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 s="67" customFormat="1" ht="13.9" customHeight="1">
      <c r="A43" s="67" t="s">
        <v>592</v>
      </c>
      <c r="B43" s="67">
        <v>25505</v>
      </c>
      <c r="C43" s="67">
        <v>28892</v>
      </c>
      <c r="D43" s="101"/>
      <c r="F43" s="101"/>
      <c r="H43" s="67">
        <v>25731</v>
      </c>
      <c r="I43" s="67">
        <v>29043</v>
      </c>
      <c r="J43" s="67">
        <v>27665</v>
      </c>
      <c r="K43" s="67">
        <v>31483</v>
      </c>
    </row>
    <row r="44" spans="1:11">
      <c r="B44">
        <f>(B2-B8)/B2</f>
        <v>0.15346494762288476</v>
      </c>
      <c r="C44">
        <f>(C2-C8)/C2</f>
        <v>0.1154959674639829</v>
      </c>
      <c r="D44">
        <f>SUM(D2:D39)/38</f>
        <v>37702089.447368421</v>
      </c>
      <c r="I44">
        <f>I43-I42</f>
        <v>-332</v>
      </c>
    </row>
    <row r="45" spans="1:11">
      <c r="H45">
        <f>(H43-H42)/H42</f>
        <v>-1.9771428571428572E-2</v>
      </c>
    </row>
    <row r="46" spans="1:11">
      <c r="C46">
        <f>(C43-C42)/C42</f>
        <v>-1.2137997059527473E-2</v>
      </c>
      <c r="E46">
        <f>(D39-D44)/D44</f>
        <v>0.21324840799221964</v>
      </c>
      <c r="J46">
        <f>(D36-D35)/D35</f>
        <v>-0.50773339408667473</v>
      </c>
    </row>
    <row r="47" spans="1:11">
      <c r="B47">
        <f>(B43-B42)/B42</f>
        <v>-1.4413787773398253E-2</v>
      </c>
      <c r="F47">
        <f>(F36-F35)/F35</f>
        <v>-0.62892307692307692</v>
      </c>
    </row>
    <row r="48" spans="1:11">
      <c r="D48">
        <v>5375132</v>
      </c>
      <c r="E48">
        <f>(E17-D48)/D48</f>
        <v>4.5958809321644006E-2</v>
      </c>
      <c r="G48">
        <f t="shared" ref="G48:G56" si="2">B3-B2</f>
        <v>-554</v>
      </c>
    </row>
    <row r="49" spans="3:10">
      <c r="G49">
        <f t="shared" si="2"/>
        <v>-302</v>
      </c>
    </row>
    <row r="50" spans="3:10">
      <c r="C50">
        <f>(D48-E16)/E16</f>
        <v>0.17110375179746395</v>
      </c>
      <c r="G50">
        <f t="shared" si="2"/>
        <v>-511</v>
      </c>
    </row>
    <row r="51" spans="3:10">
      <c r="G51">
        <f t="shared" si="2"/>
        <v>-362</v>
      </c>
    </row>
    <row r="52" spans="3:10">
      <c r="G52">
        <f t="shared" si="2"/>
        <v>-1699</v>
      </c>
    </row>
    <row r="53" spans="3:10">
      <c r="G53">
        <f t="shared" si="2"/>
        <v>-381</v>
      </c>
    </row>
    <row r="54" spans="3:10">
      <c r="G54">
        <f t="shared" si="2"/>
        <v>1075</v>
      </c>
    </row>
    <row r="55" spans="3:10">
      <c r="F55">
        <f>(F33-F32)/F32</f>
        <v>0.23948268173034043</v>
      </c>
      <c r="G55">
        <f t="shared" si="2"/>
        <v>151</v>
      </c>
      <c r="J55">
        <f>(F34-F35)/F34</f>
        <v>0.13877341459779063</v>
      </c>
    </row>
    <row r="56" spans="3:10">
      <c r="G56">
        <f t="shared" si="2"/>
        <v>1043</v>
      </c>
    </row>
  </sheetData>
  <autoFilter ref="A1:K56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01"/>
  <sheetViews>
    <sheetView topLeftCell="A2084" zoomScaleNormal="100" workbookViewId="0">
      <selection activeCell="G2099" sqref="G2099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4" t="s">
        <v>246</v>
      </c>
      <c r="B1" s="214"/>
      <c r="C1" s="214"/>
      <c r="D1" s="214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4" t="s">
        <v>256</v>
      </c>
      <c r="B11" s="214"/>
      <c r="C11" s="214"/>
      <c r="D11" s="214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4" t="s">
        <v>258</v>
      </c>
      <c r="B21" s="214"/>
      <c r="C21" s="214"/>
      <c r="D21" s="214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4" t="s">
        <v>259</v>
      </c>
      <c r="B31" s="214"/>
      <c r="C31" s="214"/>
      <c r="D31" s="214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4" t="s">
        <v>260</v>
      </c>
      <c r="B41" s="214"/>
      <c r="C41" s="214"/>
      <c r="D41" s="214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4" t="s">
        <v>262</v>
      </c>
      <c r="B51" s="214"/>
      <c r="C51" s="214"/>
      <c r="D51" s="214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4" t="s">
        <v>263</v>
      </c>
      <c r="B61" s="214"/>
      <c r="C61" s="214"/>
      <c r="D61" s="214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4" t="s">
        <v>264</v>
      </c>
      <c r="B71" s="214"/>
      <c r="C71" s="214"/>
      <c r="D71" s="214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4" t="s">
        <v>265</v>
      </c>
      <c r="B81" s="214"/>
      <c r="C81" s="214"/>
      <c r="D81" s="214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4" t="s">
        <v>269</v>
      </c>
      <c r="B93" s="214"/>
      <c r="C93" s="214"/>
      <c r="D93" s="214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4" t="s">
        <v>270</v>
      </c>
      <c r="B103" s="214"/>
      <c r="C103" s="214"/>
      <c r="D103" s="214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4" t="s">
        <v>272</v>
      </c>
      <c r="B113" s="214"/>
      <c r="C113" s="214"/>
      <c r="D113" s="214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4" t="s">
        <v>273</v>
      </c>
      <c r="B123" s="214"/>
      <c r="C123" s="214"/>
      <c r="D123" s="214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4" t="s">
        <v>274</v>
      </c>
      <c r="B133" s="214"/>
      <c r="C133" s="214"/>
      <c r="D133" s="214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4" t="s">
        <v>275</v>
      </c>
      <c r="B143" s="214"/>
      <c r="C143" s="214"/>
      <c r="D143" s="214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4" t="s">
        <v>277</v>
      </c>
      <c r="B153" s="214"/>
      <c r="C153" s="214"/>
      <c r="D153" s="214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4" t="s">
        <v>278</v>
      </c>
      <c r="B163" s="214"/>
      <c r="C163" s="214"/>
      <c r="D163" s="214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4" t="s">
        <v>279</v>
      </c>
      <c r="B173" s="214"/>
      <c r="C173" s="214"/>
      <c r="D173" s="214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4" t="s">
        <v>280</v>
      </c>
      <c r="B183" s="214"/>
      <c r="C183" s="214"/>
      <c r="D183" s="214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4" t="s">
        <v>281</v>
      </c>
      <c r="B193" s="214"/>
      <c r="C193" s="214"/>
      <c r="D193" s="214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4" t="s">
        <v>282</v>
      </c>
      <c r="B203" s="214"/>
      <c r="C203" s="214"/>
      <c r="D203" s="214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4" t="s">
        <v>283</v>
      </c>
      <c r="B213" s="214"/>
      <c r="C213" s="214"/>
      <c r="D213" s="214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4" t="s">
        <v>284</v>
      </c>
      <c r="B223" s="214"/>
      <c r="C223" s="214"/>
      <c r="D223" s="214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4" t="s">
        <v>285</v>
      </c>
      <c r="B233" s="214"/>
      <c r="C233" s="214"/>
      <c r="D233" s="214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4" t="s">
        <v>286</v>
      </c>
      <c r="B243" s="214"/>
      <c r="C243" s="214"/>
      <c r="D243" s="214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4" t="s">
        <v>287</v>
      </c>
      <c r="B253" s="214"/>
      <c r="C253" s="214"/>
      <c r="D253" s="214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4" t="s">
        <v>288</v>
      </c>
      <c r="B263" s="214"/>
      <c r="C263" s="214"/>
      <c r="D263" s="214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4" t="s">
        <v>289</v>
      </c>
      <c r="B273" s="214"/>
      <c r="C273" s="214"/>
      <c r="D273" s="214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4" t="s">
        <v>290</v>
      </c>
      <c r="B283" s="214"/>
      <c r="C283" s="214"/>
      <c r="D283" s="214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4" t="s">
        <v>291</v>
      </c>
      <c r="B293" s="214"/>
      <c r="C293" s="214"/>
      <c r="D293" s="214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4" t="s">
        <v>292</v>
      </c>
      <c r="B303" s="214"/>
      <c r="C303" s="214"/>
      <c r="D303" s="214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4" t="s">
        <v>296</v>
      </c>
      <c r="B313" s="214"/>
      <c r="C313" s="214"/>
      <c r="D313" s="214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4" t="s">
        <v>300</v>
      </c>
      <c r="B324" s="214"/>
      <c r="C324" s="214"/>
      <c r="D324" s="214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4" t="s">
        <v>303</v>
      </c>
      <c r="B335" s="214"/>
      <c r="C335" s="214"/>
      <c r="D335" s="214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4" t="s">
        <v>304</v>
      </c>
      <c r="B346" s="214"/>
      <c r="C346" s="214"/>
      <c r="D346" s="214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4" t="s">
        <v>305</v>
      </c>
      <c r="B357" s="214"/>
      <c r="C357" s="214"/>
      <c r="D357" s="214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4" t="s">
        <v>306</v>
      </c>
      <c r="B368" s="214"/>
      <c r="C368" s="214"/>
      <c r="D368" s="214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4" t="s">
        <v>307</v>
      </c>
      <c r="B379" s="214"/>
      <c r="C379" s="214"/>
      <c r="D379" s="214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4" t="s">
        <v>308</v>
      </c>
      <c r="B390" s="214"/>
      <c r="C390" s="214"/>
      <c r="D390" s="214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4" t="s">
        <v>309</v>
      </c>
      <c r="B401" s="214"/>
      <c r="C401" s="214"/>
      <c r="D401" s="214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4" t="s">
        <v>310</v>
      </c>
      <c r="B412" s="214"/>
      <c r="C412" s="214"/>
      <c r="D412" s="214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4" t="s">
        <v>311</v>
      </c>
      <c r="B423" s="214"/>
      <c r="C423" s="214"/>
      <c r="D423" s="214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4" t="s">
        <v>315</v>
      </c>
      <c r="B434" s="214"/>
      <c r="C434" s="214"/>
      <c r="D434" s="214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4" t="s">
        <v>316</v>
      </c>
      <c r="B445" s="214"/>
      <c r="C445" s="214"/>
      <c r="D445" s="214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4" t="s">
        <v>317</v>
      </c>
      <c r="B456" s="214"/>
      <c r="C456" s="214"/>
      <c r="D456" s="214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4" t="s">
        <v>318</v>
      </c>
      <c r="B467" s="214"/>
      <c r="C467" s="214"/>
      <c r="D467" s="214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4" t="s">
        <v>319</v>
      </c>
      <c r="B478" s="214"/>
      <c r="C478" s="214"/>
      <c r="D478" s="214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4" t="s">
        <v>320</v>
      </c>
      <c r="B489" s="214"/>
      <c r="C489" s="214"/>
      <c r="D489" s="214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4" t="s">
        <v>323</v>
      </c>
      <c r="B500" s="214"/>
      <c r="C500" s="214"/>
      <c r="D500" s="214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4" t="s">
        <v>324</v>
      </c>
      <c r="B511" s="214"/>
      <c r="C511" s="214"/>
      <c r="D511" s="214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4" t="s">
        <v>325</v>
      </c>
      <c r="B522" s="214"/>
      <c r="C522" s="214"/>
      <c r="D522" s="214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4" t="s">
        <v>326</v>
      </c>
      <c r="B533" s="214"/>
      <c r="C533" s="214"/>
      <c r="D533" s="214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4" t="s">
        <v>327</v>
      </c>
      <c r="B544" s="214"/>
      <c r="C544" s="214"/>
      <c r="D544" s="214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4" t="s">
        <v>328</v>
      </c>
      <c r="B555" s="214"/>
      <c r="C555" s="214"/>
      <c r="D555" s="214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4" t="s">
        <v>328</v>
      </c>
      <c r="B567" s="214"/>
      <c r="C567" s="214"/>
      <c r="D567" s="214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4" t="s">
        <v>333</v>
      </c>
      <c r="B579" s="214"/>
      <c r="C579" s="214"/>
      <c r="D579" s="214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4" t="s">
        <v>334</v>
      </c>
      <c r="B590" s="214"/>
      <c r="C590" s="214"/>
      <c r="D590" s="214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4" t="s">
        <v>335</v>
      </c>
      <c r="B601" s="214"/>
      <c r="C601" s="214"/>
      <c r="D601" s="214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4" t="s">
        <v>336</v>
      </c>
      <c r="B612" s="214"/>
      <c r="C612" s="214"/>
      <c r="D612" s="214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4" t="s">
        <v>337</v>
      </c>
      <c r="B623" s="214"/>
      <c r="C623" s="214"/>
      <c r="D623" s="214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4" t="s">
        <v>338</v>
      </c>
      <c r="B635" s="214"/>
      <c r="C635" s="214"/>
      <c r="D635" s="214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4" t="s">
        <v>340</v>
      </c>
      <c r="B647" s="214"/>
      <c r="C647" s="214"/>
      <c r="D647" s="214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4" t="s">
        <v>341</v>
      </c>
      <c r="B658" s="214"/>
      <c r="C658" s="214"/>
      <c r="D658" s="214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4" t="s">
        <v>342</v>
      </c>
      <c r="B670" s="214"/>
      <c r="C670" s="214"/>
      <c r="D670" s="214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4" t="s">
        <v>343</v>
      </c>
      <c r="B681" s="214"/>
      <c r="C681" s="214"/>
      <c r="D681" s="214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4" t="s">
        <v>344</v>
      </c>
      <c r="B692" s="214"/>
      <c r="C692" s="214"/>
      <c r="D692" s="214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4" t="s">
        <v>345</v>
      </c>
      <c r="B703" s="214"/>
      <c r="C703" s="214"/>
      <c r="D703" s="214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4" t="s">
        <v>348</v>
      </c>
      <c r="B715" s="214"/>
      <c r="C715" s="214"/>
      <c r="D715" s="214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4" t="s">
        <v>349</v>
      </c>
      <c r="B726" s="214"/>
      <c r="C726" s="214"/>
      <c r="D726" s="214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4" t="s">
        <v>350</v>
      </c>
      <c r="B738" s="214"/>
      <c r="C738" s="214"/>
      <c r="D738" s="214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4" t="s">
        <v>351</v>
      </c>
      <c r="B749" s="214"/>
      <c r="C749" s="214"/>
      <c r="D749" s="214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4" t="s">
        <v>352</v>
      </c>
      <c r="B760" s="214"/>
      <c r="C760" s="214"/>
      <c r="D760" s="214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4" t="s">
        <v>353</v>
      </c>
      <c r="B772" s="214"/>
      <c r="C772" s="214"/>
      <c r="D772" s="214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4" t="s">
        <v>355</v>
      </c>
      <c r="B784" s="214"/>
      <c r="C784" s="214"/>
      <c r="D784" s="214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4" t="s">
        <v>356</v>
      </c>
      <c r="B796" s="214"/>
      <c r="C796" s="214"/>
      <c r="D796" s="214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4" t="s">
        <v>357</v>
      </c>
      <c r="B809" s="214"/>
      <c r="C809" s="214"/>
      <c r="D809" s="214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4" t="s">
        <v>358</v>
      </c>
      <c r="B820" s="214"/>
      <c r="C820" s="214"/>
      <c r="D820" s="214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4" t="s">
        <v>359</v>
      </c>
      <c r="B831" s="214"/>
      <c r="C831" s="214"/>
      <c r="D831" s="214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4" t="s">
        <v>360</v>
      </c>
      <c r="B842" s="214"/>
      <c r="C842" s="214"/>
      <c r="D842" s="214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4" t="s">
        <v>361</v>
      </c>
      <c r="B854" s="214"/>
      <c r="C854" s="214"/>
      <c r="D854" s="214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4" t="s">
        <v>363</v>
      </c>
      <c r="B865" s="214"/>
      <c r="C865" s="214"/>
      <c r="D865" s="214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4" t="s">
        <v>364</v>
      </c>
      <c r="B876" s="214"/>
      <c r="C876" s="214"/>
      <c r="D876" s="214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4" t="s">
        <v>367</v>
      </c>
      <c r="B888" s="214"/>
      <c r="C888" s="214"/>
      <c r="D888" s="214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4" t="s">
        <v>368</v>
      </c>
      <c r="B901" s="214"/>
      <c r="C901" s="214"/>
      <c r="D901" s="214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4" t="s">
        <v>369</v>
      </c>
      <c r="B913" s="214"/>
      <c r="C913" s="214"/>
      <c r="D913" s="214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4" t="s">
        <v>370</v>
      </c>
      <c r="B925" s="214"/>
      <c r="C925" s="214"/>
      <c r="D925" s="214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4" t="s">
        <v>371</v>
      </c>
      <c r="B937" s="214"/>
      <c r="C937" s="214"/>
      <c r="D937" s="214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4" t="s">
        <v>372</v>
      </c>
      <c r="B949" s="214"/>
      <c r="C949" s="214"/>
      <c r="D949" s="214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4" t="s">
        <v>400</v>
      </c>
      <c r="B961" s="214"/>
      <c r="C961" s="214"/>
      <c r="D961" s="214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4" t="s">
        <v>402</v>
      </c>
      <c r="B974" s="214"/>
      <c r="C974" s="214"/>
      <c r="D974" s="214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4" t="s">
        <v>404</v>
      </c>
      <c r="B987" s="214"/>
      <c r="C987" s="214"/>
      <c r="D987" s="214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4" t="s">
        <v>405</v>
      </c>
      <c r="B1000" s="214"/>
      <c r="C1000" s="214"/>
      <c r="D1000" s="214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4" t="s">
        <v>408</v>
      </c>
      <c r="B1012" s="214"/>
      <c r="C1012" s="214"/>
      <c r="D1012" s="214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4" t="s">
        <v>410</v>
      </c>
      <c r="B1025" s="214"/>
      <c r="C1025" s="214"/>
      <c r="D1025" s="214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4" t="s">
        <v>413</v>
      </c>
      <c r="B1037" s="214"/>
      <c r="C1037" s="214"/>
      <c r="D1037" s="214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4" t="s">
        <v>415</v>
      </c>
      <c r="B1049" s="214"/>
      <c r="C1049" s="214"/>
      <c r="D1049" s="214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4" t="s">
        <v>417</v>
      </c>
      <c r="B1061" s="214"/>
      <c r="C1061" s="214"/>
      <c r="D1061" s="214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4" t="s">
        <v>419</v>
      </c>
      <c r="B1073" s="214"/>
      <c r="C1073" s="214"/>
      <c r="D1073" s="214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4" t="s">
        <v>421</v>
      </c>
      <c r="B1085" s="214"/>
      <c r="C1085" s="214"/>
      <c r="D1085" s="214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4" t="s">
        <v>423</v>
      </c>
      <c r="B1098" s="214"/>
      <c r="C1098" s="214"/>
      <c r="D1098" s="214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4" t="s">
        <v>426</v>
      </c>
      <c r="B1110" s="214"/>
      <c r="C1110" s="214"/>
      <c r="D1110" s="214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4" t="s">
        <v>428</v>
      </c>
      <c r="B1123" s="214"/>
      <c r="C1123" s="214"/>
      <c r="D1123" s="214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4" t="s">
        <v>430</v>
      </c>
      <c r="B1136" s="214"/>
      <c r="C1136" s="214"/>
      <c r="D1136" s="214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4" t="s">
        <v>432</v>
      </c>
      <c r="B1149" s="214"/>
      <c r="C1149" s="214"/>
      <c r="D1149" s="214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4" t="s">
        <v>434</v>
      </c>
      <c r="B1162" s="214"/>
      <c r="C1162" s="214"/>
      <c r="D1162" s="214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4" t="s">
        <v>437</v>
      </c>
      <c r="B1173" s="214"/>
      <c r="C1173" s="214"/>
      <c r="D1173" s="214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4" t="s">
        <v>439</v>
      </c>
      <c r="B1185" s="214"/>
      <c r="C1185" s="214"/>
      <c r="D1185" s="214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4" t="s">
        <v>441</v>
      </c>
      <c r="B1197" s="214"/>
      <c r="C1197" s="214"/>
      <c r="D1197" s="214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4" t="s">
        <v>443</v>
      </c>
      <c r="B1209" s="214"/>
      <c r="C1209" s="214"/>
      <c r="D1209" s="214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4" t="s">
        <v>445</v>
      </c>
      <c r="B1222" s="214"/>
      <c r="C1222" s="214"/>
      <c r="D1222" s="214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4" t="s">
        <v>447</v>
      </c>
      <c r="B1234" s="214"/>
      <c r="C1234" s="214"/>
      <c r="D1234" s="214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4" t="s">
        <v>449</v>
      </c>
      <c r="B1246" s="214"/>
      <c r="C1246" s="214"/>
      <c r="D1246" s="214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4" t="s">
        <v>452</v>
      </c>
      <c r="B1258" s="214"/>
      <c r="C1258" s="214"/>
      <c r="D1258" s="214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4" t="s">
        <v>454</v>
      </c>
      <c r="B1270" s="214"/>
      <c r="C1270" s="214"/>
      <c r="D1270" s="214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4" t="s">
        <v>456</v>
      </c>
      <c r="B1282" s="214"/>
      <c r="C1282" s="214"/>
      <c r="D1282" s="214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4" t="s">
        <v>458</v>
      </c>
      <c r="B1294" s="214"/>
      <c r="C1294" s="214"/>
      <c r="D1294" s="214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4" t="s">
        <v>460</v>
      </c>
      <c r="B1306" s="214"/>
      <c r="C1306" s="214"/>
      <c r="D1306" s="214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4" t="s">
        <v>462</v>
      </c>
      <c r="B1318" s="214"/>
      <c r="C1318" s="214"/>
      <c r="D1318" s="214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4" t="s">
        <v>464</v>
      </c>
      <c r="B1330" s="214"/>
      <c r="C1330" s="214"/>
      <c r="D1330" s="214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4" t="s">
        <v>467</v>
      </c>
      <c r="B1343" s="214"/>
      <c r="C1343" s="214"/>
      <c r="D1343" s="214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4" t="s">
        <v>469</v>
      </c>
      <c r="B1355" s="214"/>
      <c r="C1355" s="214"/>
      <c r="D1355" s="214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4" t="s">
        <v>471</v>
      </c>
      <c r="B1368" s="214"/>
      <c r="C1368" s="214"/>
      <c r="D1368" s="214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4" t="s">
        <v>473</v>
      </c>
      <c r="B1380" s="214"/>
      <c r="C1380" s="214"/>
      <c r="D1380" s="214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4" t="s">
        <v>476</v>
      </c>
      <c r="B1392" s="214"/>
      <c r="C1392" s="214"/>
      <c r="D1392" s="214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4" t="s">
        <v>478</v>
      </c>
      <c r="B1404" s="214"/>
      <c r="C1404" s="214"/>
      <c r="D1404" s="214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4" t="s">
        <v>479</v>
      </c>
      <c r="B1416" s="214"/>
      <c r="C1416" s="214"/>
      <c r="D1416" s="214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4" t="s">
        <v>480</v>
      </c>
      <c r="B1428" s="214"/>
      <c r="C1428" s="214"/>
      <c r="D1428" s="214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4" t="s">
        <v>481</v>
      </c>
      <c r="B1441" s="214"/>
      <c r="C1441" s="214"/>
      <c r="D1441" s="214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4" t="s">
        <v>482</v>
      </c>
      <c r="B1453" s="214"/>
      <c r="C1453" s="214"/>
      <c r="D1453" s="214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4" t="s">
        <v>489</v>
      </c>
      <c r="B1465" s="214"/>
      <c r="C1465" s="214"/>
      <c r="D1465" s="214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4" t="s">
        <v>491</v>
      </c>
      <c r="B1477" s="214"/>
      <c r="C1477" s="214"/>
      <c r="D1477" s="214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4" t="s">
        <v>493</v>
      </c>
      <c r="B1490" s="214"/>
      <c r="C1490" s="214"/>
      <c r="D1490" s="214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4" t="s">
        <v>495</v>
      </c>
      <c r="B1502" s="214"/>
      <c r="C1502" s="214"/>
      <c r="D1502" s="214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4" t="s">
        <v>497</v>
      </c>
      <c r="B1514" s="214"/>
      <c r="C1514" s="214"/>
      <c r="D1514" s="214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4" t="s">
        <v>499</v>
      </c>
      <c r="B1526" s="214"/>
      <c r="C1526" s="214"/>
      <c r="D1526" s="214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4" t="s">
        <v>502</v>
      </c>
      <c r="B1539" s="214"/>
      <c r="C1539" s="214"/>
      <c r="D1539" s="214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4" t="s">
        <v>504</v>
      </c>
      <c r="B1551" s="214"/>
      <c r="C1551" s="214"/>
      <c r="D1551" s="214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4" t="s">
        <v>506</v>
      </c>
      <c r="B1563" s="214"/>
      <c r="C1563" s="214"/>
      <c r="D1563" s="214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4" t="s">
        <v>508</v>
      </c>
      <c r="B1576" s="214"/>
      <c r="C1576" s="214"/>
      <c r="D1576" s="214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4" t="s">
        <v>510</v>
      </c>
      <c r="B1589" s="214"/>
      <c r="C1589" s="214"/>
      <c r="D1589" s="214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3" t="s">
        <v>510</v>
      </c>
      <c r="B1601" s="213"/>
      <c r="C1601" s="213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3" t="s">
        <v>510</v>
      </c>
      <c r="B1613" s="213"/>
      <c r="C1613" s="213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3" t="s">
        <v>514</v>
      </c>
      <c r="B1629" s="213"/>
      <c r="C1629" s="213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3" t="s">
        <v>516</v>
      </c>
      <c r="B1640" s="213"/>
      <c r="C1640" s="213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3" t="s">
        <v>518</v>
      </c>
      <c r="B1653" s="213"/>
      <c r="C1653" s="213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3" t="s">
        <v>520</v>
      </c>
      <c r="B1665" s="213"/>
      <c r="C1665" s="213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3" t="s">
        <v>522</v>
      </c>
      <c r="B1677" s="213"/>
      <c r="C1677" s="213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3" t="s">
        <v>526</v>
      </c>
      <c r="B1690" s="213"/>
      <c r="C1690" s="213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3" t="s">
        <v>529</v>
      </c>
      <c r="B1703" s="213"/>
      <c r="C1703" s="213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3" t="s">
        <v>531</v>
      </c>
      <c r="B1716" s="213"/>
      <c r="C1716" s="213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3" t="s">
        <v>533</v>
      </c>
      <c r="B1729" s="213"/>
      <c r="C1729" s="213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3" t="s">
        <v>536</v>
      </c>
      <c r="B1742" s="213"/>
      <c r="C1742" s="213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3" t="s">
        <v>538</v>
      </c>
      <c r="B1754" s="213"/>
      <c r="C1754" s="213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3" t="s">
        <v>540</v>
      </c>
      <c r="B1767" s="213"/>
      <c r="C1767" s="213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3" t="s">
        <v>542</v>
      </c>
      <c r="B1779" s="213"/>
      <c r="C1779" s="213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3" t="s">
        <v>545</v>
      </c>
      <c r="B1791" s="213"/>
      <c r="C1791" s="213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3" t="s">
        <v>547</v>
      </c>
      <c r="B1803" s="213"/>
      <c r="C1803" s="213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3" t="s">
        <v>549</v>
      </c>
      <c r="B1816" s="213"/>
      <c r="C1816" s="213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3" t="s">
        <v>551</v>
      </c>
      <c r="B1829" s="213"/>
      <c r="C1829" s="213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3" t="s">
        <v>553</v>
      </c>
      <c r="B1842" s="213"/>
      <c r="C1842" s="213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3" t="s">
        <v>557</v>
      </c>
      <c r="B1854" s="213"/>
      <c r="C1854" s="213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3" t="s">
        <v>558</v>
      </c>
      <c r="B1866" s="213"/>
      <c r="C1866" s="213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3" t="s">
        <v>560</v>
      </c>
      <c r="B1878" s="213"/>
      <c r="C1878" s="213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3" t="s">
        <v>562</v>
      </c>
      <c r="B1890" s="213"/>
      <c r="C1890" s="213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3" t="s">
        <v>564</v>
      </c>
      <c r="B1903" s="213"/>
      <c r="C1903" s="213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3" t="s">
        <v>568</v>
      </c>
      <c r="B1916" s="213"/>
      <c r="C1916" s="213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3" t="s">
        <v>570</v>
      </c>
      <c r="B1928" s="213"/>
      <c r="C1928" s="213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3" t="s">
        <v>572</v>
      </c>
      <c r="B1940" s="213"/>
      <c r="C1940" s="213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3" t="s">
        <v>574</v>
      </c>
      <c r="B1953" s="213"/>
      <c r="C1953" s="213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3" t="s">
        <v>576</v>
      </c>
      <c r="B1966" s="213"/>
      <c r="C1966" s="213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3" t="s">
        <v>578</v>
      </c>
      <c r="B1979" s="213"/>
      <c r="C1979" s="213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3" t="s">
        <v>580</v>
      </c>
      <c r="B1992" s="213"/>
      <c r="C1992" s="213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3" t="s">
        <v>583</v>
      </c>
      <c r="B2005" s="213"/>
      <c r="C2005" s="213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3" t="s">
        <v>585</v>
      </c>
      <c r="B2017" s="213"/>
      <c r="C2017" s="213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  <row r="2029" spans="1:3">
      <c r="A2029" s="213" t="s">
        <v>587</v>
      </c>
      <c r="B2029" s="213"/>
      <c r="C2029" s="213"/>
    </row>
    <row r="2030" spans="1:3">
      <c r="A2030" s="79" t="s">
        <v>247</v>
      </c>
      <c r="B2030" s="79" t="s">
        <v>250</v>
      </c>
      <c r="C2030" s="79" t="s">
        <v>249</v>
      </c>
    </row>
    <row r="2031" spans="1:3">
      <c r="A2031" s="69">
        <v>0.45833333333333298</v>
      </c>
      <c r="B2031" s="79">
        <v>12145000</v>
      </c>
      <c r="C2031" s="79">
        <v>7490</v>
      </c>
    </row>
    <row r="2032" spans="1:3">
      <c r="A2032" s="70" t="s">
        <v>251</v>
      </c>
      <c r="B2032" s="79">
        <v>12200000</v>
      </c>
      <c r="C2032" s="79">
        <v>7480</v>
      </c>
    </row>
    <row r="2033" spans="1:3">
      <c r="A2033" s="71" t="s">
        <v>252</v>
      </c>
      <c r="B2033" s="79">
        <v>12210000</v>
      </c>
      <c r="C2033" s="79">
        <v>7540</v>
      </c>
    </row>
    <row r="2034" spans="1:3">
      <c r="A2034" s="69" t="s">
        <v>253</v>
      </c>
      <c r="B2034" s="212">
        <v>12230000</v>
      </c>
      <c r="C2034" s="79">
        <v>7570</v>
      </c>
    </row>
    <row r="2035" spans="1:3">
      <c r="A2035" s="77">
        <v>0.625</v>
      </c>
      <c r="B2035" s="212">
        <v>12230000</v>
      </c>
      <c r="C2035" s="79">
        <v>7540</v>
      </c>
    </row>
    <row r="2036" spans="1:3">
      <c r="A2036" s="70" t="s">
        <v>254</v>
      </c>
      <c r="B2036" s="212">
        <v>12230000</v>
      </c>
      <c r="C2036" s="79">
        <v>7530</v>
      </c>
    </row>
    <row r="2037" spans="1:3">
      <c r="A2037" s="80">
        <v>0.70833333333333337</v>
      </c>
      <c r="B2037" s="79">
        <v>12230000</v>
      </c>
      <c r="C2037" s="79">
        <v>7530</v>
      </c>
    </row>
    <row r="2042" spans="1:3">
      <c r="A2042" s="213" t="s">
        <v>589</v>
      </c>
      <c r="B2042" s="213"/>
      <c r="C2042" s="213"/>
    </row>
    <row r="2043" spans="1:3">
      <c r="A2043" s="79" t="s">
        <v>247</v>
      </c>
      <c r="B2043" s="79" t="s">
        <v>250</v>
      </c>
      <c r="C2043" s="79" t="s">
        <v>249</v>
      </c>
    </row>
    <row r="2044" spans="1:3">
      <c r="A2044" s="69">
        <v>0.45833333333333298</v>
      </c>
      <c r="B2044" s="79">
        <v>12270000</v>
      </c>
      <c r="C2044" s="79">
        <v>7580</v>
      </c>
    </row>
    <row r="2045" spans="1:3">
      <c r="A2045" s="70" t="s">
        <v>251</v>
      </c>
      <c r="B2045" s="79">
        <v>12290000</v>
      </c>
      <c r="C2045" s="79">
        <v>7600</v>
      </c>
    </row>
    <row r="2046" spans="1:3">
      <c r="A2046" s="71" t="s">
        <v>252</v>
      </c>
      <c r="B2046" s="79">
        <v>12320000</v>
      </c>
      <c r="C2046" s="79">
        <v>7580</v>
      </c>
    </row>
    <row r="2047" spans="1:3">
      <c r="A2047" s="69" t="s">
        <v>253</v>
      </c>
      <c r="B2047" s="212">
        <v>12340000</v>
      </c>
      <c r="C2047" s="79">
        <v>7610</v>
      </c>
    </row>
    <row r="2048" spans="1:3">
      <c r="A2048" s="77">
        <v>0.625</v>
      </c>
      <c r="B2048" s="212">
        <v>12330000</v>
      </c>
      <c r="C2048" s="79">
        <v>7610</v>
      </c>
    </row>
    <row r="2049" spans="1:4">
      <c r="A2049" s="70" t="s">
        <v>254</v>
      </c>
      <c r="B2049" s="212">
        <v>12325000</v>
      </c>
      <c r="C2049" s="79">
        <v>7600</v>
      </c>
    </row>
    <row r="2050" spans="1:4">
      <c r="A2050" s="80">
        <v>0.70833333333333337</v>
      </c>
      <c r="B2050" s="79">
        <v>12325000</v>
      </c>
      <c r="C2050" s="79">
        <v>7600</v>
      </c>
    </row>
    <row r="2055" spans="1:4">
      <c r="A2055" s="213" t="s">
        <v>591</v>
      </c>
      <c r="B2055" s="213"/>
      <c r="C2055" s="213"/>
    </row>
    <row r="2056" spans="1:4">
      <c r="A2056" s="79" t="s">
        <v>247</v>
      </c>
      <c r="B2056" s="79" t="s">
        <v>250</v>
      </c>
      <c r="C2056" s="79" t="s">
        <v>249</v>
      </c>
    </row>
    <row r="2057" spans="1:4">
      <c r="A2057" s="69">
        <v>0.45833333333333298</v>
      </c>
      <c r="B2057" s="79"/>
      <c r="C2057" s="79"/>
      <c r="D2057">
        <v>12370000</v>
      </c>
    </row>
    <row r="2058" spans="1:4">
      <c r="A2058" s="70" t="s">
        <v>251</v>
      </c>
      <c r="B2058" s="79"/>
      <c r="C2058" s="79"/>
      <c r="D2058">
        <v>12420000</v>
      </c>
    </row>
    <row r="2059" spans="1:4">
      <c r="A2059" s="71" t="s">
        <v>252</v>
      </c>
      <c r="B2059" s="79"/>
      <c r="C2059" s="79"/>
      <c r="D2059">
        <v>12425000</v>
      </c>
    </row>
    <row r="2060" spans="1:4">
      <c r="A2060" s="69" t="s">
        <v>253</v>
      </c>
      <c r="B2060" s="212"/>
      <c r="C2060" s="79"/>
    </row>
    <row r="2061" spans="1:4">
      <c r="A2061" s="77">
        <v>0.625</v>
      </c>
      <c r="B2061" s="212"/>
      <c r="C2061" s="79"/>
      <c r="D2061">
        <f>D2059-B2050</f>
        <v>100000</v>
      </c>
    </row>
    <row r="2062" spans="1:4">
      <c r="A2062" s="70" t="s">
        <v>254</v>
      </c>
      <c r="B2062" s="212"/>
      <c r="C2062" s="79"/>
    </row>
    <row r="2063" spans="1:4">
      <c r="A2063" s="80">
        <v>0.70833333333333337</v>
      </c>
      <c r="B2063" s="79"/>
      <c r="C2063" s="79"/>
    </row>
    <row r="2068" spans="1:4">
      <c r="A2068" s="213" t="s">
        <v>594</v>
      </c>
      <c r="B2068" s="213"/>
      <c r="C2068" s="213"/>
    </row>
    <row r="2069" spans="1:4">
      <c r="A2069" s="79" t="s">
        <v>247</v>
      </c>
      <c r="B2069" s="79" t="s">
        <v>250</v>
      </c>
      <c r="C2069" s="79" t="s">
        <v>249</v>
      </c>
    </row>
    <row r="2070" spans="1:4">
      <c r="A2070" s="69">
        <v>0.45833333333333298</v>
      </c>
      <c r="B2070" s="79"/>
      <c r="C2070" s="79"/>
    </row>
    <row r="2071" spans="1:4">
      <c r="A2071" s="70" t="s">
        <v>251</v>
      </c>
      <c r="B2071" s="79"/>
      <c r="C2071" s="79"/>
      <c r="D2071">
        <v>12365000</v>
      </c>
    </row>
    <row r="2072" spans="1:4">
      <c r="A2072" s="71" t="s">
        <v>252</v>
      </c>
      <c r="B2072" s="79"/>
      <c r="C2072" s="79"/>
    </row>
    <row r="2073" spans="1:4">
      <c r="A2073" s="69" t="s">
        <v>253</v>
      </c>
      <c r="B2073" s="212"/>
      <c r="C2073" s="79"/>
    </row>
    <row r="2074" spans="1:4">
      <c r="A2074" s="77">
        <v>0.625</v>
      </c>
      <c r="B2074" s="212"/>
      <c r="C2074" s="79"/>
    </row>
    <row r="2075" spans="1:4">
      <c r="A2075" s="70" t="s">
        <v>254</v>
      </c>
      <c r="B2075" s="212"/>
      <c r="C2075" s="79"/>
    </row>
    <row r="2076" spans="1:4">
      <c r="A2076" s="80">
        <v>0.70833333333333337</v>
      </c>
      <c r="B2076" s="79"/>
      <c r="C2076" s="79"/>
    </row>
    <row r="2081" spans="1:4">
      <c r="A2081" s="213" t="s">
        <v>596</v>
      </c>
      <c r="B2081" s="213"/>
      <c r="C2081" s="213"/>
    </row>
    <row r="2082" spans="1:4">
      <c r="A2082" s="79" t="s">
        <v>247</v>
      </c>
      <c r="B2082" s="79" t="s">
        <v>250</v>
      </c>
      <c r="C2082" s="79" t="s">
        <v>249</v>
      </c>
    </row>
    <row r="2083" spans="1:4">
      <c r="A2083" s="69">
        <v>0.45833333333333298</v>
      </c>
      <c r="B2083" s="79">
        <v>12390000</v>
      </c>
      <c r="C2083" s="79">
        <v>7590</v>
      </c>
    </row>
    <row r="2084" spans="1:4">
      <c r="A2084" s="70" t="s">
        <v>251</v>
      </c>
      <c r="B2084" s="79">
        <v>12410000</v>
      </c>
      <c r="C2084" s="79">
        <v>7590</v>
      </c>
      <c r="D2084">
        <f>B2083-D2071</f>
        <v>25000</v>
      </c>
    </row>
    <row r="2085" spans="1:4">
      <c r="A2085" s="71" t="s">
        <v>252</v>
      </c>
      <c r="B2085" s="79">
        <v>12445000</v>
      </c>
      <c r="C2085" s="79">
        <v>7630</v>
      </c>
    </row>
    <row r="2086" spans="1:4">
      <c r="A2086" s="69" t="s">
        <v>253</v>
      </c>
      <c r="B2086" s="212">
        <v>12450000</v>
      </c>
      <c r="C2086" s="79">
        <v>7630</v>
      </c>
    </row>
    <row r="2087" spans="1:4">
      <c r="A2087" s="77">
        <v>0.625</v>
      </c>
      <c r="B2087" s="212">
        <v>12460000</v>
      </c>
      <c r="C2087" s="79">
        <v>7630</v>
      </c>
    </row>
    <row r="2088" spans="1:4">
      <c r="A2088" s="70" t="s">
        <v>254</v>
      </c>
      <c r="B2088" s="212">
        <v>12475000</v>
      </c>
      <c r="C2088" s="79">
        <v>7620</v>
      </c>
    </row>
    <row r="2089" spans="1:4">
      <c r="A2089" s="80">
        <v>0.70833333333333337</v>
      </c>
      <c r="B2089" s="79">
        <v>12520000</v>
      </c>
      <c r="C2089" s="79">
        <v>7630</v>
      </c>
    </row>
    <row r="2093" spans="1:4">
      <c r="A2093" s="213" t="s">
        <v>598</v>
      </c>
      <c r="B2093" s="213"/>
      <c r="C2093" s="213"/>
    </row>
    <row r="2094" spans="1:4">
      <c r="A2094" s="79" t="s">
        <v>247</v>
      </c>
      <c r="B2094" s="79" t="s">
        <v>250</v>
      </c>
      <c r="C2094" s="79" t="s">
        <v>249</v>
      </c>
    </row>
    <row r="2095" spans="1:4">
      <c r="A2095" s="69">
        <v>0.45833333333333298</v>
      </c>
      <c r="B2095" s="79">
        <v>12560000</v>
      </c>
      <c r="C2095" s="79">
        <v>7660</v>
      </c>
      <c r="D2095">
        <v>12560000</v>
      </c>
    </row>
    <row r="2096" spans="1:4">
      <c r="A2096" s="70" t="s">
        <v>251</v>
      </c>
      <c r="B2096" s="79">
        <v>12600000</v>
      </c>
      <c r="C2096" s="79">
        <v>7670</v>
      </c>
      <c r="D2096">
        <v>12555000</v>
      </c>
    </row>
    <row r="2097" spans="1:4">
      <c r="A2097" s="71" t="s">
        <v>252</v>
      </c>
      <c r="B2097" s="79">
        <v>12605000</v>
      </c>
      <c r="C2097" s="79">
        <v>7680</v>
      </c>
      <c r="D2097">
        <v>12565000</v>
      </c>
    </row>
    <row r="2098" spans="1:4">
      <c r="A2098" s="69" t="s">
        <v>253</v>
      </c>
      <c r="B2098" s="212">
        <v>12615000</v>
      </c>
      <c r="C2098" s="79">
        <v>7720</v>
      </c>
      <c r="D2098">
        <v>12585000</v>
      </c>
    </row>
    <row r="2099" spans="1:4">
      <c r="A2099" s="77">
        <v>0.625</v>
      </c>
      <c r="B2099" s="212">
        <v>12595000</v>
      </c>
      <c r="C2099" s="79">
        <v>7730</v>
      </c>
      <c r="D2099">
        <v>12590000</v>
      </c>
    </row>
    <row r="2100" spans="1:4">
      <c r="A2100" s="70" t="s">
        <v>254</v>
      </c>
      <c r="B2100" s="212">
        <v>12590000</v>
      </c>
      <c r="C2100" s="79">
        <v>7740</v>
      </c>
      <c r="D2100">
        <v>12595000</v>
      </c>
    </row>
    <row r="2101" spans="1:4">
      <c r="A2101" s="80">
        <v>0.70833333333333337</v>
      </c>
      <c r="B2101" s="79">
        <v>12580000</v>
      </c>
      <c r="C2101" s="79">
        <v>7730</v>
      </c>
      <c r="D2101">
        <v>12605000</v>
      </c>
    </row>
  </sheetData>
  <mergeCells count="180">
    <mergeCell ref="A2081:C2081"/>
    <mergeCell ref="A1816:C1816"/>
    <mergeCell ref="A2055:C2055"/>
    <mergeCell ref="A2042:C2042"/>
    <mergeCell ref="A2017:C2017"/>
    <mergeCell ref="A2005:C2005"/>
    <mergeCell ref="A1928:C1928"/>
    <mergeCell ref="A1754:C1754"/>
    <mergeCell ref="A1742:C1742"/>
    <mergeCell ref="A2068:C2068"/>
    <mergeCell ref="A1992:C1992"/>
    <mergeCell ref="A1979:C1979"/>
    <mergeCell ref="A2029:C2029"/>
    <mergeCell ref="A1829:C1829"/>
    <mergeCell ref="A1966:C1966"/>
    <mergeCell ref="A1953:C1953"/>
    <mergeCell ref="A1940:C1940"/>
    <mergeCell ref="A1890:C1890"/>
    <mergeCell ref="A1878:C1878"/>
    <mergeCell ref="A1866:C1866"/>
    <mergeCell ref="A1854:C1854"/>
    <mergeCell ref="A1842:C1842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1703:C1703"/>
    <mergeCell ref="A1716:C1716"/>
    <mergeCell ref="A1729:C1729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1428:D1428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136:D1136"/>
    <mergeCell ref="A2093:C2093"/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162:D1162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A12" sqref="A12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5" t="s">
        <v>373</v>
      </c>
      <c r="B1" s="215"/>
      <c r="C1" s="215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60"/>
  <sheetViews>
    <sheetView topLeftCell="A7" zoomScale="85" zoomScaleNormal="85" workbookViewId="0">
      <selection activeCell="J37" sqref="J37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60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60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  <row r="156" spans="2:9">
      <c r="B156">
        <v>14001028</v>
      </c>
      <c r="C156">
        <v>27700</v>
      </c>
      <c r="D156">
        <v>12230000</v>
      </c>
      <c r="E156">
        <v>1178300</v>
      </c>
      <c r="F156">
        <f t="shared" si="6"/>
        <v>1.0948905109489051</v>
      </c>
      <c r="G156">
        <f t="shared" si="9"/>
        <v>0.16380016380016379</v>
      </c>
      <c r="H156">
        <f t="shared" si="11"/>
        <v>-0.87490535879532261</v>
      </c>
      <c r="I156">
        <v>-2.34</v>
      </c>
    </row>
    <row r="157" spans="2:9">
      <c r="B157">
        <v>14001029</v>
      </c>
      <c r="C157">
        <v>27920</v>
      </c>
      <c r="D157">
        <v>12325000</v>
      </c>
      <c r="E157">
        <v>1195700</v>
      </c>
      <c r="F157">
        <f t="shared" si="6"/>
        <v>0.79422382671480141</v>
      </c>
      <c r="G157">
        <f t="shared" si="9"/>
        <v>0.77677841373671297</v>
      </c>
      <c r="H157">
        <f>(E157-E156)*100/E156</f>
        <v>1.4767037257065263</v>
      </c>
      <c r="I157">
        <v>0.27</v>
      </c>
    </row>
    <row r="158" spans="2:9">
      <c r="B158">
        <v>14001102</v>
      </c>
      <c r="C158">
        <v>27880</v>
      </c>
      <c r="D158">
        <v>12360000</v>
      </c>
      <c r="E158">
        <v>1213400</v>
      </c>
      <c r="F158">
        <f t="shared" si="6"/>
        <v>-0.14326647564469913</v>
      </c>
      <c r="G158">
        <f t="shared" si="9"/>
        <v>0.28397565922920892</v>
      </c>
      <c r="H158">
        <f>(E158-E157)*100/E157</f>
        <v>1.480304424186669</v>
      </c>
      <c r="I158">
        <v>0.19</v>
      </c>
    </row>
    <row r="159" spans="2:9">
      <c r="B159">
        <v>14001103</v>
      </c>
      <c r="C159">
        <v>27950</v>
      </c>
      <c r="D159">
        <v>12520000</v>
      </c>
      <c r="E159">
        <v>1214600</v>
      </c>
      <c r="F159">
        <f t="shared" si="6"/>
        <v>0.25107604017216645</v>
      </c>
      <c r="G159">
        <f t="shared" si="9"/>
        <v>1.2944983818770226</v>
      </c>
      <c r="H159">
        <f>(E159-E158)*100/E158</f>
        <v>9.8895665073347613E-2</v>
      </c>
      <c r="I159">
        <v>-1.97</v>
      </c>
    </row>
    <row r="160" spans="2:9">
      <c r="B160">
        <v>14001104</v>
      </c>
      <c r="C160">
        <v>28200</v>
      </c>
      <c r="D160">
        <v>12580000</v>
      </c>
      <c r="E160">
        <v>1239100</v>
      </c>
      <c r="F160">
        <f t="shared" si="6"/>
        <v>0.89445438282647582</v>
      </c>
      <c r="G160">
        <f t="shared" si="9"/>
        <v>0.47923322683706071</v>
      </c>
      <c r="H160">
        <f>(E160-E159)*100/E159</f>
        <v>2.0171249794170922</v>
      </c>
      <c r="I160">
        <v>-1.74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2022-01-24T13:01:30Z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