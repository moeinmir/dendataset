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EB6BAF37-C55C-40A3-A029-B67D4A3DE1E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set'!$A$1:$BN$248</definedName>
    <definedName name="_xlnm._FilterDatabase" localSheetId="1" hidden="1">weekly!$A$1:$K$58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48" i="1" l="1"/>
  <c r="H167" i="5" l="1"/>
  <c r="G167" i="5"/>
  <c r="F167" i="5"/>
  <c r="V251" i="1" l="1"/>
  <c r="D2185" i="3" l="1"/>
  <c r="H166" i="5" l="1"/>
  <c r="G166" i="5"/>
  <c r="F166" i="5"/>
  <c r="N249" i="1" l="1"/>
  <c r="N247" i="1"/>
  <c r="D247" i="1"/>
  <c r="P246" i="1"/>
  <c r="D2177" i="3" l="1"/>
  <c r="X251" i="1"/>
  <c r="H165" i="5" l="1"/>
  <c r="G165" i="5"/>
  <c r="F165" i="5"/>
  <c r="Y251" i="1"/>
  <c r="Y246" i="1"/>
  <c r="O248" i="1"/>
  <c r="E248" i="1"/>
  <c r="Y248" i="1" l="1"/>
  <c r="H164" i="5" l="1"/>
  <c r="G164" i="5"/>
  <c r="F164" i="5"/>
  <c r="W256" i="1"/>
  <c r="W257" i="1"/>
  <c r="D2162" i="3"/>
  <c r="H163" i="5" l="1"/>
  <c r="G163" i="5"/>
  <c r="F163" i="5"/>
  <c r="D2152" i="3"/>
  <c r="D2149" i="3"/>
  <c r="W247" i="1"/>
  <c r="A48" i="2" l="1"/>
  <c r="B46" i="2"/>
  <c r="D2135" i="3"/>
  <c r="H162" i="5" l="1"/>
  <c r="G162" i="5"/>
  <c r="F162" i="5"/>
  <c r="E254" i="1"/>
  <c r="F252" i="1"/>
  <c r="E251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V256" i="1"/>
  <c r="P249" i="1"/>
  <c r="H154" i="5" l="1"/>
  <c r="G154" i="5"/>
  <c r="F154" i="5"/>
  <c r="Y257" i="1"/>
  <c r="Y259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46" i="1" l="1"/>
  <c r="M216" i="1"/>
  <c r="L216" i="1"/>
  <c r="D1850" i="3" l="1"/>
  <c r="M215" i="1"/>
  <c r="L215" i="1"/>
  <c r="Y256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2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3" i="1"/>
  <c r="N254" i="1"/>
  <c r="N255" i="1"/>
  <c r="N256" i="1"/>
  <c r="N257" i="1"/>
  <c r="N258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46" i="1" l="1"/>
  <c r="S1" i="1" s="1"/>
  <c r="M246" i="1"/>
  <c r="U1" i="1" s="1"/>
</calcChain>
</file>

<file path=xl/sharedStrings.xml><?xml version="1.0" encoding="utf-8"?>
<sst xmlns="http://schemas.openxmlformats.org/spreadsheetml/2006/main" count="2202" uniqueCount="619">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</sst>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6496"/>
        <c:axId val="-505051936"/>
      </c:lineChart>
      <c:catAx>
        <c:axId val="-50504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936"/>
        <c:crosses val="autoZero"/>
        <c:auto val="1"/>
        <c:lblAlgn val="ctr"/>
        <c:lblOffset val="100"/>
        <c:noMultiLvlLbl val="0"/>
      </c:catAx>
      <c:valAx>
        <c:axId val="-505051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64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4F6-48C4-8305-527D22166FE6}"/>
                </c:ext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4F6-48C4-8305-527D22166FE6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42C-452B-AEBB-8BE76960DA7D}"/>
                </c:ext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2C-452B-AEBB-8BE76960DA7D}"/>
                </c:ext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4F6-48C4-8305-527D22166FE6}"/>
                </c:ext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9B-42FE-890C-FBBD5EA10856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1392"/>
        <c:axId val="-50505084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0505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848"/>
        <c:crosses val="autoZero"/>
        <c:auto val="1"/>
        <c:lblAlgn val="ctr"/>
        <c:lblOffset val="100"/>
        <c:noMultiLvlLbl val="0"/>
      </c:catAx>
      <c:valAx>
        <c:axId val="-50505084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50304"/>
        <c:axId val="-505049760"/>
      </c:lineChart>
      <c:catAx>
        <c:axId val="-50505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760"/>
        <c:crosses val="autoZero"/>
        <c:auto val="1"/>
        <c:lblAlgn val="ctr"/>
        <c:lblOffset val="100"/>
        <c:noMultiLvlLbl val="0"/>
      </c:catAx>
      <c:valAx>
        <c:axId val="-5050497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503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9216"/>
        <c:axId val="-505048672"/>
      </c:lineChart>
      <c:catAx>
        <c:axId val="-50504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672"/>
        <c:crosses val="autoZero"/>
        <c:auto val="1"/>
        <c:lblAlgn val="ctr"/>
        <c:lblOffset val="100"/>
        <c:noMultiLvlLbl val="0"/>
      </c:catAx>
      <c:valAx>
        <c:axId val="-505048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92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8128"/>
        <c:axId val="-505047584"/>
      </c:lineChart>
      <c:catAx>
        <c:axId val="-5050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584"/>
        <c:crosses val="autoZero"/>
        <c:auto val="1"/>
        <c:lblAlgn val="ctr"/>
        <c:lblOffset val="100"/>
        <c:noMultiLvlLbl val="0"/>
      </c:catAx>
      <c:valAx>
        <c:axId val="-505047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81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3C2D-422C-8459-61881E344546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3C2D-422C-8459-61881E3445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3C2D-422C-8459-61881E344546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3C2D-422C-8459-61881E344546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05047040"/>
        <c:axId val="-653510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3C2D-422C-8459-61881E344546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3C2D-422C-8459-61881E344546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050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53510096"/>
        <c:crosses val="autoZero"/>
        <c:auto val="1"/>
        <c:lblAlgn val="ctr"/>
        <c:lblOffset val="100"/>
        <c:noMultiLvlLbl val="0"/>
      </c:catAx>
      <c:valAx>
        <c:axId val="-65351009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050470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63325248"/>
        <c:axId val="-563324160"/>
      </c:barChart>
      <c:catAx>
        <c:axId val="-56332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4160"/>
        <c:crosses val="autoZero"/>
        <c:auto val="1"/>
        <c:lblAlgn val="ctr"/>
        <c:lblOffset val="100"/>
        <c:noMultiLvlLbl val="0"/>
      </c:catAx>
      <c:valAx>
        <c:axId val="-563324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2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چهارشنبه 13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5"/>
          <c:order val="8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change'!$F$167:$I$167</c:f>
              <c:numCache>
                <c:formatCode>General</c:formatCode>
                <c:ptCount val="4"/>
                <c:pt idx="0">
                  <c:v>-0.97157250809643758</c:v>
                </c:pt>
                <c:pt idx="1">
                  <c:v>-0.49019607843137253</c:v>
                </c:pt>
                <c:pt idx="2">
                  <c:v>-0.79664914586070956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25-4A13-98D8-CAB9E1153C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63320896"/>
        <c:axId val="-5633257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</c:ext>
        </c:extLst>
      </c:barChart>
      <c:catAx>
        <c:axId val="-5633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5792"/>
        <c:crosses val="autoZero"/>
        <c:auto val="1"/>
        <c:lblAlgn val="ctr"/>
        <c:lblOffset val="100"/>
        <c:noMultiLvlLbl val="0"/>
      </c:catAx>
      <c:valAx>
        <c:axId val="-563325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3320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61"/>
  <sheetViews>
    <sheetView tabSelected="1" topLeftCell="B1" zoomScaleNormal="100" workbookViewId="0">
      <pane ySplit="1" topLeftCell="A216" activePane="bottomLeft" state="frozen"/>
      <selection activeCell="B1" sqref="B1"/>
      <selection pane="bottomLeft" activeCell="G217" sqref="G217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L246/G246</f>
        <v>#DIV/0!</v>
      </c>
      <c r="T1" s="3" t="s">
        <v>15</v>
      </c>
      <c r="U1" s="3">
        <f>M246/K246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36" customFormat="1" ht="18">
      <c r="B245" s="131" t="s">
        <v>616</v>
      </c>
      <c r="C245" s="104">
        <v>14</v>
      </c>
      <c r="D245" s="137">
        <v>25090</v>
      </c>
      <c r="E245" s="136">
        <v>25125</v>
      </c>
      <c r="F245" s="136">
        <v>25079</v>
      </c>
      <c r="H245" s="136">
        <v>28460</v>
      </c>
      <c r="I245" s="136">
        <v>28482</v>
      </c>
      <c r="J245" s="136">
        <v>28573</v>
      </c>
      <c r="L245" s="208"/>
      <c r="M245" s="208"/>
      <c r="N245" s="136">
        <v>25376</v>
      </c>
      <c r="O245" s="136">
        <v>28767</v>
      </c>
      <c r="P245" s="136">
        <v>25341</v>
      </c>
      <c r="Q245" s="136">
        <v>28745</v>
      </c>
      <c r="V245" s="136">
        <v>27530</v>
      </c>
      <c r="X245" s="136">
        <v>27550</v>
      </c>
      <c r="Y245" s="136">
        <v>31141</v>
      </c>
      <c r="Z245" s="138"/>
      <c r="AB245" s="137"/>
      <c r="AS245" s="137"/>
      <c r="AW245" s="137"/>
      <c r="BI245" s="177"/>
      <c r="BO245" s="151"/>
      <c r="BP245" s="151"/>
      <c r="BQ245" s="151"/>
      <c r="BR245" s="151"/>
    </row>
    <row r="246" spans="2:70" ht="18">
      <c r="D246" s="26"/>
      <c r="K246">
        <f>SUM(K2:K216)</f>
        <v>210358000</v>
      </c>
      <c r="L246" s="142">
        <f>SUM(L2:L216)</f>
        <v>38488576407409</v>
      </c>
      <c r="M246" s="142">
        <f>SUM(M2:M216)</f>
        <v>6182194847600</v>
      </c>
      <c r="P246">
        <f>P243-N242</f>
        <v>227</v>
      </c>
      <c r="V246" s="144">
        <v>27520</v>
      </c>
      <c r="Y246">
        <f>(38179-36734)/36734</f>
        <v>3.9336854140578213E-2</v>
      </c>
      <c r="Z246" s="25"/>
      <c r="AS246" s="26"/>
      <c r="AW246" s="30"/>
    </row>
    <row r="247" spans="2:70" ht="18">
      <c r="D247">
        <f>D243-F242</f>
        <v>65</v>
      </c>
      <c r="N247">
        <f>(38955-36945)/36945</f>
        <v>5.4405196914332113E-2</v>
      </c>
      <c r="V247" s="152">
        <v>27480</v>
      </c>
      <c r="W247">
        <f>V240-X239</f>
        <v>380</v>
      </c>
      <c r="Z247" s="25"/>
      <c r="AS247" s="26"/>
      <c r="AW247" s="30"/>
    </row>
    <row r="248" spans="2:70" ht="18">
      <c r="E248">
        <f>D242-F241</f>
        <v>101</v>
      </c>
      <c r="O248">
        <f>P242-N241</f>
        <v>249</v>
      </c>
      <c r="V248" s="152">
        <v>27470</v>
      </c>
      <c r="W248" s="152"/>
      <c r="X248">
        <f>X244-X243</f>
        <v>-270</v>
      </c>
      <c r="Y248">
        <f>Y241-Y240</f>
        <v>-570</v>
      </c>
      <c r="Z248" s="25"/>
      <c r="AS248" s="26"/>
      <c r="AW248" s="30"/>
    </row>
    <row r="249" spans="2:70" ht="18">
      <c r="D249" s="93"/>
      <c r="N249">
        <f>(2785-2525)/2525</f>
        <v>0.10297029702970296</v>
      </c>
      <c r="P249">
        <f>P230-N229</f>
        <v>24</v>
      </c>
      <c r="V249" s="152">
        <v>27450</v>
      </c>
      <c r="W249" s="152"/>
      <c r="Z249" s="25"/>
      <c r="AW249" s="30"/>
    </row>
    <row r="250" spans="2:70" ht="17.25" customHeight="1">
      <c r="D250" s="93"/>
      <c r="P250" t="s">
        <v>523</v>
      </c>
      <c r="Q250" t="s">
        <v>524</v>
      </c>
      <c r="W250" s="152"/>
      <c r="Z250" s="25"/>
    </row>
    <row r="251" spans="2:70" ht="18">
      <c r="D251" s="93"/>
      <c r="E251">
        <f>(28300-25088)/25088</f>
        <v>0.12802933673469388</v>
      </c>
      <c r="O251" s="126" t="s">
        <v>503</v>
      </c>
      <c r="P251">
        <v>-178</v>
      </c>
      <c r="Q251">
        <v>-180</v>
      </c>
      <c r="V251" s="25">
        <f>V244-X243</f>
        <v>-110</v>
      </c>
      <c r="W251" s="152"/>
      <c r="X251">
        <f>X242-X241</f>
        <v>-150</v>
      </c>
      <c r="Y251">
        <f>(2631-2489)/2489</f>
        <v>5.7051024507834475E-2</v>
      </c>
      <c r="Z251" s="25"/>
    </row>
    <row r="252" spans="2:70" ht="18">
      <c r="D252" s="93"/>
      <c r="F252">
        <f>(37881-36136)/37136</f>
        <v>4.6989444205084017E-2</v>
      </c>
      <c r="H252">
        <f>(27376-26532)/26532</f>
        <v>3.1810643750942259E-2</v>
      </c>
      <c r="O252" s="132" t="s">
        <v>505</v>
      </c>
      <c r="P252">
        <v>59</v>
      </c>
      <c r="Q252">
        <v>59</v>
      </c>
      <c r="V252" s="25"/>
      <c r="W252" s="152"/>
    </row>
    <row r="253" spans="2:70" ht="18">
      <c r="D253" s="93"/>
      <c r="N253">
        <f t="shared" ref="N253:N257" si="42">N199-N198</f>
        <v>-15</v>
      </c>
      <c r="O253" s="132" t="s">
        <v>507</v>
      </c>
      <c r="P253">
        <v>-17</v>
      </c>
      <c r="Q253">
        <v>-16</v>
      </c>
      <c r="V253" s="25"/>
      <c r="W253" s="152"/>
    </row>
    <row r="254" spans="2:70" ht="18">
      <c r="D254" s="107"/>
      <c r="E254">
        <f>(2499-2381)/2381</f>
        <v>4.9559008819823606E-2</v>
      </c>
      <c r="N254">
        <f t="shared" si="42"/>
        <v>-12</v>
      </c>
      <c r="O254" s="132" t="s">
        <v>509</v>
      </c>
      <c r="P254">
        <v>-163</v>
      </c>
      <c r="Q254">
        <v>-165</v>
      </c>
      <c r="W254" s="144"/>
    </row>
    <row r="255" spans="2:70" ht="18">
      <c r="D255" s="107"/>
      <c r="N255">
        <f t="shared" si="42"/>
        <v>-137</v>
      </c>
      <c r="O255" s="132" t="s">
        <v>511</v>
      </c>
      <c r="P255">
        <v>50</v>
      </c>
      <c r="Q255">
        <v>50</v>
      </c>
      <c r="W255" s="144"/>
      <c r="X255" s="109"/>
    </row>
    <row r="256" spans="2:70" ht="18">
      <c r="D256" s="113"/>
      <c r="N256">
        <f t="shared" si="42"/>
        <v>-138</v>
      </c>
      <c r="O256" s="145" t="s">
        <v>513</v>
      </c>
      <c r="P256">
        <v>-15</v>
      </c>
      <c r="Q256">
        <v>-15</v>
      </c>
      <c r="V256">
        <f>(3376-3251)/3251</f>
        <v>3.8449707782220857E-2</v>
      </c>
      <c r="W256" s="144">
        <f>(2628-2533)/2533</f>
        <v>3.750493485984998E-2</v>
      </c>
      <c r="X256" s="109"/>
      <c r="Y256">
        <f>(W254-X215)/X215</f>
        <v>-1</v>
      </c>
    </row>
    <row r="257" spans="4:25" ht="18">
      <c r="D257" s="107"/>
      <c r="G257" s="9"/>
      <c r="N257">
        <f t="shared" si="42"/>
        <v>-43</v>
      </c>
      <c r="O257" s="145" t="s">
        <v>515</v>
      </c>
      <c r="P257">
        <v>-12</v>
      </c>
      <c r="Q257">
        <v>-12</v>
      </c>
      <c r="W257">
        <f>(38576-37406)/37406</f>
        <v>3.1278404534031974E-2</v>
      </c>
      <c r="X257" s="109"/>
      <c r="Y257">
        <f>(43725-42669)/42669</f>
        <v>2.4748646558391339E-2</v>
      </c>
    </row>
    <row r="258" spans="4:25" ht="18">
      <c r="D258" s="103"/>
      <c r="G258" s="9"/>
      <c r="N258">
        <f>N246-N203</f>
        <v>-27379</v>
      </c>
      <c r="O258" s="148" t="s">
        <v>517</v>
      </c>
      <c r="P258">
        <v>-136</v>
      </c>
      <c r="Q258">
        <v>-137</v>
      </c>
      <c r="X258" s="109"/>
    </row>
    <row r="259" spans="4:25" ht="18">
      <c r="G259" s="9"/>
      <c r="O259" s="145" t="s">
        <v>519</v>
      </c>
      <c r="P259">
        <v>-137</v>
      </c>
      <c r="Q259">
        <v>-138</v>
      </c>
      <c r="X259" s="109"/>
      <c r="Y259">
        <f>(3365-3279)/3279</f>
        <v>2.6227508386703263E-2</v>
      </c>
    </row>
    <row r="260" spans="4:25" ht="18">
      <c r="G260" s="9"/>
      <c r="O260" s="131" t="s">
        <v>521</v>
      </c>
      <c r="P260">
        <v>-42</v>
      </c>
      <c r="Q260">
        <v>-43</v>
      </c>
      <c r="X260" s="109"/>
    </row>
    <row r="261" spans="4:25" ht="18">
      <c r="G261" s="9"/>
    </row>
  </sheetData>
  <autoFilter ref="A1:BN248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8"/>
  <sheetViews>
    <sheetView topLeftCell="A149" zoomScale="40" zoomScaleNormal="40" workbookViewId="0">
      <selection activeCell="Q178" sqref="Q178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5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5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5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13"/>
  <sheetViews>
    <sheetView topLeftCell="A2195" zoomScaleNormal="100" workbookViewId="0">
      <selection activeCell="D2223" sqref="D2223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3">
      <c r="A2209" s="71" t="s">
        <v>252</v>
      </c>
      <c r="C2209" s="79"/>
    </row>
    <row r="2210" spans="1:3">
      <c r="A2210" s="69" t="s">
        <v>253</v>
      </c>
      <c r="C2210" s="79"/>
    </row>
    <row r="2211" spans="1:3">
      <c r="A2211" s="77">
        <v>0.625</v>
      </c>
      <c r="C2211" s="79"/>
    </row>
    <row r="2212" spans="1:3">
      <c r="A2212" s="70" t="s">
        <v>254</v>
      </c>
      <c r="B2212" s="212"/>
      <c r="C2212" s="79"/>
    </row>
    <row r="2213" spans="1:3">
      <c r="A2213" s="80">
        <v>0.70833333333333337</v>
      </c>
      <c r="B2213" s="79"/>
      <c r="C2213" s="79"/>
    </row>
  </sheetData>
  <mergeCells count="189"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D17" sqref="D17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5" t="s">
        <v>373</v>
      </c>
      <c r="B1" s="215"/>
      <c r="C1" s="215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67"/>
  <sheetViews>
    <sheetView topLeftCell="A31" zoomScale="85" zoomScaleNormal="85" workbookViewId="0">
      <selection activeCell="B168" sqref="B168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7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67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2022-02-03T11:00:32Z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