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set'!$A$1:$BN$206</definedName>
    <definedName name="_xlnm._FilterDatabase" localSheetId="1" hidden="1">weekly!$A$1:$K$50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Q14" i="1" l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07" i="1"/>
  <c r="N208" i="1"/>
  <c r="N209" i="1"/>
  <c r="N210" i="1"/>
  <c r="N211" i="1"/>
  <c r="N212" i="1"/>
  <c r="N213" i="1"/>
  <c r="N214" i="1"/>
  <c r="N215" i="1"/>
  <c r="N216" i="1"/>
  <c r="E207" i="1"/>
  <c r="E208" i="1"/>
  <c r="E209" i="1"/>
  <c r="E210" i="1"/>
  <c r="E211" i="1"/>
  <c r="E212" i="1"/>
  <c r="E213" i="1"/>
  <c r="E214" i="1"/>
  <c r="E215" i="1"/>
  <c r="E216" i="1"/>
  <c r="N206" i="1"/>
  <c r="E206" i="1"/>
  <c r="D1679" i="3"/>
  <c r="M202" i="1" l="1"/>
  <c r="L202" i="1"/>
  <c r="H132" i="5" l="1"/>
  <c r="G132" i="5"/>
  <c r="F132" i="5"/>
  <c r="H131" i="5" l="1"/>
  <c r="G131" i="5"/>
  <c r="F131" i="5"/>
  <c r="G204" i="1" l="1"/>
  <c r="M201" i="1" l="1"/>
  <c r="L201" i="1"/>
  <c r="H129" i="5" l="1"/>
  <c r="H130" i="5"/>
  <c r="G129" i="5"/>
  <c r="G130" i="5"/>
  <c r="F129" i="5"/>
  <c r="F130" i="5"/>
  <c r="M200" i="1" l="1"/>
  <c r="L200" i="1"/>
  <c r="K204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4" i="1" l="1"/>
  <c r="U1" i="1" s="1"/>
  <c r="L204" i="1"/>
  <c r="S1" i="1" s="1"/>
</calcChain>
</file>

<file path=xl/sharedStrings.xml><?xml version="1.0" encoding="utf-8"?>
<sst xmlns="http://schemas.openxmlformats.org/spreadsheetml/2006/main" count="1814" uniqueCount="525">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</sst>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0" fillId="22" borderId="0" xfId="0" applyFill="1"/>
    <xf numFmtId="0" fontId="8" fillId="13" borderId="0" xfId="0" applyFont="1" applyFill="1" applyBorder="1" applyAlignment="1">
      <alignment horizontal="right"/>
    </xf>
    <xf numFmtId="0" fontId="1" fillId="23" borderId="0" xfId="0" applyFont="1" applyFill="1" applyBorder="1"/>
    <xf numFmtId="0" fontId="1" fillId="13" borderId="3" xfId="0" applyFont="1" applyFill="1" applyBorder="1"/>
    <xf numFmtId="0" fontId="1" fillId="23" borderId="3" xfId="0" applyFont="1" applyFill="1" applyBorder="1"/>
    <xf numFmtId="0" fontId="1" fillId="9" borderId="3" xfId="0" applyFont="1" applyFill="1" applyBorder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49216"/>
        <c:axId val="-2015755200"/>
      </c:lineChart>
      <c:catAx>
        <c:axId val="-2015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5200"/>
        <c:crosses val="autoZero"/>
        <c:auto val="1"/>
        <c:lblAlgn val="ctr"/>
        <c:lblOffset val="100"/>
        <c:noMultiLvlLbl val="0"/>
      </c:catAx>
      <c:valAx>
        <c:axId val="-2015755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9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10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weekly!$B$27:$B$37</c15:sqref>
                  </c15:fullRef>
                </c:ext>
              </c:extLst>
              <c:f>weekly!$B$28:$B$37</c:f>
              <c:numCache>
                <c:formatCode>General</c:formatCode>
                <c:ptCount val="1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weekly!$H$27:$H$37</c15:sqref>
                  </c15:fullRef>
                </c:ext>
              </c:extLst>
              <c:f>weekly!$H$28:$H$37</c:f>
              <c:numCache>
                <c:formatCode>General</c:formatCode>
                <c:ptCount val="1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4656"/>
        <c:axId val="-201575084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01575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0848"/>
        <c:crosses val="autoZero"/>
        <c:auto val="1"/>
        <c:lblAlgn val="ctr"/>
        <c:lblOffset val="100"/>
        <c:noMultiLvlLbl val="0"/>
      </c:catAx>
      <c:valAx>
        <c:axId val="-20157508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46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هفتم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weekly!$D$2:$D$37</c:f>
              <c:numCache>
                <c:formatCode>General</c:formatCode>
                <c:ptCount val="3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4112"/>
        <c:axId val="-2015748672"/>
      </c:lineChart>
      <c:catAx>
        <c:axId val="-201575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8672"/>
        <c:crosses val="autoZero"/>
        <c:auto val="1"/>
        <c:lblAlgn val="ctr"/>
        <c:lblOffset val="100"/>
        <c:noMultiLvlLbl val="0"/>
      </c:catAx>
      <c:valAx>
        <c:axId val="-201574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41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59008"/>
        <c:axId val="-2015753568"/>
      </c:lineChart>
      <c:catAx>
        <c:axId val="-201575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3568"/>
        <c:crosses val="autoZero"/>
        <c:auto val="1"/>
        <c:lblAlgn val="ctr"/>
        <c:lblOffset val="100"/>
        <c:noMultiLvlLbl val="0"/>
      </c:catAx>
      <c:valAx>
        <c:axId val="-2015753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59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هفتم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weekly!$F$2:$F$37</c:f>
              <c:numCache>
                <c:formatCode>General</c:formatCode>
                <c:ptCount val="3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48128"/>
        <c:axId val="-2015761728"/>
      </c:lineChart>
      <c:catAx>
        <c:axId val="-20157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61728"/>
        <c:crosses val="autoZero"/>
        <c:auto val="1"/>
        <c:lblAlgn val="ctr"/>
        <c:lblOffset val="100"/>
        <c:noMultiLvlLbl val="0"/>
      </c:catAx>
      <c:valAx>
        <c:axId val="-20157617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48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weekly!$C$27:$C$37</c15:sqref>
                  </c15:fullRef>
                </c:ext>
              </c:extLst>
              <c:f>weekly!$C$28:$C$37</c:f>
              <c:numCache>
                <c:formatCode>General</c:formatCode>
                <c:ptCount val="1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weekly!$I$27:$I$37</c15:sqref>
                  </c15:fullRef>
                </c:ext>
              </c:extLst>
              <c:f>weekly!$I$28:$I$37</c:f>
              <c:numCache>
                <c:formatCode>General</c:formatCode>
                <c:ptCount val="1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5761184"/>
        <c:axId val="-20163390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01576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339056"/>
        <c:crosses val="autoZero"/>
        <c:auto val="1"/>
        <c:lblAlgn val="ctr"/>
        <c:lblOffset val="100"/>
        <c:noMultiLvlLbl val="0"/>
      </c:catAx>
      <c:valAx>
        <c:axId val="-20163390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57611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27469472"/>
        <c:axId val="-1727468384"/>
      </c:barChart>
      <c:catAx>
        <c:axId val="-172746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27468384"/>
        <c:crosses val="autoZero"/>
        <c:auto val="1"/>
        <c:lblAlgn val="ctr"/>
        <c:lblOffset val="100"/>
        <c:noMultiLvlLbl val="0"/>
      </c:catAx>
      <c:valAx>
        <c:axId val="-1727468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274694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24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0"/>
          <c:order val="5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change'!$F$132:$I$132</c:f>
              <c:numCache>
                <c:formatCode>General</c:formatCode>
                <c:ptCount val="4"/>
                <c:pt idx="0">
                  <c:v>2.5354969574036512</c:v>
                </c:pt>
                <c:pt idx="1">
                  <c:v>1.2176560121765601</c:v>
                </c:pt>
                <c:pt idx="2">
                  <c:v>1.7272372020320437</c:v>
                </c:pt>
                <c:pt idx="3">
                  <c:v>0.11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39554528"/>
        <c:axId val="-18395539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83955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9553984"/>
        <c:crosses val="autoZero"/>
        <c:auto val="1"/>
        <c:lblAlgn val="ctr"/>
        <c:lblOffset val="100"/>
        <c:noMultiLvlLbl val="0"/>
      </c:catAx>
      <c:valAx>
        <c:axId val="-1839553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95545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19"/>
  <sheetViews>
    <sheetView tabSelected="1" topLeftCell="B175" zoomScaleNormal="100" workbookViewId="0">
      <selection activeCell="BQ170" sqref="BQ17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hidden="1" customWidth="1"/>
    <col min="7" max="8" width="19.28515625" hidden="1" customWidth="1"/>
    <col min="9" max="10" width="17.7109375" hidden="1" customWidth="1"/>
    <col min="11" max="11" width="22.7109375" hidden="1" customWidth="1"/>
    <col min="12" max="12" width="24.42578125" hidden="1" customWidth="1"/>
    <col min="13" max="13" width="29.7109375" hidden="1" customWidth="1"/>
    <col min="14" max="14" width="26.5703125" customWidth="1"/>
    <col min="15" max="17" width="26.5703125" hidden="1" customWidth="1"/>
    <col min="18" max="19" width="22.5703125" hidden="1" customWidth="1"/>
    <col min="20" max="20" width="24.7109375" hidden="1" customWidth="1"/>
    <col min="21" max="21" width="18.5703125" hidden="1" customWidth="1"/>
    <col min="22" max="22" width="25.42578125" hidden="1" customWidth="1"/>
    <col min="23" max="23" width="26.42578125" hidden="1" customWidth="1"/>
    <col min="24" max="24" width="15.85546875" hidden="1" customWidth="1"/>
    <col min="25" max="27" width="23" hidden="1" customWidth="1"/>
    <col min="28" max="28" width="20" hidden="1" customWidth="1"/>
    <col min="29" max="44" width="9.140625" hidden="1" customWidth="1"/>
    <col min="45" max="45" width="12.7109375" hidden="1" customWidth="1"/>
    <col min="46" max="56" width="9.140625" hidden="1" customWidth="1"/>
    <col min="57" max="57" width="13.42578125" hidden="1" customWidth="1"/>
    <col min="58" max="58" width="14.7109375" hidden="1" customWidth="1"/>
    <col min="59" max="59" width="17.85546875" hidden="1" customWidth="1"/>
    <col min="60" max="60" width="18.28515625" hidden="1" customWidth="1"/>
    <col min="61" max="61" width="9.140625" hidden="1" customWidth="1"/>
    <col min="62" max="63" width="8.85546875" hidden="1" customWidth="1"/>
    <col min="64" max="64" width="9.140625" hidden="1" customWidth="1"/>
    <col min="65" max="65" width="8.5703125" hidden="1" customWidth="1"/>
    <col min="66" max="66" width="0" hidden="1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L204/G204</f>
        <v>5019372.82639091</v>
      </c>
      <c r="T1" s="3" t="s">
        <v>15</v>
      </c>
      <c r="U1" s="3">
        <f>M204/K204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7"/>
        <v>106487939200</v>
      </c>
      <c r="M112" s="43">
        <f t="shared" si="28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3"/>
        <v>2.2748086010476576</v>
      </c>
      <c r="BO112" s="14">
        <f t="shared" si="24"/>
        <v>628</v>
      </c>
      <c r="BP112" s="14">
        <f t="shared" si="25"/>
        <v>635</v>
      </c>
      <c r="BQ112" s="14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7"/>
        <v>134260629100</v>
      </c>
      <c r="M118" s="43">
        <f t="shared" si="28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3"/>
        <v>3.1761089818995938</v>
      </c>
      <c r="BO118" s="14">
        <f t="shared" si="24"/>
        <v>101</v>
      </c>
      <c r="BP118" s="14">
        <f t="shared" si="25"/>
        <v>102</v>
      </c>
      <c r="BQ118" s="1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7"/>
        <v>183448909700</v>
      </c>
      <c r="M120" s="51">
        <f t="shared" si="28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7"/>
        <v>149141857900</v>
      </c>
      <c r="M121" s="57">
        <f t="shared" si="28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7"/>
        <v>205309734400</v>
      </c>
      <c r="M122" s="57">
        <f t="shared" si="28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7"/>
        <v>266569104600</v>
      </c>
      <c r="M123" s="57">
        <f t="shared" si="28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7"/>
        <v>172687578300</v>
      </c>
      <c r="M124" s="51">
        <f t="shared" si="28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9"/>
        <v>264502422700</v>
      </c>
      <c r="M134" s="9">
        <f t="shared" si="30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3"/>
        <v>4.0438239433940728</v>
      </c>
      <c r="BO134" s="14">
        <f t="shared" si="24"/>
        <v>0</v>
      </c>
      <c r="BP134" s="14">
        <f t="shared" si="25"/>
        <v>0</v>
      </c>
      <c r="BQ134" s="14">
        <f t="shared" si="26"/>
        <v>0</v>
      </c>
    </row>
    <row r="135" spans="1:69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9"/>
        <v>110853636800</v>
      </c>
      <c r="M145" s="93">
        <f t="shared" si="30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9"/>
        <v>214041993100</v>
      </c>
      <c r="M146" s="99">
        <f t="shared" si="30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9"/>
        <v>176486960000</v>
      </c>
      <c r="M147" s="99">
        <f t="shared" si="30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9"/>
        <v>220752610000</v>
      </c>
      <c r="M148" s="99">
        <f t="shared" si="30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9"/>
        <v>156650915000</v>
      </c>
      <c r="M149" s="99">
        <f t="shared" si="30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9"/>
        <v>225456814700</v>
      </c>
      <c r="M150" s="99">
        <f t="shared" si="30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9"/>
        <v>167101812600</v>
      </c>
      <c r="M151" s="99">
        <f t="shared" si="30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9"/>
        <v>239567814200</v>
      </c>
      <c r="M152" s="93">
        <f t="shared" si="30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9"/>
        <v>236480193600</v>
      </c>
      <c r="M153" s="93">
        <f t="shared" si="30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9"/>
        <v>225618976500</v>
      </c>
      <c r="M154" s="93">
        <f t="shared" si="30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9"/>
        <v>247369613400</v>
      </c>
      <c r="M155" s="93">
        <f t="shared" si="30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9"/>
        <v>255780758900</v>
      </c>
      <c r="M156" s="93">
        <f t="shared" si="30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9"/>
        <v>184510967800</v>
      </c>
      <c r="M157" s="93">
        <f t="shared" si="30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9"/>
        <v>249471569600</v>
      </c>
      <c r="M158" s="99">
        <f t="shared" si="30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9"/>
        <v>205217875200</v>
      </c>
      <c r="M159" s="99">
        <f t="shared" si="30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9"/>
        <v>261587595000</v>
      </c>
      <c r="M160" s="99">
        <f t="shared" si="30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9"/>
        <v>322139986200</v>
      </c>
      <c r="M161" s="99">
        <f t="shared" si="30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30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15" customFormat="1" ht="2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3" si="35">F164*G164</f>
        <v>225462728400</v>
      </c>
      <c r="M164" s="99">
        <f t="shared" si="30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21" customFormat="1" ht="2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35"/>
        <v>297576936000</v>
      </c>
      <c r="M165" s="99">
        <f t="shared" si="30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15" customFormat="1" ht="2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35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15" customFormat="1" ht="2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35"/>
        <v>275474294400</v>
      </c>
      <c r="M167" s="99">
        <f t="shared" si="30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21" customFormat="1" ht="2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35"/>
        <v>180565344100</v>
      </c>
      <c r="M168" s="123">
        <f t="shared" si="30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8" customFormat="1" ht="2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35"/>
        <v>264826042800</v>
      </c>
      <c r="M169" s="99">
        <f t="shared" si="30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8" customFormat="1" ht="2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35"/>
        <v>269550278000</v>
      </c>
      <c r="M170" s="99">
        <f t="shared" si="30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8" customFormat="1" ht="2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35"/>
        <v>231825209400</v>
      </c>
      <c r="M171" s="99">
        <f t="shared" si="30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8" customFormat="1" ht="2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35"/>
        <v>280842822000</v>
      </c>
      <c r="M172" s="99">
        <f t="shared" si="30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8" customFormat="1" ht="2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35"/>
        <v>298348060000</v>
      </c>
      <c r="M173" s="99">
        <f t="shared" si="30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8" customFormat="1" ht="2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35"/>
        <v>194293123200</v>
      </c>
      <c r="M174" s="99">
        <f t="shared" si="30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21" customFormat="1" ht="2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35"/>
        <v>361436777500</v>
      </c>
      <c r="M175" s="123">
        <f t="shared" si="30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15" customFormat="1" ht="2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35"/>
        <v>321145765200</v>
      </c>
      <c r="M176" s="93">
        <f t="shared" si="30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15" customFormat="1" ht="2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35"/>
        <v>311738532300</v>
      </c>
      <c r="M177" s="93">
        <f t="shared" si="30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15" customFormat="1" ht="2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35"/>
        <v>340417605000</v>
      </c>
      <c r="M178" s="93">
        <f t="shared" si="30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15" customFormat="1" ht="2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35"/>
        <v>259574211400</v>
      </c>
      <c r="M179" s="93">
        <f t="shared" si="30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15" customFormat="1" ht="2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35"/>
        <v>232541672000</v>
      </c>
      <c r="M180" s="93">
        <f t="shared" si="30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8" customFormat="1" ht="2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35"/>
        <v>311949927000</v>
      </c>
      <c r="M181" s="93">
        <f t="shared" si="30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8" customFormat="1" ht="2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35"/>
        <v>303066802500</v>
      </c>
      <c r="M182" s="99">
        <f t="shared" si="30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8" customFormat="1" ht="2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35"/>
        <v>329025981000</v>
      </c>
      <c r="M183" s="99">
        <f t="shared" si="30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8" customFormat="1" ht="2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35"/>
        <v>417184732800</v>
      </c>
      <c r="M184" s="99">
        <f t="shared" si="30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8" customFormat="1" ht="2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35"/>
        <v>338444332800</v>
      </c>
      <c r="M185" s="99">
        <f t="shared" si="30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8" customFormat="1" ht="2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35"/>
        <v>209181897600</v>
      </c>
      <c r="M186" s="99">
        <f t="shared" si="30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35"/>
        <v>103472865300</v>
      </c>
      <c r="M187" s="93">
        <f t="shared" si="30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35"/>
        <v>102815271600</v>
      </c>
      <c r="M188" s="93">
        <f t="shared" si="30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35"/>
        <v>179335122400</v>
      </c>
      <c r="M189" s="93">
        <f t="shared" si="30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35"/>
        <v>170141241900</v>
      </c>
      <c r="M190" s="93">
        <f t="shared" si="30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35"/>
        <v>213066453600</v>
      </c>
      <c r="M191" s="93">
        <f t="shared" si="30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35"/>
        <v>158040192300</v>
      </c>
      <c r="M192" s="93">
        <f t="shared" si="30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35"/>
        <v>292304562000</v>
      </c>
      <c r="M193" s="93">
        <f t="shared" si="30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35"/>
        <v>238745520000</v>
      </c>
      <c r="M194" s="93">
        <f t="shared" ref="M194:M202" si="36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35"/>
        <v>261431313200</v>
      </c>
      <c r="M195" s="93">
        <f t="shared" si="36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35"/>
        <v>245746021500</v>
      </c>
      <c r="M196" s="93">
        <f t="shared" si="36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35"/>
        <v>265930387800</v>
      </c>
      <c r="M197" s="93">
        <f t="shared" si="36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35"/>
        <v>195317730000</v>
      </c>
      <c r="M198" s="149">
        <f t="shared" si="36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35"/>
        <v>203744554000</v>
      </c>
      <c r="M199" s="148">
        <f t="shared" si="36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35"/>
        <v>221059875700</v>
      </c>
      <c r="M200" s="148">
        <f t="shared" si="36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54" customFormat="1" ht="18">
      <c r="B201" s="155" t="s">
        <v>517</v>
      </c>
      <c r="C201" s="120">
        <v>22</v>
      </c>
      <c r="D201" s="156">
        <v>27416</v>
      </c>
      <c r="E201" s="154">
        <v>27287</v>
      </c>
      <c r="F201" s="154">
        <v>27386</v>
      </c>
      <c r="G201" s="154">
        <v>6759700</v>
      </c>
      <c r="H201" s="154">
        <v>31276</v>
      </c>
      <c r="I201" s="154">
        <v>31054</v>
      </c>
      <c r="J201" s="154">
        <v>31115</v>
      </c>
      <c r="K201" s="154">
        <v>495900</v>
      </c>
      <c r="L201" s="157">
        <f t="shared" si="35"/>
        <v>185121144200</v>
      </c>
      <c r="M201" s="157">
        <f t="shared" si="36"/>
        <v>15429928500</v>
      </c>
      <c r="N201" s="154">
        <v>27560</v>
      </c>
      <c r="O201" s="154">
        <v>31365</v>
      </c>
      <c r="P201" s="154">
        <v>27690</v>
      </c>
      <c r="Q201" s="154">
        <v>31588</v>
      </c>
      <c r="V201" s="154">
        <v>30130</v>
      </c>
      <c r="X201" s="154">
        <v>29760</v>
      </c>
      <c r="Y201" s="154">
        <v>33883</v>
      </c>
      <c r="Z201" s="158"/>
      <c r="AB201" s="156"/>
      <c r="AS201" s="156"/>
      <c r="AW201" s="156"/>
      <c r="BO201" s="14">
        <f t="shared" si="32"/>
        <v>-136</v>
      </c>
      <c r="BP201" s="14">
        <f t="shared" si="33"/>
        <v>-137</v>
      </c>
      <c r="BQ201" s="14">
        <f t="shared" si="34"/>
        <v>-1</v>
      </c>
    </row>
    <row r="202" spans="1:69" s="150" customFormat="1" ht="18">
      <c r="B202" s="151" t="s">
        <v>519</v>
      </c>
      <c r="C202" s="114">
        <v>23</v>
      </c>
      <c r="D202" s="152">
        <v>27309</v>
      </c>
      <c r="E202" s="150">
        <v>27150</v>
      </c>
      <c r="F202" s="150">
        <v>27250</v>
      </c>
      <c r="G202" s="150">
        <v>8314700</v>
      </c>
      <c r="H202" s="150">
        <v>31054</v>
      </c>
      <c r="I202" s="150">
        <v>30453</v>
      </c>
      <c r="J202" s="150">
        <v>30609</v>
      </c>
      <c r="K202" s="150">
        <v>523600</v>
      </c>
      <c r="L202" s="157">
        <f t="shared" si="35"/>
        <v>226575575000</v>
      </c>
      <c r="M202" s="157">
        <f t="shared" si="36"/>
        <v>16026872400</v>
      </c>
      <c r="N202" s="150">
        <v>27422</v>
      </c>
      <c r="O202" s="150">
        <v>30758</v>
      </c>
      <c r="P202" s="150">
        <v>27582</v>
      </c>
      <c r="Q202" s="150">
        <v>31365</v>
      </c>
      <c r="V202" s="150">
        <v>29530</v>
      </c>
      <c r="X202" s="150">
        <v>29580</v>
      </c>
      <c r="Y202" s="150">
        <v>33197</v>
      </c>
      <c r="Z202" s="153"/>
      <c r="AB202" s="152"/>
      <c r="AS202" s="152"/>
      <c r="AW202" s="152"/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2" customFormat="1" ht="18">
      <c r="B203" s="137" t="s">
        <v>521</v>
      </c>
      <c r="C203" s="110">
        <v>24</v>
      </c>
      <c r="D203" s="143">
        <v>27246</v>
      </c>
      <c r="E203" s="142">
        <v>27108</v>
      </c>
      <c r="F203" s="142">
        <v>27200</v>
      </c>
      <c r="G203" s="142">
        <v>8556900</v>
      </c>
      <c r="H203" s="142">
        <v>31025</v>
      </c>
      <c r="I203" s="142">
        <v>30679</v>
      </c>
      <c r="J203" s="142">
        <v>30578</v>
      </c>
      <c r="K203" s="142">
        <v>465600</v>
      </c>
      <c r="L203" s="157"/>
      <c r="M203" s="159"/>
      <c r="N203" s="142">
        <v>27379</v>
      </c>
      <c r="O203" s="142">
        <v>30986</v>
      </c>
      <c r="P203" s="142">
        <v>27519</v>
      </c>
      <c r="Q203" s="142">
        <v>31335</v>
      </c>
      <c r="V203" s="142">
        <v>30520</v>
      </c>
      <c r="X203" s="142">
        <v>30330</v>
      </c>
      <c r="Y203" s="142">
        <v>34414</v>
      </c>
      <c r="Z203" s="144"/>
      <c r="AB203" s="143"/>
      <c r="AS203" s="143"/>
      <c r="AW203" s="143"/>
      <c r="BO203" s="14">
        <f t="shared" si="32"/>
        <v>-42</v>
      </c>
      <c r="BP203" s="14">
        <f t="shared" si="33"/>
        <v>-43</v>
      </c>
      <c r="BQ203" s="14">
        <f t="shared" si="34"/>
        <v>-1</v>
      </c>
    </row>
    <row r="204" spans="1:69" ht="18">
      <c r="D204" s="26"/>
      <c r="G204">
        <f>SUM(G2:G201)/200</f>
        <v>6960436.9950000001</v>
      </c>
      <c r="K204">
        <f>SUM(K2:K199)</f>
        <v>199066300</v>
      </c>
      <c r="L204" s="148">
        <f>SUM(L2:L199)</f>
        <v>34937028312509</v>
      </c>
      <c r="M204" s="148">
        <f>SUM(M2:M199)</f>
        <v>5837557134600</v>
      </c>
      <c r="Z204" s="25"/>
      <c r="AS204" s="26"/>
      <c r="AW204" s="30"/>
    </row>
    <row r="205" spans="1:69" ht="18">
      <c r="Z205" s="25"/>
      <c r="AS205" s="26"/>
      <c r="AW205" s="30"/>
    </row>
    <row r="206" spans="1:69" ht="18">
      <c r="E206">
        <f>E194-E193</f>
        <v>-178</v>
      </c>
      <c r="N206">
        <f>N194-N193</f>
        <v>-180</v>
      </c>
      <c r="V206" s="135"/>
      <c r="Z206" s="25"/>
      <c r="AS206" s="26"/>
      <c r="AW206" s="30"/>
    </row>
    <row r="207" spans="1:69" ht="18">
      <c r="D207" s="99"/>
      <c r="E207">
        <f t="shared" ref="E207:E216" si="37">E195-E194</f>
        <v>59</v>
      </c>
      <c r="N207">
        <f t="shared" ref="N207:N216" si="38">N195-N194</f>
        <v>59</v>
      </c>
      <c r="V207" s="135"/>
      <c r="Z207" s="25"/>
      <c r="AW207" s="30"/>
    </row>
    <row r="208" spans="1:69" ht="17.25" customHeight="1">
      <c r="D208" s="99"/>
      <c r="E208">
        <f t="shared" si="37"/>
        <v>-17</v>
      </c>
      <c r="N208">
        <f t="shared" si="38"/>
        <v>-16</v>
      </c>
      <c r="P208" t="s">
        <v>523</v>
      </c>
      <c r="Q208" t="s">
        <v>524</v>
      </c>
      <c r="V208" s="25"/>
      <c r="Z208" s="25"/>
    </row>
    <row r="209" spans="4:26" ht="18">
      <c r="D209" s="99"/>
      <c r="E209">
        <f t="shared" si="37"/>
        <v>-163</v>
      </c>
      <c r="N209">
        <f t="shared" si="38"/>
        <v>-165</v>
      </c>
      <c r="O209" s="132" t="s">
        <v>503</v>
      </c>
      <c r="P209">
        <v>-178</v>
      </c>
      <c r="Q209">
        <v>-180</v>
      </c>
      <c r="V209" s="25"/>
      <c r="Z209" s="25"/>
    </row>
    <row r="210" spans="4:26" ht="18">
      <c r="D210" s="99"/>
      <c r="E210">
        <f t="shared" si="37"/>
        <v>50</v>
      </c>
      <c r="N210">
        <f t="shared" si="38"/>
        <v>50</v>
      </c>
      <c r="O210" s="138" t="s">
        <v>505</v>
      </c>
      <c r="P210">
        <v>59</v>
      </c>
      <c r="Q210">
        <v>59</v>
      </c>
      <c r="V210" s="25"/>
    </row>
    <row r="211" spans="4:26" ht="18">
      <c r="D211" s="99"/>
      <c r="E211">
        <f t="shared" si="37"/>
        <v>-15</v>
      </c>
      <c r="N211">
        <f t="shared" si="38"/>
        <v>-15</v>
      </c>
      <c r="O211" s="138" t="s">
        <v>507</v>
      </c>
      <c r="P211">
        <v>-17</v>
      </c>
      <c r="Q211">
        <v>-16</v>
      </c>
      <c r="V211" s="25"/>
    </row>
    <row r="212" spans="4:26" ht="18">
      <c r="D212" s="113"/>
      <c r="E212">
        <f t="shared" si="37"/>
        <v>-12</v>
      </c>
      <c r="N212">
        <f t="shared" si="38"/>
        <v>-12</v>
      </c>
      <c r="O212" s="138" t="s">
        <v>509</v>
      </c>
      <c r="P212">
        <v>-163</v>
      </c>
      <c r="Q212">
        <v>-165</v>
      </c>
    </row>
    <row r="213" spans="4:26" ht="18">
      <c r="D213" s="113"/>
      <c r="E213">
        <f t="shared" si="37"/>
        <v>-136</v>
      </c>
      <c r="N213">
        <f t="shared" si="38"/>
        <v>-137</v>
      </c>
      <c r="O213" s="138" t="s">
        <v>511</v>
      </c>
      <c r="P213">
        <v>50</v>
      </c>
      <c r="Q213">
        <v>50</v>
      </c>
      <c r="X213" s="115">
        <v>29150</v>
      </c>
    </row>
    <row r="214" spans="4:26" ht="18">
      <c r="D214" s="119"/>
      <c r="E214">
        <f t="shared" si="37"/>
        <v>-137</v>
      </c>
      <c r="N214">
        <f t="shared" si="38"/>
        <v>-138</v>
      </c>
      <c r="O214" s="151" t="s">
        <v>513</v>
      </c>
      <c r="P214">
        <v>-15</v>
      </c>
      <c r="Q214">
        <v>-15</v>
      </c>
      <c r="X214" s="115">
        <v>29250</v>
      </c>
    </row>
    <row r="215" spans="4:26" ht="18">
      <c r="D215" s="113"/>
      <c r="E215">
        <f t="shared" si="37"/>
        <v>-42</v>
      </c>
      <c r="G215" s="9"/>
      <c r="N215">
        <f t="shared" si="38"/>
        <v>-43</v>
      </c>
      <c r="O215" s="151" t="s">
        <v>515</v>
      </c>
      <c r="P215">
        <v>-12</v>
      </c>
      <c r="Q215">
        <v>-12</v>
      </c>
      <c r="X215" s="115">
        <v>29500</v>
      </c>
    </row>
    <row r="216" spans="4:26" ht="18">
      <c r="D216" s="109"/>
      <c r="E216">
        <f t="shared" si="37"/>
        <v>-27108</v>
      </c>
      <c r="G216" s="9"/>
      <c r="N216">
        <f t="shared" si="38"/>
        <v>-27379</v>
      </c>
      <c r="O216" s="155" t="s">
        <v>517</v>
      </c>
      <c r="P216">
        <v>-136</v>
      </c>
      <c r="Q216">
        <v>-137</v>
      </c>
      <c r="X216" s="115">
        <v>29110</v>
      </c>
    </row>
    <row r="217" spans="4:26" ht="18">
      <c r="G217" s="9"/>
      <c r="O217" s="151" t="s">
        <v>519</v>
      </c>
      <c r="P217">
        <v>-137</v>
      </c>
      <c r="Q217">
        <v>-138</v>
      </c>
      <c r="X217" s="115">
        <v>29270</v>
      </c>
    </row>
    <row r="218" spans="4:26" ht="18">
      <c r="G218" s="9"/>
      <c r="O218" s="137" t="s">
        <v>521</v>
      </c>
      <c r="P218">
        <v>-42</v>
      </c>
      <c r="Q218">
        <v>-43</v>
      </c>
      <c r="X218" s="115">
        <v>29360</v>
      </c>
    </row>
    <row r="219" spans="4:26" ht="18">
      <c r="G219" s="9"/>
    </row>
  </sheetData>
  <autoFilter ref="A1:BN20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topLeftCell="A6" zoomScale="85" zoomScaleNormal="85" workbookViewId="0">
      <selection activeCell="A38" sqref="A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7" si="0">D29/6</f>
        <v>7281166.666666667</v>
      </c>
      <c r="F29" s="73">
        <v>5993000</v>
      </c>
      <c r="G29" s="73">
        <f t="shared" ref="G29:G37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85"/>
  <sheetViews>
    <sheetView topLeftCell="A1665" zoomScaleNormal="100" workbookViewId="0">
      <selection activeCell="F1682" sqref="F168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61" t="s">
        <v>246</v>
      </c>
      <c r="B1" s="161"/>
      <c r="C1" s="161"/>
      <c r="D1" s="161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61" t="s">
        <v>256</v>
      </c>
      <c r="B11" s="161"/>
      <c r="C11" s="161"/>
      <c r="D11" s="161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61" t="s">
        <v>258</v>
      </c>
      <c r="B21" s="161"/>
      <c r="C21" s="161"/>
      <c r="D21" s="161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61" t="s">
        <v>259</v>
      </c>
      <c r="B31" s="161"/>
      <c r="C31" s="161"/>
      <c r="D31" s="161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61" t="s">
        <v>260</v>
      </c>
      <c r="B41" s="161"/>
      <c r="C41" s="161"/>
      <c r="D41" s="161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61" t="s">
        <v>262</v>
      </c>
      <c r="B51" s="161"/>
      <c r="C51" s="161"/>
      <c r="D51" s="161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61" t="s">
        <v>263</v>
      </c>
      <c r="B61" s="161"/>
      <c r="C61" s="161"/>
      <c r="D61" s="161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61" t="s">
        <v>264</v>
      </c>
      <c r="B71" s="161"/>
      <c r="C71" s="161"/>
      <c r="D71" s="161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61" t="s">
        <v>265</v>
      </c>
      <c r="B81" s="161"/>
      <c r="C81" s="161"/>
      <c r="D81" s="161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61" t="s">
        <v>269</v>
      </c>
      <c r="B93" s="161"/>
      <c r="C93" s="161"/>
      <c r="D93" s="161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61" t="s">
        <v>270</v>
      </c>
      <c r="B103" s="161"/>
      <c r="C103" s="161"/>
      <c r="D103" s="161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61" t="s">
        <v>272</v>
      </c>
      <c r="B113" s="161"/>
      <c r="C113" s="161"/>
      <c r="D113" s="161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61" t="s">
        <v>273</v>
      </c>
      <c r="B123" s="161"/>
      <c r="C123" s="161"/>
      <c r="D123" s="161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61" t="s">
        <v>274</v>
      </c>
      <c r="B133" s="161"/>
      <c r="C133" s="161"/>
      <c r="D133" s="161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61" t="s">
        <v>275</v>
      </c>
      <c r="B143" s="161"/>
      <c r="C143" s="161"/>
      <c r="D143" s="161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61" t="s">
        <v>277</v>
      </c>
      <c r="B153" s="161"/>
      <c r="C153" s="161"/>
      <c r="D153" s="161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61" t="s">
        <v>278</v>
      </c>
      <c r="B163" s="161"/>
      <c r="C163" s="161"/>
      <c r="D163" s="161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61" t="s">
        <v>279</v>
      </c>
      <c r="B173" s="161"/>
      <c r="C173" s="161"/>
      <c r="D173" s="161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61" t="s">
        <v>280</v>
      </c>
      <c r="B183" s="161"/>
      <c r="C183" s="161"/>
      <c r="D183" s="161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61" t="s">
        <v>281</v>
      </c>
      <c r="B193" s="161"/>
      <c r="C193" s="161"/>
      <c r="D193" s="161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61" t="s">
        <v>282</v>
      </c>
      <c r="B203" s="161"/>
      <c r="C203" s="161"/>
      <c r="D203" s="161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61" t="s">
        <v>283</v>
      </c>
      <c r="B213" s="161"/>
      <c r="C213" s="161"/>
      <c r="D213" s="161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61" t="s">
        <v>284</v>
      </c>
      <c r="B223" s="161"/>
      <c r="C223" s="161"/>
      <c r="D223" s="161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61" t="s">
        <v>285</v>
      </c>
      <c r="B233" s="161"/>
      <c r="C233" s="161"/>
      <c r="D233" s="161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61" t="s">
        <v>286</v>
      </c>
      <c r="B243" s="161"/>
      <c r="C243" s="161"/>
      <c r="D243" s="161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61" t="s">
        <v>287</v>
      </c>
      <c r="B253" s="161"/>
      <c r="C253" s="161"/>
      <c r="D253" s="161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61" t="s">
        <v>288</v>
      </c>
      <c r="B263" s="161"/>
      <c r="C263" s="161"/>
      <c r="D263" s="161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61" t="s">
        <v>289</v>
      </c>
      <c r="B273" s="161"/>
      <c r="C273" s="161"/>
      <c r="D273" s="161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61" t="s">
        <v>290</v>
      </c>
      <c r="B283" s="161"/>
      <c r="C283" s="161"/>
      <c r="D283" s="161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61" t="s">
        <v>291</v>
      </c>
      <c r="B293" s="161"/>
      <c r="C293" s="161"/>
      <c r="D293" s="161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61" t="s">
        <v>292</v>
      </c>
      <c r="B303" s="161"/>
      <c r="C303" s="161"/>
      <c r="D303" s="161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61" t="s">
        <v>296</v>
      </c>
      <c r="B313" s="161"/>
      <c r="C313" s="161"/>
      <c r="D313" s="161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61" t="s">
        <v>300</v>
      </c>
      <c r="B324" s="161"/>
      <c r="C324" s="161"/>
      <c r="D324" s="161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61" t="s">
        <v>303</v>
      </c>
      <c r="B335" s="161"/>
      <c r="C335" s="161"/>
      <c r="D335" s="161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61" t="s">
        <v>304</v>
      </c>
      <c r="B346" s="161"/>
      <c r="C346" s="161"/>
      <c r="D346" s="161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61" t="s">
        <v>305</v>
      </c>
      <c r="B357" s="161"/>
      <c r="C357" s="161"/>
      <c r="D357" s="161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61" t="s">
        <v>306</v>
      </c>
      <c r="B368" s="161"/>
      <c r="C368" s="161"/>
      <c r="D368" s="161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61" t="s">
        <v>307</v>
      </c>
      <c r="B379" s="161"/>
      <c r="C379" s="161"/>
      <c r="D379" s="161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61" t="s">
        <v>308</v>
      </c>
      <c r="B390" s="161"/>
      <c r="C390" s="161"/>
      <c r="D390" s="161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61" t="s">
        <v>309</v>
      </c>
      <c r="B401" s="161"/>
      <c r="C401" s="161"/>
      <c r="D401" s="161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61" t="s">
        <v>310</v>
      </c>
      <c r="B412" s="161"/>
      <c r="C412" s="161"/>
      <c r="D412" s="161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61" t="s">
        <v>311</v>
      </c>
      <c r="B423" s="161"/>
      <c r="C423" s="161"/>
      <c r="D423" s="161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61" t="s">
        <v>315</v>
      </c>
      <c r="B434" s="161"/>
      <c r="C434" s="161"/>
      <c r="D434" s="161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61" t="s">
        <v>316</v>
      </c>
      <c r="B445" s="161"/>
      <c r="C445" s="161"/>
      <c r="D445" s="161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61" t="s">
        <v>317</v>
      </c>
      <c r="B456" s="161"/>
      <c r="C456" s="161"/>
      <c r="D456" s="161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61" t="s">
        <v>318</v>
      </c>
      <c r="B467" s="161"/>
      <c r="C467" s="161"/>
      <c r="D467" s="161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61" t="s">
        <v>319</v>
      </c>
      <c r="B478" s="161"/>
      <c r="C478" s="161"/>
      <c r="D478" s="161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61" t="s">
        <v>320</v>
      </c>
      <c r="B489" s="161"/>
      <c r="C489" s="161"/>
      <c r="D489" s="161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61" t="s">
        <v>323</v>
      </c>
      <c r="B500" s="161"/>
      <c r="C500" s="161"/>
      <c r="D500" s="161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61" t="s">
        <v>324</v>
      </c>
      <c r="B511" s="161"/>
      <c r="C511" s="161"/>
      <c r="D511" s="161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61" t="s">
        <v>325</v>
      </c>
      <c r="B522" s="161"/>
      <c r="C522" s="161"/>
      <c r="D522" s="161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61" t="s">
        <v>326</v>
      </c>
      <c r="B533" s="161"/>
      <c r="C533" s="161"/>
      <c r="D533" s="161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61" t="s">
        <v>327</v>
      </c>
      <c r="B544" s="161"/>
      <c r="C544" s="161"/>
      <c r="D544" s="161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61" t="s">
        <v>328</v>
      </c>
      <c r="B555" s="161"/>
      <c r="C555" s="161"/>
      <c r="D555" s="161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61" t="s">
        <v>328</v>
      </c>
      <c r="B567" s="161"/>
      <c r="C567" s="161"/>
      <c r="D567" s="161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61" t="s">
        <v>333</v>
      </c>
      <c r="B579" s="161"/>
      <c r="C579" s="161"/>
      <c r="D579" s="161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61" t="s">
        <v>334</v>
      </c>
      <c r="B590" s="161"/>
      <c r="C590" s="161"/>
      <c r="D590" s="161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61" t="s">
        <v>335</v>
      </c>
      <c r="B601" s="161"/>
      <c r="C601" s="161"/>
      <c r="D601" s="161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61" t="s">
        <v>336</v>
      </c>
      <c r="B612" s="161"/>
      <c r="C612" s="161"/>
      <c r="D612" s="161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61" t="s">
        <v>337</v>
      </c>
      <c r="B623" s="161"/>
      <c r="C623" s="161"/>
      <c r="D623" s="161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61" t="s">
        <v>338</v>
      </c>
      <c r="B635" s="161"/>
      <c r="C635" s="161"/>
      <c r="D635" s="161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61" t="s">
        <v>340</v>
      </c>
      <c r="B647" s="161"/>
      <c r="C647" s="161"/>
      <c r="D647" s="161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61" t="s">
        <v>341</v>
      </c>
      <c r="B658" s="161"/>
      <c r="C658" s="161"/>
      <c r="D658" s="161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61" t="s">
        <v>342</v>
      </c>
      <c r="B670" s="161"/>
      <c r="C670" s="161"/>
      <c r="D670" s="161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61" t="s">
        <v>343</v>
      </c>
      <c r="B681" s="161"/>
      <c r="C681" s="161"/>
      <c r="D681" s="161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61" t="s">
        <v>344</v>
      </c>
      <c r="B692" s="161"/>
      <c r="C692" s="161"/>
      <c r="D692" s="161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61" t="s">
        <v>345</v>
      </c>
      <c r="B703" s="161"/>
      <c r="C703" s="161"/>
      <c r="D703" s="161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61" t="s">
        <v>348</v>
      </c>
      <c r="B715" s="161"/>
      <c r="C715" s="161"/>
      <c r="D715" s="161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61" t="s">
        <v>349</v>
      </c>
      <c r="B726" s="161"/>
      <c r="C726" s="161"/>
      <c r="D726" s="161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61" t="s">
        <v>350</v>
      </c>
      <c r="B738" s="161"/>
      <c r="C738" s="161"/>
      <c r="D738" s="161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61" t="s">
        <v>351</v>
      </c>
      <c r="B749" s="161"/>
      <c r="C749" s="161"/>
      <c r="D749" s="161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61" t="s">
        <v>352</v>
      </c>
      <c r="B760" s="161"/>
      <c r="C760" s="161"/>
      <c r="D760" s="161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61" t="s">
        <v>353</v>
      </c>
      <c r="B772" s="161"/>
      <c r="C772" s="161"/>
      <c r="D772" s="161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61" t="s">
        <v>355</v>
      </c>
      <c r="B784" s="161"/>
      <c r="C784" s="161"/>
      <c r="D784" s="161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61" t="s">
        <v>356</v>
      </c>
      <c r="B796" s="161"/>
      <c r="C796" s="161"/>
      <c r="D796" s="161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61" t="s">
        <v>357</v>
      </c>
      <c r="B809" s="161"/>
      <c r="C809" s="161"/>
      <c r="D809" s="161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61" t="s">
        <v>358</v>
      </c>
      <c r="B820" s="161"/>
      <c r="C820" s="161"/>
      <c r="D820" s="161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61" t="s">
        <v>359</v>
      </c>
      <c r="B831" s="161"/>
      <c r="C831" s="161"/>
      <c r="D831" s="161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61" t="s">
        <v>360</v>
      </c>
      <c r="B842" s="161"/>
      <c r="C842" s="161"/>
      <c r="D842" s="161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61" t="s">
        <v>361</v>
      </c>
      <c r="B854" s="161"/>
      <c r="C854" s="161"/>
      <c r="D854" s="161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61" t="s">
        <v>363</v>
      </c>
      <c r="B865" s="161"/>
      <c r="C865" s="161"/>
      <c r="D865" s="161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61" t="s">
        <v>364</v>
      </c>
      <c r="B876" s="161"/>
      <c r="C876" s="161"/>
      <c r="D876" s="161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61" t="s">
        <v>367</v>
      </c>
      <c r="B888" s="161"/>
      <c r="C888" s="161"/>
      <c r="D888" s="161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61" t="s">
        <v>368</v>
      </c>
      <c r="B901" s="161"/>
      <c r="C901" s="161"/>
      <c r="D901" s="161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61" t="s">
        <v>369</v>
      </c>
      <c r="B913" s="161"/>
      <c r="C913" s="161"/>
      <c r="D913" s="161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61" t="s">
        <v>370</v>
      </c>
      <c r="B925" s="161"/>
      <c r="C925" s="161"/>
      <c r="D925" s="161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61" t="s">
        <v>371</v>
      </c>
      <c r="B937" s="161"/>
      <c r="C937" s="161"/>
      <c r="D937" s="161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61" t="s">
        <v>372</v>
      </c>
      <c r="B949" s="161"/>
      <c r="C949" s="161"/>
      <c r="D949" s="161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61" t="s">
        <v>400</v>
      </c>
      <c r="B961" s="161"/>
      <c r="C961" s="161"/>
      <c r="D961" s="161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61" t="s">
        <v>402</v>
      </c>
      <c r="B974" s="161"/>
      <c r="C974" s="161"/>
      <c r="D974" s="161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61" t="s">
        <v>404</v>
      </c>
      <c r="B987" s="161"/>
      <c r="C987" s="161"/>
      <c r="D987" s="161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61" t="s">
        <v>405</v>
      </c>
      <c r="B1000" s="161"/>
      <c r="C1000" s="161"/>
      <c r="D1000" s="161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61" t="s">
        <v>408</v>
      </c>
      <c r="B1012" s="161"/>
      <c r="C1012" s="161"/>
      <c r="D1012" s="161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61" t="s">
        <v>410</v>
      </c>
      <c r="B1025" s="161"/>
      <c r="C1025" s="161"/>
      <c r="D1025" s="161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61" t="s">
        <v>413</v>
      </c>
      <c r="B1037" s="161"/>
      <c r="C1037" s="161"/>
      <c r="D1037" s="161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61" t="s">
        <v>415</v>
      </c>
      <c r="B1049" s="161"/>
      <c r="C1049" s="161"/>
      <c r="D1049" s="161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61" t="s">
        <v>417</v>
      </c>
      <c r="B1061" s="161"/>
      <c r="C1061" s="161"/>
      <c r="D1061" s="161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61" t="s">
        <v>419</v>
      </c>
      <c r="B1073" s="161"/>
      <c r="C1073" s="161"/>
      <c r="D1073" s="161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61" t="s">
        <v>421</v>
      </c>
      <c r="B1085" s="161"/>
      <c r="C1085" s="161"/>
      <c r="D1085" s="161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61" t="s">
        <v>423</v>
      </c>
      <c r="B1098" s="161"/>
      <c r="C1098" s="161"/>
      <c r="D1098" s="161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61" t="s">
        <v>426</v>
      </c>
      <c r="B1110" s="161"/>
      <c r="C1110" s="161"/>
      <c r="D1110" s="161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61" t="s">
        <v>428</v>
      </c>
      <c r="B1123" s="161"/>
      <c r="C1123" s="161"/>
      <c r="D1123" s="161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61" t="s">
        <v>430</v>
      </c>
      <c r="B1136" s="161"/>
      <c r="C1136" s="161"/>
      <c r="D1136" s="161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61" t="s">
        <v>432</v>
      </c>
      <c r="B1149" s="161"/>
      <c r="C1149" s="161"/>
      <c r="D1149" s="161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61" t="s">
        <v>434</v>
      </c>
      <c r="B1162" s="161"/>
      <c r="C1162" s="161"/>
      <c r="D1162" s="161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61" t="s">
        <v>437</v>
      </c>
      <c r="B1173" s="161"/>
      <c r="C1173" s="161"/>
      <c r="D1173" s="161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61" t="s">
        <v>439</v>
      </c>
      <c r="B1185" s="161"/>
      <c r="C1185" s="161"/>
      <c r="D1185" s="161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61" t="s">
        <v>441</v>
      </c>
      <c r="B1197" s="161"/>
      <c r="C1197" s="161"/>
      <c r="D1197" s="161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61" t="s">
        <v>443</v>
      </c>
      <c r="B1209" s="161"/>
      <c r="C1209" s="161"/>
      <c r="D1209" s="161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61" t="s">
        <v>445</v>
      </c>
      <c r="B1222" s="161"/>
      <c r="C1222" s="161"/>
      <c r="D1222" s="161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61" t="s">
        <v>447</v>
      </c>
      <c r="B1234" s="161"/>
      <c r="C1234" s="161"/>
      <c r="D1234" s="161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61" t="s">
        <v>449</v>
      </c>
      <c r="B1246" s="161"/>
      <c r="C1246" s="161"/>
      <c r="D1246" s="161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61" t="s">
        <v>452</v>
      </c>
      <c r="B1258" s="161"/>
      <c r="C1258" s="161"/>
      <c r="D1258" s="161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61" t="s">
        <v>454</v>
      </c>
      <c r="B1270" s="161"/>
      <c r="C1270" s="161"/>
      <c r="D1270" s="161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61" t="s">
        <v>456</v>
      </c>
      <c r="B1282" s="161"/>
      <c r="C1282" s="161"/>
      <c r="D1282" s="161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61" t="s">
        <v>458</v>
      </c>
      <c r="B1294" s="161"/>
      <c r="C1294" s="161"/>
      <c r="D1294" s="161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61" t="s">
        <v>460</v>
      </c>
      <c r="B1306" s="161"/>
      <c r="C1306" s="161"/>
      <c r="D1306" s="161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61" t="s">
        <v>462</v>
      </c>
      <c r="B1318" s="161"/>
      <c r="C1318" s="161"/>
      <c r="D1318" s="161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61" t="s">
        <v>464</v>
      </c>
      <c r="B1330" s="161"/>
      <c r="C1330" s="161"/>
      <c r="D1330" s="161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61" t="s">
        <v>467</v>
      </c>
      <c r="B1343" s="161"/>
      <c r="C1343" s="161"/>
      <c r="D1343" s="161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61" t="s">
        <v>469</v>
      </c>
      <c r="B1355" s="161"/>
      <c r="C1355" s="161"/>
      <c r="D1355" s="161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61" t="s">
        <v>471</v>
      </c>
      <c r="B1368" s="161"/>
      <c r="C1368" s="161"/>
      <c r="D1368" s="161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61" t="s">
        <v>473</v>
      </c>
      <c r="B1380" s="161"/>
      <c r="C1380" s="161"/>
      <c r="D1380" s="161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61" t="s">
        <v>476</v>
      </c>
      <c r="B1392" s="161"/>
      <c r="C1392" s="161"/>
      <c r="D1392" s="161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61" t="s">
        <v>478</v>
      </c>
      <c r="B1404" s="161"/>
      <c r="C1404" s="161"/>
      <c r="D1404" s="161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61" t="s">
        <v>479</v>
      </c>
      <c r="B1416" s="161"/>
      <c r="C1416" s="161"/>
      <c r="D1416" s="161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61" t="s">
        <v>480</v>
      </c>
      <c r="B1428" s="161"/>
      <c r="C1428" s="161"/>
      <c r="D1428" s="161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61" t="s">
        <v>481</v>
      </c>
      <c r="B1441" s="161"/>
      <c r="C1441" s="161"/>
      <c r="D1441" s="161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61" t="s">
        <v>482</v>
      </c>
      <c r="B1453" s="161"/>
      <c r="C1453" s="161"/>
      <c r="D1453" s="161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61" t="s">
        <v>489</v>
      </c>
      <c r="B1465" s="161"/>
      <c r="C1465" s="161"/>
      <c r="D1465" s="161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61" t="s">
        <v>491</v>
      </c>
      <c r="B1477" s="161"/>
      <c r="C1477" s="161"/>
      <c r="D1477" s="161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61" t="s">
        <v>493</v>
      </c>
      <c r="B1490" s="161"/>
      <c r="C1490" s="161"/>
      <c r="D1490" s="161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61" t="s">
        <v>495</v>
      </c>
      <c r="B1502" s="161"/>
      <c r="C1502" s="161"/>
      <c r="D1502" s="161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61" t="s">
        <v>497</v>
      </c>
      <c r="B1514" s="161"/>
      <c r="C1514" s="161"/>
      <c r="D1514" s="161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61" t="s">
        <v>499</v>
      </c>
      <c r="B1526" s="161"/>
      <c r="C1526" s="161"/>
      <c r="D1526" s="161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61" t="s">
        <v>502</v>
      </c>
      <c r="B1539" s="161"/>
      <c r="C1539" s="161"/>
      <c r="D1539" s="161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61" t="s">
        <v>504</v>
      </c>
      <c r="B1551" s="161"/>
      <c r="C1551" s="161"/>
      <c r="D1551" s="161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61" t="s">
        <v>506</v>
      </c>
      <c r="B1563" s="161"/>
      <c r="C1563" s="161"/>
      <c r="D1563" s="161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61" t="s">
        <v>508</v>
      </c>
      <c r="B1576" s="161"/>
      <c r="C1576" s="161"/>
      <c r="D1576" s="161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61" t="s">
        <v>510</v>
      </c>
      <c r="B1589" s="161"/>
      <c r="C1589" s="161"/>
      <c r="D1589" s="161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60" t="s">
        <v>510</v>
      </c>
      <c r="B1601" s="160"/>
      <c r="C1601" s="160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60" t="s">
        <v>510</v>
      </c>
      <c r="B1613" s="160"/>
      <c r="C1613" s="160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60" t="s">
        <v>514</v>
      </c>
      <c r="B1629" s="160"/>
      <c r="C1629" s="160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60" t="s">
        <v>516</v>
      </c>
      <c r="B1640" s="160"/>
      <c r="C1640" s="160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60" t="s">
        <v>518</v>
      </c>
      <c r="B1653" s="160"/>
      <c r="C1653" s="160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  <row r="1665" spans="1:4">
      <c r="A1665" s="160" t="s">
        <v>520</v>
      </c>
      <c r="B1665" s="160"/>
      <c r="C1665" s="160"/>
    </row>
    <row r="1666" spans="1:4">
      <c r="A1666" s="85" t="s">
        <v>247</v>
      </c>
      <c r="B1666" s="85" t="s">
        <v>250</v>
      </c>
      <c r="C1666" s="85" t="s">
        <v>249</v>
      </c>
    </row>
    <row r="1667" spans="1:4">
      <c r="A1667" s="75">
        <v>0.45833333333333298</v>
      </c>
      <c r="B1667" s="85">
        <v>12950000</v>
      </c>
      <c r="C1667" s="85">
        <v>8130</v>
      </c>
    </row>
    <row r="1668" spans="1:4">
      <c r="A1668" s="76" t="s">
        <v>251</v>
      </c>
      <c r="B1668" s="85">
        <v>13015000</v>
      </c>
      <c r="C1668" s="85">
        <v>8120</v>
      </c>
    </row>
    <row r="1669" spans="1:4">
      <c r="A1669" s="77" t="s">
        <v>252</v>
      </c>
      <c r="B1669" s="85">
        <v>13050000</v>
      </c>
      <c r="C1669" s="85">
        <v>8140</v>
      </c>
    </row>
    <row r="1670" spans="1:4">
      <c r="A1670" s="75" t="s">
        <v>253</v>
      </c>
      <c r="B1670" s="85">
        <v>13120000</v>
      </c>
      <c r="C1670" s="85">
        <v>8150</v>
      </c>
    </row>
    <row r="1671" spans="1:4">
      <c r="A1671" s="83">
        <v>0.625</v>
      </c>
      <c r="B1671" s="85">
        <v>13140000</v>
      </c>
      <c r="C1671" s="85">
        <v>8160</v>
      </c>
    </row>
    <row r="1672" spans="1:4">
      <c r="A1672" s="76" t="s">
        <v>254</v>
      </c>
      <c r="B1672" s="85">
        <v>13140000</v>
      </c>
      <c r="C1672" s="85">
        <v>8170</v>
      </c>
    </row>
    <row r="1673" spans="1:4">
      <c r="A1673" s="86">
        <v>0.70833333333333337</v>
      </c>
      <c r="B1673" s="85">
        <v>13140000</v>
      </c>
      <c r="C1673" s="85">
        <v>8200</v>
      </c>
    </row>
    <row r="1677" spans="1:4">
      <c r="A1677" s="160" t="s">
        <v>522</v>
      </c>
      <c r="B1677" s="160"/>
      <c r="C1677" s="160"/>
    </row>
    <row r="1678" spans="1:4">
      <c r="A1678" s="85" t="s">
        <v>247</v>
      </c>
      <c r="B1678" s="85" t="s">
        <v>250</v>
      </c>
      <c r="C1678" s="85" t="s">
        <v>249</v>
      </c>
    </row>
    <row r="1679" spans="1:4">
      <c r="A1679" s="75">
        <v>0.45833333333333298</v>
      </c>
      <c r="B1679" s="85">
        <v>13400000</v>
      </c>
      <c r="C1679" s="85">
        <v>8380</v>
      </c>
      <c r="D1679">
        <f>(B1679-B1673)/B1673</f>
        <v>1.9786910197869101E-2</v>
      </c>
    </row>
    <row r="1680" spans="1:4">
      <c r="A1680" s="76" t="s">
        <v>251</v>
      </c>
      <c r="B1680" s="85">
        <v>13420000</v>
      </c>
      <c r="C1680" s="85">
        <v>8320</v>
      </c>
    </row>
    <row r="1681" spans="1:3">
      <c r="A1681" s="77" t="s">
        <v>252</v>
      </c>
      <c r="B1681" s="85">
        <v>13380000</v>
      </c>
      <c r="C1681" s="85">
        <v>8350</v>
      </c>
    </row>
    <row r="1682" spans="1:3">
      <c r="A1682" s="75" t="s">
        <v>253</v>
      </c>
      <c r="B1682" s="85">
        <v>13355000</v>
      </c>
      <c r="C1682" s="85">
        <v>8300</v>
      </c>
    </row>
    <row r="1683" spans="1:3">
      <c r="A1683" s="83">
        <v>0.625</v>
      </c>
      <c r="B1683" s="85">
        <v>13300000</v>
      </c>
      <c r="C1683" s="85">
        <v>8290</v>
      </c>
    </row>
    <row r="1684" spans="1:3">
      <c r="A1684" s="76" t="s">
        <v>254</v>
      </c>
      <c r="B1684" s="85">
        <v>13300000</v>
      </c>
      <c r="C1684" s="85">
        <v>8280</v>
      </c>
    </row>
    <row r="1685" spans="1:3">
      <c r="A1685" s="86">
        <v>0.70833333333333337</v>
      </c>
      <c r="B1685" s="85">
        <v>13300000</v>
      </c>
      <c r="C1685" s="85">
        <v>8280</v>
      </c>
    </row>
  </sheetData>
  <mergeCells count="147">
    <mergeCell ref="A1665:C1665"/>
    <mergeCell ref="A1653:C1653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640:C1640"/>
    <mergeCell ref="A1453:D1453"/>
    <mergeCell ref="A1318:D1318"/>
    <mergeCell ref="A1563:D1563"/>
    <mergeCell ref="A1551:D155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93:D293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85:D1185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6" sqref="D16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62" t="s">
        <v>373</v>
      </c>
      <c r="B1" s="162"/>
      <c r="C1" s="162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2"/>
  <sheetViews>
    <sheetView topLeftCell="A115" zoomScale="85" zoomScaleNormal="85" workbookViewId="0">
      <selection activeCell="H134" sqref="H13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2021-12-15T13:24:48Z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