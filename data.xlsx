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9ABD1B37-43D2-44A7-8250-52D52CB4EA1C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set'!$A$1:$BN$242</definedName>
    <definedName name="_xlnm._FilterDatabase" localSheetId="1" hidden="1">weekly!$A$1:$K$57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7" i="2" l="1"/>
  <c r="B45" i="2"/>
  <c r="D2135" i="3"/>
  <c r="P241" i="1"/>
  <c r="H162" i="5" l="1"/>
  <c r="G162" i="5"/>
  <c r="F162" i="5"/>
  <c r="E248" i="1"/>
  <c r="F246" i="1"/>
  <c r="E245" i="1"/>
  <c r="H161" i="5" l="1"/>
  <c r="G161" i="5"/>
  <c r="F161" i="5"/>
  <c r="H160" i="5" l="1"/>
  <c r="G160" i="5"/>
  <c r="F160" i="5"/>
  <c r="D2084" i="3" l="1"/>
  <c r="X244" i="1"/>
  <c r="H159" i="5" l="1"/>
  <c r="G159" i="5"/>
  <c r="F159" i="5"/>
  <c r="H158" i="5" l="1"/>
  <c r="G158" i="5"/>
  <c r="F158" i="5"/>
  <c r="I45" i="2"/>
  <c r="C47" i="2"/>
  <c r="H46" i="2"/>
  <c r="B48" i="2"/>
  <c r="D2061" i="3"/>
  <c r="H157" i="5" l="1"/>
  <c r="G157" i="5"/>
  <c r="F157" i="5"/>
  <c r="H156" i="5" l="1"/>
  <c r="G156" i="5"/>
  <c r="F156" i="5"/>
  <c r="H155" i="5" l="1"/>
  <c r="G155" i="5"/>
  <c r="F155" i="5"/>
  <c r="V250" i="1"/>
  <c r="P243" i="1"/>
  <c r="H154" i="5" l="1"/>
  <c r="G154" i="5"/>
  <c r="F154" i="5"/>
  <c r="Y251" i="1"/>
  <c r="Y253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0" i="1" l="1"/>
  <c r="M216" i="1"/>
  <c r="L216" i="1"/>
  <c r="D1850" i="3" l="1"/>
  <c r="M215" i="1"/>
  <c r="L215" i="1"/>
  <c r="Y250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5" i="2" l="1"/>
  <c r="E47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46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47" i="1"/>
  <c r="N248" i="1"/>
  <c r="N249" i="1"/>
  <c r="N250" i="1"/>
  <c r="N251" i="1"/>
  <c r="N252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8" i="2" l="1"/>
  <c r="J47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6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7" i="2"/>
  <c r="G56" i="2"/>
  <c r="G55" i="2"/>
  <c r="G54" i="2"/>
  <c r="G53" i="2"/>
  <c r="G52" i="2"/>
  <c r="G51" i="2"/>
  <c r="G50" i="2"/>
  <c r="G49" i="2"/>
  <c r="C4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9" i="2" s="1"/>
  <c r="G16" i="2"/>
  <c r="E16" i="2"/>
  <c r="C5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0" i="1" l="1"/>
  <c r="S1" i="1" s="1"/>
  <c r="M240" i="1"/>
  <c r="U1" i="1" s="1"/>
</calcChain>
</file>

<file path=xl/sharedStrings.xml><?xml version="1.0" encoding="utf-8"?>
<sst xmlns="http://schemas.openxmlformats.org/spreadsheetml/2006/main" count="2147" uniqueCount="606">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</sst>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34023696"/>
        <c:axId val="-1834031856"/>
      </c:lineChart>
      <c:catAx>
        <c:axId val="-183402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31856"/>
        <c:crosses val="autoZero"/>
        <c:auto val="1"/>
        <c:lblAlgn val="ctr"/>
        <c:lblOffset val="100"/>
        <c:noMultiLvlLbl val="0"/>
      </c:catAx>
      <c:valAx>
        <c:axId val="-18340318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236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0F-4F51-9A35-6F5002F923BD}"/>
                </c:ext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F6-48C4-8305-527D22166FE6}"/>
                </c:ext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4F6-48C4-8305-527D22166FE6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weekly!$B$27:$B$44</c15:sqref>
                  </c15:fullRef>
                </c:ext>
              </c:extLst>
              <c:f>weekly!$B$28:$B$44</c:f>
              <c:numCache>
                <c:formatCode>General</c:formatCode>
                <c:ptCount val="1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5B-4EDE-8516-7EB7C4CE0CA3}"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D1-4FB9-8A3D-07484F09D5DD}"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5E-4B62-A857-364C7FFBA745}"/>
                </c:ext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42C-452B-AEBB-8BE76960DA7D}"/>
                </c:ext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42C-452B-AEBB-8BE76960DA7D}"/>
                </c:ext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F6-48C4-8305-527D22166FE6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weekly!$H$27:$H$44</c15:sqref>
                  </c15:fullRef>
                </c:ext>
              </c:extLst>
              <c:f>weekly!$H$28:$H$44</c:f>
              <c:numCache>
                <c:formatCode>General</c:formatCode>
                <c:ptCount val="1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34036752"/>
        <c:axId val="-183403131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83403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31312"/>
        <c:crosses val="autoZero"/>
        <c:auto val="1"/>
        <c:lblAlgn val="ctr"/>
        <c:lblOffset val="100"/>
        <c:noMultiLvlLbl val="0"/>
      </c:catAx>
      <c:valAx>
        <c:axId val="-183403131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367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2C4-4FB7-B211-A54C5882FDF0}"/>
                </c:ext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8-42CB-9F2E-19ACCC3903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34029136"/>
        <c:axId val="-1834038928"/>
      </c:lineChart>
      <c:catAx>
        <c:axId val="-183402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38928"/>
        <c:crosses val="autoZero"/>
        <c:auto val="1"/>
        <c:lblAlgn val="ctr"/>
        <c:lblOffset val="100"/>
        <c:noMultiLvlLbl val="0"/>
      </c:catAx>
      <c:valAx>
        <c:axId val="-18340389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291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36557792"/>
        <c:axId val="-2036552352"/>
      </c:lineChart>
      <c:catAx>
        <c:axId val="-203655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36552352"/>
        <c:crosses val="autoZero"/>
        <c:auto val="1"/>
        <c:lblAlgn val="ctr"/>
        <c:lblOffset val="100"/>
        <c:noMultiLvlLbl val="0"/>
      </c:catAx>
      <c:valAx>
        <c:axId val="-2036552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365577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94-4FCA-BCDE-40CAD4E064E6}"/>
                </c:ext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4D-44AB-A995-EDAD42FDBE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92308960"/>
        <c:axId val="-1792314400"/>
      </c:lineChart>
      <c:catAx>
        <c:axId val="-179230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4400"/>
        <c:crosses val="autoZero"/>
        <c:auto val="1"/>
        <c:lblAlgn val="ctr"/>
        <c:lblOffset val="100"/>
        <c:noMultiLvlLbl val="0"/>
      </c:catAx>
      <c:valAx>
        <c:axId val="-17923144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089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FE3E-4448-B0F4-CB8359D5A48D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FE3E-4448-B0F4-CB8359D5A48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weekly!$C$27:$C$44</c15:sqref>
                  </c15:fullRef>
                </c:ext>
              </c:extLst>
              <c:f>weekly!$C$28:$C$44</c:f>
              <c:numCache>
                <c:formatCode>General</c:formatCode>
                <c:ptCount val="1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FE3E-4448-B0F4-CB8359D5A48D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FE3E-4448-B0F4-CB8359D5A48D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C3E-4439-B070-3AEFA3B235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weekly!$I$27:$I$44</c15:sqref>
                  </c15:fullRef>
                </c:ext>
              </c:extLst>
              <c:f>weekly!$I$28:$I$44</c:f>
              <c:numCache>
                <c:formatCode>General</c:formatCode>
                <c:ptCount val="1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92308416"/>
        <c:axId val="-1792316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FE3E-4448-B0F4-CB8359D5A48D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FE3E-4448-B0F4-CB8359D5A48D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79230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6032"/>
        <c:crosses val="autoZero"/>
        <c:auto val="1"/>
        <c:lblAlgn val="ctr"/>
        <c:lblOffset val="100"/>
        <c:noMultiLvlLbl val="0"/>
      </c:catAx>
      <c:valAx>
        <c:axId val="-179231603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084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92312768"/>
        <c:axId val="-1792310592"/>
      </c:barChart>
      <c:catAx>
        <c:axId val="-179231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0592"/>
        <c:crosses val="autoZero"/>
        <c:auto val="1"/>
        <c:lblAlgn val="ctr"/>
        <c:lblOffset val="100"/>
        <c:noMultiLvlLbl val="0"/>
      </c:catAx>
      <c:valAx>
        <c:axId val="-17923105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27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6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0"/>
          <c:order val="8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change'!$F$162:$I$162</c:f>
              <c:numCache>
                <c:formatCode>General</c:formatCode>
                <c:ptCount val="4"/>
                <c:pt idx="0">
                  <c:v>0.17793594306049823</c:v>
                </c:pt>
                <c:pt idx="1">
                  <c:v>1.0847730012053034</c:v>
                </c:pt>
                <c:pt idx="2">
                  <c:v>2.7943308101143502</c:v>
                </c:pt>
                <c:pt idx="3">
                  <c:v>1.78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0A-4DC9-AF07-7B1D9A94AF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792322016"/>
        <c:axId val="-17923187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</c:ext>
        </c:extLst>
      </c:barChart>
      <c:catAx>
        <c:axId val="-179232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8752"/>
        <c:crosses val="autoZero"/>
        <c:auto val="1"/>
        <c:lblAlgn val="ctr"/>
        <c:lblOffset val="100"/>
        <c:noMultiLvlLbl val="0"/>
      </c:catAx>
      <c:valAx>
        <c:axId val="-17923187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220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599</xdr:row>
      <xdr:rowOff>102960</xdr:rowOff>
    </xdr:from>
    <xdr:to>
      <xdr:col>11</xdr:col>
      <xdr:colOff>279360</xdr:colOff>
      <xdr:row>629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179</xdr:row>
      <xdr:rowOff>27711</xdr:rowOff>
    </xdr:from>
    <xdr:to>
      <xdr:col>53</xdr:col>
      <xdr:colOff>335280</xdr:colOff>
      <xdr:row>284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315</xdr:row>
      <xdr:rowOff>0</xdr:rowOff>
    </xdr:from>
    <xdr:to>
      <xdr:col>82</xdr:col>
      <xdr:colOff>0</xdr:colOff>
      <xdr:row>391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634</xdr:row>
      <xdr:rowOff>0</xdr:rowOff>
    </xdr:from>
    <xdr:to>
      <xdr:col>13</xdr:col>
      <xdr:colOff>354240</xdr:colOff>
      <xdr:row>664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414</xdr:row>
      <xdr:rowOff>0</xdr:rowOff>
    </xdr:from>
    <xdr:to>
      <xdr:col>83</xdr:col>
      <xdr:colOff>533400</xdr:colOff>
      <xdr:row>513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62</xdr:row>
      <xdr:rowOff>76321</xdr:rowOff>
    </xdr:from>
    <xdr:to>
      <xdr:col>44</xdr:col>
      <xdr:colOff>533400</xdr:colOff>
      <xdr:row>161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55"/>
  <sheetViews>
    <sheetView tabSelected="1" topLeftCell="B1" zoomScaleNormal="100" workbookViewId="0">
      <pane ySplit="1" topLeftCell="A220" activePane="bottomLeft" state="frozen"/>
      <selection activeCell="B1" sqref="B1"/>
      <selection pane="bottomLeft" activeCell="G234" sqref="G234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58.44140625" style="157" customWidth="1"/>
    <col min="62" max="63" width="8.88671875" customWidth="1"/>
    <col min="64" max="64" width="9.109375" customWidth="1"/>
    <col min="65" max="69" width="8.554687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L240/G240</f>
        <v>#DIV/0!</v>
      </c>
      <c r="T1" s="3" t="s">
        <v>15</v>
      </c>
      <c r="U1" s="3">
        <f>M240/K240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136" customFormat="1" ht="18">
      <c r="B239" s="131" t="s">
        <v>603</v>
      </c>
      <c r="C239" s="104">
        <v>7</v>
      </c>
      <c r="D239" s="137">
        <v>25080</v>
      </c>
      <c r="E239" s="136">
        <v>24988</v>
      </c>
      <c r="F239" s="136">
        <v>24989</v>
      </c>
      <c r="H239" s="136">
        <v>28393</v>
      </c>
      <c r="I239" s="136">
        <v>28546</v>
      </c>
      <c r="J239" s="136">
        <v>28491</v>
      </c>
      <c r="L239" s="208"/>
      <c r="M239" s="208"/>
      <c r="N239" s="136">
        <v>25238</v>
      </c>
      <c r="O239" s="136">
        <v>28831</v>
      </c>
      <c r="P239" s="136">
        <v>25331</v>
      </c>
      <c r="Q239" s="136">
        <v>28677</v>
      </c>
      <c r="V239" s="136">
        <v>28000</v>
      </c>
      <c r="X239" s="136">
        <v>27960</v>
      </c>
      <c r="Y239" s="136">
        <v>31399</v>
      </c>
      <c r="Z239" s="138"/>
      <c r="AB239" s="137"/>
      <c r="AS239" s="137"/>
      <c r="AW239" s="137"/>
      <c r="BI239" s="177"/>
      <c r="BO239" s="151"/>
      <c r="BP239" s="151"/>
      <c r="BQ239" s="151"/>
      <c r="BR239" s="151"/>
    </row>
    <row r="240" spans="2:70" ht="18">
      <c r="D240" s="26"/>
      <c r="K240">
        <f>SUM(K2:K216)</f>
        <v>210358000</v>
      </c>
      <c r="L240" s="142">
        <f>SUM(L2:L216)</f>
        <v>38488576407409</v>
      </c>
      <c r="M240" s="142">
        <f>SUM(M2:M216)</f>
        <v>6182194847600</v>
      </c>
      <c r="V240" s="152"/>
      <c r="X240" s="144"/>
      <c r="Z240" s="25"/>
      <c r="AS240" s="26"/>
      <c r="AW240" s="30"/>
    </row>
    <row r="241" spans="4:49" ht="18">
      <c r="P241">
        <f>P239-N238</f>
        <v>83</v>
      </c>
      <c r="V241" s="152"/>
      <c r="Z241" s="25"/>
      <c r="AS241" s="26"/>
      <c r="AW241" s="30"/>
    </row>
    <row r="242" spans="4:49" ht="18">
      <c r="V242" s="152"/>
      <c r="W242" s="152"/>
      <c r="Z242" s="25"/>
      <c r="AS242" s="26"/>
      <c r="AW242" s="30"/>
    </row>
    <row r="243" spans="4:49" ht="18">
      <c r="D243" s="93"/>
      <c r="P243">
        <f>P230-N229</f>
        <v>24</v>
      </c>
      <c r="W243" s="152"/>
      <c r="Z243" s="25"/>
      <c r="AW243" s="30"/>
    </row>
    <row r="244" spans="4:49" ht="17.25" customHeight="1">
      <c r="D244" s="93"/>
      <c r="P244" t="s">
        <v>523</v>
      </c>
      <c r="Q244" t="s">
        <v>524</v>
      </c>
      <c r="W244" s="152"/>
      <c r="X244">
        <f>X235-X234</f>
        <v>70</v>
      </c>
      <c r="Z244" s="25"/>
    </row>
    <row r="245" spans="4:49" ht="18">
      <c r="D245" s="93"/>
      <c r="E245">
        <f>(28300-25088)/25088</f>
        <v>0.12802933673469388</v>
      </c>
      <c r="O245" s="126" t="s">
        <v>503</v>
      </c>
      <c r="P245">
        <v>-178</v>
      </c>
      <c r="Q245">
        <v>-180</v>
      </c>
      <c r="V245" s="25"/>
      <c r="W245" s="152"/>
      <c r="Z245" s="25"/>
    </row>
    <row r="246" spans="4:49" ht="18">
      <c r="D246" s="93"/>
      <c r="F246">
        <f>(37881-36136)/37136</f>
        <v>4.6989444205084017E-2</v>
      </c>
      <c r="H246">
        <f>(27376-26532)/26532</f>
        <v>3.1810643750942259E-2</v>
      </c>
      <c r="O246" s="132" t="s">
        <v>505</v>
      </c>
      <c r="P246">
        <v>59</v>
      </c>
      <c r="Q246">
        <v>59</v>
      </c>
      <c r="V246" s="25"/>
      <c r="W246" s="152"/>
    </row>
    <row r="247" spans="4:49" ht="18">
      <c r="D247" s="93"/>
      <c r="N247">
        <f t="shared" ref="N247:N251" si="42">N199-N198</f>
        <v>-15</v>
      </c>
      <c r="O247" s="132" t="s">
        <v>507</v>
      </c>
      <c r="P247">
        <v>-17</v>
      </c>
      <c r="Q247">
        <v>-16</v>
      </c>
      <c r="V247" s="25"/>
      <c r="W247" s="152"/>
    </row>
    <row r="248" spans="4:49" ht="18">
      <c r="D248" s="107"/>
      <c r="E248">
        <f>(2499-2381)/2381</f>
        <v>4.9559008819823606E-2</v>
      </c>
      <c r="N248">
        <f t="shared" si="42"/>
        <v>-12</v>
      </c>
      <c r="O248" s="132" t="s">
        <v>509</v>
      </c>
      <c r="P248">
        <v>-163</v>
      </c>
      <c r="Q248">
        <v>-165</v>
      </c>
      <c r="W248" s="144"/>
    </row>
    <row r="249" spans="4:49" ht="18">
      <c r="D249" s="107"/>
      <c r="N249">
        <f t="shared" si="42"/>
        <v>-137</v>
      </c>
      <c r="O249" s="132" t="s">
        <v>511</v>
      </c>
      <c r="P249">
        <v>50</v>
      </c>
      <c r="Q249">
        <v>50</v>
      </c>
      <c r="W249" s="144"/>
      <c r="X249" s="109"/>
    </row>
    <row r="250" spans="4:49" ht="18">
      <c r="D250" s="113"/>
      <c r="N250">
        <f t="shared" si="42"/>
        <v>-138</v>
      </c>
      <c r="O250" s="145" t="s">
        <v>513</v>
      </c>
      <c r="P250">
        <v>-15</v>
      </c>
      <c r="Q250">
        <v>-15</v>
      </c>
      <c r="V250">
        <f>(3376-3251)/3251</f>
        <v>3.8449707782220857E-2</v>
      </c>
      <c r="W250" s="144"/>
      <c r="X250" s="109"/>
      <c r="Y250">
        <f>(W248-X215)/X215</f>
        <v>-1</v>
      </c>
    </row>
    <row r="251" spans="4:49" ht="18">
      <c r="D251" s="107"/>
      <c r="G251" s="9"/>
      <c r="N251">
        <f t="shared" si="42"/>
        <v>-43</v>
      </c>
      <c r="O251" s="145" t="s">
        <v>515</v>
      </c>
      <c r="P251">
        <v>-12</v>
      </c>
      <c r="Q251">
        <v>-12</v>
      </c>
      <c r="X251" s="109"/>
      <c r="Y251">
        <f>(43725-42669)/42669</f>
        <v>2.4748646558391339E-2</v>
      </c>
    </row>
    <row r="252" spans="4:49" ht="18">
      <c r="D252" s="103"/>
      <c r="G252" s="9"/>
      <c r="N252">
        <f>N240-N203</f>
        <v>-27379</v>
      </c>
      <c r="O252" s="148" t="s">
        <v>517</v>
      </c>
      <c r="P252">
        <v>-136</v>
      </c>
      <c r="Q252">
        <v>-137</v>
      </c>
      <c r="X252" s="109"/>
    </row>
    <row r="253" spans="4:49" ht="18">
      <c r="G253" s="9"/>
      <c r="O253" s="145" t="s">
        <v>519</v>
      </c>
      <c r="P253">
        <v>-137</v>
      </c>
      <c r="Q253">
        <v>-138</v>
      </c>
      <c r="X253" s="109"/>
      <c r="Y253">
        <f>(3365-3279)/3279</f>
        <v>2.6227508386703263E-2</v>
      </c>
    </row>
    <row r="254" spans="4:49" ht="18">
      <c r="G254" s="9"/>
      <c r="O254" s="131" t="s">
        <v>521</v>
      </c>
      <c r="P254">
        <v>-42</v>
      </c>
      <c r="Q254">
        <v>-43</v>
      </c>
      <c r="X254" s="109"/>
    </row>
    <row r="255" spans="4:49" ht="18">
      <c r="G255" s="9"/>
    </row>
  </sheetData>
  <autoFilter ref="A1:BN242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7"/>
  <sheetViews>
    <sheetView topLeftCell="R1" zoomScale="70" zoomScaleNormal="70" workbookViewId="0">
      <selection activeCell="A48" sqref="A48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2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5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5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5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5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5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5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5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5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5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5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5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5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5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5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5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5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5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5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5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5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>
      <c r="B45">
        <f>(B2-B8)/B2</f>
        <v>0.15346494762288476</v>
      </c>
      <c r="C45">
        <f>(C2-C8)/C2</f>
        <v>0.1154959674639829</v>
      </c>
      <c r="D45">
        <f>SUM(D2:D39)/38</f>
        <v>37702089.447368421</v>
      </c>
      <c r="I45">
        <f>I43-I42</f>
        <v>-332</v>
      </c>
    </row>
    <row r="46" spans="1:11">
      <c r="H46">
        <f>(H43-H42)/H42</f>
        <v>-1.9771428571428572E-2</v>
      </c>
    </row>
    <row r="47" spans="1:11">
      <c r="A47">
        <f>(B44-B43)</f>
        <v>-250</v>
      </c>
      <c r="C47">
        <f>(C43-C42)/C42</f>
        <v>-1.2137997059527473E-2</v>
      </c>
      <c r="E47">
        <f>(D39-D45)/D45</f>
        <v>0.21324840799221964</v>
      </c>
      <c r="J47">
        <f>(D36-D35)/D35</f>
        <v>-0.50773339408667473</v>
      </c>
    </row>
    <row r="48" spans="1:11">
      <c r="B48">
        <f>(B43-B42)/B42</f>
        <v>-1.4413787773398253E-2</v>
      </c>
      <c r="F48">
        <f>(F36-F35)/F35</f>
        <v>-0.62892307692307692</v>
      </c>
    </row>
    <row r="49" spans="3:10">
      <c r="D49">
        <v>5375132</v>
      </c>
      <c r="E49">
        <f>(E17-D49)/D49</f>
        <v>4.5958809321644006E-2</v>
      </c>
      <c r="G49">
        <f t="shared" ref="G49:G57" si="2">B3-B2</f>
        <v>-554</v>
      </c>
    </row>
    <row r="50" spans="3:10">
      <c r="G50">
        <f t="shared" si="2"/>
        <v>-302</v>
      </c>
    </row>
    <row r="51" spans="3:10">
      <c r="C51">
        <f>(D49-E16)/E16</f>
        <v>0.17110375179746395</v>
      </c>
      <c r="G51">
        <f t="shared" si="2"/>
        <v>-511</v>
      </c>
    </row>
    <row r="52" spans="3:10">
      <c r="G52">
        <f t="shared" si="2"/>
        <v>-362</v>
      </c>
    </row>
    <row r="53" spans="3:10">
      <c r="G53">
        <f t="shared" si="2"/>
        <v>-1699</v>
      </c>
    </row>
    <row r="54" spans="3:10">
      <c r="G54">
        <f t="shared" si="2"/>
        <v>-381</v>
      </c>
    </row>
    <row r="55" spans="3:10">
      <c r="G55">
        <f t="shared" si="2"/>
        <v>1075</v>
      </c>
    </row>
    <row r="56" spans="3:10">
      <c r="F56">
        <f>(F33-F32)/F32</f>
        <v>0.23948268173034043</v>
      </c>
      <c r="G56">
        <f t="shared" si="2"/>
        <v>151</v>
      </c>
      <c r="J56">
        <f>(F34-F35)/F34</f>
        <v>0.13877341459779063</v>
      </c>
    </row>
    <row r="57" spans="3:10">
      <c r="G57">
        <f t="shared" si="2"/>
        <v>1043</v>
      </c>
    </row>
  </sheetData>
  <autoFilter ref="A1:K57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37"/>
  <sheetViews>
    <sheetView topLeftCell="A2114" zoomScaleNormal="100" workbookViewId="0">
      <selection activeCell="D2139" sqref="D2139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4" t="s">
        <v>510</v>
      </c>
      <c r="B1601" s="214"/>
      <c r="C1601" s="214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4" t="s">
        <v>510</v>
      </c>
      <c r="B1613" s="214"/>
      <c r="C1613" s="214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4" t="s">
        <v>514</v>
      </c>
      <c r="B1629" s="214"/>
      <c r="C1629" s="214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4" t="s">
        <v>516</v>
      </c>
      <c r="B1640" s="214"/>
      <c r="C1640" s="214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4" t="s">
        <v>518</v>
      </c>
      <c r="B1653" s="214"/>
      <c r="C1653" s="214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4" t="s">
        <v>520</v>
      </c>
      <c r="B1665" s="214"/>
      <c r="C1665" s="214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4" t="s">
        <v>522</v>
      </c>
      <c r="B1677" s="214"/>
      <c r="C1677" s="214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4" t="s">
        <v>526</v>
      </c>
      <c r="B1690" s="214"/>
      <c r="C1690" s="214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4" t="s">
        <v>529</v>
      </c>
      <c r="B1703" s="214"/>
      <c r="C1703" s="214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4" t="s">
        <v>531</v>
      </c>
      <c r="B1716" s="214"/>
      <c r="C1716" s="214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4" t="s">
        <v>533</v>
      </c>
      <c r="B1729" s="214"/>
      <c r="C1729" s="214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4" t="s">
        <v>536</v>
      </c>
      <c r="B1742" s="214"/>
      <c r="C1742" s="214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4" t="s">
        <v>538</v>
      </c>
      <c r="B1754" s="214"/>
      <c r="C1754" s="214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4" t="s">
        <v>540</v>
      </c>
      <c r="B1767" s="214"/>
      <c r="C1767" s="214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4" t="s">
        <v>542</v>
      </c>
      <c r="B1779" s="214"/>
      <c r="C1779" s="214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4" t="s">
        <v>545</v>
      </c>
      <c r="B1791" s="214"/>
      <c r="C1791" s="214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4" t="s">
        <v>547</v>
      </c>
      <c r="B1803" s="214"/>
      <c r="C1803" s="214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4" t="s">
        <v>549</v>
      </c>
      <c r="B1816" s="214"/>
      <c r="C1816" s="214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4" t="s">
        <v>551</v>
      </c>
      <c r="B1829" s="214"/>
      <c r="C1829" s="214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4" t="s">
        <v>553</v>
      </c>
      <c r="B1842" s="214"/>
      <c r="C1842" s="214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4" t="s">
        <v>557</v>
      </c>
      <c r="B1854" s="214"/>
      <c r="C1854" s="214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4" t="s">
        <v>558</v>
      </c>
      <c r="B1866" s="214"/>
      <c r="C1866" s="214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4" t="s">
        <v>560</v>
      </c>
      <c r="B1878" s="214"/>
      <c r="C1878" s="214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4" t="s">
        <v>562</v>
      </c>
      <c r="B1890" s="214"/>
      <c r="C1890" s="214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4" t="s">
        <v>564</v>
      </c>
      <c r="B1903" s="214"/>
      <c r="C1903" s="214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4" t="s">
        <v>568</v>
      </c>
      <c r="B1916" s="214"/>
      <c r="C1916" s="214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4" t="s">
        <v>570</v>
      </c>
      <c r="B1928" s="214"/>
      <c r="C1928" s="214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4" t="s">
        <v>572</v>
      </c>
      <c r="B1940" s="214"/>
      <c r="C1940" s="214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4" t="s">
        <v>574</v>
      </c>
      <c r="B1953" s="214"/>
      <c r="C1953" s="214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4" t="s">
        <v>576</v>
      </c>
      <c r="B1966" s="214"/>
      <c r="C1966" s="214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4" t="s">
        <v>578</v>
      </c>
      <c r="B1979" s="214"/>
      <c r="C1979" s="214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4" t="s">
        <v>580</v>
      </c>
      <c r="B1992" s="214"/>
      <c r="C1992" s="214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4" t="s">
        <v>583</v>
      </c>
      <c r="B2005" s="214"/>
      <c r="C2005" s="214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4" t="s">
        <v>585</v>
      </c>
      <c r="B2017" s="214"/>
      <c r="C2017" s="214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4" t="s">
        <v>587</v>
      </c>
      <c r="B2029" s="214"/>
      <c r="C2029" s="214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4" t="s">
        <v>589</v>
      </c>
      <c r="B2042" s="214"/>
      <c r="C2042" s="214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4" t="s">
        <v>591</v>
      </c>
      <c r="B2055" s="214"/>
      <c r="C2055" s="214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4" t="s">
        <v>594</v>
      </c>
      <c r="B2068" s="214"/>
      <c r="C2068" s="214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4" t="s">
        <v>596</v>
      </c>
      <c r="B2081" s="214"/>
      <c r="C2081" s="214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4" t="s">
        <v>598</v>
      </c>
      <c r="B2093" s="214"/>
      <c r="C2093" s="214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4" t="s">
        <v>600</v>
      </c>
      <c r="B2105" s="214"/>
      <c r="C2105" s="214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4" t="s">
        <v>602</v>
      </c>
      <c r="B2117" s="214"/>
      <c r="C2117" s="214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4" t="s">
        <v>604</v>
      </c>
      <c r="B2129" s="214"/>
      <c r="C2129" s="214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</sheetData>
  <mergeCells count="183"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A12" sqref="A12"/>
    </sheetView>
  </sheetViews>
  <sheetFormatPr defaultColWidth="8.5546875" defaultRowHeight="14.4"/>
  <cols>
    <col min="1" max="1" width="23.6640625" style="82" customWidth="1"/>
    <col min="2" max="2" width="22.109375" style="82" customWidth="1"/>
    <col min="3" max="3" width="22.5546875" style="82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215" t="s">
        <v>373</v>
      </c>
      <c r="B1" s="215"/>
      <c r="C1" s="215"/>
    </row>
    <row r="2" spans="1:6" ht="24.9" customHeight="1">
      <c r="A2" s="83"/>
      <c r="B2" s="83" t="s">
        <v>374</v>
      </c>
      <c r="C2" s="83" t="s">
        <v>375</v>
      </c>
    </row>
    <row r="3" spans="1:6" ht="24.9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62"/>
  <sheetViews>
    <sheetView zoomScale="85" zoomScaleNormal="85" workbookViewId="0">
      <selection activeCell="E102" sqref="E102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2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si="9"/>
        <v>1.0847730012053034</v>
      </c>
      <c r="H162">
        <f t="shared" si="12"/>
        <v>2.7943308101143502</v>
      </c>
      <c r="I162">
        <v>1.78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2022-01-27T20:26:32Z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