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set'!$A$1:$BN$220</definedName>
    <definedName name="_xlnm._FilterDatabase" localSheetId="1" hidden="1">weekly!$A$1:$K$53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X220" i="1" l="1"/>
  <c r="H143" i="5" l="1"/>
  <c r="G143" i="5"/>
  <c r="F143" i="5"/>
  <c r="P219" i="1"/>
  <c r="E221" i="1"/>
  <c r="U222" i="1"/>
  <c r="G40" i="2" l="1"/>
  <c r="E40" i="2"/>
  <c r="G218" i="1" l="1"/>
  <c r="K218" i="1"/>
  <c r="M216" i="1"/>
  <c r="L216" i="1"/>
  <c r="D1850" i="3" l="1"/>
  <c r="M215" i="1"/>
  <c r="L215" i="1"/>
  <c r="Y228" i="1"/>
  <c r="Y220" i="1"/>
  <c r="H142" i="5" l="1"/>
  <c r="G142" i="5"/>
  <c r="F142" i="5"/>
  <c r="M214" i="1" l="1"/>
  <c r="L214" i="1"/>
  <c r="I220" i="1" l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O219" i="1" l="1"/>
  <c r="M211" i="1" l="1"/>
  <c r="L211" i="1"/>
  <c r="BI211" i="1"/>
  <c r="H138" i="5" l="1"/>
  <c r="G138" i="5"/>
  <c r="F138" i="5"/>
  <c r="D41" i="2" l="1"/>
  <c r="E43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24" i="1"/>
  <c r="N219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20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21" i="1"/>
  <c r="N222" i="1"/>
  <c r="N223" i="1"/>
  <c r="N224" i="1"/>
  <c r="N225" i="1"/>
  <c r="N226" i="1"/>
  <c r="N227" i="1"/>
  <c r="N228" i="1"/>
  <c r="N229" i="1"/>
  <c r="N230" i="1"/>
  <c r="N220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4" i="2" l="1"/>
  <c r="J43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2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2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3" i="2"/>
  <c r="G52" i="2"/>
  <c r="G51" i="2"/>
  <c r="G50" i="2"/>
  <c r="G49" i="2"/>
  <c r="G48" i="2"/>
  <c r="G47" i="2"/>
  <c r="G46" i="2"/>
  <c r="G45" i="2"/>
  <c r="C41" i="2"/>
  <c r="B41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5" i="2" s="1"/>
  <c r="G16" i="2"/>
  <c r="E16" i="2"/>
  <c r="C47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18" i="1" l="1"/>
  <c r="S1" i="1" s="1"/>
  <c r="M218" i="1"/>
  <c r="U1" i="1" s="1"/>
</calcChain>
</file>

<file path=xl/sharedStrings.xml><?xml version="1.0" encoding="utf-8"?>
<sst xmlns="http://schemas.openxmlformats.org/spreadsheetml/2006/main" count="1944" uniqueCount="556">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</sst>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04411072"/>
        <c:axId val="-104423584"/>
      </c:lineChart>
      <c:catAx>
        <c:axId val="-10441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4423584"/>
        <c:crosses val="autoZero"/>
        <c:auto val="1"/>
        <c:lblAlgn val="ctr"/>
        <c:lblOffset val="100"/>
        <c:noMultiLvlLbl val="0"/>
      </c:catAx>
      <c:valAx>
        <c:axId val="-1044235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441107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13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weekly!$B$27:$B$40</c15:sqref>
                  </c15:fullRef>
                </c:ext>
              </c:extLst>
              <c:f>weekly!$B$28:$B$40</c:f>
              <c:numCache>
                <c:formatCode>General</c:formatCode>
                <c:ptCount val="13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weekly!$H$27:$H$40</c15:sqref>
                  </c15:fullRef>
                </c:ext>
              </c:extLst>
              <c:f>weekly!$H$28:$H$40</c:f>
              <c:numCache>
                <c:formatCode>General</c:formatCode>
                <c:ptCount val="13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04421408"/>
        <c:axId val="-104420864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weekly!$A$27:$A$40</c15:sqref>
                        </c15:fullRef>
                        <c15:formulaRef>
                          <c15:sqref>weekly!$A$28:$A$40</c15:sqref>
                        </c15:formulaRef>
                      </c:ext>
                    </c:extLst>
                    <c:strCache>
                      <c:ptCount val="13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10442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4420864"/>
        <c:crosses val="autoZero"/>
        <c:auto val="1"/>
        <c:lblAlgn val="ctr"/>
        <c:lblOffset val="100"/>
        <c:noMultiLvlLbl val="0"/>
      </c:catAx>
      <c:valAx>
        <c:axId val="-104420864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442140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93507200"/>
        <c:axId val="-34885424"/>
      </c:lineChart>
      <c:catAx>
        <c:axId val="-19350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4885424"/>
        <c:crosses val="autoZero"/>
        <c:auto val="1"/>
        <c:lblAlgn val="ctr"/>
        <c:lblOffset val="100"/>
        <c:noMultiLvlLbl val="0"/>
      </c:catAx>
      <c:valAx>
        <c:axId val="-348854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350720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4883792"/>
        <c:axId val="-34887056"/>
      </c:lineChart>
      <c:catAx>
        <c:axId val="-34883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4887056"/>
        <c:crosses val="autoZero"/>
        <c:auto val="1"/>
        <c:lblAlgn val="ctr"/>
        <c:lblOffset val="100"/>
        <c:noMultiLvlLbl val="0"/>
      </c:catAx>
      <c:valAx>
        <c:axId val="-348870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488379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4883248"/>
        <c:axId val="-34884880"/>
      </c:lineChart>
      <c:catAx>
        <c:axId val="-34883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4884880"/>
        <c:crosses val="autoZero"/>
        <c:auto val="1"/>
        <c:lblAlgn val="ctr"/>
        <c:lblOffset val="100"/>
        <c:noMultiLvlLbl val="0"/>
      </c:catAx>
      <c:valAx>
        <c:axId val="-348848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48832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13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weekly!$C$27:$C$40</c15:sqref>
                  </c15:fullRef>
                </c:ext>
              </c:extLst>
              <c:f>weekly!$C$28:$C$40</c:f>
              <c:numCache>
                <c:formatCode>General</c:formatCode>
                <c:ptCount val="13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weekly!$I$27:$I$40</c15:sqref>
                  </c15:fullRef>
                </c:ext>
              </c:extLst>
              <c:f>weekly!$I$28:$I$40</c:f>
              <c:numCache>
                <c:formatCode>General</c:formatCode>
                <c:ptCount val="13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4890320"/>
        <c:axId val="-3488433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weekly!$A$27:$A$40</c15:sqref>
                        </c15:fullRef>
                        <c15:formulaRef>
                          <c15:sqref>weekly!$A$28:$A$40</c15:sqref>
                        </c15:formulaRef>
                      </c:ext>
                    </c:extLst>
                    <c:strCache>
                      <c:ptCount val="13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3489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4884336"/>
        <c:crosses val="autoZero"/>
        <c:auto val="1"/>
        <c:lblAlgn val="ctr"/>
        <c:lblOffset val="100"/>
        <c:noMultiLvlLbl val="0"/>
      </c:catAx>
      <c:valAx>
        <c:axId val="-3488433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489032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34889232"/>
        <c:axId val="-34889776"/>
      </c:barChart>
      <c:catAx>
        <c:axId val="-34889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4889776"/>
        <c:crosses val="autoZero"/>
        <c:auto val="1"/>
        <c:lblAlgn val="ctr"/>
        <c:lblOffset val="100"/>
        <c:noMultiLvlLbl val="0"/>
      </c:catAx>
      <c:valAx>
        <c:axId val="-348897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488923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امروز نسبت به چهارشنبه هفته گذشته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61"/>
          <c:order val="6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change'!$F$143:$I$143</c:f>
              <c:numCache>
                <c:formatCode>General</c:formatCode>
                <c:ptCount val="4"/>
                <c:pt idx="0">
                  <c:v>0.10101010101010101</c:v>
                </c:pt>
                <c:pt idx="1">
                  <c:v>0.30627871362940273</c:v>
                </c:pt>
                <c:pt idx="2">
                  <c:v>0.95585949642524093</c:v>
                </c:pt>
                <c:pt idx="3">
                  <c:v>-1.32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34888688"/>
        <c:axId val="-3488814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</c:ext>
        </c:extLst>
      </c:barChart>
      <c:catAx>
        <c:axId val="-34888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4888144"/>
        <c:crosses val="autoZero"/>
        <c:auto val="1"/>
        <c:lblAlgn val="ctr"/>
        <c:lblOffset val="100"/>
        <c:noMultiLvlLbl val="0"/>
      </c:catAx>
      <c:valAx>
        <c:axId val="-348881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488868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595</xdr:row>
      <xdr:rowOff>102960</xdr:rowOff>
    </xdr:from>
    <xdr:to>
      <xdr:col>11</xdr:col>
      <xdr:colOff>279360</xdr:colOff>
      <xdr:row>625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175</xdr:row>
      <xdr:rowOff>27711</xdr:rowOff>
    </xdr:from>
    <xdr:to>
      <xdr:col>41</xdr:col>
      <xdr:colOff>533400</xdr:colOff>
      <xdr:row>280</xdr:row>
      <xdr:rowOff>91438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311</xdr:row>
      <xdr:rowOff>0</xdr:rowOff>
    </xdr:from>
    <xdr:to>
      <xdr:col>82</xdr:col>
      <xdr:colOff>0</xdr:colOff>
      <xdr:row>387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630</xdr:row>
      <xdr:rowOff>0</xdr:rowOff>
    </xdr:from>
    <xdr:to>
      <xdr:col>13</xdr:col>
      <xdr:colOff>354240</xdr:colOff>
      <xdr:row>660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410</xdr:row>
      <xdr:rowOff>0</xdr:rowOff>
    </xdr:from>
    <xdr:to>
      <xdr:col>83</xdr:col>
      <xdr:colOff>533400</xdr:colOff>
      <xdr:row>509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58</xdr:row>
      <xdr:rowOff>76321</xdr:rowOff>
    </xdr:from>
    <xdr:to>
      <xdr:col>44</xdr:col>
      <xdr:colOff>533400</xdr:colOff>
      <xdr:row>157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33"/>
  <sheetViews>
    <sheetView tabSelected="1" topLeftCell="W208" zoomScaleNormal="100" workbookViewId="0">
      <selection activeCell="Y218" sqref="Y218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L218/G218</f>
        <v>25525.574323740966</v>
      </c>
      <c r="T1" s="3" t="s">
        <v>15</v>
      </c>
      <c r="U1" s="3">
        <f>M218/K218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198" customFormat="1" ht="21" hidden="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7"/>
        <v>106487939200</v>
      </c>
      <c r="M112" s="196">
        <f t="shared" si="28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3"/>
        <v>2.2748086010476576</v>
      </c>
      <c r="BO112" s="150">
        <f t="shared" si="24"/>
        <v>628</v>
      </c>
      <c r="BP112" s="150">
        <f t="shared" si="25"/>
        <v>635</v>
      </c>
      <c r="BQ112" s="150">
        <f t="shared" si="26"/>
        <v>7</v>
      </c>
    </row>
    <row r="113" spans="1:69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190" customFormat="1" ht="21" hidden="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7"/>
        <v>134260629100</v>
      </c>
      <c r="M118" s="188">
        <f t="shared" si="28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3"/>
        <v>3.1761089818995938</v>
      </c>
      <c r="BO118" s="194">
        <f t="shared" si="24"/>
        <v>101</v>
      </c>
      <c r="BP118" s="194">
        <f t="shared" si="25"/>
        <v>102</v>
      </c>
      <c r="BQ118" s="194">
        <f t="shared" si="26"/>
        <v>1</v>
      </c>
    </row>
    <row r="119" spans="1:69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47" customFormat="1" ht="21" hidden="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7"/>
        <v>183448909700</v>
      </c>
      <c r="M120" s="45">
        <f t="shared" si="28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3" customFormat="1" ht="21" hidden="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7"/>
        <v>149141857900</v>
      </c>
      <c r="M121" s="51">
        <f t="shared" si="28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3" customFormat="1" ht="21" hidden="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7"/>
        <v>205309734400</v>
      </c>
      <c r="M122" s="51">
        <f t="shared" si="28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3" customFormat="1" ht="21" hidden="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7"/>
        <v>266569104600</v>
      </c>
      <c r="M123" s="51">
        <f t="shared" si="28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47" customFormat="1" ht="21" hidden="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7"/>
        <v>172687578300</v>
      </c>
      <c r="M124" s="45">
        <f t="shared" si="28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56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56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56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56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56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56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58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58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58" customFormat="1" ht="21" hidden="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183" customFormat="1" ht="21" hidden="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29"/>
        <v>264502422700</v>
      </c>
      <c r="M134" s="181">
        <f t="shared" si="30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3"/>
        <v>4.0438239433940728</v>
      </c>
      <c r="BO134" s="186">
        <f t="shared" si="24"/>
        <v>0</v>
      </c>
      <c r="BP134" s="186">
        <f t="shared" si="25"/>
        <v>0</v>
      </c>
      <c r="BQ134" s="186">
        <f t="shared" si="26"/>
        <v>0</v>
      </c>
    </row>
    <row r="135" spans="1:69" s="58" customFormat="1" ht="18" hidden="1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2" customFormat="1" ht="21" hidden="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65" customFormat="1" ht="21" hidden="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65" customFormat="1" ht="21" hidden="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65" customFormat="1" ht="21" hidden="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65" customFormat="1" ht="21" hidden="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65" customFormat="1" ht="21" hidden="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58" customFormat="1" ht="21" hidden="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58" customFormat="1" ht="21" hidden="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58" customFormat="1" ht="21" hidden="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89" customFormat="1" ht="21" hidden="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29"/>
        <v>110853636800</v>
      </c>
      <c r="M145" s="87">
        <f t="shared" si="30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95" customFormat="1" ht="21" hidden="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29"/>
        <v>214041993100</v>
      </c>
      <c r="M146" s="93">
        <f t="shared" si="30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95" customFormat="1" ht="21" hidden="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29"/>
        <v>176486960000</v>
      </c>
      <c r="M147" s="93">
        <f t="shared" si="30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95" customFormat="1" ht="21" hidden="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29"/>
        <v>220752610000</v>
      </c>
      <c r="M148" s="93">
        <f t="shared" si="30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95" customFormat="1" ht="21" hidden="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29"/>
        <v>156650915000</v>
      </c>
      <c r="M149" s="93">
        <f t="shared" si="30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95" customFormat="1" ht="21" hidden="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29"/>
        <v>225456814700</v>
      </c>
      <c r="M150" s="93">
        <f t="shared" si="30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95" customFormat="1" ht="21" hidden="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29"/>
        <v>167101812600</v>
      </c>
      <c r="M151" s="93">
        <f t="shared" si="30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89" customFormat="1" ht="21" hidden="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29"/>
        <v>239567814200</v>
      </c>
      <c r="M152" s="87">
        <f t="shared" si="30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89" customFormat="1" ht="21" hidden="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29"/>
        <v>236480193600</v>
      </c>
      <c r="M153" s="87">
        <f t="shared" si="30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89" customFormat="1" ht="21" hidden="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29"/>
        <v>225618976500</v>
      </c>
      <c r="M154" s="87">
        <f t="shared" si="30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89" customFormat="1" ht="21" hidden="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29"/>
        <v>247369613400</v>
      </c>
      <c r="M155" s="87">
        <f t="shared" si="30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89" customFormat="1" ht="21" hidden="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29"/>
        <v>255780758900</v>
      </c>
      <c r="M156" s="87">
        <f t="shared" si="30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89" customFormat="1" ht="21" hidden="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29"/>
        <v>184510967800</v>
      </c>
      <c r="M157" s="87">
        <f t="shared" si="30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95" customFormat="1" ht="21" hidden="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29"/>
        <v>249471569600</v>
      </c>
      <c r="M158" s="93">
        <f t="shared" si="30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95" customFormat="1" ht="21" hidden="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29"/>
        <v>205217875200</v>
      </c>
      <c r="M159" s="93">
        <f t="shared" si="30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95" customFormat="1" ht="21" hidden="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29"/>
        <v>261587595000</v>
      </c>
      <c r="M160" s="93">
        <f t="shared" si="30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95" customFormat="1" ht="21" hidden="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29"/>
        <v>322139986200</v>
      </c>
      <c r="M161" s="93">
        <f t="shared" si="30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95" customFormat="1" ht="21" hidden="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0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1" customFormat="1" ht="21" hidden="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09" customFormat="1" ht="21" hidden="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5">F164*G164</f>
        <v>225462728400</v>
      </c>
      <c r="M164" s="93">
        <f t="shared" si="30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15" customFormat="1" ht="21" hidden="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5"/>
        <v>297576936000</v>
      </c>
      <c r="M165" s="93">
        <f t="shared" si="30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09" customFormat="1" ht="21" hidden="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5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09" customFormat="1" ht="21" hidden="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5"/>
        <v>275474294400</v>
      </c>
      <c r="M167" s="93">
        <f t="shared" si="30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15" customFormat="1" ht="21" hidden="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5"/>
        <v>180565344100</v>
      </c>
      <c r="M168" s="117">
        <f t="shared" si="30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2" customFormat="1" ht="21" hidden="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5"/>
        <v>264826042800</v>
      </c>
      <c r="M169" s="93">
        <f t="shared" si="30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2" customFormat="1" ht="21" hidden="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5"/>
        <v>269550278000</v>
      </c>
      <c r="M170" s="93">
        <f t="shared" si="30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2" customFormat="1" ht="21" hidden="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5"/>
        <v>231825209400</v>
      </c>
      <c r="M171" s="93">
        <f t="shared" si="30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2" customFormat="1" ht="21" hidden="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5"/>
        <v>280842822000</v>
      </c>
      <c r="M172" s="93">
        <f t="shared" si="30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2" customFormat="1" ht="21" hidden="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5"/>
        <v>298348060000</v>
      </c>
      <c r="M173" s="93">
        <f t="shared" si="30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2" customFormat="1" ht="21" hidden="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5"/>
        <v>194293123200</v>
      </c>
      <c r="M174" s="93">
        <f t="shared" si="30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15" customFormat="1" ht="21" hidden="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5"/>
        <v>361436777500</v>
      </c>
      <c r="M175" s="117">
        <f t="shared" si="30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09" customFormat="1" ht="21" hidden="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5"/>
        <v>321145765200</v>
      </c>
      <c r="M176" s="87">
        <f t="shared" si="30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09" customFormat="1" ht="21" hidden="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5"/>
        <v>311738532300</v>
      </c>
      <c r="M177" s="87">
        <f t="shared" si="30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09" customFormat="1" ht="21" hidden="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5"/>
        <v>340417605000</v>
      </c>
      <c r="M178" s="87">
        <f t="shared" si="30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09" customFormat="1" ht="21" hidden="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5"/>
        <v>259574211400</v>
      </c>
      <c r="M179" s="87">
        <f t="shared" si="30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09" customFormat="1" ht="21" hidden="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5"/>
        <v>232541672000</v>
      </c>
      <c r="M180" s="87">
        <f t="shared" si="30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2" customFormat="1" ht="21" hidden="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5"/>
        <v>311949927000</v>
      </c>
      <c r="M181" s="87">
        <f t="shared" si="30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2" customFormat="1" ht="21" hidden="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5"/>
        <v>303066802500</v>
      </c>
      <c r="M182" s="93">
        <f t="shared" si="30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2" customFormat="1" ht="21" hidden="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5"/>
        <v>329025981000</v>
      </c>
      <c r="M183" s="93">
        <f t="shared" si="30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2" customFormat="1" ht="21" hidden="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5"/>
        <v>417184732800</v>
      </c>
      <c r="M184" s="93">
        <f t="shared" si="30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2" customFormat="1" ht="21" hidden="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5"/>
        <v>338444332800</v>
      </c>
      <c r="M185" s="93">
        <f t="shared" si="30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2" customFormat="1" ht="21" hidden="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5"/>
        <v>209181897600</v>
      </c>
      <c r="M186" s="93">
        <f t="shared" si="30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09" customFormat="1" ht="21" hidden="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5"/>
        <v>103472865300</v>
      </c>
      <c r="M187" s="87">
        <f t="shared" si="30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09" customFormat="1" ht="21" hidden="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5"/>
        <v>102815271600</v>
      </c>
      <c r="M188" s="87">
        <f t="shared" si="30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09" customFormat="1" ht="21" hidden="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5"/>
        <v>179335122400</v>
      </c>
      <c r="M189" s="87">
        <f t="shared" si="30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09" customFormat="1" ht="21" hidden="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5"/>
        <v>170141241900</v>
      </c>
      <c r="M190" s="87">
        <f t="shared" si="30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09" customFormat="1" ht="21" hidden="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5"/>
        <v>213066453600</v>
      </c>
      <c r="M191" s="87">
        <f t="shared" si="30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09" customFormat="1" ht="21" hidden="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5"/>
        <v>158040192300</v>
      </c>
      <c r="M192" s="87">
        <f t="shared" si="30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29" customFormat="1" ht="21" hidden="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5"/>
        <v>292304562000</v>
      </c>
      <c r="M193" s="87">
        <f t="shared" si="30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29" customFormat="1" ht="21" hidden="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5"/>
        <v>238745520000</v>
      </c>
      <c r="M194" s="87">
        <f t="shared" ref="M194:M216" si="36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29" customFormat="1" ht="21" hidden="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5"/>
        <v>261431313200</v>
      </c>
      <c r="M195" s="87">
        <f t="shared" si="36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37"/>
        <v>10.812869527367695</v>
      </c>
      <c r="BN195" s="135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29" customFormat="1" ht="21" hidden="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5"/>
        <v>245746021500</v>
      </c>
      <c r="M196" s="87">
        <f t="shared" si="36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37"/>
        <v>12.163093553886894</v>
      </c>
      <c r="BN196" s="135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39" customFormat="1" ht="18" hidden="1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5"/>
        <v>265930387800</v>
      </c>
      <c r="M197" s="87">
        <f t="shared" si="36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37"/>
        <v>12.014814276896264</v>
      </c>
      <c r="BN197" s="139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39" customFormat="1" ht="18" hidden="1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5"/>
        <v>195317730000</v>
      </c>
      <c r="M198" s="143">
        <f t="shared" si="36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44" customFormat="1" ht="18" hidden="1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5"/>
        <v>203744554000</v>
      </c>
      <c r="M199" s="142">
        <f t="shared" si="36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44" customFormat="1" ht="18" hidden="1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5"/>
        <v>221059875700</v>
      </c>
      <c r="M200" s="142">
        <f t="shared" si="36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44" customFormat="1" ht="18" hidden="1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5"/>
        <v>185121144200</v>
      </c>
      <c r="M201" s="142">
        <f t="shared" si="36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37"/>
        <v>8.6686628204191916</v>
      </c>
      <c r="BO201" s="150">
        <f t="shared" si="32"/>
        <v>-136</v>
      </c>
      <c r="BP201" s="150">
        <f t="shared" si="33"/>
        <v>-137</v>
      </c>
      <c r="BQ201" s="150">
        <f t="shared" si="34"/>
        <v>-1</v>
      </c>
    </row>
    <row r="202" spans="1:69" s="144" customFormat="1" ht="18" hidden="1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5"/>
        <v>226575575000</v>
      </c>
      <c r="M202" s="149">
        <f t="shared" si="36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4" customFormat="1" ht="18" hidden="1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5"/>
        <v>232747680000</v>
      </c>
      <c r="M203" s="149">
        <f t="shared" si="36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37"/>
        <v>11.507352941176471</v>
      </c>
      <c r="BO203" s="150">
        <f t="shared" si="32"/>
        <v>-42</v>
      </c>
      <c r="BP203" s="150">
        <f t="shared" si="33"/>
        <v>-43</v>
      </c>
      <c r="BQ203" s="150">
        <f t="shared" si="34"/>
        <v>-1</v>
      </c>
    </row>
    <row r="204" spans="1:69" s="144" customFormat="1" ht="18" hidden="1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5"/>
        <v>153873553400</v>
      </c>
      <c r="M204" s="149">
        <f t="shared" si="36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37"/>
        <v>10.947724432027057</v>
      </c>
      <c r="BO204" s="150"/>
      <c r="BP204" s="150"/>
      <c r="BQ204" s="150"/>
    </row>
    <row r="205" spans="1:69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5"/>
        <v>205589995800</v>
      </c>
      <c r="M205" s="149">
        <f t="shared" si="36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37"/>
        <v>10.727152415263584</v>
      </c>
      <c r="BO205" s="156"/>
      <c r="BP205" s="156"/>
      <c r="BQ205" s="156"/>
    </row>
    <row r="206" spans="1:69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5"/>
        <v>196422165800</v>
      </c>
      <c r="M206" s="149">
        <f t="shared" si="36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37"/>
        <v>10.475205848687368</v>
      </c>
      <c r="BO206" s="156"/>
      <c r="BP206" s="156"/>
      <c r="BQ206" s="156"/>
    </row>
    <row r="207" spans="1:69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5"/>
        <v>243188800400</v>
      </c>
      <c r="M207" s="149">
        <f t="shared" si="36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37"/>
        <v>11.18076554318165</v>
      </c>
      <c r="BO207" s="156"/>
      <c r="BP207" s="156"/>
      <c r="BQ207" s="156"/>
    </row>
    <row r="208" spans="1:69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5"/>
        <v>203908204500</v>
      </c>
      <c r="M208" s="149">
        <f t="shared" si="36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37"/>
        <v>11.60302527209002</v>
      </c>
      <c r="BO208" s="156"/>
      <c r="BP208" s="156"/>
      <c r="BQ208" s="156"/>
    </row>
    <row r="209" spans="2:69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5"/>
        <v>214847881200</v>
      </c>
      <c r="M209" s="149">
        <f t="shared" si="36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37"/>
        <v>11.552320023531141</v>
      </c>
      <c r="BO209" s="156"/>
      <c r="BP209" s="156"/>
      <c r="BQ209" s="156"/>
    </row>
    <row r="210" spans="2:69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5"/>
        <v>177912997200</v>
      </c>
      <c r="M210" s="201">
        <f t="shared" si="36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37"/>
        <v>11.221413339216118</v>
      </c>
      <c r="BO210" s="156"/>
      <c r="BP210" s="156"/>
      <c r="BQ210" s="156"/>
    </row>
    <row r="211" spans="2:69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5"/>
        <v>216972767800</v>
      </c>
      <c r="M211" s="149">
        <f t="shared" si="36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37"/>
        <v>10.208134147238361</v>
      </c>
      <c r="BO211" s="206"/>
      <c r="BP211" s="206"/>
      <c r="BQ211" s="206"/>
    </row>
    <row r="212" spans="2:69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5"/>
        <v>218038353300</v>
      </c>
      <c r="M212" s="149">
        <f t="shared" si="36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37"/>
        <v>9.7619310446333305</v>
      </c>
      <c r="BO212" s="206"/>
      <c r="BP212" s="206"/>
      <c r="BQ212" s="206"/>
    </row>
    <row r="213" spans="2:69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5"/>
        <v>230330832200</v>
      </c>
      <c r="M213" s="142">
        <f t="shared" si="36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37"/>
        <v>10.309809404665538</v>
      </c>
      <c r="BO213" s="150"/>
      <c r="BP213" s="150"/>
      <c r="BQ213" s="150"/>
    </row>
    <row r="214" spans="2:69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5"/>
        <v>217747418200</v>
      </c>
      <c r="M214" s="142">
        <f t="shared" si="36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</row>
    <row r="215" spans="2:69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5"/>
        <v>229729585400</v>
      </c>
      <c r="M215" s="142">
        <f t="shared" si="36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</row>
    <row r="216" spans="2:69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5"/>
        <v>177481264800</v>
      </c>
      <c r="M216" s="142">
        <f t="shared" si="36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</row>
    <row r="217" spans="2:69" s="136" customFormat="1" ht="18">
      <c r="B217" s="131" t="s">
        <v>555</v>
      </c>
      <c r="C217" s="104">
        <v>11</v>
      </c>
      <c r="D217" s="137">
        <v>27186</v>
      </c>
      <c r="E217" s="136">
        <v>27180</v>
      </c>
      <c r="F217" s="136">
        <v>27179</v>
      </c>
      <c r="G217" s="209"/>
      <c r="H217" s="136">
        <v>30698</v>
      </c>
      <c r="I217" s="136">
        <v>30690</v>
      </c>
      <c r="J217" s="136">
        <v>30662</v>
      </c>
      <c r="K217" s="209"/>
      <c r="L217" s="208"/>
      <c r="M217" s="208"/>
      <c r="N217" s="136">
        <v>27452</v>
      </c>
      <c r="O217" s="136">
        <v>30997</v>
      </c>
      <c r="P217" s="136">
        <v>27458</v>
      </c>
      <c r="Q217" s="136">
        <v>31005</v>
      </c>
      <c r="V217" s="136">
        <v>29870</v>
      </c>
      <c r="X217" s="136">
        <v>29730</v>
      </c>
      <c r="Y217" s="136">
        <v>33931</v>
      </c>
      <c r="Z217" s="138"/>
      <c r="AB217" s="137"/>
      <c r="AS217" s="137"/>
      <c r="AW217" s="137"/>
      <c r="BI217" s="177"/>
      <c r="BO217" s="151"/>
      <c r="BP217" s="151"/>
      <c r="BQ217" s="151"/>
    </row>
    <row r="218" spans="2:69" ht="18">
      <c r="D218" s="26"/>
      <c r="G218">
        <f>SUM(G2:G216)</f>
        <v>1507843699</v>
      </c>
      <c r="K218">
        <f>SUM(K2:K216)</f>
        <v>210358000</v>
      </c>
      <c r="L218" s="142">
        <f>SUM(L2:L216)</f>
        <v>38488576407409</v>
      </c>
      <c r="M218" s="142">
        <f>SUM(M2:M216)</f>
        <v>6182194847600</v>
      </c>
      <c r="V218" s="144">
        <v>29860</v>
      </c>
      <c r="Z218" s="25"/>
      <c r="AS218" s="26"/>
      <c r="AW218" s="30"/>
    </row>
    <row r="219" spans="2:69" ht="18">
      <c r="N219">
        <f>P208-N207</f>
        <v>52</v>
      </c>
      <c r="O219">
        <f>P212-N211</f>
        <v>-23</v>
      </c>
      <c r="P219">
        <f>P217-N216</f>
        <v>7</v>
      </c>
      <c r="V219" s="144">
        <v>29850</v>
      </c>
      <c r="Z219" s="25"/>
      <c r="AS219" s="26"/>
      <c r="AW219" s="30"/>
    </row>
    <row r="220" spans="2:69" ht="18">
      <c r="I220">
        <f>(G214-G218)/G214</f>
        <v>-187.200514110261</v>
      </c>
      <c r="J220">
        <f>J206-J205</f>
        <v>-347</v>
      </c>
      <c r="N220">
        <f t="shared" ref="N220:N229" si="38">N194-N193</f>
        <v>-180</v>
      </c>
      <c r="V220" s="144">
        <v>29830</v>
      </c>
      <c r="W220" s="152"/>
      <c r="X220">
        <f>X217-X216</f>
        <v>-190</v>
      </c>
      <c r="Y220">
        <f>X215-X214</f>
        <v>170</v>
      </c>
      <c r="Z220" s="25"/>
      <c r="AS220" s="26"/>
      <c r="AW220" s="30"/>
    </row>
    <row r="221" spans="2:69" ht="18">
      <c r="D221" s="93"/>
      <c r="E221">
        <f>D217-F216</f>
        <v>54</v>
      </c>
      <c r="N221">
        <f t="shared" si="38"/>
        <v>59</v>
      </c>
      <c r="V221" s="129"/>
      <c r="W221" s="152"/>
      <c r="Z221" s="25"/>
      <c r="AW221" s="30"/>
    </row>
    <row r="222" spans="2:69" ht="17.25" customHeight="1">
      <c r="D222" s="93"/>
      <c r="N222">
        <f t="shared" si="38"/>
        <v>-16</v>
      </c>
      <c r="P222" t="s">
        <v>523</v>
      </c>
      <c r="Q222" t="s">
        <v>524</v>
      </c>
      <c r="U222">
        <f>V217-X216</f>
        <v>-50</v>
      </c>
      <c r="V222" s="25"/>
      <c r="W222" s="152"/>
      <c r="Z222" s="25"/>
    </row>
    <row r="223" spans="2:69" ht="18">
      <c r="D223" s="93"/>
      <c r="N223">
        <f t="shared" si="38"/>
        <v>-165</v>
      </c>
      <c r="O223" s="126" t="s">
        <v>503</v>
      </c>
      <c r="P223">
        <v>-178</v>
      </c>
      <c r="Q223">
        <v>-180</v>
      </c>
      <c r="V223" s="25"/>
      <c r="W223" s="152"/>
      <c r="Z223" s="25"/>
    </row>
    <row r="224" spans="2:69" ht="18">
      <c r="D224" s="93"/>
      <c r="H224">
        <f>(27376-26532)/26532</f>
        <v>3.1810643750942259E-2</v>
      </c>
      <c r="N224">
        <f t="shared" si="38"/>
        <v>50</v>
      </c>
      <c r="O224" s="132" t="s">
        <v>505</v>
      </c>
      <c r="P224">
        <v>59</v>
      </c>
      <c r="Q224">
        <v>59</v>
      </c>
      <c r="V224" s="25"/>
      <c r="W224" s="152"/>
    </row>
    <row r="225" spans="4:25" ht="18">
      <c r="D225" s="93"/>
      <c r="N225">
        <f t="shared" si="38"/>
        <v>-15</v>
      </c>
      <c r="O225" s="132" t="s">
        <v>507</v>
      </c>
      <c r="P225">
        <v>-17</v>
      </c>
      <c r="Q225">
        <v>-16</v>
      </c>
      <c r="V225" s="25"/>
      <c r="W225" s="152"/>
    </row>
    <row r="226" spans="4:25" ht="18">
      <c r="D226" s="107"/>
      <c r="N226">
        <f t="shared" si="38"/>
        <v>-12</v>
      </c>
      <c r="O226" s="132" t="s">
        <v>509</v>
      </c>
      <c r="P226">
        <v>-163</v>
      </c>
      <c r="Q226">
        <v>-165</v>
      </c>
      <c r="W226" s="144"/>
    </row>
    <row r="227" spans="4:25" ht="18">
      <c r="D227" s="107"/>
      <c r="N227">
        <f t="shared" si="38"/>
        <v>-137</v>
      </c>
      <c r="O227" s="132" t="s">
        <v>511</v>
      </c>
      <c r="P227">
        <v>50</v>
      </c>
      <c r="Q227">
        <v>50</v>
      </c>
      <c r="W227" s="144"/>
      <c r="X227" s="109"/>
    </row>
    <row r="228" spans="4:25" ht="18">
      <c r="D228" s="113"/>
      <c r="N228">
        <f t="shared" si="38"/>
        <v>-138</v>
      </c>
      <c r="O228" s="145" t="s">
        <v>513</v>
      </c>
      <c r="P228">
        <v>-15</v>
      </c>
      <c r="Q228">
        <v>-15</v>
      </c>
      <c r="W228" s="144"/>
      <c r="X228" s="109"/>
      <c r="Y228">
        <f>(W226-X215)/X215</f>
        <v>-1</v>
      </c>
    </row>
    <row r="229" spans="4:25" ht="18">
      <c r="D229" s="107"/>
      <c r="G229" s="9"/>
      <c r="N229">
        <f t="shared" si="38"/>
        <v>-43</v>
      </c>
      <c r="O229" s="145" t="s">
        <v>515</v>
      </c>
      <c r="P229">
        <v>-12</v>
      </c>
      <c r="Q229">
        <v>-12</v>
      </c>
      <c r="X229" s="109"/>
    </row>
    <row r="230" spans="4:25" ht="18">
      <c r="D230" s="103"/>
      <c r="G230" s="9"/>
      <c r="N230">
        <f>N218-N203</f>
        <v>-27379</v>
      </c>
      <c r="O230" s="148" t="s">
        <v>517</v>
      </c>
      <c r="P230">
        <v>-136</v>
      </c>
      <c r="Q230">
        <v>-137</v>
      </c>
      <c r="X230" s="109"/>
    </row>
    <row r="231" spans="4:25" ht="18">
      <c r="G231" s="9"/>
      <c r="O231" s="145" t="s">
        <v>519</v>
      </c>
      <c r="P231">
        <v>-137</v>
      </c>
      <c r="Q231">
        <v>-138</v>
      </c>
      <c r="X231" s="109"/>
    </row>
    <row r="232" spans="4:25" ht="18">
      <c r="G232" s="9"/>
      <c r="O232" s="131" t="s">
        <v>521</v>
      </c>
      <c r="P232">
        <v>-42</v>
      </c>
      <c r="Q232">
        <v>-43</v>
      </c>
      <c r="X232" s="109"/>
    </row>
    <row r="233" spans="4:25" ht="18">
      <c r="G233" s="9"/>
    </row>
  </sheetData>
  <autoFilter ref="A1:BN220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3"/>
  <sheetViews>
    <sheetView topLeftCell="B1" zoomScale="85" zoomScaleNormal="85" workbookViewId="0">
      <selection activeCell="D12" sqref="D12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>
      <c r="B41">
        <f>(B2-B8)/B2</f>
        <v>0.15346494762288476</v>
      </c>
      <c r="C41">
        <f>(C2-C8)/C2</f>
        <v>0.1154959674639829</v>
      </c>
      <c r="D41">
        <f>SUM(D2:D39)/38</f>
        <v>37702089.447368421</v>
      </c>
    </row>
    <row r="43" spans="1:11">
      <c r="E43">
        <f>(D39-D41)/D41</f>
        <v>0.21324840799221964</v>
      </c>
      <c r="J43">
        <f>(D36-D35)/D35</f>
        <v>-0.50773339408667473</v>
      </c>
    </row>
    <row r="44" spans="1:11">
      <c r="F44">
        <f>(F36-F35)/F35</f>
        <v>-0.62892307692307692</v>
      </c>
    </row>
    <row r="45" spans="1:11">
      <c r="D45">
        <v>5375132</v>
      </c>
      <c r="E45">
        <f>(E17-D45)/D45</f>
        <v>4.5958809321644006E-2</v>
      </c>
      <c r="G45">
        <f t="shared" ref="G45:G53" si="2">B3-B2</f>
        <v>-554</v>
      </c>
    </row>
    <row r="46" spans="1:11">
      <c r="G46">
        <f t="shared" si="2"/>
        <v>-302</v>
      </c>
    </row>
    <row r="47" spans="1:11">
      <c r="C47">
        <f>(D45-E16)/E16</f>
        <v>0.17110375179746395</v>
      </c>
      <c r="G47">
        <f t="shared" si="2"/>
        <v>-511</v>
      </c>
    </row>
    <row r="48" spans="1:11">
      <c r="G48">
        <f t="shared" si="2"/>
        <v>-362</v>
      </c>
    </row>
    <row r="49" spans="6:10">
      <c r="G49">
        <f t="shared" si="2"/>
        <v>-1699</v>
      </c>
    </row>
    <row r="50" spans="6:10">
      <c r="G50">
        <f t="shared" si="2"/>
        <v>-381</v>
      </c>
    </row>
    <row r="51" spans="6:10">
      <c r="G51">
        <f t="shared" si="2"/>
        <v>1075</v>
      </c>
    </row>
    <row r="52" spans="6:10">
      <c r="F52">
        <f>(F33-F32)/F32</f>
        <v>0.23948268173034043</v>
      </c>
      <c r="G52">
        <f t="shared" si="2"/>
        <v>151</v>
      </c>
      <c r="J52">
        <f>(F34-F35)/F34</f>
        <v>0.13877341459779063</v>
      </c>
    </row>
    <row r="53" spans="6:10">
      <c r="G53">
        <f t="shared" si="2"/>
        <v>1043</v>
      </c>
    </row>
  </sheetData>
  <autoFilter ref="A1:K53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62"/>
  <sheetViews>
    <sheetView topLeftCell="A1845" zoomScaleNormal="100" workbookViewId="0">
      <selection activeCell="B1863" sqref="B1863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1" t="s">
        <v>246</v>
      </c>
      <c r="B1" s="211"/>
      <c r="C1" s="211"/>
      <c r="D1" s="211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1" t="s">
        <v>256</v>
      </c>
      <c r="B11" s="211"/>
      <c r="C11" s="211"/>
      <c r="D11" s="211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1" t="s">
        <v>258</v>
      </c>
      <c r="B21" s="211"/>
      <c r="C21" s="211"/>
      <c r="D21" s="211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1" t="s">
        <v>259</v>
      </c>
      <c r="B31" s="211"/>
      <c r="C31" s="211"/>
      <c r="D31" s="211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1" t="s">
        <v>260</v>
      </c>
      <c r="B41" s="211"/>
      <c r="C41" s="211"/>
      <c r="D41" s="211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1" t="s">
        <v>262</v>
      </c>
      <c r="B51" s="211"/>
      <c r="C51" s="211"/>
      <c r="D51" s="211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1" t="s">
        <v>263</v>
      </c>
      <c r="B61" s="211"/>
      <c r="C61" s="211"/>
      <c r="D61" s="211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1" t="s">
        <v>264</v>
      </c>
      <c r="B71" s="211"/>
      <c r="C71" s="211"/>
      <c r="D71" s="211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1" t="s">
        <v>265</v>
      </c>
      <c r="B81" s="211"/>
      <c r="C81" s="211"/>
      <c r="D81" s="211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1" t="s">
        <v>269</v>
      </c>
      <c r="B93" s="211"/>
      <c r="C93" s="211"/>
      <c r="D93" s="211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1" t="s">
        <v>270</v>
      </c>
      <c r="B103" s="211"/>
      <c r="C103" s="211"/>
      <c r="D103" s="211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1" t="s">
        <v>272</v>
      </c>
      <c r="B113" s="211"/>
      <c r="C113" s="211"/>
      <c r="D113" s="211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1" t="s">
        <v>273</v>
      </c>
      <c r="B123" s="211"/>
      <c r="C123" s="211"/>
      <c r="D123" s="211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1" t="s">
        <v>274</v>
      </c>
      <c r="B133" s="211"/>
      <c r="C133" s="211"/>
      <c r="D133" s="211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1" t="s">
        <v>275</v>
      </c>
      <c r="B143" s="211"/>
      <c r="C143" s="211"/>
      <c r="D143" s="211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1" t="s">
        <v>277</v>
      </c>
      <c r="B153" s="211"/>
      <c r="C153" s="211"/>
      <c r="D153" s="211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1" t="s">
        <v>278</v>
      </c>
      <c r="B163" s="211"/>
      <c r="C163" s="211"/>
      <c r="D163" s="211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1" t="s">
        <v>279</v>
      </c>
      <c r="B173" s="211"/>
      <c r="C173" s="211"/>
      <c r="D173" s="211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1" t="s">
        <v>280</v>
      </c>
      <c r="B183" s="211"/>
      <c r="C183" s="211"/>
      <c r="D183" s="211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1" t="s">
        <v>281</v>
      </c>
      <c r="B193" s="211"/>
      <c r="C193" s="211"/>
      <c r="D193" s="211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1" t="s">
        <v>282</v>
      </c>
      <c r="B203" s="211"/>
      <c r="C203" s="211"/>
      <c r="D203" s="211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1" t="s">
        <v>283</v>
      </c>
      <c r="B213" s="211"/>
      <c r="C213" s="211"/>
      <c r="D213" s="211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1" t="s">
        <v>284</v>
      </c>
      <c r="B223" s="211"/>
      <c r="C223" s="211"/>
      <c r="D223" s="211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1" t="s">
        <v>285</v>
      </c>
      <c r="B233" s="211"/>
      <c r="C233" s="211"/>
      <c r="D233" s="211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1" t="s">
        <v>286</v>
      </c>
      <c r="B243" s="211"/>
      <c r="C243" s="211"/>
      <c r="D243" s="211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1" t="s">
        <v>287</v>
      </c>
      <c r="B253" s="211"/>
      <c r="C253" s="211"/>
      <c r="D253" s="211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1" t="s">
        <v>288</v>
      </c>
      <c r="B263" s="211"/>
      <c r="C263" s="211"/>
      <c r="D263" s="211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1" t="s">
        <v>289</v>
      </c>
      <c r="B273" s="211"/>
      <c r="C273" s="211"/>
      <c r="D273" s="211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1" t="s">
        <v>290</v>
      </c>
      <c r="B283" s="211"/>
      <c r="C283" s="211"/>
      <c r="D283" s="211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1" t="s">
        <v>291</v>
      </c>
      <c r="B293" s="211"/>
      <c r="C293" s="211"/>
      <c r="D293" s="211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1" t="s">
        <v>292</v>
      </c>
      <c r="B303" s="211"/>
      <c r="C303" s="211"/>
      <c r="D303" s="211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1" t="s">
        <v>296</v>
      </c>
      <c r="B313" s="211"/>
      <c r="C313" s="211"/>
      <c r="D313" s="211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1" t="s">
        <v>300</v>
      </c>
      <c r="B324" s="211"/>
      <c r="C324" s="211"/>
      <c r="D324" s="211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1" t="s">
        <v>303</v>
      </c>
      <c r="B335" s="211"/>
      <c r="C335" s="211"/>
      <c r="D335" s="211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1" t="s">
        <v>304</v>
      </c>
      <c r="B346" s="211"/>
      <c r="C346" s="211"/>
      <c r="D346" s="211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1" t="s">
        <v>305</v>
      </c>
      <c r="B357" s="211"/>
      <c r="C357" s="211"/>
      <c r="D357" s="211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1" t="s">
        <v>306</v>
      </c>
      <c r="B368" s="211"/>
      <c r="C368" s="211"/>
      <c r="D368" s="211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1" t="s">
        <v>307</v>
      </c>
      <c r="B379" s="211"/>
      <c r="C379" s="211"/>
      <c r="D379" s="211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1" t="s">
        <v>308</v>
      </c>
      <c r="B390" s="211"/>
      <c r="C390" s="211"/>
      <c r="D390" s="211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1" t="s">
        <v>309</v>
      </c>
      <c r="B401" s="211"/>
      <c r="C401" s="211"/>
      <c r="D401" s="211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1" t="s">
        <v>310</v>
      </c>
      <c r="B412" s="211"/>
      <c r="C412" s="211"/>
      <c r="D412" s="211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1" t="s">
        <v>311</v>
      </c>
      <c r="B423" s="211"/>
      <c r="C423" s="211"/>
      <c r="D423" s="211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1" t="s">
        <v>315</v>
      </c>
      <c r="B434" s="211"/>
      <c r="C434" s="211"/>
      <c r="D434" s="211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1" t="s">
        <v>316</v>
      </c>
      <c r="B445" s="211"/>
      <c r="C445" s="211"/>
      <c r="D445" s="211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1" t="s">
        <v>317</v>
      </c>
      <c r="B456" s="211"/>
      <c r="C456" s="211"/>
      <c r="D456" s="211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1" t="s">
        <v>318</v>
      </c>
      <c r="B467" s="211"/>
      <c r="C467" s="211"/>
      <c r="D467" s="211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1" t="s">
        <v>319</v>
      </c>
      <c r="B478" s="211"/>
      <c r="C478" s="211"/>
      <c r="D478" s="211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1" t="s">
        <v>320</v>
      </c>
      <c r="B489" s="211"/>
      <c r="C489" s="211"/>
      <c r="D489" s="211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1" t="s">
        <v>323</v>
      </c>
      <c r="B500" s="211"/>
      <c r="C500" s="211"/>
      <c r="D500" s="211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1" t="s">
        <v>324</v>
      </c>
      <c r="B511" s="211"/>
      <c r="C511" s="211"/>
      <c r="D511" s="211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1" t="s">
        <v>325</v>
      </c>
      <c r="B522" s="211"/>
      <c r="C522" s="211"/>
      <c r="D522" s="211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1" t="s">
        <v>326</v>
      </c>
      <c r="B533" s="211"/>
      <c r="C533" s="211"/>
      <c r="D533" s="211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1" t="s">
        <v>327</v>
      </c>
      <c r="B544" s="211"/>
      <c r="C544" s="211"/>
      <c r="D544" s="211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1" t="s">
        <v>328</v>
      </c>
      <c r="B555" s="211"/>
      <c r="C555" s="211"/>
      <c r="D555" s="211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1" t="s">
        <v>328</v>
      </c>
      <c r="B567" s="211"/>
      <c r="C567" s="211"/>
      <c r="D567" s="211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1" t="s">
        <v>333</v>
      </c>
      <c r="B579" s="211"/>
      <c r="C579" s="211"/>
      <c r="D579" s="211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1" t="s">
        <v>334</v>
      </c>
      <c r="B590" s="211"/>
      <c r="C590" s="211"/>
      <c r="D590" s="211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1" t="s">
        <v>335</v>
      </c>
      <c r="B601" s="211"/>
      <c r="C601" s="211"/>
      <c r="D601" s="211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1" t="s">
        <v>336</v>
      </c>
      <c r="B612" s="211"/>
      <c r="C612" s="211"/>
      <c r="D612" s="211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1" t="s">
        <v>337</v>
      </c>
      <c r="B623" s="211"/>
      <c r="C623" s="211"/>
      <c r="D623" s="211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1" t="s">
        <v>338</v>
      </c>
      <c r="B635" s="211"/>
      <c r="C635" s="211"/>
      <c r="D635" s="211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1" t="s">
        <v>340</v>
      </c>
      <c r="B647" s="211"/>
      <c r="C647" s="211"/>
      <c r="D647" s="211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1" t="s">
        <v>341</v>
      </c>
      <c r="B658" s="211"/>
      <c r="C658" s="211"/>
      <c r="D658" s="211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1" t="s">
        <v>342</v>
      </c>
      <c r="B670" s="211"/>
      <c r="C670" s="211"/>
      <c r="D670" s="211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1" t="s">
        <v>343</v>
      </c>
      <c r="B681" s="211"/>
      <c r="C681" s="211"/>
      <c r="D681" s="211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1" t="s">
        <v>344</v>
      </c>
      <c r="B692" s="211"/>
      <c r="C692" s="211"/>
      <c r="D692" s="211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1" t="s">
        <v>345</v>
      </c>
      <c r="B703" s="211"/>
      <c r="C703" s="211"/>
      <c r="D703" s="211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1" t="s">
        <v>348</v>
      </c>
      <c r="B715" s="211"/>
      <c r="C715" s="211"/>
      <c r="D715" s="211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1" t="s">
        <v>349</v>
      </c>
      <c r="B726" s="211"/>
      <c r="C726" s="211"/>
      <c r="D726" s="211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1" t="s">
        <v>350</v>
      </c>
      <c r="B738" s="211"/>
      <c r="C738" s="211"/>
      <c r="D738" s="211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1" t="s">
        <v>351</v>
      </c>
      <c r="B749" s="211"/>
      <c r="C749" s="211"/>
      <c r="D749" s="211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1" t="s">
        <v>352</v>
      </c>
      <c r="B760" s="211"/>
      <c r="C760" s="211"/>
      <c r="D760" s="211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1" t="s">
        <v>353</v>
      </c>
      <c r="B772" s="211"/>
      <c r="C772" s="211"/>
      <c r="D772" s="211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1" t="s">
        <v>355</v>
      </c>
      <c r="B784" s="211"/>
      <c r="C784" s="211"/>
      <c r="D784" s="211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1" t="s">
        <v>356</v>
      </c>
      <c r="B796" s="211"/>
      <c r="C796" s="211"/>
      <c r="D796" s="211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1" t="s">
        <v>357</v>
      </c>
      <c r="B809" s="211"/>
      <c r="C809" s="211"/>
      <c r="D809" s="211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1" t="s">
        <v>358</v>
      </c>
      <c r="B820" s="211"/>
      <c r="C820" s="211"/>
      <c r="D820" s="211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1" t="s">
        <v>359</v>
      </c>
      <c r="B831" s="211"/>
      <c r="C831" s="211"/>
      <c r="D831" s="211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1" t="s">
        <v>360</v>
      </c>
      <c r="B842" s="211"/>
      <c r="C842" s="211"/>
      <c r="D842" s="211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1" t="s">
        <v>361</v>
      </c>
      <c r="B854" s="211"/>
      <c r="C854" s="211"/>
      <c r="D854" s="211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1" t="s">
        <v>363</v>
      </c>
      <c r="B865" s="211"/>
      <c r="C865" s="211"/>
      <c r="D865" s="211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1" t="s">
        <v>364</v>
      </c>
      <c r="B876" s="211"/>
      <c r="C876" s="211"/>
      <c r="D876" s="211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1" t="s">
        <v>367</v>
      </c>
      <c r="B888" s="211"/>
      <c r="C888" s="211"/>
      <c r="D888" s="211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1" t="s">
        <v>368</v>
      </c>
      <c r="B901" s="211"/>
      <c r="C901" s="211"/>
      <c r="D901" s="211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1" t="s">
        <v>369</v>
      </c>
      <c r="B913" s="211"/>
      <c r="C913" s="211"/>
      <c r="D913" s="211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1" t="s">
        <v>370</v>
      </c>
      <c r="B925" s="211"/>
      <c r="C925" s="211"/>
      <c r="D925" s="211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1" t="s">
        <v>371</v>
      </c>
      <c r="B937" s="211"/>
      <c r="C937" s="211"/>
      <c r="D937" s="211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1" t="s">
        <v>372</v>
      </c>
      <c r="B949" s="211"/>
      <c r="C949" s="211"/>
      <c r="D949" s="211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1" t="s">
        <v>400</v>
      </c>
      <c r="B961" s="211"/>
      <c r="C961" s="211"/>
      <c r="D961" s="211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1" t="s">
        <v>402</v>
      </c>
      <c r="B974" s="211"/>
      <c r="C974" s="211"/>
      <c r="D974" s="211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1" t="s">
        <v>404</v>
      </c>
      <c r="B987" s="211"/>
      <c r="C987" s="211"/>
      <c r="D987" s="211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1" t="s">
        <v>405</v>
      </c>
      <c r="B1000" s="211"/>
      <c r="C1000" s="211"/>
      <c r="D1000" s="211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1" t="s">
        <v>408</v>
      </c>
      <c r="B1012" s="211"/>
      <c r="C1012" s="211"/>
      <c r="D1012" s="211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1" t="s">
        <v>410</v>
      </c>
      <c r="B1025" s="211"/>
      <c r="C1025" s="211"/>
      <c r="D1025" s="211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1" t="s">
        <v>413</v>
      </c>
      <c r="B1037" s="211"/>
      <c r="C1037" s="211"/>
      <c r="D1037" s="211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1" t="s">
        <v>415</v>
      </c>
      <c r="B1049" s="211"/>
      <c r="C1049" s="211"/>
      <c r="D1049" s="211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1" t="s">
        <v>417</v>
      </c>
      <c r="B1061" s="211"/>
      <c r="C1061" s="211"/>
      <c r="D1061" s="211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1" t="s">
        <v>419</v>
      </c>
      <c r="B1073" s="211"/>
      <c r="C1073" s="211"/>
      <c r="D1073" s="211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1" t="s">
        <v>421</v>
      </c>
      <c r="B1085" s="211"/>
      <c r="C1085" s="211"/>
      <c r="D1085" s="211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1" t="s">
        <v>423</v>
      </c>
      <c r="B1098" s="211"/>
      <c r="C1098" s="211"/>
      <c r="D1098" s="211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1" t="s">
        <v>426</v>
      </c>
      <c r="B1110" s="211"/>
      <c r="C1110" s="211"/>
      <c r="D1110" s="211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1" t="s">
        <v>428</v>
      </c>
      <c r="B1123" s="211"/>
      <c r="C1123" s="211"/>
      <c r="D1123" s="211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1" t="s">
        <v>430</v>
      </c>
      <c r="B1136" s="211"/>
      <c r="C1136" s="211"/>
      <c r="D1136" s="211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1" t="s">
        <v>432</v>
      </c>
      <c r="B1149" s="211"/>
      <c r="C1149" s="211"/>
      <c r="D1149" s="211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1" t="s">
        <v>434</v>
      </c>
      <c r="B1162" s="211"/>
      <c r="C1162" s="211"/>
      <c r="D1162" s="211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1" t="s">
        <v>437</v>
      </c>
      <c r="B1173" s="211"/>
      <c r="C1173" s="211"/>
      <c r="D1173" s="211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1" t="s">
        <v>439</v>
      </c>
      <c r="B1185" s="211"/>
      <c r="C1185" s="211"/>
      <c r="D1185" s="211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1" t="s">
        <v>441</v>
      </c>
      <c r="B1197" s="211"/>
      <c r="C1197" s="211"/>
      <c r="D1197" s="211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1" t="s">
        <v>443</v>
      </c>
      <c r="B1209" s="211"/>
      <c r="C1209" s="211"/>
      <c r="D1209" s="211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1" t="s">
        <v>445</v>
      </c>
      <c r="B1222" s="211"/>
      <c r="C1222" s="211"/>
      <c r="D1222" s="211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1" t="s">
        <v>447</v>
      </c>
      <c r="B1234" s="211"/>
      <c r="C1234" s="211"/>
      <c r="D1234" s="211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1" t="s">
        <v>449</v>
      </c>
      <c r="B1246" s="211"/>
      <c r="C1246" s="211"/>
      <c r="D1246" s="211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1" t="s">
        <v>452</v>
      </c>
      <c r="B1258" s="211"/>
      <c r="C1258" s="211"/>
      <c r="D1258" s="211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1" t="s">
        <v>454</v>
      </c>
      <c r="B1270" s="211"/>
      <c r="C1270" s="211"/>
      <c r="D1270" s="211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1" t="s">
        <v>456</v>
      </c>
      <c r="B1282" s="211"/>
      <c r="C1282" s="211"/>
      <c r="D1282" s="211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1" t="s">
        <v>458</v>
      </c>
      <c r="B1294" s="211"/>
      <c r="C1294" s="211"/>
      <c r="D1294" s="211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1" t="s">
        <v>460</v>
      </c>
      <c r="B1306" s="211"/>
      <c r="C1306" s="211"/>
      <c r="D1306" s="211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1" t="s">
        <v>462</v>
      </c>
      <c r="B1318" s="211"/>
      <c r="C1318" s="211"/>
      <c r="D1318" s="211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1" t="s">
        <v>464</v>
      </c>
      <c r="B1330" s="211"/>
      <c r="C1330" s="211"/>
      <c r="D1330" s="211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1" t="s">
        <v>467</v>
      </c>
      <c r="B1343" s="211"/>
      <c r="C1343" s="211"/>
      <c r="D1343" s="211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1" t="s">
        <v>469</v>
      </c>
      <c r="B1355" s="211"/>
      <c r="C1355" s="211"/>
      <c r="D1355" s="211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1" t="s">
        <v>471</v>
      </c>
      <c r="B1368" s="211"/>
      <c r="C1368" s="211"/>
      <c r="D1368" s="211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1" t="s">
        <v>473</v>
      </c>
      <c r="B1380" s="211"/>
      <c r="C1380" s="211"/>
      <c r="D1380" s="211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1" t="s">
        <v>476</v>
      </c>
      <c r="B1392" s="211"/>
      <c r="C1392" s="211"/>
      <c r="D1392" s="211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1" t="s">
        <v>478</v>
      </c>
      <c r="B1404" s="211"/>
      <c r="C1404" s="211"/>
      <c r="D1404" s="211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1" t="s">
        <v>479</v>
      </c>
      <c r="B1416" s="211"/>
      <c r="C1416" s="211"/>
      <c r="D1416" s="211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1" t="s">
        <v>480</v>
      </c>
      <c r="B1428" s="211"/>
      <c r="C1428" s="211"/>
      <c r="D1428" s="211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1" t="s">
        <v>481</v>
      </c>
      <c r="B1441" s="211"/>
      <c r="C1441" s="211"/>
      <c r="D1441" s="211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1" t="s">
        <v>482</v>
      </c>
      <c r="B1453" s="211"/>
      <c r="C1453" s="211"/>
      <c r="D1453" s="211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1" t="s">
        <v>489</v>
      </c>
      <c r="B1465" s="211"/>
      <c r="C1465" s="211"/>
      <c r="D1465" s="211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1" t="s">
        <v>491</v>
      </c>
      <c r="B1477" s="211"/>
      <c r="C1477" s="211"/>
      <c r="D1477" s="211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1" t="s">
        <v>493</v>
      </c>
      <c r="B1490" s="211"/>
      <c r="C1490" s="211"/>
      <c r="D1490" s="211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1" t="s">
        <v>495</v>
      </c>
      <c r="B1502" s="211"/>
      <c r="C1502" s="211"/>
      <c r="D1502" s="211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1" t="s">
        <v>497</v>
      </c>
      <c r="B1514" s="211"/>
      <c r="C1514" s="211"/>
      <c r="D1514" s="211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1" t="s">
        <v>499</v>
      </c>
      <c r="B1526" s="211"/>
      <c r="C1526" s="211"/>
      <c r="D1526" s="211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1" t="s">
        <v>502</v>
      </c>
      <c r="B1539" s="211"/>
      <c r="C1539" s="211"/>
      <c r="D1539" s="211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1" t="s">
        <v>504</v>
      </c>
      <c r="B1551" s="211"/>
      <c r="C1551" s="211"/>
      <c r="D1551" s="211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1" t="s">
        <v>506</v>
      </c>
      <c r="B1563" s="211"/>
      <c r="C1563" s="211"/>
      <c r="D1563" s="211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1" t="s">
        <v>508</v>
      </c>
      <c r="B1576" s="211"/>
      <c r="C1576" s="211"/>
      <c r="D1576" s="211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1" t="s">
        <v>510</v>
      </c>
      <c r="B1589" s="211"/>
      <c r="C1589" s="211"/>
      <c r="D1589" s="211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0" t="s">
        <v>510</v>
      </c>
      <c r="B1601" s="210"/>
      <c r="C1601" s="210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0" t="s">
        <v>510</v>
      </c>
      <c r="B1613" s="210"/>
      <c r="C1613" s="210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0" t="s">
        <v>514</v>
      </c>
      <c r="B1629" s="210"/>
      <c r="C1629" s="210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0" t="s">
        <v>516</v>
      </c>
      <c r="B1640" s="210"/>
      <c r="C1640" s="210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0" t="s">
        <v>518</v>
      </c>
      <c r="B1653" s="210"/>
      <c r="C1653" s="210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0" t="s">
        <v>520</v>
      </c>
      <c r="B1665" s="210"/>
      <c r="C1665" s="210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0" t="s">
        <v>522</v>
      </c>
      <c r="B1677" s="210"/>
      <c r="C1677" s="210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0" t="s">
        <v>526</v>
      </c>
      <c r="B1690" s="210"/>
      <c r="C1690" s="210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0" t="s">
        <v>529</v>
      </c>
      <c r="B1703" s="210"/>
      <c r="C1703" s="210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0" t="s">
        <v>531</v>
      </c>
      <c r="B1716" s="210"/>
      <c r="C1716" s="210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0" t="s">
        <v>533</v>
      </c>
      <c r="B1729" s="210"/>
      <c r="C1729" s="210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0" t="s">
        <v>536</v>
      </c>
      <c r="B1742" s="210"/>
      <c r="C1742" s="210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0" t="s">
        <v>538</v>
      </c>
      <c r="B1754" s="210"/>
      <c r="C1754" s="210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0" t="s">
        <v>540</v>
      </c>
      <c r="B1767" s="210"/>
      <c r="C1767" s="210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0" t="s">
        <v>542</v>
      </c>
      <c r="B1779" s="210"/>
      <c r="C1779" s="210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0" t="s">
        <v>545</v>
      </c>
      <c r="B1791" s="210"/>
      <c r="C1791" s="210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0" t="s">
        <v>547</v>
      </c>
      <c r="B1803" s="210"/>
      <c r="C1803" s="210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0" t="s">
        <v>549</v>
      </c>
      <c r="B1816" s="210"/>
      <c r="C1816" s="210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0" t="s">
        <v>551</v>
      </c>
      <c r="B1829" s="210"/>
      <c r="C1829" s="210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0" t="s">
        <v>553</v>
      </c>
      <c r="B1842" s="210"/>
      <c r="C1842" s="210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0" t="s">
        <v>553</v>
      </c>
      <c r="B1854" s="210"/>
      <c r="C1854" s="210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</sheetData>
  <mergeCells count="161"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703:C1703"/>
    <mergeCell ref="A1829:C1829"/>
    <mergeCell ref="A1453:D1453"/>
    <mergeCell ref="A1803:C1803"/>
    <mergeCell ref="A1563:D1563"/>
    <mergeCell ref="A1767:C1767"/>
    <mergeCell ref="A1441:D1441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854:C1854"/>
    <mergeCell ref="A1842:C1842"/>
    <mergeCell ref="A1816:C1816"/>
    <mergeCell ref="A1791:C1791"/>
    <mergeCell ref="A1779:C1779"/>
    <mergeCell ref="A1754:C1754"/>
    <mergeCell ref="A1742:C1742"/>
    <mergeCell ref="A1729:C1729"/>
    <mergeCell ref="A1716:C1716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D15" sqref="D15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2" t="s">
        <v>373</v>
      </c>
      <c r="B1" s="212"/>
      <c r="C1" s="212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43"/>
  <sheetViews>
    <sheetView topLeftCell="A124" zoomScale="85" zoomScaleNormal="85" workbookViewId="0">
      <selection activeCell="C143" sqref="C143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43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43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43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2022-01-01T14:38:06Z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