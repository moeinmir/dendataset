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9170" windowHeight="7680" tabRatio="500" firstSheet="2" activeTab="3"/>
  </bookViews>
  <sheets>
    <sheet name="data set" sheetId="1" r:id="rId1"/>
    <sheet name="weekly" sheetId="2" r:id="rId2"/>
    <sheet name="tables" sheetId="3" r:id="rId3"/>
    <sheet name="price change" sheetId="4" r:id="rId4"/>
  </sheets>
  <definedNames>
    <definedName name="_xlnm._FilterDatabase" localSheetId="0" hidden="1">'data set'!$A$1:$BL$137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72" i="4" l="1"/>
  <c r="G72" i="4"/>
  <c r="F72" i="4"/>
  <c r="G136" i="1"/>
  <c r="G133" i="1"/>
  <c r="M132" i="1" l="1"/>
  <c r="L132" i="1"/>
  <c r="H801" i="3"/>
  <c r="H71" i="4" l="1"/>
  <c r="G71" i="4"/>
  <c r="F71" i="4"/>
  <c r="M131" i="1" l="1"/>
  <c r="L131" i="1"/>
  <c r="G25" i="2" l="1"/>
  <c r="E25" i="2"/>
  <c r="M130" i="1" l="1"/>
  <c r="L130" i="1"/>
  <c r="H70" i="4"/>
  <c r="G70" i="4"/>
  <c r="F70" i="4"/>
  <c r="H69" i="4"/>
  <c r="G69" i="4"/>
  <c r="F69" i="4"/>
  <c r="H68" i="4"/>
  <c r="G68" i="4"/>
  <c r="F68" i="4"/>
  <c r="H67" i="4"/>
  <c r="G67" i="4"/>
  <c r="F67" i="4"/>
  <c r="H66" i="4"/>
  <c r="G66" i="4"/>
  <c r="F66" i="4"/>
  <c r="H65" i="4"/>
  <c r="G65" i="4"/>
  <c r="F65" i="4"/>
  <c r="H64" i="4"/>
  <c r="G64" i="4"/>
  <c r="F64" i="4"/>
  <c r="H63" i="4"/>
  <c r="G63" i="4"/>
  <c r="F63" i="4"/>
  <c r="H62" i="4"/>
  <c r="G62" i="4"/>
  <c r="F62" i="4"/>
  <c r="H61" i="4"/>
  <c r="G61" i="4"/>
  <c r="F61" i="4"/>
  <c r="H60" i="4"/>
  <c r="G60" i="4"/>
  <c r="F60" i="4"/>
  <c r="H59" i="4"/>
  <c r="G59" i="4"/>
  <c r="F59" i="4"/>
  <c r="H58" i="4"/>
  <c r="G58" i="4"/>
  <c r="F58" i="4"/>
  <c r="H57" i="4"/>
  <c r="G57" i="4"/>
  <c r="F57" i="4"/>
  <c r="H56" i="4"/>
  <c r="G56" i="4"/>
  <c r="F56" i="4"/>
  <c r="H55" i="4"/>
  <c r="G55" i="4"/>
  <c r="F55" i="4"/>
  <c r="H54" i="4"/>
  <c r="G54" i="4"/>
  <c r="F54" i="4"/>
  <c r="H53" i="4"/>
  <c r="G53" i="4"/>
  <c r="F53" i="4"/>
  <c r="H52" i="4"/>
  <c r="G52" i="4"/>
  <c r="F52" i="4"/>
  <c r="H51" i="4"/>
  <c r="G51" i="4"/>
  <c r="F51" i="4"/>
  <c r="H50" i="4"/>
  <c r="G50" i="4"/>
  <c r="F50" i="4"/>
  <c r="H49" i="4"/>
  <c r="G49" i="4"/>
  <c r="F49" i="4"/>
  <c r="H48" i="4"/>
  <c r="G48" i="4"/>
  <c r="F48" i="4"/>
  <c r="H47" i="4"/>
  <c r="G47" i="4"/>
  <c r="F47" i="4"/>
  <c r="H46" i="4"/>
  <c r="G46" i="4"/>
  <c r="F46" i="4"/>
  <c r="H45" i="4"/>
  <c r="G45" i="4"/>
  <c r="F45" i="4"/>
  <c r="H44" i="4"/>
  <c r="G44" i="4"/>
  <c r="F44" i="4"/>
  <c r="H43" i="4"/>
  <c r="G43" i="4"/>
  <c r="F43" i="4"/>
  <c r="H42" i="4"/>
  <c r="G42" i="4"/>
  <c r="F42" i="4"/>
  <c r="H41" i="4"/>
  <c r="G41" i="4"/>
  <c r="F41" i="4"/>
  <c r="H40" i="4"/>
  <c r="G40" i="4"/>
  <c r="F40" i="4"/>
  <c r="H39" i="4"/>
  <c r="G39" i="4"/>
  <c r="F39" i="4"/>
  <c r="H38" i="4"/>
  <c r="G38" i="4"/>
  <c r="F38" i="4"/>
  <c r="H37" i="4"/>
  <c r="G37" i="4"/>
  <c r="F37" i="4"/>
  <c r="H36" i="4"/>
  <c r="G36" i="4"/>
  <c r="F36" i="4"/>
  <c r="H35" i="4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E573" i="3"/>
  <c r="G375" i="3"/>
  <c r="G190" i="3"/>
  <c r="G182" i="3"/>
  <c r="G179" i="3"/>
  <c r="G154" i="3"/>
  <c r="E121" i="3"/>
  <c r="J51" i="3"/>
  <c r="K51" i="3" s="1"/>
  <c r="G38" i="2"/>
  <c r="G37" i="2"/>
  <c r="G36" i="2"/>
  <c r="G35" i="2"/>
  <c r="G34" i="2"/>
  <c r="G33" i="2"/>
  <c r="G32" i="2"/>
  <c r="G31" i="2"/>
  <c r="G30" i="2"/>
  <c r="D26" i="2"/>
  <c r="C26" i="2"/>
  <c r="B26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0" i="2" s="1"/>
  <c r="G16" i="2"/>
  <c r="E16" i="2"/>
  <c r="C32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AW137" i="1"/>
  <c r="AW140" i="1" s="1"/>
  <c r="AU137" i="1"/>
  <c r="BB136" i="1"/>
  <c r="AY135" i="1"/>
  <c r="BJ133" i="1"/>
  <c r="BI133" i="1"/>
  <c r="K133" i="1"/>
  <c r="BK62" i="1" s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33" i="1" s="1"/>
  <c r="M133" i="1" l="1"/>
  <c r="U1" i="1" s="1"/>
  <c r="S1" i="1"/>
</calcChain>
</file>

<file path=xl/sharedStrings.xml><?xml version="1.0" encoding="utf-8"?>
<sst xmlns="http://schemas.openxmlformats.org/spreadsheetml/2006/main" count="1051" uniqueCount="348">
  <si>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</si>
  <si>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</si>
  <si>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</si>
  <si>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</si>
  <si>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</si>
  <si>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</si>
  <si>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</si>
  <si>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</si>
  <si>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</si>
  <si>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</si>
  <si>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</si>
  <si>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</si>
  <si>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</si>
  <si>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</si>
  <si>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</si>
  <si>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</si>
  <si>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</si>
  <si>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</si>
  <si>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</si>
  <si>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</si>
  <si>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</si>
  <si>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</si>
  <si>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</si>
  <si>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</si>
  <si>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</si>
  <si>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</si>
  <si>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</si>
  <si>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</si>
  <si>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</si>
  <si>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</si>
  <si>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</si>
  <si>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</si>
  <si>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</si>
  <si>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</si>
  <si>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</si>
  <si>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</si>
  <si>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</si>
  <si>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</si>
  <si>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</si>
  <si>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</si>
  <si>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</si>
  <si>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</si>
  <si>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</si>
  <si>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</si>
  <si>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</si>
  <si>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</si>
  <si>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</si>
  <si>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</si>
  <si>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</si>
  <si>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</si>
  <si>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</si>
  <si>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</si>
  <si>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</si>
  <si>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</si>
  <si>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</si>
  <si>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</si>
  <si>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</si>
  <si>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</si>
  <si>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</si>
  <si>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</si>
  <si>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</si>
  <si>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</si>
  <si>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</si>
  <si>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</si>
  <si>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</si>
  <si>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</si>
  <si>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</si>
  <si>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</si>
  <si>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</si>
  <si>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</si>
  <si>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</si>
  <si>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</si>
  <si>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</si>
  <si>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</si>
  <si>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</si>
  <si>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</si>
  <si>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</si>
  <si>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</si>
  <si>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</si>
  <si>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</si>
  <si>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</si>
  <si>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</si>
  <si>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</si>
  <si>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</si>
  <si>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</si>
  <si>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</si>
  <si>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</si>
  <si>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</si>
  <si>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</si>
  <si>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</si>
  <si>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</si>
  <si>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</si>
  <si>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</si>
  <si>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</si>
  <si>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</si>
  <si>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</si>
  <si>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</si>
  <si>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</si>
  <si>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</si>
  <si>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</si>
  <si>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</si>
  <si>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</si>
  <si>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</si>
  <si>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</si>
  <si>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</si>
  <si>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</si>
  <si>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</si>
  <si>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</si>
  <si>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</si>
  <si>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</si>
  <si>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</si>
  <si>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</si>
  <si>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</si>
  <si>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</si>
  <si>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</si>
  <si>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</si>
  <si>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</si>
  <si>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</si>
  <si>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</si>
  <si>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</si>
  <si>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</si>
  <si>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</si>
  <si>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</si>
  <si>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</si>
  <si>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</si>
  <si>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</si>
  <si>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</si>
  <si>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</si>
  <si>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</si>
  <si>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</si>
  <si>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</si>
  <si>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</si>
  <si>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</si>
  <si>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</si>
  <si>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</si>
  <si>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</si>
  <si>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</si>
  <si>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</si>
  <si>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</si>
  <si>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</si>
  <si>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</si>
  <si>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</si>
  <si>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</si>
  <si>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</si>
  <si>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</si>
  <si>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</si>
  <si>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</si>
  <si>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</si>
  <si>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</si>
  <si>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</si>
  <si>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</si>
  <si>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</si>
  <si>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</si>
  <si>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</si>
  <si>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</si>
  <si>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</si>
  <si>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</si>
  <si>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</si>
  <si>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</si>
  <si>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</si>
  <si>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</si>
  <si>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</si>
  <si>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</si>
  <si>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</si>
  <si>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</si>
  <si>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</si>
  <si>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</si>
  <si>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</si>
  <si>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</si>
  <si>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</si>
  <si>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</si>
  <si>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</si>
  <si>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</si>
  <si>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</si>
  <si>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</si>
  <si>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</si>
  <si>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</si>
  <si>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</si>
  <si>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</si>
  <si>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</si>
  <si>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</si>
  <si>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</si>
  <si>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</si>
  <si>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</si>
  <si>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</si>
  <si>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</si>
  <si>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</si>
  <si>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</si>
  <si>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</si>
  <si>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</si>
  <si>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</si>
  <si>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</si>
  <si>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</si>
  <si>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</si>
  <si>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</si>
  <si>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</si>
  <si>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</si>
  <si>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</si>
  <si>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</si>
  <si>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</si>
  <si>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</si>
  <si>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</si>
  <si>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</si>
  <si>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</si>
  <si>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دوم سال 1400</t>
  </si>
  <si>
    <t>هفته سوم سال 1400</t>
  </si>
  <si>
    <t>هفته چهارم سال 1400</t>
  </si>
  <si>
    <t>هفته پنجم سال 1400</t>
  </si>
  <si>
    <t>هفته ششم سال 1400</t>
  </si>
  <si>
    <t>هفته هفتم سال 1400</t>
  </si>
  <si>
    <t>هفته هشتم سال 1400</t>
  </si>
  <si>
    <t>هفته نهم سال 1400</t>
  </si>
  <si>
    <t>هفته دهم سال 1400</t>
  </si>
  <si>
    <t>هفته یازدهم سال 1400</t>
  </si>
  <si>
    <t>هفته دوازدهم سال 1400</t>
  </si>
  <si>
    <t>هفته سیزدهم سال 1400</t>
  </si>
  <si>
    <t>هفته چهاردهم سال 1400</t>
  </si>
  <si>
    <t>هفته پانزدهم سال 1400</t>
  </si>
  <si>
    <t>هفته شانزدهم سال 1400</t>
  </si>
  <si>
    <t>هفته هفدهم سال 1400</t>
  </si>
  <si>
    <t>هفته هجدهم سال 1400</t>
  </si>
  <si>
    <t>هفته نوزدهم سال 1400</t>
  </si>
  <si>
    <t>هفته بیستم سال 1400</t>
  </si>
  <si>
    <t>هفته بیست و یکم سال 1400</t>
  </si>
  <si>
    <t>هفته بیست و دوم سال 1400</t>
  </si>
  <si>
    <t>هفته بیست و سوم سال 1400</t>
  </si>
  <si>
    <t>هفته بیست و چهارم سال 1400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</si>
  <si>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</si>
  <si>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</si>
  <si>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</si>
  <si>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</si>
  <si>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</si>
  <si>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</si>
  <si>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</si>
  <si>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</si>
  <si>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</si>
  <si>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</si>
  <si>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</si>
  <si>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</si>
  <si>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</si>
  <si>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</si>
  <si>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</si>
  <si>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</si>
  <si>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</si>
  <si>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</si>
  <si>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</si>
  <si>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</si>
  <si>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</si>
  <si>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</si>
  <si>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</si>
  <si>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</si>
  <si>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</si>
  <si>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</si>
  <si>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</si>
  <si>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</si>
  <si>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</si>
  <si>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</si>
  <si>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</si>
  <si>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</si>
  <si>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</si>
  <si>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</si>
  <si>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</si>
  <si>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</si>
  <si>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</si>
  <si>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</si>
  <si>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</si>
  <si>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</si>
  <si>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</si>
  <si>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</si>
  <si>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</si>
  <si>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</si>
  <si>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</si>
  <si>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</si>
  <si>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</si>
  <si>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</si>
  <si>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</si>
  <si>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</si>
  <si>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</si>
  <si>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</si>
  <si>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</si>
  <si>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</si>
  <si>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</si>
  <si>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</si>
  <si>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</si>
  <si>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</si>
  <si>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</si>
  <si>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</si>
  <si>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</si>
  <si>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</si>
  <si>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</si>
  <si>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</si>
  <si>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</si>
  <si>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</si>
  <si>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</si>
  <si>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</si>
  <si>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</si>
  <si>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</si>
  <si>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</si>
  <si>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</si>
  <si>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</si>
  <si>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</si>
  <si>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</si>
  <si>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</si>
  <si>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</si>
  <si>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</si>
  <si>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</si>
  <si>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</si>
  <si>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</si>
  <si>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</si>
  <si>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</si>
  <si>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</si>
  <si>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</si>
  <si>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</si>
  <si>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</si>
  <si>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</si>
  <si>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</si>
  <si>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</si>
  <si>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</si>
  <si>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</si>
  <si>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</si>
  <si>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</si>
  <si>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</si>
  <si>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</si>
  <si>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</si>
  <si>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</si>
  <si>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</si>
  <si>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</si>
  <si>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</si>
  <si>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</si>
  <si>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</si>
  <si>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</si>
  <si>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</si>
  <si>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</si>
  <si>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</si>
  <si>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</si>
  <si>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</si>
  <si>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</si>
  <si>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</si>
  <si>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</si>
  <si>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</si>
  <si>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25شهریور1400</t>
  </si>
  <si>
    <t>روند روزانه بهای سکه و ارز سه‌شنبه 25 شهریور 1400)</t>
  </si>
  <si>
    <t>12 52</t>
  </si>
  <si>
    <t>هفته بیست و پنجم سال 1400</t>
  </si>
  <si>
    <t>روند روزانه بهای سکه و ارز  شنبه 27 شهریور 1400)</t>
  </si>
  <si>
    <t>27شهریور1400</t>
  </si>
  <si>
    <t>روند روزانه بهای سکه و ارز  یکشنبه 28 شهریور 1400)</t>
  </si>
  <si>
    <t>28شهریور1400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</si>
</sst>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BFBFBF"/>
        <bgColor rgb="FFB7B7B7"/>
      </patternFill>
    </fill>
    <fill>
      <patternFill patternType="solid">
        <fgColor rgb="FF8497B0"/>
        <bgColor rgb="FF698ED0"/>
      </patternFill>
    </fill>
    <fill>
      <patternFill patternType="solid">
        <fgColor rgb="FFFF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6" fillId="0" borderId="0" xfId="0" applyFont="1"/>
    <xf numFmtId="0" fontId="0" fillId="0" borderId="0" xfId="0" applyBorder="1"/>
    <xf numFmtId="0" fontId="1" fillId="10" borderId="0" xfId="0" applyFont="1" applyFill="1"/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0" fillId="11" borderId="0" xfId="0" applyFill="1"/>
    <xf numFmtId="0" fontId="8" fillId="9" borderId="0" xfId="0" applyFont="1" applyFill="1"/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0" fillId="0" borderId="0" xfId="0" applyFill="1" applyBorder="1"/>
    <xf numFmtId="0" fontId="0" fillId="6" borderId="0" xfId="0" applyFont="1" applyFill="1" applyBorder="1" applyAlignment="1">
      <alignment horizontal="center"/>
    </xf>
    <xf numFmtId="0" fontId="8" fillId="12" borderId="0" xfId="0" applyFont="1" applyFill="1"/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43682B"/>
      <rgbColor rgb="FF000080"/>
      <rgbColor rgb="FF997300"/>
      <rgbColor rgb="FF800080"/>
      <rgbColor rgb="FF327DC2"/>
      <rgbColor rgb="FFBFBFBF"/>
      <rgbColor rgb="FF848484"/>
      <rgbColor rgb="FF7CAFDD"/>
      <rgbColor rgb="FF595959"/>
      <rgbColor rgb="FFF2F2F2"/>
      <rgbColor rgb="FFCCFFFF"/>
      <rgbColor rgb="FF660066"/>
      <rgbColor rgb="FFF1975A"/>
      <rgbColor rgb="FF255E91"/>
      <rgbColor rgb="FFD0CECE"/>
      <rgbColor rgb="FF000080"/>
      <rgbColor rgb="FFFF00FF"/>
      <rgbColor rgb="FFFFFF00"/>
      <rgbColor rgb="FF00FFFF"/>
      <rgbColor rgb="FF800080"/>
      <rgbColor rgb="FF800000"/>
      <rgbColor rgb="FF335AA1"/>
      <rgbColor rgb="FF0000FF"/>
      <rgbColor rgb="FF698ED0"/>
      <rgbColor rgb="FFCCFFFF"/>
      <rgbColor rgb="FFD9D9D9"/>
      <rgbColor rgb="FFFFFF99"/>
      <rgbColor rgb="FFB7B7B7"/>
      <rgbColor rgb="FFA5A5A5"/>
      <rgbColor rgb="FFA6A6A6"/>
      <rgbColor rgb="FFFFCD33"/>
      <rgbColor rgb="FF4472C4"/>
      <rgbColor rgb="FF5B9BD5"/>
      <rgbColor rgb="FF8CC168"/>
      <rgbColor rgb="FFFFC000"/>
      <rgbColor rgb="FFCC9A00"/>
      <rgbColor rgb="FFD26012"/>
      <rgbColor rgb="FF636363"/>
      <rgbColor rgb="FF8497B0"/>
      <rgbColor rgb="FF003366"/>
      <rgbColor rgb="FF70AD47"/>
      <rgbColor rgb="FF003300"/>
      <rgbColor rgb="FF404040"/>
      <rgbColor rgb="FF9E480E"/>
      <rgbColor rgb="FFED7D31"/>
      <rgbColor rgb="FF2644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449478230183699E-2"/>
          <c:y val="0.100724409448819"/>
          <c:w val="0.96114873380497101"/>
          <c:h val="0.78242519685039402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632-4FFD-A4AD-B5003A140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306750304"/>
        <c:axId val="-1306741056"/>
      </c:lineChart>
      <c:catAx>
        <c:axId val="-1306750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06741056"/>
        <c:crosses val="autoZero"/>
        <c:auto val="1"/>
        <c:lblAlgn val="ctr"/>
        <c:lblOffset val="100"/>
        <c:noMultiLvlLbl val="0"/>
      </c:catAx>
      <c:valAx>
        <c:axId val="-13067410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0675030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دلار متشکل، سنا و آزاد در 22 هفته گذشته (تومان)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9167397969379653E-2"/>
          <c:y val="0.11156513454517746"/>
          <c:w val="0.96050220852447799"/>
          <c:h val="0.740398346486283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weekly!$B$4:$B$25</c:f>
              <c:numCache>
                <c:formatCode>General</c:formatCode>
                <c:ptCount val="22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584-4666-9493-1A4BE3EA8958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marker>
            <c:symbol val="none"/>
          </c:marker>
          <c:dLbls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weekly!$H$4:$H$25</c:f>
              <c:numCache>
                <c:formatCode>General</c:formatCode>
                <c:ptCount val="22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584-4666-9493-1A4BE3EA8958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marker>
            <c:symbol val="none"/>
          </c:marker>
          <c:dLbls>
            <c:dLbl>
              <c:idx val="10"/>
              <c:layout>
                <c:manualLayout>
                  <c:x val="-5.2139621201957034E-4"/>
                  <c:y val="-6.3777449189545335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8B84-4A78-BC09-62ED790AB6E6}"/>
                </c:ex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</c:extLst>
            </c:dLbl>
            <c:spPr>
              <a:solidFill>
                <a:srgbClr val="FFFFFF"/>
              </a:solidFill>
              <a:ln>
                <a:noFill/>
              </a:ln>
              <a:effectLst>
                <a:softEdge rad="0"/>
              </a:effectLst>
            </c:spPr>
            <c:txPr>
              <a:bodyPr vertOverflow="overflow" horzOverflow="overflow" lIns="0" tIns="0" rIns="0" bIns="0">
                <a:noAutofit/>
              </a:bodyPr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effectLst>
                      <a:glow>
                        <a:schemeClr val="accent1">
                          <a:alpha val="40000"/>
                        </a:schemeClr>
                      </a:glow>
                    </a:effectLst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weekly!$J$4:$J$25</c:f>
              <c:numCache>
                <c:formatCode>General</c:formatCode>
                <c:ptCount val="22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584-4666-9493-1A4BE3EA8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306751936"/>
        <c:axId val="-1306742688"/>
      </c:lineChart>
      <c:catAx>
        <c:axId val="-1306751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effectLst>
                  <a:reflection stA="45000" endPos="0" dist="50800" dir="5400000" sy="-100000" algn="bl" rotWithShape="0"/>
                </a:effectLst>
                <a:latin typeface="Calibri"/>
              </a:defRPr>
            </a:pPr>
            <a:endParaRPr lang="en-US"/>
          </a:p>
        </c:txPr>
        <c:crossAx val="-1306742688"/>
        <c:crosses val="autoZero"/>
        <c:auto val="1"/>
        <c:lblAlgn val="ctr"/>
        <c:lblOffset val="100"/>
        <c:noMultiLvlLbl val="0"/>
      </c:catAx>
      <c:valAx>
        <c:axId val="-1306742688"/>
        <c:scaling>
          <c:orientation val="minMax"/>
          <c:max val="280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06751936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>
          <a:softEdge rad="0"/>
        </a:effectLst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یورو متشکل، سنا و آزاد در </a:t>
            </a:r>
            <a:r>
              <a:rPr lang="en-US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22</a:t>
            </a: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 هفته گذشته(تومان)</a:t>
            </a:r>
          </a:p>
        </c:rich>
      </c:tx>
      <c:layout>
        <c:manualLayout>
          <c:xMode val="edge"/>
          <c:yMode val="edge"/>
          <c:x val="0.36083736827114798"/>
          <c:y val="3.0269307812152198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07035032754201E-2"/>
          <c:y val="8.3982491282736105E-2"/>
          <c:w val="0.96032469381942498"/>
          <c:h val="0.74374953631575003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weekly!$C$4:$C$25</c:f>
              <c:numCache>
                <c:formatCode>General</c:formatCode>
                <c:ptCount val="22"/>
                <c:pt idx="0">
                  <c:v>28178</c:v>
                </c:pt>
                <c:pt idx="1">
                  <c:v>27947</c:v>
                </c:pt>
                <c:pt idx="2">
                  <c:v>27709</c:v>
                </c:pt>
                <c:pt idx="3">
                  <c:v>26056</c:v>
                </c:pt>
                <c:pt idx="4">
                  <c:v>25663</c:v>
                </c:pt>
                <c:pt idx="5">
                  <c:v>26443</c:v>
                </c:pt>
                <c:pt idx="6">
                  <c:v>27160</c:v>
                </c:pt>
                <c:pt idx="7">
                  <c:v>28146</c:v>
                </c:pt>
                <c:pt idx="8">
                  <c:v>28503</c:v>
                </c:pt>
                <c:pt idx="9">
                  <c:v>28179</c:v>
                </c:pt>
                <c:pt idx="10">
                  <c:v>28643</c:v>
                </c:pt>
                <c:pt idx="11">
                  <c:v>29419</c:v>
                </c:pt>
                <c:pt idx="12">
                  <c:v>29064</c:v>
                </c:pt>
                <c:pt idx="13">
                  <c:v>28534</c:v>
                </c:pt>
                <c:pt idx="14">
                  <c:v>28463</c:v>
                </c:pt>
                <c:pt idx="15">
                  <c:v>29286</c:v>
                </c:pt>
                <c:pt idx="16">
                  <c:v>29542</c:v>
                </c:pt>
                <c:pt idx="17">
                  <c:v>30113</c:v>
                </c:pt>
                <c:pt idx="18">
                  <c:v>31498</c:v>
                </c:pt>
                <c:pt idx="19">
                  <c:v>31196</c:v>
                </c:pt>
                <c:pt idx="20">
                  <c:v>31125</c:v>
                </c:pt>
                <c:pt idx="21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70E-43DD-A876-E3498ED2CF88}"/>
            </c:ext>
          </c:extLst>
        </c:ser>
        <c:ser>
          <c:idx val="1"/>
          <c:order val="1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marker>
            <c:symbol val="none"/>
          </c:marker>
          <c:dLbls>
            <c:spPr>
              <a:blipFill>
                <a:blip xmlns:r="http://schemas.openxmlformats.org/officeDocument/2006/relationships" r:embed="rId1"/>
                <a:tile tx="0" ty="0" sx="100000" sy="100000" flip="none" algn="tl"/>
              </a:blip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weekly!$I$4:$I$25</c:f>
              <c:numCache>
                <c:formatCode>General</c:formatCode>
                <c:ptCount val="22"/>
                <c:pt idx="0">
                  <c:v>28425</c:v>
                </c:pt>
                <c:pt idx="1">
                  <c:v>28173</c:v>
                </c:pt>
                <c:pt idx="2">
                  <c:v>27942</c:v>
                </c:pt>
                <c:pt idx="3">
                  <c:v>26241</c:v>
                </c:pt>
                <c:pt idx="4">
                  <c:v>25653</c:v>
                </c:pt>
                <c:pt idx="5">
                  <c:v>26751</c:v>
                </c:pt>
                <c:pt idx="6">
                  <c:v>27401</c:v>
                </c:pt>
                <c:pt idx="7">
                  <c:v>28409</c:v>
                </c:pt>
                <c:pt idx="8">
                  <c:v>28777</c:v>
                </c:pt>
                <c:pt idx="9">
                  <c:v>28505</c:v>
                </c:pt>
                <c:pt idx="10">
                  <c:v>29122</c:v>
                </c:pt>
                <c:pt idx="11">
                  <c:v>29654</c:v>
                </c:pt>
                <c:pt idx="12">
                  <c:v>29336</c:v>
                </c:pt>
                <c:pt idx="13">
                  <c:v>28822</c:v>
                </c:pt>
                <c:pt idx="14">
                  <c:v>28734</c:v>
                </c:pt>
                <c:pt idx="15">
                  <c:v>29694</c:v>
                </c:pt>
                <c:pt idx="16">
                  <c:v>29973</c:v>
                </c:pt>
                <c:pt idx="17">
                  <c:v>30500</c:v>
                </c:pt>
                <c:pt idx="18">
                  <c:v>31815</c:v>
                </c:pt>
                <c:pt idx="19">
                  <c:v>31388</c:v>
                </c:pt>
                <c:pt idx="20">
                  <c:v>31482</c:v>
                </c:pt>
                <c:pt idx="21">
                  <c:v>31595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70E-43DD-A876-E3498ED2CF88}"/>
            </c:ext>
          </c:extLst>
        </c:ser>
        <c:ser>
          <c:idx val="2"/>
          <c:order val="2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marker>
            <c:symbol val="none"/>
          </c:marker>
          <c:dLbls>
            <c:spPr>
              <a:pattFill prst="pct5">
                <a:fgClr>
                  <a:srgbClr val="FFFFFF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weekly!$K$4:$K$25</c:f>
              <c:numCache>
                <c:formatCode>General</c:formatCode>
                <c:ptCount val="22"/>
                <c:pt idx="0">
                  <c:v>29729</c:v>
                </c:pt>
                <c:pt idx="1">
                  <c:v>29185</c:v>
                </c:pt>
                <c:pt idx="2">
                  <c:v>28702</c:v>
                </c:pt>
                <c:pt idx="3">
                  <c:v>26548</c:v>
                </c:pt>
                <c:pt idx="4">
                  <c:v>26757</c:v>
                </c:pt>
                <c:pt idx="5">
                  <c:v>27886</c:v>
                </c:pt>
                <c:pt idx="6">
                  <c:v>28162</c:v>
                </c:pt>
                <c:pt idx="7">
                  <c:v>29322</c:v>
                </c:pt>
                <c:pt idx="8">
                  <c:v>29211</c:v>
                </c:pt>
                <c:pt idx="9">
                  <c:v>29004</c:v>
                </c:pt>
                <c:pt idx="10">
                  <c:v>29561</c:v>
                </c:pt>
                <c:pt idx="11">
                  <c:v>29729</c:v>
                </c:pt>
                <c:pt idx="12">
                  <c:v>29367</c:v>
                </c:pt>
                <c:pt idx="13">
                  <c:v>28996</c:v>
                </c:pt>
                <c:pt idx="14">
                  <c:v>29540</c:v>
                </c:pt>
                <c:pt idx="15">
                  <c:v>30411</c:v>
                </c:pt>
                <c:pt idx="16">
                  <c:v>30417</c:v>
                </c:pt>
                <c:pt idx="17">
                  <c:v>31126</c:v>
                </c:pt>
                <c:pt idx="18">
                  <c:v>32496</c:v>
                </c:pt>
                <c:pt idx="19">
                  <c:v>32582</c:v>
                </c:pt>
                <c:pt idx="20">
                  <c:v>32374</c:v>
                </c:pt>
                <c:pt idx="21">
                  <c:v>32329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70E-43DD-A876-E3498ED2CF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306740512"/>
        <c:axId val="-1306749216"/>
      </c:lineChart>
      <c:catAx>
        <c:axId val="-1306740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06749216"/>
        <c:crosses val="autoZero"/>
        <c:auto val="1"/>
        <c:lblAlgn val="ctr"/>
        <c:lblOffset val="100"/>
        <c:noMultiLvlLbl val="0"/>
      </c:catAx>
      <c:valAx>
        <c:axId val="-1306749216"/>
        <c:scaling>
          <c:orientation val="minMax"/>
          <c:max val="34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06740512"/>
        <c:crosses val="autoZero"/>
        <c:crossBetween val="between"/>
        <c:majorUnit val="2000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دلار متشکل در هفته دوم تا بیستم و پنجم سال 1400</a:t>
            </a:r>
          </a:p>
        </c:rich>
      </c:tx>
      <c:layout>
        <c:manualLayout>
          <c:xMode val="edge"/>
          <c:yMode val="edge"/>
          <c:x val="0.39373596045905546"/>
          <c:y val="3.091366055829422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3893246870969E-2"/>
          <c:y val="0.12340472755520999"/>
          <c:w val="0.94859324338458295"/>
          <c:h val="0.77033625568749298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marker>
            <c:symbol val="none"/>
          </c:marker>
          <c:dLbls>
            <c:spPr>
              <a:pattFill prst="pct5">
                <a:fgClr>
                  <a:srgbClr val="FFFFFF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weekly!$D$2:$D$25</c:f>
              <c:numCache>
                <c:formatCode>General</c:formatCode>
                <c:ptCount val="24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C9-471E-8B73-C0EC15501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306743232"/>
        <c:axId val="-1306752480"/>
      </c:lineChart>
      <c:catAx>
        <c:axId val="-130674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06752480"/>
        <c:crosses val="autoZero"/>
        <c:auto val="1"/>
        <c:lblAlgn val="ctr"/>
        <c:lblOffset val="100"/>
        <c:noMultiLvlLbl val="0"/>
      </c:catAx>
      <c:valAx>
        <c:axId val="-130675248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06743232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69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56376638856"/>
          <c:y val="1.6589628316342701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7578750212838401E-2"/>
          <c:y val="7.8959032482745495E-2"/>
          <c:w val="0.96167205857313098"/>
          <c:h val="0.7812321914772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FCC-466A-A44E-25D34FA56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306747584"/>
        <c:axId val="-1306742144"/>
      </c:lineChart>
      <c:catAx>
        <c:axId val="-130674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06742144"/>
        <c:crosses val="autoZero"/>
        <c:auto val="1"/>
        <c:lblAlgn val="ctr"/>
        <c:lblOffset val="100"/>
        <c:noMultiLvlLbl val="0"/>
      </c:catAx>
      <c:valAx>
        <c:axId val="-13067421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0674758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یورو متشکل در هفته دوم تا بیستم و پنجم سال 1400</a:t>
            </a:r>
          </a:p>
        </c:rich>
      </c:tx>
      <c:layout>
        <c:manualLayout>
          <c:xMode val="edge"/>
          <c:yMode val="edge"/>
          <c:x val="0.40464515917522154"/>
          <c:y val="2.3233301256225976E-2"/>
        </c:manualLayout>
      </c:layout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marker>
            <c:symbol val="none"/>
          </c:marker>
          <c:dLbls>
            <c:dLbl>
              <c:idx val="21"/>
              <c:layout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A01E-4112-8990-9EBADE87EF32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weekly!$F$2:$F$25</c:f>
              <c:numCache>
                <c:formatCode>General</c:formatCode>
                <c:ptCount val="24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CC-456C-B87D-EEDF89207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306755744"/>
        <c:axId val="-1306743776"/>
      </c:lineChart>
      <c:catAx>
        <c:axId val="-130675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06743776"/>
        <c:crosses val="autoZero"/>
        <c:auto val="1"/>
        <c:lblAlgn val="ctr"/>
        <c:lblOffset val="100"/>
        <c:noMultiLvlLbl val="0"/>
      </c:catAx>
      <c:valAx>
        <c:axId val="-13067437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06755744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بازارها(یکشنبه 28 شهریور سال 1400)</a:t>
            </a:r>
          </a:p>
        </c:rich>
      </c:tx>
      <c:layout>
        <c:manualLayout>
          <c:xMode val="edge"/>
          <c:yMode val="edge"/>
          <c:x val="5.7149046793760802E-2"/>
          <c:y val="3.17877891044612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change'!$F$72:$I$72</c:f>
              <c:numCache>
                <c:formatCode>General</c:formatCode>
                <c:ptCount val="4"/>
                <c:pt idx="0">
                  <c:v>-0.94202898550724634</c:v>
                </c:pt>
                <c:pt idx="1">
                  <c:v>8.5397096498719044E-2</c:v>
                </c:pt>
                <c:pt idx="2">
                  <c:v>-0.12208011838072086</c:v>
                </c:pt>
                <c:pt idx="3">
                  <c:v>-2.0499999999999998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306745408"/>
        <c:axId val="-130675520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B7B7B7"/>
                  </a:solidFill>
                  <a:ln>
                    <a:noFill/>
                  </a:ln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900" b="0" strike="noStrike" spc="-1">
                          <a:solidFill>
                            <a:srgbClr val="40404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change'!$F$70:$I$70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-0.18268176835951772</c:v>
                      </c:pt>
                      <c:pt idx="1">
                        <c:v>-0.7544006705783739</c:v>
                      </c:pt>
                      <c:pt idx="2">
                        <c:v>-0.25834254448037081</c:v>
                      </c:pt>
                      <c:pt idx="3">
                        <c:v>-0.57999999999999996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B8A9-4211-A36A-E11E8026C75B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change'!$F$71:$I$71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1.0248901903367496</c:v>
                      </c:pt>
                      <c:pt idx="1">
                        <c:v>-1.097972972972973</c:v>
                      </c:pt>
                      <c:pt idx="2">
                        <c:v>-2.0122816935445589</c:v>
                      </c:pt>
                      <c:pt idx="3">
                        <c:v>-2.5499999999999998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306745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06755200"/>
        <c:crosses val="autoZero"/>
        <c:auto val="1"/>
        <c:lblAlgn val="ctr"/>
        <c:lblOffset val="100"/>
        <c:noMultiLvlLbl val="0"/>
      </c:catAx>
      <c:valAx>
        <c:axId val="-13067552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0674540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283</xdr:row>
      <xdr:rowOff>102840</xdr:rowOff>
    </xdr:from>
    <xdr:to>
      <xdr:col>10</xdr:col>
      <xdr:colOff>770880</xdr:colOff>
      <xdr:row>313</xdr:row>
      <xdr:rowOff>102480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387927</xdr:colOff>
      <xdr:row>29</xdr:row>
      <xdr:rowOff>138544</xdr:rowOff>
    </xdr:from>
    <xdr:to>
      <xdr:col>24</xdr:col>
      <xdr:colOff>193963</xdr:colOff>
      <xdr:row>69</xdr:row>
      <xdr:rowOff>124691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374073</xdr:colOff>
      <xdr:row>71</xdr:row>
      <xdr:rowOff>113998</xdr:rowOff>
    </xdr:from>
    <xdr:to>
      <xdr:col>24</xdr:col>
      <xdr:colOff>166254</xdr:colOff>
      <xdr:row>110</xdr:row>
      <xdr:rowOff>124690</xdr:rowOff>
    </xdr:to>
    <xdr:graphicFrame macro="">
      <xdr:nvGraphicFramePr>
        <xdr:cNvPr id="4" name="Chart 5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654</xdr:colOff>
      <xdr:row>112</xdr:row>
      <xdr:rowOff>1996</xdr:rowOff>
    </xdr:from>
    <xdr:to>
      <xdr:col>15</xdr:col>
      <xdr:colOff>512617</xdr:colOff>
      <xdr:row>146</xdr:row>
      <xdr:rowOff>12436</xdr:rowOff>
    </xdr:to>
    <xdr:graphicFrame macro="">
      <xdr:nvGraphicFramePr>
        <xdr:cNvPr id="5" name="Chart 6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455062</xdr:colOff>
      <xdr:row>245</xdr:row>
      <xdr:rowOff>76200</xdr:rowOff>
    </xdr:from>
    <xdr:to>
      <xdr:col>11</xdr:col>
      <xdr:colOff>381000</xdr:colOff>
      <xdr:row>275</xdr:row>
      <xdr:rowOff>15872</xdr:rowOff>
    </xdr:to>
    <xdr:graphicFrame macro="">
      <xdr:nvGraphicFramePr>
        <xdr:cNvPr id="6" name="Chart 7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13855</xdr:colOff>
      <xdr:row>150</xdr:row>
      <xdr:rowOff>38214</xdr:rowOff>
    </xdr:from>
    <xdr:to>
      <xdr:col>15</xdr:col>
      <xdr:colOff>512618</xdr:colOff>
      <xdr:row>180</xdr:row>
      <xdr:rowOff>55418</xdr:rowOff>
    </xdr:to>
    <xdr:graphicFrame macro="">
      <xdr:nvGraphicFramePr>
        <xdr:cNvPr id="7" name="Chart 8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495150</xdr:colOff>
      <xdr:row>5</xdr:row>
      <xdr:rowOff>90</xdr:rowOff>
    </xdr:from>
    <xdr:to>
      <xdr:col>9</xdr:col>
      <xdr:colOff>532950</xdr:colOff>
      <xdr:row>22</xdr:row>
      <xdr:rowOff>45450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42"/>
  <sheetViews>
    <sheetView topLeftCell="B118" zoomScaleNormal="100" workbookViewId="0">
      <selection activeCell="C133" sqref="C133"/>
    </sheetView>
  </sheetViews>
  <sheetFormatPr defaultColWidth="8.5703125"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7" customFormat="1" ht="30" customHeight="1">
      <c r="A1" s="2"/>
      <c r="B1" s="3"/>
      <c r="C1" s="3"/>
      <c r="D1" s="3" t="s">
        <v>0</v>
      </c>
      <c r="E1" s="3" t="s">
        <v>1</v>
      </c>
      <c r="F1" s="3" t="s">
        <v>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>
        <f>L133/G133</f>
        <v>3175944.4588843882</v>
      </c>
      <c r="T1" s="4" t="s">
        <v>15</v>
      </c>
      <c r="U1" s="4">
        <f>M133/K133</f>
        <v>29566.96971598683</v>
      </c>
      <c r="V1" s="4" t="s">
        <v>16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21</v>
      </c>
      <c r="AB1" s="4" t="s">
        <v>22</v>
      </c>
      <c r="AC1" s="5" t="s">
        <v>23</v>
      </c>
      <c r="AD1" s="5" t="s">
        <v>24</v>
      </c>
      <c r="AE1" s="5" t="s">
        <v>25</v>
      </c>
      <c r="AF1" s="5" t="s">
        <v>26</v>
      </c>
      <c r="AG1" s="5" t="s">
        <v>27</v>
      </c>
      <c r="AH1" s="5" t="s">
        <v>28</v>
      </c>
      <c r="AI1" s="5" t="s">
        <v>29</v>
      </c>
      <c r="AJ1" s="5" t="s">
        <v>30</v>
      </c>
      <c r="AK1" s="5" t="s">
        <v>31</v>
      </c>
      <c r="AL1" s="5" t="s">
        <v>32</v>
      </c>
      <c r="AM1" s="5" t="s">
        <v>33</v>
      </c>
      <c r="AN1" s="6" t="s">
        <v>34</v>
      </c>
      <c r="AO1" s="6" t="s">
        <v>35</v>
      </c>
      <c r="AP1" s="6" t="s">
        <v>36</v>
      </c>
      <c r="AQ1" s="6" t="s">
        <v>37</v>
      </c>
      <c r="AR1" s="6" t="s">
        <v>38</v>
      </c>
      <c r="AS1" s="6" t="s">
        <v>39</v>
      </c>
      <c r="AT1" s="6" t="s">
        <v>40</v>
      </c>
      <c r="AU1" s="6" t="s">
        <v>41</v>
      </c>
      <c r="AV1" s="6" t="s">
        <v>42</v>
      </c>
      <c r="AW1" s="6" t="s">
        <v>43</v>
      </c>
      <c r="AX1" s="6" t="s">
        <v>44</v>
      </c>
      <c r="AY1" s="6" t="s">
        <v>45</v>
      </c>
      <c r="AZ1" s="6" t="s">
        <v>46</v>
      </c>
      <c r="BA1" s="6" t="s">
        <v>47</v>
      </c>
      <c r="BB1" s="6" t="s">
        <v>48</v>
      </c>
      <c r="BC1" s="6" t="s">
        <v>49</v>
      </c>
      <c r="BD1" s="6" t="s">
        <v>50</v>
      </c>
      <c r="BE1" s="7" t="s">
        <v>51</v>
      </c>
      <c r="BF1" s="7" t="s">
        <v>52</v>
      </c>
      <c r="BG1" s="7" t="s">
        <v>53</v>
      </c>
      <c r="BH1" s="7" t="s">
        <v>54</v>
      </c>
    </row>
    <row r="2" spans="1:65" ht="21.6" customHeight="1">
      <c r="A2" s="8" t="s">
        <v>55</v>
      </c>
      <c r="B2" s="9" t="s">
        <v>56</v>
      </c>
      <c r="C2" s="9">
        <v>7</v>
      </c>
      <c r="D2" s="9">
        <v>24399</v>
      </c>
      <c r="E2" s="9">
        <v>24535</v>
      </c>
      <c r="F2" s="9">
        <v>24453</v>
      </c>
      <c r="G2" s="9">
        <v>2234900</v>
      </c>
      <c r="H2" s="9">
        <v>28380</v>
      </c>
      <c r="I2" s="9">
        <v>28650</v>
      </c>
      <c r="J2" s="9">
        <v>28650</v>
      </c>
      <c r="K2" s="9">
        <v>1036800</v>
      </c>
      <c r="L2" s="9">
        <f t="shared" ref="L2:L33" si="0">F2*G2</f>
        <v>54650009700</v>
      </c>
      <c r="M2" s="10">
        <f t="shared" ref="M2:M33" si="1">J2*K2</f>
        <v>29704320000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1"/>
      <c r="BF2" s="11"/>
      <c r="BG2" s="11"/>
      <c r="BH2" s="11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8" t="s">
        <v>57</v>
      </c>
      <c r="B3" s="9" t="s">
        <v>58</v>
      </c>
      <c r="C3" s="9">
        <v>8</v>
      </c>
      <c r="D3" s="9">
        <v>24604</v>
      </c>
      <c r="E3" s="9">
        <v>24980</v>
      </c>
      <c r="F3" s="9">
        <v>24657</v>
      </c>
      <c r="G3" s="9">
        <v>3742800</v>
      </c>
      <c r="H3" s="9">
        <v>28800</v>
      </c>
      <c r="I3" s="9">
        <v>29000</v>
      </c>
      <c r="J3" s="9">
        <v>28952</v>
      </c>
      <c r="K3" s="9">
        <v>1131400</v>
      </c>
      <c r="L3" s="9">
        <f t="shared" si="0"/>
        <v>92286219600</v>
      </c>
      <c r="M3" s="10">
        <f t="shared" si="1"/>
        <v>32756292800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1"/>
      <c r="BF3" s="11"/>
      <c r="BG3" s="11"/>
      <c r="BH3" s="11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8" t="s">
        <v>59</v>
      </c>
      <c r="B4" s="9" t="s">
        <v>60</v>
      </c>
      <c r="C4" s="9">
        <v>10</v>
      </c>
      <c r="D4" s="9">
        <v>25452</v>
      </c>
      <c r="E4" s="9">
        <v>25037</v>
      </c>
      <c r="F4" s="9">
        <v>25256</v>
      </c>
      <c r="G4" s="9">
        <v>2279400</v>
      </c>
      <c r="H4" s="9">
        <v>29295</v>
      </c>
      <c r="I4" s="9">
        <v>29200</v>
      </c>
      <c r="J4" s="9">
        <v>29256</v>
      </c>
      <c r="K4" s="9">
        <v>1231300</v>
      </c>
      <c r="L4" s="9">
        <f t="shared" si="0"/>
        <v>57568526400</v>
      </c>
      <c r="M4" s="10">
        <f t="shared" si="1"/>
        <v>36022912800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1"/>
      <c r="BF4" s="11"/>
      <c r="BG4" s="11"/>
      <c r="BH4" s="11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8" t="s">
        <v>61</v>
      </c>
      <c r="B5" s="9" t="s">
        <v>62</v>
      </c>
      <c r="C5" s="9">
        <v>11</v>
      </c>
      <c r="D5" s="9">
        <v>24956</v>
      </c>
      <c r="E5" s="9">
        <v>25043</v>
      </c>
      <c r="F5" s="9">
        <v>25011</v>
      </c>
      <c r="G5" s="9">
        <v>2306500</v>
      </c>
      <c r="H5" s="9">
        <v>29200</v>
      </c>
      <c r="I5" s="9">
        <v>29097</v>
      </c>
      <c r="J5" s="9">
        <v>29135</v>
      </c>
      <c r="K5" s="9">
        <v>1233000</v>
      </c>
      <c r="L5" s="9">
        <f t="shared" si="0"/>
        <v>57687871500</v>
      </c>
      <c r="M5" s="10">
        <f t="shared" si="1"/>
        <v>35923455000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1"/>
      <c r="BF5" s="11"/>
      <c r="BG5" s="11"/>
      <c r="BH5" s="11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8" t="s">
        <v>63</v>
      </c>
      <c r="B6" s="9" t="s">
        <v>64</v>
      </c>
      <c r="C6" s="9">
        <v>14</v>
      </c>
      <c r="D6" s="9">
        <v>24922</v>
      </c>
      <c r="E6" s="9">
        <v>24200</v>
      </c>
      <c r="F6" s="9">
        <v>24358</v>
      </c>
      <c r="G6" s="9">
        <v>1497000</v>
      </c>
      <c r="H6" s="9">
        <v>29098</v>
      </c>
      <c r="I6" s="9">
        <v>28300</v>
      </c>
      <c r="J6" s="9">
        <v>28511</v>
      </c>
      <c r="K6" s="9">
        <v>312000</v>
      </c>
      <c r="L6" s="9">
        <f t="shared" si="0"/>
        <v>36463926000</v>
      </c>
      <c r="M6" s="10">
        <f t="shared" si="1"/>
        <v>8895432000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1"/>
      <c r="BF6" s="11"/>
      <c r="BG6" s="11"/>
      <c r="BH6" s="11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8" t="s">
        <v>65</v>
      </c>
      <c r="B7" s="9" t="s">
        <v>66</v>
      </c>
      <c r="C7" s="9">
        <v>15</v>
      </c>
      <c r="D7" s="9">
        <v>24200</v>
      </c>
      <c r="E7" s="9">
        <v>24015</v>
      </c>
      <c r="F7" s="9">
        <v>24071</v>
      </c>
      <c r="G7" s="9">
        <v>3240200</v>
      </c>
      <c r="H7" s="9">
        <v>28200</v>
      </c>
      <c r="I7" s="9">
        <v>28380</v>
      </c>
      <c r="J7" s="9">
        <v>28056</v>
      </c>
      <c r="K7" s="9">
        <v>1676000</v>
      </c>
      <c r="L7" s="9">
        <f t="shared" si="0"/>
        <v>77994854200</v>
      </c>
      <c r="M7" s="10">
        <f t="shared" si="1"/>
        <v>47021856000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1"/>
      <c r="BF7" s="11"/>
      <c r="BG7" s="11"/>
      <c r="BH7" s="11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8" t="s">
        <v>67</v>
      </c>
      <c r="B8" s="9" t="s">
        <v>68</v>
      </c>
      <c r="C8" s="9">
        <v>16</v>
      </c>
      <c r="D8" s="9">
        <v>24283</v>
      </c>
      <c r="E8" s="9">
        <v>24221</v>
      </c>
      <c r="F8" s="9">
        <v>24191</v>
      </c>
      <c r="G8" s="9">
        <v>4557799</v>
      </c>
      <c r="H8" s="9">
        <v>28201</v>
      </c>
      <c r="I8" s="9">
        <v>28207</v>
      </c>
      <c r="J8" s="9">
        <v>28236</v>
      </c>
      <c r="K8" s="9">
        <v>1003700</v>
      </c>
      <c r="L8" s="9">
        <f t="shared" si="0"/>
        <v>110257715609</v>
      </c>
      <c r="M8" s="10">
        <f t="shared" si="1"/>
        <v>28340473200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1"/>
      <c r="BF8" s="11"/>
      <c r="BG8" s="11"/>
      <c r="BH8" s="11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8" t="s">
        <v>69</v>
      </c>
      <c r="B9" s="9" t="s">
        <v>70</v>
      </c>
      <c r="C9" s="9">
        <v>17</v>
      </c>
      <c r="D9" s="9">
        <v>24223</v>
      </c>
      <c r="E9" s="9">
        <v>24225</v>
      </c>
      <c r="F9" s="9">
        <v>24354</v>
      </c>
      <c r="G9" s="9">
        <v>4121500</v>
      </c>
      <c r="H9" s="9">
        <v>28270</v>
      </c>
      <c r="I9" s="9">
        <v>28500</v>
      </c>
      <c r="J9" s="9">
        <v>28508</v>
      </c>
      <c r="K9" s="9">
        <v>1575300</v>
      </c>
      <c r="L9" s="9">
        <f t="shared" si="0"/>
        <v>100375011000</v>
      </c>
      <c r="M9" s="10">
        <f t="shared" si="1"/>
        <v>44908652400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1"/>
      <c r="BF9" s="11"/>
      <c r="BG9" s="11"/>
      <c r="BH9" s="11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8" t="s">
        <v>71</v>
      </c>
      <c r="B10" s="9" t="s">
        <v>72</v>
      </c>
      <c r="C10" s="9">
        <v>18</v>
      </c>
      <c r="D10" s="9">
        <v>24526</v>
      </c>
      <c r="E10" s="9">
        <v>24313</v>
      </c>
      <c r="F10" s="9">
        <v>24418</v>
      </c>
      <c r="G10" s="9">
        <v>4772200</v>
      </c>
      <c r="H10" s="9">
        <v>28503</v>
      </c>
      <c r="I10" s="9">
        <v>28600</v>
      </c>
      <c r="J10" s="9">
        <v>28612</v>
      </c>
      <c r="K10" s="9">
        <v>1223500</v>
      </c>
      <c r="L10" s="9">
        <f t="shared" si="0"/>
        <v>116527579600</v>
      </c>
      <c r="M10" s="10">
        <f t="shared" si="1"/>
        <v>35006782000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1"/>
      <c r="BF10" s="11"/>
      <c r="BG10" s="11"/>
      <c r="BH10" s="11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8" t="s">
        <v>73</v>
      </c>
      <c r="B11" s="9" t="s">
        <v>74</v>
      </c>
      <c r="C11" s="9">
        <v>19</v>
      </c>
      <c r="D11" s="9">
        <v>24225</v>
      </c>
      <c r="E11" s="9">
        <v>24048</v>
      </c>
      <c r="F11" s="9">
        <v>24149</v>
      </c>
      <c r="G11" s="9">
        <v>2170200</v>
      </c>
      <c r="H11" s="9">
        <v>28300</v>
      </c>
      <c r="I11" s="9">
        <v>28267</v>
      </c>
      <c r="J11" s="9">
        <v>28316</v>
      </c>
      <c r="K11" s="9">
        <v>1239500</v>
      </c>
      <c r="L11" s="9">
        <f t="shared" si="0"/>
        <v>52408159800</v>
      </c>
      <c r="M11" s="10">
        <f t="shared" si="1"/>
        <v>35097682000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1"/>
      <c r="BF11" s="11"/>
      <c r="BG11" s="11"/>
      <c r="BH11" s="11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5" customFormat="1" ht="18">
      <c r="A12" s="12" t="s">
        <v>75</v>
      </c>
      <c r="B12" s="13" t="s">
        <v>76</v>
      </c>
      <c r="C12" s="13">
        <v>21</v>
      </c>
      <c r="D12" s="13">
        <v>24146</v>
      </c>
      <c r="E12" s="13">
        <v>24021</v>
      </c>
      <c r="F12" s="13">
        <v>24080</v>
      </c>
      <c r="G12" s="13">
        <v>4418700</v>
      </c>
      <c r="H12" s="13">
        <v>28476</v>
      </c>
      <c r="I12" s="13">
        <v>28100</v>
      </c>
      <c r="J12" s="13">
        <v>28242</v>
      </c>
      <c r="K12" s="13">
        <v>1759400</v>
      </c>
      <c r="L12" s="13">
        <f t="shared" si="0"/>
        <v>106402296000</v>
      </c>
      <c r="M12" s="13">
        <f t="shared" si="1"/>
        <v>49688974800</v>
      </c>
      <c r="N12" s="13">
        <v>24262</v>
      </c>
      <c r="O12" s="13">
        <v>28381</v>
      </c>
      <c r="P12" s="13"/>
      <c r="Q12" s="13"/>
      <c r="R12" s="13"/>
      <c r="S12" s="13"/>
      <c r="T12" s="13"/>
      <c r="U12" s="13"/>
      <c r="V12" s="13"/>
      <c r="W12" s="13"/>
      <c r="X12" s="13">
        <v>24780</v>
      </c>
      <c r="Y12" s="13">
        <v>29607</v>
      </c>
      <c r="Z12" s="13"/>
      <c r="AA12" s="13"/>
      <c r="AB12" s="13"/>
      <c r="AC12" s="13">
        <v>6890</v>
      </c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>
        <v>10410000</v>
      </c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4"/>
      <c r="BF12" s="14"/>
      <c r="BG12" s="14"/>
      <c r="BH12" s="14"/>
      <c r="BI12" s="15">
        <f t="shared" si="2"/>
        <v>518</v>
      </c>
      <c r="BJ12" s="15">
        <f t="shared" si="3"/>
        <v>4.3197914097459565E-2</v>
      </c>
      <c r="BK12" s="15">
        <f t="shared" si="4"/>
        <v>1.2921450494486757</v>
      </c>
      <c r="BL12" s="15">
        <f t="shared" si="5"/>
        <v>4.3197914097459565E-2</v>
      </c>
      <c r="BM12" s="15">
        <f t="shared" si="6"/>
        <v>2.6256936966785389E-2</v>
      </c>
    </row>
    <row r="13" spans="1:65" s="15" customFormat="1" ht="18">
      <c r="A13" s="12"/>
      <c r="B13" s="13" t="s">
        <v>77</v>
      </c>
      <c r="C13" s="13">
        <v>22</v>
      </c>
      <c r="D13" s="13">
        <v>24028</v>
      </c>
      <c r="E13" s="13">
        <v>23996</v>
      </c>
      <c r="F13" s="13">
        <v>24033</v>
      </c>
      <c r="G13" s="13">
        <v>3850400</v>
      </c>
      <c r="H13" s="13">
        <v>28127</v>
      </c>
      <c r="I13" s="13">
        <v>28250</v>
      </c>
      <c r="J13" s="13">
        <v>28171</v>
      </c>
      <c r="K13" s="13">
        <v>2273400</v>
      </c>
      <c r="L13" s="13">
        <f t="shared" si="0"/>
        <v>92536663200</v>
      </c>
      <c r="M13" s="13">
        <f t="shared" si="1"/>
        <v>64043951400</v>
      </c>
      <c r="N13" s="13">
        <v>24235</v>
      </c>
      <c r="O13" s="13">
        <v>28532</v>
      </c>
      <c r="P13" s="13">
        <v>24341</v>
      </c>
      <c r="Q13" s="13">
        <v>28381</v>
      </c>
      <c r="R13" s="13"/>
      <c r="S13" s="13"/>
      <c r="T13" s="13"/>
      <c r="U13" s="13"/>
      <c r="V13" s="13">
        <v>24820</v>
      </c>
      <c r="W13" s="13">
        <v>29654</v>
      </c>
      <c r="X13" s="13">
        <v>24950</v>
      </c>
      <c r="Y13" s="16">
        <v>29600</v>
      </c>
      <c r="Z13" s="16"/>
      <c r="AA13" s="16"/>
      <c r="AB13" s="13"/>
      <c r="AC13" s="13"/>
      <c r="AD13" s="13">
        <v>10477000</v>
      </c>
      <c r="AE13" s="13">
        <v>6250000</v>
      </c>
      <c r="AF13" s="13">
        <v>4050000</v>
      </c>
      <c r="AG13" s="13">
        <v>2290000</v>
      </c>
      <c r="AH13" s="13">
        <v>1032200</v>
      </c>
      <c r="AI13" s="13">
        <v>10449000</v>
      </c>
      <c r="AJ13" s="13">
        <v>6200000</v>
      </c>
      <c r="AK13" s="13">
        <v>3900000</v>
      </c>
      <c r="AL13" s="13">
        <v>2250000</v>
      </c>
      <c r="AM13" s="13">
        <v>1032200</v>
      </c>
      <c r="AN13" s="13">
        <f t="shared" ref="AN13:AR15" si="7">(AD13-AI13)/AI13</f>
        <v>2.6796822662455738E-3</v>
      </c>
      <c r="AO13" s="13">
        <f t="shared" si="7"/>
        <v>8.0645161290322578E-3</v>
      </c>
      <c r="AP13" s="13">
        <f t="shared" si="7"/>
        <v>3.8461538461538464E-2</v>
      </c>
      <c r="AQ13" s="13">
        <f t="shared" si="7"/>
        <v>1.7777777777777778E-2</v>
      </c>
      <c r="AR13" s="13">
        <f t="shared" si="7"/>
        <v>0</v>
      </c>
      <c r="AS13" s="13">
        <v>10410000</v>
      </c>
      <c r="AT13" s="13">
        <v>6200000</v>
      </c>
      <c r="AU13" s="13">
        <v>3950000</v>
      </c>
      <c r="AV13" s="13">
        <v>2200000</v>
      </c>
      <c r="AW13" s="13">
        <v>1033600</v>
      </c>
      <c r="AX13" s="13"/>
      <c r="AY13" s="13"/>
      <c r="AZ13" s="13"/>
      <c r="BA13" s="13"/>
      <c r="BB13" s="13"/>
      <c r="BC13" s="13"/>
      <c r="BD13" s="13"/>
      <c r="BE13" s="14">
        <v>2.2999999999999998</v>
      </c>
      <c r="BF13" s="14">
        <v>22</v>
      </c>
      <c r="BG13" s="14">
        <v>55</v>
      </c>
      <c r="BH13" s="14">
        <v>75</v>
      </c>
      <c r="BI13" s="15">
        <f t="shared" si="2"/>
        <v>715</v>
      </c>
      <c r="BJ13" s="15">
        <f t="shared" si="3"/>
        <v>3.7431655684845085E-2</v>
      </c>
      <c r="BK13" s="15">
        <f t="shared" si="4"/>
        <v>1.4648104161168294</v>
      </c>
      <c r="BL13" s="15">
        <f t="shared" si="5"/>
        <v>3.7431655684845085E-2</v>
      </c>
      <c r="BM13" s="15">
        <f t="shared" si="6"/>
        <v>3.8371899450640921E-2</v>
      </c>
    </row>
    <row r="14" spans="1:65" s="15" customFormat="1" ht="18">
      <c r="A14" s="12"/>
      <c r="B14" s="13" t="s">
        <v>78</v>
      </c>
      <c r="C14" s="13">
        <v>23</v>
      </c>
      <c r="D14" s="13">
        <v>24127</v>
      </c>
      <c r="E14" s="13">
        <v>24060</v>
      </c>
      <c r="F14" s="13">
        <v>24076</v>
      </c>
      <c r="G14" s="13">
        <v>4181400</v>
      </c>
      <c r="H14" s="13">
        <v>28300</v>
      </c>
      <c r="I14" s="13">
        <v>28000</v>
      </c>
      <c r="J14" s="13">
        <v>28110</v>
      </c>
      <c r="K14" s="13">
        <v>3330100</v>
      </c>
      <c r="L14" s="13">
        <f t="shared" si="0"/>
        <v>100671386400</v>
      </c>
      <c r="M14" s="13">
        <f t="shared" si="1"/>
        <v>93609111000</v>
      </c>
      <c r="N14" s="13">
        <v>24301</v>
      </c>
      <c r="O14" s="13">
        <v>28280</v>
      </c>
      <c r="P14" s="13">
        <v>24369</v>
      </c>
      <c r="Q14" s="13">
        <v>28583</v>
      </c>
      <c r="R14" s="13"/>
      <c r="S14" s="13"/>
      <c r="T14" s="13"/>
      <c r="U14" s="13"/>
      <c r="V14" s="13"/>
      <c r="W14" s="13"/>
      <c r="X14" s="13">
        <v>25010</v>
      </c>
      <c r="Y14" s="13">
        <v>29881</v>
      </c>
      <c r="Z14" s="13"/>
      <c r="AA14" s="13"/>
      <c r="AB14" s="13"/>
      <c r="AC14" s="13">
        <v>6880</v>
      </c>
      <c r="AD14" s="13">
        <v>10557000</v>
      </c>
      <c r="AE14" s="13">
        <v>6280000</v>
      </c>
      <c r="AF14" s="13">
        <v>3935000</v>
      </c>
      <c r="AG14" s="13">
        <v>2265000</v>
      </c>
      <c r="AH14" s="13">
        <v>1042800</v>
      </c>
      <c r="AI14" s="13">
        <v>10468000</v>
      </c>
      <c r="AJ14" s="13">
        <v>6280000</v>
      </c>
      <c r="AK14" s="13">
        <v>3935000</v>
      </c>
      <c r="AL14" s="13">
        <v>2265000</v>
      </c>
      <c r="AM14" s="13">
        <v>1029900</v>
      </c>
      <c r="AN14" s="13">
        <f t="shared" si="7"/>
        <v>8.5021016431027895E-3</v>
      </c>
      <c r="AO14" s="13">
        <f t="shared" si="7"/>
        <v>0</v>
      </c>
      <c r="AP14" s="13">
        <f t="shared" si="7"/>
        <v>0</v>
      </c>
      <c r="AQ14" s="13">
        <f t="shared" si="7"/>
        <v>0</v>
      </c>
      <c r="AR14" s="13">
        <f t="shared" si="7"/>
        <v>1.2525487911447713E-2</v>
      </c>
      <c r="AS14" s="13">
        <v>10490000</v>
      </c>
      <c r="AT14" s="13">
        <v>6150000</v>
      </c>
      <c r="AU14" s="13">
        <v>3850000</v>
      </c>
      <c r="AV14" s="13">
        <v>2200000</v>
      </c>
      <c r="AW14" s="13">
        <v>1031899</v>
      </c>
      <c r="AX14" s="13"/>
      <c r="AY14" s="13"/>
      <c r="AZ14" s="13"/>
      <c r="BA14" s="13"/>
      <c r="BB14" s="13"/>
      <c r="BC14" s="13"/>
      <c r="BD14" s="13"/>
      <c r="BE14" s="14">
        <v>2.48</v>
      </c>
      <c r="BF14" s="14">
        <v>20.23</v>
      </c>
      <c r="BG14" s="14">
        <v>50.38</v>
      </c>
      <c r="BH14" s="14">
        <v>74.349999999999994</v>
      </c>
      <c r="BI14" s="15">
        <f t="shared" si="2"/>
        <v>709</v>
      </c>
      <c r="BJ14" s="15">
        <f t="shared" si="3"/>
        <v>5.6612446958981613E-2</v>
      </c>
      <c r="BK14" s="15">
        <f t="shared" si="4"/>
        <v>0.71544398066124137</v>
      </c>
      <c r="BL14" s="15">
        <f t="shared" si="5"/>
        <v>5.6612446958981613E-2</v>
      </c>
      <c r="BM14" s="15">
        <f t="shared" si="6"/>
        <v>3.6598002238156423E-2</v>
      </c>
    </row>
    <row r="15" spans="1:65" s="15" customFormat="1" ht="18">
      <c r="A15" s="12"/>
      <c r="B15" s="13" t="s">
        <v>79</v>
      </c>
      <c r="C15" s="13">
        <v>24</v>
      </c>
      <c r="D15" s="13">
        <v>24052</v>
      </c>
      <c r="E15" s="13">
        <v>23850</v>
      </c>
      <c r="F15" s="13">
        <v>23948</v>
      </c>
      <c r="G15" s="13">
        <v>4131200</v>
      </c>
      <c r="H15" s="13">
        <v>28085</v>
      </c>
      <c r="I15" s="13">
        <v>28110</v>
      </c>
      <c r="J15" s="13">
        <v>28200</v>
      </c>
      <c r="K15" s="13">
        <v>2382500</v>
      </c>
      <c r="L15" s="13">
        <f t="shared" si="0"/>
        <v>98933977600</v>
      </c>
      <c r="M15" s="13">
        <f t="shared" si="1"/>
        <v>67186500000</v>
      </c>
      <c r="N15" s="13">
        <v>24089</v>
      </c>
      <c r="O15" s="13">
        <v>28391</v>
      </c>
      <c r="P15" s="13">
        <v>24292</v>
      </c>
      <c r="Q15" s="13">
        <v>28366</v>
      </c>
      <c r="R15" s="13"/>
      <c r="S15" s="13"/>
      <c r="T15" s="13"/>
      <c r="U15" s="13"/>
      <c r="V15" s="13">
        <v>24900</v>
      </c>
      <c r="W15" s="13"/>
      <c r="X15" s="13">
        <v>24920</v>
      </c>
      <c r="Y15" s="13">
        <v>29774</v>
      </c>
      <c r="Z15" s="13"/>
      <c r="AA15" s="13"/>
      <c r="AB15" s="13"/>
      <c r="AC15" s="13"/>
      <c r="AD15" s="13">
        <v>10452000</v>
      </c>
      <c r="AE15" s="13">
        <v>6230000</v>
      </c>
      <c r="AF15" s="13">
        <v>3915000</v>
      </c>
      <c r="AG15" s="13">
        <v>2260000</v>
      </c>
      <c r="AH15" s="13">
        <v>1044400</v>
      </c>
      <c r="AI15" s="13">
        <v>10383000</v>
      </c>
      <c r="AJ15" s="13">
        <v>6200000</v>
      </c>
      <c r="AK15" s="13">
        <v>3900000</v>
      </c>
      <c r="AL15" s="13">
        <v>2250000</v>
      </c>
      <c r="AM15" s="13">
        <v>1025700</v>
      </c>
      <c r="AN15" s="13">
        <f t="shared" si="7"/>
        <v>6.6454781854955215E-3</v>
      </c>
      <c r="AO15" s="13">
        <f t="shared" si="7"/>
        <v>4.8387096774193551E-3</v>
      </c>
      <c r="AP15" s="13">
        <f t="shared" si="7"/>
        <v>3.8461538461538464E-3</v>
      </c>
      <c r="AQ15" s="13">
        <f t="shared" si="7"/>
        <v>4.4444444444444444E-3</v>
      </c>
      <c r="AR15" s="13">
        <f t="shared" si="7"/>
        <v>1.8231451691527737E-2</v>
      </c>
      <c r="AS15" s="13">
        <v>10440000</v>
      </c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4">
        <v>2.12</v>
      </c>
      <c r="BF15" s="14">
        <v>21.31</v>
      </c>
      <c r="BG15" s="14">
        <v>52.47</v>
      </c>
      <c r="BH15" s="14">
        <v>74.5</v>
      </c>
      <c r="BI15" s="15">
        <f t="shared" si="2"/>
        <v>831</v>
      </c>
      <c r="BJ15" s="15">
        <f t="shared" si="3"/>
        <v>4.8712620196541156E-2</v>
      </c>
      <c r="BK15" s="15">
        <f t="shared" si="4"/>
        <v>1.0511227701993704</v>
      </c>
      <c r="BL15" s="15">
        <f t="shared" si="5"/>
        <v>4.8712620196541156E-2</v>
      </c>
      <c r="BM15" s="15">
        <f t="shared" si="6"/>
        <v>3.6088474970896393E-2</v>
      </c>
    </row>
    <row r="16" spans="1:65" s="15" customFormat="1" ht="18">
      <c r="A16" s="12"/>
      <c r="B16" s="13" t="s">
        <v>80</v>
      </c>
      <c r="C16" s="13">
        <v>25</v>
      </c>
      <c r="D16" s="13">
        <v>23929</v>
      </c>
      <c r="E16" s="13">
        <v>23994</v>
      </c>
      <c r="F16" s="13">
        <v>23893</v>
      </c>
      <c r="G16" s="13">
        <v>5173000</v>
      </c>
      <c r="H16" s="13">
        <v>28156</v>
      </c>
      <c r="I16" s="13">
        <v>28100</v>
      </c>
      <c r="J16" s="13">
        <v>28170</v>
      </c>
      <c r="K16" s="13">
        <v>2504300</v>
      </c>
      <c r="L16" s="13">
        <f t="shared" si="0"/>
        <v>123598489000</v>
      </c>
      <c r="M16" s="13">
        <f t="shared" si="1"/>
        <v>70546131000</v>
      </c>
      <c r="N16" s="13">
        <v>24234</v>
      </c>
      <c r="O16" s="13">
        <v>28381</v>
      </c>
      <c r="P16" s="13">
        <v>24168</v>
      </c>
      <c r="Q16" s="13">
        <v>28437</v>
      </c>
      <c r="R16" s="13"/>
      <c r="S16" s="13"/>
      <c r="T16" s="13"/>
      <c r="U16" s="13"/>
      <c r="V16" s="13"/>
      <c r="W16" s="13"/>
      <c r="X16" s="13">
        <v>24870</v>
      </c>
      <c r="Y16" s="13">
        <v>29787</v>
      </c>
      <c r="Z16" s="13"/>
      <c r="AA16" s="13"/>
      <c r="AB16" s="13"/>
      <c r="AC16" s="13"/>
      <c r="AD16" s="13">
        <v>10600000</v>
      </c>
      <c r="AE16" s="13">
        <v>6200000</v>
      </c>
      <c r="AF16" s="13">
        <v>3900000</v>
      </c>
      <c r="AG16" s="13">
        <v>2200000</v>
      </c>
      <c r="AH16" s="13"/>
      <c r="AI16" s="13">
        <v>10560000</v>
      </c>
      <c r="AJ16" s="13"/>
      <c r="AK16" s="13"/>
      <c r="AL16" s="13"/>
      <c r="AM16" s="13"/>
      <c r="AN16" s="13">
        <f>(AD16-AI16)/AI16</f>
        <v>3.787878787878788E-3</v>
      </c>
      <c r="AO16" s="13"/>
      <c r="AP16" s="13"/>
      <c r="AQ16" s="13"/>
      <c r="AR16" s="13"/>
      <c r="AS16" s="13">
        <v>10530000</v>
      </c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4"/>
      <c r="BF16" s="14"/>
      <c r="BG16" s="14"/>
      <c r="BH16" s="14"/>
      <c r="BI16" s="15">
        <f t="shared" si="2"/>
        <v>636</v>
      </c>
      <c r="BJ16" s="15">
        <f t="shared" si="3"/>
        <v>4.9540185335259501E-2</v>
      </c>
      <c r="BK16" s="15">
        <f t="shared" si="4"/>
        <v>0.50045921015852735</v>
      </c>
      <c r="BL16" s="15">
        <f t="shared" si="5"/>
        <v>4.9540185335259501E-2</v>
      </c>
      <c r="BM16" s="15">
        <f t="shared" si="6"/>
        <v>3.9324668811901879E-2</v>
      </c>
    </row>
    <row r="17" spans="1:65" s="15" customFormat="1" ht="18">
      <c r="A17" s="12"/>
      <c r="B17" s="13" t="s">
        <v>81</v>
      </c>
      <c r="C17" s="13">
        <v>26</v>
      </c>
      <c r="D17" s="13">
        <v>23857</v>
      </c>
      <c r="E17" s="13">
        <v>23754</v>
      </c>
      <c r="F17" s="13">
        <v>23801</v>
      </c>
      <c r="G17" s="13">
        <v>4922700</v>
      </c>
      <c r="H17" s="13">
        <v>28342</v>
      </c>
      <c r="I17" s="13">
        <v>28300</v>
      </c>
      <c r="J17" s="13">
        <v>28259</v>
      </c>
      <c r="K17" s="13">
        <v>1253300</v>
      </c>
      <c r="L17" s="13">
        <f t="shared" si="0"/>
        <v>117165182700</v>
      </c>
      <c r="M17" s="13">
        <f t="shared" si="1"/>
        <v>35417004700</v>
      </c>
      <c r="N17" s="13">
        <v>23992</v>
      </c>
      <c r="O17" s="13">
        <v>28583</v>
      </c>
      <c r="P17" s="13">
        <v>24096</v>
      </c>
      <c r="Q17" s="13">
        <v>28626</v>
      </c>
      <c r="R17" s="13"/>
      <c r="S17" s="13"/>
      <c r="T17" s="13"/>
      <c r="U17" s="13"/>
      <c r="V17" s="13"/>
      <c r="W17" s="13"/>
      <c r="X17" s="13">
        <v>24930</v>
      </c>
      <c r="Y17" s="13">
        <v>29723</v>
      </c>
      <c r="Z17" s="13"/>
      <c r="AA17" s="13"/>
      <c r="AB17" s="13"/>
      <c r="AC17" s="13"/>
      <c r="AD17" s="13">
        <v>10562000</v>
      </c>
      <c r="AE17" s="13"/>
      <c r="AF17" s="13"/>
      <c r="AG17" s="13"/>
      <c r="AH17" s="13"/>
      <c r="AI17" s="13">
        <v>10518000</v>
      </c>
      <c r="AJ17" s="13"/>
      <c r="AK17" s="13"/>
      <c r="AL17" s="13"/>
      <c r="AM17" s="13"/>
      <c r="AN17" s="13">
        <f>(AD17-AI17)/AI17</f>
        <v>4.1833048108005323E-3</v>
      </c>
      <c r="AO17" s="13"/>
      <c r="AP17" s="13"/>
      <c r="AQ17" s="13"/>
      <c r="AR17" s="13"/>
      <c r="AS17" s="13">
        <v>10590000</v>
      </c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4"/>
      <c r="BF17" s="14"/>
      <c r="BG17" s="14"/>
      <c r="BH17" s="14"/>
      <c r="BI17" s="15">
        <f t="shared" si="2"/>
        <v>938</v>
      </c>
      <c r="BJ17" s="15">
        <f t="shared" si="3"/>
        <v>3.9883847041948008E-2</v>
      </c>
      <c r="BK17" s="15">
        <f t="shared" si="4"/>
        <v>1.0603207532115215</v>
      </c>
      <c r="BL17" s="15">
        <f t="shared" si="5"/>
        <v>3.9883847041948008E-2</v>
      </c>
      <c r="BM17" s="15">
        <f t="shared" si="6"/>
        <v>4.4976317223456429E-2</v>
      </c>
    </row>
    <row r="18" spans="1:65" s="20" customFormat="1" ht="18">
      <c r="A18" s="17"/>
      <c r="B18" s="18" t="s">
        <v>82</v>
      </c>
      <c r="C18" s="18">
        <v>28</v>
      </c>
      <c r="D18" s="18">
        <v>23757</v>
      </c>
      <c r="E18" s="18">
        <v>23759</v>
      </c>
      <c r="F18" s="18">
        <v>23756</v>
      </c>
      <c r="G18" s="18">
        <v>7112100</v>
      </c>
      <c r="H18" s="18">
        <v>28343</v>
      </c>
      <c r="I18" s="18">
        <v>28300</v>
      </c>
      <c r="J18" s="18">
        <v>28314</v>
      </c>
      <c r="K18" s="18">
        <v>1328900</v>
      </c>
      <c r="L18" s="18">
        <f t="shared" si="0"/>
        <v>168955047600</v>
      </c>
      <c r="M18" s="18">
        <f t="shared" si="1"/>
        <v>37626474600</v>
      </c>
      <c r="N18" s="18">
        <v>23997</v>
      </c>
      <c r="O18" s="18">
        <v>28583</v>
      </c>
      <c r="P18" s="18">
        <v>23995</v>
      </c>
      <c r="Q18" s="18">
        <v>28626</v>
      </c>
      <c r="R18" s="18"/>
      <c r="S18" s="18"/>
      <c r="T18" s="18"/>
      <c r="U18" s="18"/>
      <c r="V18" s="18">
        <v>24920</v>
      </c>
      <c r="W18" s="18">
        <v>29829</v>
      </c>
      <c r="X18" s="18">
        <v>24770</v>
      </c>
      <c r="Y18" s="18">
        <v>29701</v>
      </c>
      <c r="Z18" s="18"/>
      <c r="AA18" s="18"/>
      <c r="AB18" s="18">
        <v>6860</v>
      </c>
      <c r="AC18" s="18">
        <v>6830</v>
      </c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>
        <v>10680000</v>
      </c>
      <c r="AT18" s="18">
        <v>6300000</v>
      </c>
      <c r="AU18" s="18">
        <v>3950000</v>
      </c>
      <c r="AV18" s="18">
        <v>2200000</v>
      </c>
      <c r="AW18" s="18">
        <v>1051521</v>
      </c>
      <c r="AX18" s="18">
        <v>1776.5</v>
      </c>
      <c r="AY18" s="18">
        <v>10600000</v>
      </c>
      <c r="AZ18" s="18">
        <v>6300000</v>
      </c>
      <c r="BA18" s="18">
        <v>3950000</v>
      </c>
      <c r="BB18" s="18">
        <v>2200000</v>
      </c>
      <c r="BC18" s="18">
        <v>1040600</v>
      </c>
      <c r="BD18" s="18">
        <v>1776.5</v>
      </c>
      <c r="BE18" s="19"/>
      <c r="BF18" s="19"/>
      <c r="BG18" s="19"/>
      <c r="BH18" s="19"/>
      <c r="BI18" s="20">
        <f t="shared" si="2"/>
        <v>773</v>
      </c>
      <c r="BJ18" s="20">
        <f t="shared" si="3"/>
        <v>3.9114158765699888E-2</v>
      </c>
      <c r="BK18" s="20">
        <f t="shared" si="4"/>
        <v>1.2391451576491834</v>
      </c>
      <c r="BL18" s="20">
        <f t="shared" si="5"/>
        <v>3.9114158765699888E-2</v>
      </c>
      <c r="BM18" s="20">
        <f t="shared" si="6"/>
        <v>4.2640063981142402E-2</v>
      </c>
    </row>
    <row r="19" spans="1:65" s="20" customFormat="1" ht="18">
      <c r="A19" s="17"/>
      <c r="B19" s="18" t="s">
        <v>83</v>
      </c>
      <c r="C19" s="18">
        <v>29</v>
      </c>
      <c r="D19" s="18">
        <v>23645</v>
      </c>
      <c r="E19" s="18">
        <v>23653</v>
      </c>
      <c r="F19" s="18">
        <v>23648</v>
      </c>
      <c r="G19" s="18">
        <v>5862200</v>
      </c>
      <c r="H19" s="18">
        <v>28119</v>
      </c>
      <c r="I19" s="18">
        <v>28000</v>
      </c>
      <c r="J19" s="18">
        <v>28093</v>
      </c>
      <c r="K19" s="18">
        <v>1646700</v>
      </c>
      <c r="L19" s="18">
        <f t="shared" si="0"/>
        <v>138629305600</v>
      </c>
      <c r="M19" s="18">
        <f t="shared" si="1"/>
        <v>46260743100</v>
      </c>
      <c r="N19" s="18">
        <v>23889</v>
      </c>
      <c r="O19" s="18">
        <v>28280</v>
      </c>
      <c r="P19" s="18">
        <v>23881</v>
      </c>
      <c r="Q19" s="18">
        <v>28400</v>
      </c>
      <c r="R19" s="18"/>
      <c r="S19" s="18"/>
      <c r="T19" s="18"/>
      <c r="U19" s="18"/>
      <c r="V19" s="18">
        <v>24630</v>
      </c>
      <c r="W19" s="18">
        <v>29485</v>
      </c>
      <c r="X19" s="18">
        <v>24470</v>
      </c>
      <c r="Y19" s="18">
        <v>29485</v>
      </c>
      <c r="Z19" s="18"/>
      <c r="AA19" s="18"/>
      <c r="AB19" s="18">
        <v>6800</v>
      </c>
      <c r="AC19" s="18">
        <v>6755</v>
      </c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>
        <v>10450000</v>
      </c>
      <c r="AT19" s="18">
        <v>6200000</v>
      </c>
      <c r="AU19" s="18">
        <v>3900000</v>
      </c>
      <c r="AV19" s="18">
        <v>2200000</v>
      </c>
      <c r="AW19" s="18">
        <v>1036516</v>
      </c>
      <c r="AX19" s="18">
        <v>1776.5</v>
      </c>
      <c r="AY19" s="18">
        <v>10420000</v>
      </c>
      <c r="AZ19" s="18">
        <v>6150000</v>
      </c>
      <c r="BA19" s="18">
        <v>3850000</v>
      </c>
      <c r="BB19" s="18">
        <v>2150000</v>
      </c>
      <c r="BC19" s="18">
        <v>1035000</v>
      </c>
      <c r="BD19" s="18">
        <v>1776.5</v>
      </c>
      <c r="BE19" s="19"/>
      <c r="BF19" s="19"/>
      <c r="BG19" s="19"/>
      <c r="BH19" s="19"/>
      <c r="BI19" s="20">
        <f t="shared" si="2"/>
        <v>581</v>
      </c>
      <c r="BJ19" s="20">
        <f t="shared" si="3"/>
        <v>4.260961810466761E-2</v>
      </c>
      <c r="BK19" s="20">
        <f t="shared" si="4"/>
        <v>1.0425092609461346</v>
      </c>
      <c r="BL19" s="20">
        <f t="shared" si="5"/>
        <v>4.260961810466761E-2</v>
      </c>
      <c r="BM19" s="20">
        <f t="shared" si="6"/>
        <v>3.4891097483611758E-2</v>
      </c>
    </row>
    <row r="20" spans="1:65" s="20" customFormat="1" ht="18">
      <c r="A20" s="17"/>
      <c r="B20" s="18" t="s">
        <v>84</v>
      </c>
      <c r="C20" s="18">
        <v>30</v>
      </c>
      <c r="D20" s="18">
        <v>23671</v>
      </c>
      <c r="E20" s="18">
        <v>23300</v>
      </c>
      <c r="F20" s="18">
        <v>23630</v>
      </c>
      <c r="G20" s="18">
        <v>5934400</v>
      </c>
      <c r="H20" s="18">
        <v>28000</v>
      </c>
      <c r="I20" s="18">
        <v>28000</v>
      </c>
      <c r="J20" s="18">
        <v>28050</v>
      </c>
      <c r="K20" s="18">
        <v>1716700</v>
      </c>
      <c r="L20" s="18">
        <f t="shared" si="0"/>
        <v>140229872000</v>
      </c>
      <c r="M20" s="18">
        <f t="shared" si="1"/>
        <v>48153435000</v>
      </c>
      <c r="N20" s="18">
        <v>23533</v>
      </c>
      <c r="O20" s="18">
        <v>28280</v>
      </c>
      <c r="P20" s="18">
        <v>23908</v>
      </c>
      <c r="Q20" s="18">
        <v>28280</v>
      </c>
      <c r="R20" s="18"/>
      <c r="S20" s="18"/>
      <c r="T20" s="18"/>
      <c r="U20" s="18"/>
      <c r="V20" s="18">
        <v>24670</v>
      </c>
      <c r="W20" s="18"/>
      <c r="X20" s="18">
        <v>24180</v>
      </c>
      <c r="Y20" s="18">
        <v>29576</v>
      </c>
      <c r="Z20" s="18"/>
      <c r="AA20" s="18"/>
      <c r="AB20" s="18">
        <v>6760</v>
      </c>
      <c r="AC20" s="18">
        <v>6655</v>
      </c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>
        <v>10500000</v>
      </c>
      <c r="AT20" s="18">
        <v>6150000</v>
      </c>
      <c r="AU20" s="18">
        <v>3850000</v>
      </c>
      <c r="AV20" s="18">
        <v>2150000</v>
      </c>
      <c r="AW20" s="18">
        <v>1041133</v>
      </c>
      <c r="AX20" s="18">
        <v>1779</v>
      </c>
      <c r="AY20" s="18">
        <v>10230000</v>
      </c>
      <c r="AZ20" s="18">
        <v>6000000</v>
      </c>
      <c r="BA20" s="18">
        <v>3800000</v>
      </c>
      <c r="BB20" s="18">
        <v>2150000</v>
      </c>
      <c r="BC20" s="18">
        <v>1020356</v>
      </c>
      <c r="BD20" s="18">
        <v>1782</v>
      </c>
      <c r="BE20" s="19"/>
      <c r="BF20" s="19"/>
      <c r="BG20" s="19"/>
      <c r="BH20" s="19"/>
      <c r="BI20" s="20">
        <f t="shared" si="2"/>
        <v>647</v>
      </c>
      <c r="BJ20" s="20">
        <f t="shared" si="3"/>
        <v>4.582743988684583E-2</v>
      </c>
      <c r="BK20" s="20">
        <f t="shared" si="4"/>
        <v>1.0452612570629696</v>
      </c>
      <c r="BL20" s="20">
        <f t="shared" si="5"/>
        <v>4.582743988684583E-2</v>
      </c>
      <c r="BM20" s="20">
        <f t="shared" si="6"/>
        <v>2.1503105065269739E-2</v>
      </c>
    </row>
    <row r="21" spans="1:65" s="20" customFormat="1" ht="18">
      <c r="A21" s="17"/>
      <c r="B21" s="18" t="s">
        <v>85</v>
      </c>
      <c r="C21" s="18">
        <v>31</v>
      </c>
      <c r="D21" s="18">
        <v>23298</v>
      </c>
      <c r="E21" s="18">
        <v>23136</v>
      </c>
      <c r="F21" s="18">
        <v>23179</v>
      </c>
      <c r="G21" s="18">
        <v>2536300</v>
      </c>
      <c r="H21" s="18">
        <v>28000</v>
      </c>
      <c r="I21" s="18">
        <v>27700</v>
      </c>
      <c r="J21" s="18">
        <v>27743</v>
      </c>
      <c r="K21" s="18">
        <v>1794400</v>
      </c>
      <c r="L21" s="18">
        <f t="shared" si="0"/>
        <v>58788897700</v>
      </c>
      <c r="M21" s="18">
        <f t="shared" si="1"/>
        <v>49782039200</v>
      </c>
      <c r="N21" s="18">
        <v>23368</v>
      </c>
      <c r="O21" s="18">
        <v>27977</v>
      </c>
      <c r="P21" s="18">
        <v>23531</v>
      </c>
      <c r="Q21" s="18">
        <v>28280</v>
      </c>
      <c r="R21" s="18"/>
      <c r="S21" s="18"/>
      <c r="T21" s="18"/>
      <c r="U21" s="18"/>
      <c r="V21" s="18">
        <v>23820</v>
      </c>
      <c r="W21" s="18"/>
      <c r="X21" s="18">
        <v>23750</v>
      </c>
      <c r="Y21" s="18">
        <v>28673</v>
      </c>
      <c r="Z21" s="18"/>
      <c r="AA21" s="18"/>
      <c r="AB21" s="18">
        <v>6590</v>
      </c>
      <c r="AC21" s="18">
        <v>6620</v>
      </c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>
        <v>10100000</v>
      </c>
      <c r="AT21" s="18">
        <v>5590000</v>
      </c>
      <c r="AU21" s="18">
        <v>3800000</v>
      </c>
      <c r="AV21" s="18">
        <v>2150000</v>
      </c>
      <c r="AW21" s="18">
        <v>1006505</v>
      </c>
      <c r="AX21" s="18">
        <v>1769</v>
      </c>
      <c r="AY21" s="18">
        <v>10060000</v>
      </c>
      <c r="AZ21" s="18">
        <v>5900000</v>
      </c>
      <c r="BA21" s="18">
        <v>3750000</v>
      </c>
      <c r="BB21" s="18">
        <v>2100000</v>
      </c>
      <c r="BC21" s="18">
        <v>1006044</v>
      </c>
      <c r="BD21" s="18">
        <v>1774.5</v>
      </c>
      <c r="BE21" s="19"/>
      <c r="BF21" s="19"/>
      <c r="BG21" s="19"/>
      <c r="BH21" s="19"/>
      <c r="BI21" s="20">
        <f t="shared" si="2"/>
        <v>382</v>
      </c>
      <c r="BJ21" s="20">
        <f t="shared" si="3"/>
        <v>2.4877578010508633E-2</v>
      </c>
      <c r="BK21" s="20">
        <f t="shared" si="4"/>
        <v>0.79341283994650025</v>
      </c>
      <c r="BL21" s="20">
        <f t="shared" si="5"/>
        <v>2.4877578010508633E-2</v>
      </c>
      <c r="BM21" s="20">
        <f t="shared" si="6"/>
        <v>1.94008069362177E-2</v>
      </c>
    </row>
    <row r="22" spans="1:65" s="20" customFormat="1" ht="18">
      <c r="A22" s="17"/>
      <c r="B22" s="18" t="s">
        <v>86</v>
      </c>
      <c r="C22" s="18">
        <v>1</v>
      </c>
      <c r="D22" s="18">
        <v>23158</v>
      </c>
      <c r="E22" s="18">
        <v>23156</v>
      </c>
      <c r="F22" s="18">
        <v>23158</v>
      </c>
      <c r="G22" s="18">
        <v>7488900</v>
      </c>
      <c r="H22" s="18">
        <v>27850</v>
      </c>
      <c r="I22" s="18">
        <v>27705</v>
      </c>
      <c r="J22" s="18">
        <v>27764</v>
      </c>
      <c r="K22" s="18">
        <v>1423700</v>
      </c>
      <c r="L22" s="18">
        <f t="shared" si="0"/>
        <v>173427946200</v>
      </c>
      <c r="M22" s="18">
        <f t="shared" si="1"/>
        <v>39527606800</v>
      </c>
      <c r="N22" s="18">
        <v>23387</v>
      </c>
      <c r="O22" s="18">
        <v>27982</v>
      </c>
      <c r="P22" s="18">
        <v>23390</v>
      </c>
      <c r="Q22" s="18">
        <v>28128</v>
      </c>
      <c r="R22" s="18"/>
      <c r="S22" s="18"/>
      <c r="T22" s="18"/>
      <c r="U22" s="18"/>
      <c r="V22" s="18">
        <v>24150</v>
      </c>
      <c r="W22" s="18"/>
      <c r="X22" s="18">
        <v>24040</v>
      </c>
      <c r="Y22" s="18">
        <v>28989</v>
      </c>
      <c r="Z22" s="18"/>
      <c r="AA22" s="18"/>
      <c r="AB22" s="18">
        <v>6680</v>
      </c>
      <c r="AC22" s="18">
        <v>6635</v>
      </c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>
        <v>10250000</v>
      </c>
      <c r="AT22" s="18">
        <v>5900000</v>
      </c>
      <c r="AU22" s="18">
        <v>3750000</v>
      </c>
      <c r="AV22" s="18">
        <v>2100000</v>
      </c>
      <c r="AW22" s="18">
        <v>1023819</v>
      </c>
      <c r="AX22" s="18">
        <v>1781.7</v>
      </c>
      <c r="AY22" s="18">
        <v>10210000</v>
      </c>
      <c r="AZ22" s="18">
        <v>5900000</v>
      </c>
      <c r="BA22" s="18">
        <v>3800000</v>
      </c>
      <c r="BB22" s="18">
        <v>2100000</v>
      </c>
      <c r="BC22" s="18">
        <v>1785.9</v>
      </c>
      <c r="BD22" s="18"/>
      <c r="BE22" s="19"/>
      <c r="BF22" s="19"/>
      <c r="BG22" s="19"/>
      <c r="BH22" s="19"/>
      <c r="BI22" s="20">
        <f t="shared" si="2"/>
        <v>653</v>
      </c>
      <c r="BJ22" s="20">
        <f t="shared" si="3"/>
        <v>3.5987420484597243E-2</v>
      </c>
      <c r="BK22" s="20">
        <f t="shared" si="4"/>
        <v>0.76462737936363001</v>
      </c>
      <c r="BL22" s="20">
        <f t="shared" si="5"/>
        <v>3.5987420484597243E-2</v>
      </c>
      <c r="BM22" s="20">
        <f t="shared" si="6"/>
        <v>3.8086190517315828E-2</v>
      </c>
    </row>
    <row r="23" spans="1:65" s="20" customFormat="1" ht="21" customHeight="1">
      <c r="A23" s="17"/>
      <c r="B23" s="18" t="s">
        <v>87</v>
      </c>
      <c r="C23" s="18">
        <v>2</v>
      </c>
      <c r="D23" s="18">
        <v>23157</v>
      </c>
      <c r="E23" s="18">
        <v>23129</v>
      </c>
      <c r="F23" s="18">
        <v>23133</v>
      </c>
      <c r="G23" s="18">
        <v>4545600</v>
      </c>
      <c r="H23" s="18">
        <v>27840</v>
      </c>
      <c r="I23" s="18">
        <v>27659</v>
      </c>
      <c r="J23" s="18">
        <v>27691</v>
      </c>
      <c r="K23" s="18">
        <v>1088600</v>
      </c>
      <c r="L23" s="18">
        <f t="shared" si="0"/>
        <v>105153364800</v>
      </c>
      <c r="M23" s="18">
        <f t="shared" si="1"/>
        <v>30144422600</v>
      </c>
      <c r="N23" s="18">
        <v>23360</v>
      </c>
      <c r="O23" s="18">
        <v>27935</v>
      </c>
      <c r="P23" s="18">
        <v>23389</v>
      </c>
      <c r="Q23" s="18">
        <v>28119</v>
      </c>
      <c r="R23" s="18"/>
      <c r="S23" s="18"/>
      <c r="T23" s="18"/>
      <c r="U23" s="18"/>
      <c r="V23" s="18">
        <v>23830</v>
      </c>
      <c r="W23" s="18"/>
      <c r="X23" s="18">
        <v>23840</v>
      </c>
      <c r="Y23" s="18">
        <v>28684</v>
      </c>
      <c r="Z23" s="18"/>
      <c r="AA23" s="18"/>
      <c r="AB23" s="18">
        <v>6600</v>
      </c>
      <c r="AC23" s="18">
        <v>6560</v>
      </c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>
        <v>10200000</v>
      </c>
      <c r="AT23" s="18">
        <v>5900000</v>
      </c>
      <c r="AU23" s="18">
        <v>3800000</v>
      </c>
      <c r="AV23" s="18">
        <v>2100000</v>
      </c>
      <c r="AW23" s="18">
        <v>1015739</v>
      </c>
      <c r="AX23" s="18">
        <v>1794</v>
      </c>
      <c r="AY23" s="18">
        <v>10080000</v>
      </c>
      <c r="AZ23" s="18">
        <v>5600000</v>
      </c>
      <c r="BA23" s="18">
        <v>3600000</v>
      </c>
      <c r="BB23" s="18">
        <v>2000000</v>
      </c>
      <c r="BC23" s="18">
        <v>1009968</v>
      </c>
      <c r="BD23" s="18">
        <v>1787</v>
      </c>
      <c r="BE23" s="19"/>
      <c r="BF23" s="19"/>
      <c r="BG23" s="19"/>
      <c r="BH23" s="19"/>
      <c r="BI23" s="20">
        <f t="shared" si="2"/>
        <v>480</v>
      </c>
      <c r="BJ23" s="20">
        <f t="shared" si="3"/>
        <v>2.6812242706282442E-2</v>
      </c>
      <c r="BK23" s="20">
        <f t="shared" si="4"/>
        <v>2.1670034907220281</v>
      </c>
      <c r="BL23" s="20">
        <f t="shared" si="5"/>
        <v>2.6812242706282442E-2</v>
      </c>
      <c r="BM23" s="20">
        <f t="shared" si="6"/>
        <v>2.9494321371507537E-2</v>
      </c>
    </row>
    <row r="24" spans="1:65" s="24" customFormat="1" ht="21" customHeight="1">
      <c r="A24" s="21"/>
      <c r="B24" s="22" t="s">
        <v>88</v>
      </c>
      <c r="C24" s="22">
        <v>4</v>
      </c>
      <c r="D24" s="22">
        <v>23129</v>
      </c>
      <c r="E24" s="22">
        <v>23140</v>
      </c>
      <c r="F24" s="22">
        <v>23129</v>
      </c>
      <c r="G24" s="22">
        <v>5642400</v>
      </c>
      <c r="H24" s="22">
        <v>27899</v>
      </c>
      <c r="I24" s="22">
        <v>27697</v>
      </c>
      <c r="J24" s="22">
        <v>27681</v>
      </c>
      <c r="K24" s="22">
        <v>2359000</v>
      </c>
      <c r="L24" s="18">
        <f t="shared" si="0"/>
        <v>130503069600</v>
      </c>
      <c r="M24" s="18">
        <f t="shared" si="1"/>
        <v>65299479000</v>
      </c>
      <c r="N24" s="22">
        <v>23371</v>
      </c>
      <c r="O24" s="22">
        <v>27974</v>
      </c>
      <c r="P24" s="22">
        <v>23360</v>
      </c>
      <c r="Q24" s="22">
        <v>28178</v>
      </c>
      <c r="R24" s="22"/>
      <c r="S24" s="22"/>
      <c r="T24" s="22"/>
      <c r="U24" s="22"/>
      <c r="V24" s="22">
        <v>23840</v>
      </c>
      <c r="W24" s="22"/>
      <c r="X24" s="22">
        <v>23820</v>
      </c>
      <c r="Y24" s="22">
        <v>28783</v>
      </c>
      <c r="Z24" s="22"/>
      <c r="AA24" s="22"/>
      <c r="AB24" s="22">
        <v>6540</v>
      </c>
      <c r="AC24" s="22">
        <v>6560</v>
      </c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>
        <v>10080000</v>
      </c>
      <c r="AT24" s="22">
        <v>5600000</v>
      </c>
      <c r="AU24" s="22">
        <v>3600000</v>
      </c>
      <c r="AV24" s="22">
        <v>2000000</v>
      </c>
      <c r="AW24" s="22">
        <v>1005351</v>
      </c>
      <c r="AX24" s="22">
        <v>1777</v>
      </c>
      <c r="AY24" s="22">
        <v>10000000</v>
      </c>
      <c r="AZ24" s="22">
        <v>5600000</v>
      </c>
      <c r="BA24" s="22">
        <v>3600000</v>
      </c>
      <c r="BB24" s="22">
        <v>2000000</v>
      </c>
      <c r="BC24" s="22">
        <v>1003966</v>
      </c>
      <c r="BD24" s="22">
        <v>1777</v>
      </c>
      <c r="BE24" s="23"/>
      <c r="BF24" s="23"/>
      <c r="BG24" s="23"/>
      <c r="BH24" s="23"/>
      <c r="BI24" s="24">
        <f t="shared" si="2"/>
        <v>449</v>
      </c>
      <c r="BJ24" s="24">
        <f t="shared" si="3"/>
        <v>2.8919711160363196E-2</v>
      </c>
      <c r="BK24" s="24">
        <f t="shared" si="4"/>
        <v>1.0690970750317932</v>
      </c>
      <c r="BL24" s="24">
        <f t="shared" si="5"/>
        <v>2.8919711160363196E-2</v>
      </c>
      <c r="BM24" s="24">
        <f t="shared" si="6"/>
        <v>2.9875913355527691E-2</v>
      </c>
    </row>
    <row r="25" spans="1:65" s="24" customFormat="1" ht="21" customHeight="1">
      <c r="A25" s="21"/>
      <c r="B25" s="22" t="s">
        <v>89</v>
      </c>
      <c r="C25" s="22">
        <v>5</v>
      </c>
      <c r="D25" s="22">
        <v>23129</v>
      </c>
      <c r="E25" s="22">
        <v>23141</v>
      </c>
      <c r="F25" s="22">
        <v>23135</v>
      </c>
      <c r="G25" s="22">
        <v>6126600</v>
      </c>
      <c r="H25" s="22">
        <v>27727</v>
      </c>
      <c r="I25" s="22">
        <v>27700</v>
      </c>
      <c r="J25" s="22">
        <v>27719</v>
      </c>
      <c r="K25" s="22">
        <v>2522000</v>
      </c>
      <c r="L25" s="18">
        <f t="shared" si="0"/>
        <v>141738891000</v>
      </c>
      <c r="M25" s="18">
        <f t="shared" si="1"/>
        <v>69907318000</v>
      </c>
      <c r="N25" s="22">
        <v>23373</v>
      </c>
      <c r="O25" s="22">
        <v>27977</v>
      </c>
      <c r="P25" s="22">
        <v>23361</v>
      </c>
      <c r="Q25" s="22">
        <v>28004</v>
      </c>
      <c r="R25" s="22"/>
      <c r="S25" s="22"/>
      <c r="T25" s="22"/>
      <c r="U25" s="22"/>
      <c r="V25" s="22">
        <v>23830</v>
      </c>
      <c r="W25" s="22"/>
      <c r="X25" s="22">
        <v>23870</v>
      </c>
      <c r="Y25" s="22">
        <v>28831</v>
      </c>
      <c r="Z25" s="22"/>
      <c r="AA25" s="22"/>
      <c r="AB25" s="22">
        <v>6600</v>
      </c>
      <c r="AC25" s="22">
        <v>6575</v>
      </c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>
        <v>10100000</v>
      </c>
      <c r="AT25" s="22">
        <v>5600000</v>
      </c>
      <c r="AU25" s="22">
        <v>3600000</v>
      </c>
      <c r="AV25" s="22">
        <v>2000000</v>
      </c>
      <c r="AW25" s="22">
        <v>1008814</v>
      </c>
      <c r="AX25" s="22">
        <v>1777</v>
      </c>
      <c r="AY25" s="22">
        <v>10180000</v>
      </c>
      <c r="AZ25" s="22">
        <v>5650000</v>
      </c>
      <c r="BA25" s="22">
        <v>3600000</v>
      </c>
      <c r="BB25" s="22">
        <v>2000000</v>
      </c>
      <c r="BC25" s="22">
        <v>1009506</v>
      </c>
      <c r="BD25" s="22">
        <v>1777</v>
      </c>
      <c r="BE25" s="23"/>
      <c r="BF25" s="23"/>
      <c r="BG25" s="23"/>
      <c r="BH25" s="23"/>
      <c r="BI25" s="24">
        <f t="shared" si="2"/>
        <v>497</v>
      </c>
      <c r="BJ25" s="24">
        <f t="shared" si="3"/>
        <v>3.0525074168066626E-2</v>
      </c>
      <c r="BK25" s="24">
        <f t="shared" si="4"/>
        <v>0.76098334655035682</v>
      </c>
      <c r="BL25" s="24">
        <f t="shared" si="5"/>
        <v>3.0525074168066626E-2</v>
      </c>
      <c r="BM25" s="24">
        <f t="shared" si="6"/>
        <v>3.2037701586752565E-2</v>
      </c>
    </row>
    <row r="26" spans="1:65" s="24" customFormat="1" ht="21" customHeight="1">
      <c r="A26" s="21"/>
      <c r="B26" s="22" t="s">
        <v>90</v>
      </c>
      <c r="C26" s="22">
        <v>6</v>
      </c>
      <c r="D26" s="22">
        <v>23123</v>
      </c>
      <c r="E26" s="22">
        <v>23050</v>
      </c>
      <c r="F26" s="22">
        <v>23127</v>
      </c>
      <c r="G26" s="22">
        <v>3602500</v>
      </c>
      <c r="H26" s="22">
        <v>27789</v>
      </c>
      <c r="I26" s="22">
        <v>27600</v>
      </c>
      <c r="J26" s="22">
        <v>27697</v>
      </c>
      <c r="K26" s="22">
        <v>1919200</v>
      </c>
      <c r="L26" s="18">
        <f t="shared" si="0"/>
        <v>83315017500</v>
      </c>
      <c r="M26" s="18">
        <f t="shared" si="1"/>
        <v>53156082400</v>
      </c>
      <c r="N26" s="22">
        <v>23280</v>
      </c>
      <c r="O26" s="22">
        <v>27876</v>
      </c>
      <c r="P26" s="22">
        <v>23364</v>
      </c>
      <c r="Q26" s="22">
        <v>28067</v>
      </c>
      <c r="R26" s="22"/>
      <c r="S26" s="22"/>
      <c r="T26" s="22"/>
      <c r="U26" s="22"/>
      <c r="V26" s="22">
        <v>23720</v>
      </c>
      <c r="W26" s="22"/>
      <c r="X26" s="22">
        <v>23620</v>
      </c>
      <c r="Y26" s="22">
        <v>28682</v>
      </c>
      <c r="Z26" s="22"/>
      <c r="AA26" s="22"/>
      <c r="AB26" s="22">
        <v>6540</v>
      </c>
      <c r="AC26" s="22">
        <v>6500</v>
      </c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>
        <v>10200000</v>
      </c>
      <c r="AT26" s="22">
        <v>5650000</v>
      </c>
      <c r="AU26" s="22">
        <v>3600000</v>
      </c>
      <c r="AV26" s="22">
        <v>2000000</v>
      </c>
      <c r="AW26" s="22">
        <v>1011815</v>
      </c>
      <c r="AX26" s="22">
        <v>1778</v>
      </c>
      <c r="AY26" s="22">
        <v>9980000</v>
      </c>
      <c r="AZ26" s="22">
        <v>5500000</v>
      </c>
      <c r="BA26" s="22">
        <v>3600000</v>
      </c>
      <c r="BB26" s="22">
        <v>2050000</v>
      </c>
      <c r="BC26" s="22">
        <v>993347</v>
      </c>
      <c r="BD26" s="22">
        <v>1777</v>
      </c>
      <c r="BE26" s="23"/>
      <c r="BF26" s="23"/>
      <c r="BG26" s="23"/>
      <c r="BH26" s="23"/>
      <c r="BI26" s="24">
        <f t="shared" si="2"/>
        <v>340</v>
      </c>
      <c r="BJ26" s="24">
        <f t="shared" si="3"/>
        <v>2.8913760941311522E-2</v>
      </c>
      <c r="BK26" s="24">
        <f t="shared" si="4"/>
        <v>0.77454147561483955</v>
      </c>
      <c r="BL26" s="24">
        <f t="shared" si="5"/>
        <v>2.8913760941311522E-2</v>
      </c>
      <c r="BM26" s="24">
        <f t="shared" si="6"/>
        <v>2.1493750810880941E-2</v>
      </c>
    </row>
    <row r="27" spans="1:65" s="24" customFormat="1" ht="21" customHeight="1">
      <c r="A27" s="21"/>
      <c r="B27" s="22" t="s">
        <v>91</v>
      </c>
      <c r="C27" s="22">
        <v>7</v>
      </c>
      <c r="D27" s="9">
        <v>23172</v>
      </c>
      <c r="E27" s="22">
        <v>23030</v>
      </c>
      <c r="F27" s="22">
        <v>23108</v>
      </c>
      <c r="G27" s="22">
        <v>5365800</v>
      </c>
      <c r="H27" s="22">
        <v>27700</v>
      </c>
      <c r="I27" s="22">
        <v>27700</v>
      </c>
      <c r="J27" s="22">
        <v>27763</v>
      </c>
      <c r="K27" s="22">
        <v>1486500</v>
      </c>
      <c r="L27" s="18">
        <f t="shared" si="0"/>
        <v>123992906400</v>
      </c>
      <c r="M27" s="18">
        <f t="shared" si="1"/>
        <v>41269699500</v>
      </c>
      <c r="N27" s="22">
        <v>23260</v>
      </c>
      <c r="O27" s="22">
        <v>27977</v>
      </c>
      <c r="P27" s="22">
        <v>23404</v>
      </c>
      <c r="Q27" s="22">
        <v>27977</v>
      </c>
      <c r="R27" s="22"/>
      <c r="S27" s="22"/>
      <c r="T27" s="22"/>
      <c r="U27" s="22"/>
      <c r="V27" s="22">
        <v>23850</v>
      </c>
      <c r="W27" s="22"/>
      <c r="X27" s="22">
        <v>23650</v>
      </c>
      <c r="Y27" s="22">
        <v>28724</v>
      </c>
      <c r="Z27" s="22"/>
      <c r="AA27" s="22">
        <v>23720</v>
      </c>
      <c r="AB27" s="22">
        <v>6540</v>
      </c>
      <c r="AC27" s="22">
        <v>6530</v>
      </c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10">
        <v>10000000</v>
      </c>
      <c r="AT27" s="10">
        <v>5500000</v>
      </c>
      <c r="AU27" s="10">
        <v>3600000</v>
      </c>
      <c r="AV27" s="10">
        <v>2050000</v>
      </c>
      <c r="AW27" s="10">
        <v>997271</v>
      </c>
      <c r="AX27" s="10">
        <v>1777</v>
      </c>
      <c r="AY27" s="22">
        <v>10020000</v>
      </c>
      <c r="AZ27" s="22">
        <v>5500000</v>
      </c>
      <c r="BA27" s="22">
        <v>3600000</v>
      </c>
      <c r="BB27" s="22">
        <v>2000000</v>
      </c>
      <c r="BC27" s="22">
        <v>996810</v>
      </c>
      <c r="BD27" s="22">
        <v>1779</v>
      </c>
      <c r="BE27" s="23"/>
      <c r="BF27" s="23"/>
      <c r="BG27" s="23"/>
      <c r="BH27" s="23"/>
      <c r="BI27" s="24">
        <f t="shared" si="2"/>
        <v>390</v>
      </c>
      <c r="BJ27" s="24">
        <f t="shared" si="3"/>
        <v>2.6700503985416593E-2</v>
      </c>
      <c r="BK27" s="24">
        <f t="shared" si="4"/>
        <v>0.60228725193407329</v>
      </c>
      <c r="BL27" s="24">
        <f t="shared" si="5"/>
        <v>2.6700503985416593E-2</v>
      </c>
      <c r="BM27" s="24">
        <f t="shared" si="6"/>
        <v>2.0628344553771792E-2</v>
      </c>
    </row>
    <row r="28" spans="1:65" s="24" customFormat="1" ht="21" customHeight="1">
      <c r="A28" s="21"/>
      <c r="B28" s="22" t="s">
        <v>92</v>
      </c>
      <c r="C28" s="22">
        <v>8</v>
      </c>
      <c r="D28" s="25">
        <v>23072</v>
      </c>
      <c r="E28" s="22">
        <v>23031</v>
      </c>
      <c r="F28" s="22">
        <v>23022</v>
      </c>
      <c r="G28" s="22">
        <v>6405700</v>
      </c>
      <c r="H28" s="22">
        <v>27850</v>
      </c>
      <c r="I28" s="22">
        <v>27650</v>
      </c>
      <c r="J28" s="22">
        <v>27709</v>
      </c>
      <c r="K28" s="22">
        <v>895300</v>
      </c>
      <c r="L28" s="18">
        <f t="shared" si="0"/>
        <v>147472025400</v>
      </c>
      <c r="M28" s="18">
        <f t="shared" si="1"/>
        <v>24807867700</v>
      </c>
      <c r="N28" s="22">
        <v>23261</v>
      </c>
      <c r="O28" s="22">
        <v>27926</v>
      </c>
      <c r="P28" s="22">
        <v>23237</v>
      </c>
      <c r="Q28" s="22">
        <v>28128</v>
      </c>
      <c r="R28" s="22"/>
      <c r="S28" s="22"/>
      <c r="T28" s="22"/>
      <c r="U28" s="22"/>
      <c r="V28" s="22">
        <v>23650</v>
      </c>
      <c r="W28" s="22"/>
      <c r="X28" s="22">
        <v>23650</v>
      </c>
      <c r="Y28" s="22">
        <v>28552</v>
      </c>
      <c r="Z28" s="22"/>
      <c r="AA28" s="22"/>
      <c r="AB28" s="22">
        <v>6520</v>
      </c>
      <c r="AC28" s="22">
        <v>6525</v>
      </c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6">
        <v>10035000</v>
      </c>
      <c r="AT28" s="27">
        <v>5500000</v>
      </c>
      <c r="AU28" s="27">
        <v>3600000</v>
      </c>
      <c r="AV28" s="27">
        <v>2000000</v>
      </c>
      <c r="AW28" s="27">
        <v>996117</v>
      </c>
      <c r="AX28" s="27">
        <v>1769</v>
      </c>
      <c r="AY28" s="22">
        <v>10020000</v>
      </c>
      <c r="AZ28" s="22">
        <v>5500000</v>
      </c>
      <c r="BA28" s="22">
        <v>3600000</v>
      </c>
      <c r="BB28" s="22">
        <v>2000000</v>
      </c>
      <c r="BC28" s="22">
        <v>995655</v>
      </c>
      <c r="BD28" s="22">
        <v>1775</v>
      </c>
      <c r="BE28" s="23"/>
      <c r="BF28" s="23"/>
      <c r="BG28" s="23"/>
      <c r="BH28" s="23"/>
      <c r="BI28" s="24">
        <f t="shared" si="2"/>
        <v>389</v>
      </c>
      <c r="BJ28" s="24">
        <f t="shared" si="3"/>
        <v>2.2416386163431928E-2</v>
      </c>
      <c r="BK28" s="24">
        <f t="shared" si="4"/>
        <v>0.86149893890316098</v>
      </c>
      <c r="BL28" s="24">
        <f t="shared" si="5"/>
        <v>2.2416386163431928E-2</v>
      </c>
      <c r="BM28" s="24">
        <f t="shared" si="6"/>
        <v>2.5052011095700415E-2</v>
      </c>
    </row>
    <row r="29" spans="1:65" s="24" customFormat="1" ht="21" customHeight="1">
      <c r="A29" s="21"/>
      <c r="B29" s="22" t="s">
        <v>93</v>
      </c>
      <c r="C29" s="22">
        <v>9</v>
      </c>
      <c r="D29" s="25">
        <v>23030</v>
      </c>
      <c r="E29" s="22">
        <v>23030</v>
      </c>
      <c r="F29" s="22">
        <v>23030</v>
      </c>
      <c r="G29" s="22">
        <v>4357800</v>
      </c>
      <c r="H29" s="22">
        <v>27700</v>
      </c>
      <c r="I29" s="22">
        <v>27644</v>
      </c>
      <c r="J29" s="22">
        <v>27688</v>
      </c>
      <c r="K29" s="22">
        <v>771300</v>
      </c>
      <c r="L29" s="18">
        <f t="shared" si="0"/>
        <v>100360134000</v>
      </c>
      <c r="M29" s="18">
        <f t="shared" si="1"/>
        <v>21355754400</v>
      </c>
      <c r="N29" s="22">
        <v>23260</v>
      </c>
      <c r="O29" s="22">
        <v>27920</v>
      </c>
      <c r="P29" s="22">
        <v>23260</v>
      </c>
      <c r="Q29" s="22">
        <v>27977</v>
      </c>
      <c r="R29" s="22"/>
      <c r="S29" s="22"/>
      <c r="T29" s="22"/>
      <c r="U29" s="22"/>
      <c r="V29" s="22">
        <v>23630</v>
      </c>
      <c r="W29" s="22"/>
      <c r="X29" s="22">
        <v>23500</v>
      </c>
      <c r="Y29" s="22">
        <v>28639</v>
      </c>
      <c r="Z29" s="22"/>
      <c r="AA29" s="22"/>
      <c r="AB29" s="22">
        <v>6510</v>
      </c>
      <c r="AC29" s="22">
        <v>6485</v>
      </c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6">
        <v>10020000</v>
      </c>
      <c r="AT29" s="27">
        <v>5500000</v>
      </c>
      <c r="AU29" s="27">
        <v>3600000</v>
      </c>
      <c r="AV29" s="27">
        <v>2000000</v>
      </c>
      <c r="AW29" s="27">
        <v>996117</v>
      </c>
      <c r="AX29" s="27">
        <v>1789</v>
      </c>
      <c r="AY29" s="22">
        <v>9940000</v>
      </c>
      <c r="AZ29" s="22">
        <v>5450000</v>
      </c>
      <c r="BA29" s="22">
        <v>3500000</v>
      </c>
      <c r="BB29" s="22">
        <v>1950000</v>
      </c>
      <c r="BC29" s="22">
        <v>987345</v>
      </c>
      <c r="BD29" s="22">
        <v>1780</v>
      </c>
      <c r="BE29" s="23"/>
      <c r="BF29" s="23"/>
      <c r="BG29" s="23"/>
      <c r="BH29" s="23"/>
      <c r="BI29" s="24">
        <f t="shared" si="2"/>
        <v>240</v>
      </c>
      <c r="BJ29" s="24">
        <f t="shared" si="3"/>
        <v>2.5752148997134669E-2</v>
      </c>
      <c r="BK29" s="24">
        <f t="shared" si="4"/>
        <v>0.25463503176455338</v>
      </c>
      <c r="BL29" s="24">
        <f t="shared" si="5"/>
        <v>2.5752148997134669E-2</v>
      </c>
      <c r="BM29" s="24">
        <f t="shared" si="6"/>
        <v>2.0408163265306121E-2</v>
      </c>
    </row>
    <row r="30" spans="1:65" s="29" customFormat="1" ht="21" customHeight="1">
      <c r="A30" s="28"/>
      <c r="B30" s="10" t="s">
        <v>94</v>
      </c>
      <c r="C30" s="10">
        <v>11</v>
      </c>
      <c r="D30" s="27">
        <v>22843</v>
      </c>
      <c r="E30" s="10">
        <v>22680</v>
      </c>
      <c r="F30" s="10">
        <v>22793</v>
      </c>
      <c r="G30" s="10">
        <v>2957300</v>
      </c>
      <c r="H30" s="10">
        <v>27644</v>
      </c>
      <c r="I30" s="10">
        <v>27395</v>
      </c>
      <c r="J30" s="10">
        <v>27524</v>
      </c>
      <c r="K30" s="10">
        <v>196400</v>
      </c>
      <c r="L30" s="18">
        <f t="shared" si="0"/>
        <v>67405738900</v>
      </c>
      <c r="M30" s="18">
        <f t="shared" si="1"/>
        <v>5405713600</v>
      </c>
      <c r="N30" s="10">
        <v>22907</v>
      </c>
      <c r="O30" s="10">
        <v>27669</v>
      </c>
      <c r="P30" s="29">
        <v>23068</v>
      </c>
      <c r="Q30" s="29">
        <v>27926</v>
      </c>
      <c r="R30" s="10"/>
      <c r="S30" s="10"/>
      <c r="T30" s="10"/>
      <c r="U30" s="10"/>
      <c r="V30" s="10">
        <v>23380</v>
      </c>
      <c r="W30" s="10"/>
      <c r="X30" s="10">
        <v>22980</v>
      </c>
      <c r="Y30" s="10">
        <v>28116</v>
      </c>
      <c r="Z30" s="10">
        <v>23550</v>
      </c>
      <c r="AA30" s="10">
        <v>23120</v>
      </c>
      <c r="AB30" s="10">
        <v>6450</v>
      </c>
      <c r="AC30" s="10">
        <v>6345</v>
      </c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26">
        <v>9850000</v>
      </c>
      <c r="AT30" s="27">
        <v>5400000</v>
      </c>
      <c r="AU30" s="27">
        <v>3500000</v>
      </c>
      <c r="AV30" s="27">
        <v>1950000</v>
      </c>
      <c r="AW30" s="27">
        <v>975341</v>
      </c>
      <c r="AX30" s="27">
        <v>1769</v>
      </c>
      <c r="AY30" s="10">
        <v>9800000</v>
      </c>
      <c r="AZ30" s="10">
        <v>5300000</v>
      </c>
      <c r="BA30" s="10">
        <v>3400000</v>
      </c>
      <c r="BB30" s="10">
        <v>1900000</v>
      </c>
      <c r="BC30" s="10">
        <v>971878</v>
      </c>
      <c r="BD30" s="10">
        <v>1769</v>
      </c>
      <c r="BE30" s="30"/>
      <c r="BF30" s="30"/>
      <c r="BG30" s="30"/>
      <c r="BH30" s="30"/>
      <c r="BI30" s="29">
        <f t="shared" si="2"/>
        <v>73</v>
      </c>
      <c r="BJ30" s="29">
        <f t="shared" si="3"/>
        <v>1.6155264013878349E-2</v>
      </c>
      <c r="BK30" s="29">
        <f t="shared" si="4"/>
        <v>0.55651731160896134</v>
      </c>
      <c r="BL30" s="29">
        <f t="shared" si="5"/>
        <v>1.6155264013878349E-2</v>
      </c>
      <c r="BM30" s="29">
        <f t="shared" si="6"/>
        <v>5.9974609289497873E-3</v>
      </c>
    </row>
    <row r="31" spans="1:65" s="29" customFormat="1" ht="21" customHeight="1">
      <c r="A31" s="28"/>
      <c r="B31" s="10" t="s">
        <v>95</v>
      </c>
      <c r="C31" s="10">
        <v>12</v>
      </c>
      <c r="D31" s="27">
        <v>22298</v>
      </c>
      <c r="E31" s="10">
        <v>21627</v>
      </c>
      <c r="F31" s="10">
        <v>21999</v>
      </c>
      <c r="G31" s="10">
        <v>1770900</v>
      </c>
      <c r="H31" s="10">
        <v>27395</v>
      </c>
      <c r="I31" s="10">
        <v>26350</v>
      </c>
      <c r="J31" s="10">
        <v>26506</v>
      </c>
      <c r="K31" s="10">
        <v>109300</v>
      </c>
      <c r="L31" s="18">
        <f t="shared" si="0"/>
        <v>38958029100</v>
      </c>
      <c r="M31" s="18">
        <f t="shared" si="1"/>
        <v>2897105800</v>
      </c>
      <c r="N31" s="10">
        <v>21843</v>
      </c>
      <c r="O31" s="10">
        <v>26613</v>
      </c>
      <c r="P31" s="29">
        <v>22521</v>
      </c>
      <c r="Q31" s="29">
        <v>27669</v>
      </c>
      <c r="R31" s="10"/>
      <c r="S31" s="10"/>
      <c r="T31" s="10"/>
      <c r="U31" s="10"/>
      <c r="V31" s="10">
        <v>22750</v>
      </c>
      <c r="W31" s="10"/>
      <c r="X31" s="10">
        <v>21970</v>
      </c>
      <c r="Y31" s="10">
        <v>26421</v>
      </c>
      <c r="Z31" s="10"/>
      <c r="AA31" s="10"/>
      <c r="AB31" s="10">
        <v>6250</v>
      </c>
      <c r="AC31" s="10">
        <v>6095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26">
        <v>9735000</v>
      </c>
      <c r="AT31" s="27">
        <v>5300000</v>
      </c>
      <c r="AU31" s="27">
        <v>3400000</v>
      </c>
      <c r="AV31" s="27">
        <v>1900000</v>
      </c>
      <c r="AW31" s="27">
        <v>966107</v>
      </c>
      <c r="AX31" s="27">
        <v>1769</v>
      </c>
      <c r="AY31" s="26">
        <v>9600000</v>
      </c>
      <c r="AZ31" s="29">
        <v>5200000</v>
      </c>
      <c r="BA31" s="29">
        <v>3300000</v>
      </c>
      <c r="BB31" s="27">
        <v>1850000</v>
      </c>
      <c r="BC31" s="31">
        <v>948793</v>
      </c>
      <c r="BD31" s="10">
        <v>1769</v>
      </c>
      <c r="BE31" s="30"/>
      <c r="BF31" s="30"/>
      <c r="BG31" s="30"/>
      <c r="BH31" s="30"/>
      <c r="BI31" s="29">
        <f t="shared" si="2"/>
        <v>127</v>
      </c>
      <c r="BJ31" s="29">
        <f t="shared" si="3"/>
        <v>-7.2145192199301097E-3</v>
      </c>
      <c r="BK31" s="29">
        <f t="shared" si="4"/>
        <v>2.4858188472095151</v>
      </c>
      <c r="BL31" s="29">
        <f t="shared" si="5"/>
        <v>-7.2145192199301097E-3</v>
      </c>
      <c r="BM31" s="29">
        <f t="shared" si="6"/>
        <v>-1.470983944748408E-2</v>
      </c>
    </row>
    <row r="32" spans="1:65" s="29" customFormat="1" ht="21" customHeight="1">
      <c r="A32" s="28"/>
      <c r="B32" s="10" t="s">
        <v>96</v>
      </c>
      <c r="C32" s="10">
        <v>13</v>
      </c>
      <c r="D32" s="27">
        <v>21586</v>
      </c>
      <c r="E32" s="10">
        <v>21510</v>
      </c>
      <c r="F32" s="10">
        <v>21569</v>
      </c>
      <c r="G32" s="10">
        <v>3748300</v>
      </c>
      <c r="H32" s="10">
        <v>26350</v>
      </c>
      <c r="I32" s="10">
        <v>25700</v>
      </c>
      <c r="J32" s="10">
        <v>25726</v>
      </c>
      <c r="K32" s="10">
        <v>271700</v>
      </c>
      <c r="L32" s="18">
        <f t="shared" si="0"/>
        <v>80847082700</v>
      </c>
      <c r="M32" s="18">
        <f t="shared" si="1"/>
        <v>6989754200</v>
      </c>
      <c r="N32" s="10">
        <v>21725</v>
      </c>
      <c r="O32" s="10">
        <v>25957</v>
      </c>
      <c r="P32" s="29">
        <v>21802</v>
      </c>
      <c r="Q32" s="29">
        <v>26613</v>
      </c>
      <c r="R32" s="10"/>
      <c r="S32" s="10"/>
      <c r="T32" s="10"/>
      <c r="U32" s="10"/>
      <c r="V32" s="10">
        <v>22240</v>
      </c>
      <c r="W32" s="10"/>
      <c r="X32" s="10">
        <v>21800</v>
      </c>
      <c r="Y32" s="10">
        <v>26748</v>
      </c>
      <c r="Z32" s="10">
        <v>22370</v>
      </c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26"/>
      <c r="AT32" s="27"/>
      <c r="AU32" s="27"/>
      <c r="AV32" s="27"/>
      <c r="AW32" s="27"/>
      <c r="AX32" s="27"/>
      <c r="AY32" s="10"/>
      <c r="AZ32" s="10"/>
      <c r="BA32" s="10"/>
      <c r="BB32" s="10"/>
      <c r="BC32" s="10"/>
      <c r="BD32" s="10"/>
      <c r="BE32" s="30"/>
      <c r="BF32" s="30"/>
      <c r="BG32" s="30"/>
      <c r="BH32" s="30"/>
      <c r="BI32" s="29">
        <f t="shared" si="2"/>
        <v>75</v>
      </c>
      <c r="BJ32" s="29">
        <f t="shared" si="3"/>
        <v>3.0473475363100511E-2</v>
      </c>
      <c r="BK32" s="29">
        <f t="shared" si="4"/>
        <v>0.61464850938535154</v>
      </c>
      <c r="BL32" s="29">
        <f t="shared" si="5"/>
        <v>3.0473475363100511E-2</v>
      </c>
      <c r="BM32" s="29">
        <f t="shared" si="6"/>
        <v>9.9138330399332897E-3</v>
      </c>
    </row>
    <row r="33" spans="1:65" s="29" customFormat="1" ht="21" customHeight="1">
      <c r="A33" s="28"/>
      <c r="B33" s="10" t="s">
        <v>97</v>
      </c>
      <c r="C33" s="10">
        <v>15</v>
      </c>
      <c r="D33" s="27">
        <v>21196</v>
      </c>
      <c r="E33" s="10">
        <v>20640</v>
      </c>
      <c r="F33" s="10">
        <v>20871</v>
      </c>
      <c r="G33" s="10">
        <v>2320200</v>
      </c>
      <c r="H33" s="10">
        <v>25599</v>
      </c>
      <c r="I33" s="10">
        <v>24999</v>
      </c>
      <c r="J33" s="10">
        <v>25141</v>
      </c>
      <c r="K33" s="10">
        <v>167000</v>
      </c>
      <c r="L33" s="18">
        <f t="shared" si="0"/>
        <v>48424894200</v>
      </c>
      <c r="M33" s="18">
        <f t="shared" si="1"/>
        <v>4198547000</v>
      </c>
      <c r="N33" s="10">
        <v>20846</v>
      </c>
      <c r="O33" s="10">
        <v>25249</v>
      </c>
      <c r="P33" s="29">
        <v>21408</v>
      </c>
      <c r="Q33" s="29">
        <v>25855</v>
      </c>
      <c r="R33" s="10"/>
      <c r="S33" s="10"/>
      <c r="T33" s="10"/>
      <c r="U33" s="10"/>
      <c r="V33" s="10">
        <v>21600</v>
      </c>
      <c r="W33" s="10"/>
      <c r="X33" s="10">
        <v>20800</v>
      </c>
      <c r="Y33" s="10">
        <v>25886</v>
      </c>
      <c r="Z33" s="10">
        <v>21630</v>
      </c>
      <c r="AA33" s="10">
        <v>21220</v>
      </c>
      <c r="AB33" s="10">
        <v>6000</v>
      </c>
      <c r="AC33" s="10">
        <v>5690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27"/>
      <c r="AT33" s="27"/>
      <c r="AU33" s="27"/>
      <c r="AV33" s="27"/>
      <c r="AW33" s="27"/>
      <c r="AX33" s="27"/>
      <c r="AY33" s="10">
        <v>9290000</v>
      </c>
      <c r="AZ33" s="10">
        <v>5100000</v>
      </c>
      <c r="BA33" s="10">
        <v>3225000</v>
      </c>
      <c r="BB33" s="10">
        <v>1862000</v>
      </c>
      <c r="BC33" s="10"/>
      <c r="BD33" s="10"/>
      <c r="BE33" s="30"/>
      <c r="BF33" s="30"/>
      <c r="BG33" s="30"/>
      <c r="BH33" s="30"/>
      <c r="BI33" s="29">
        <f t="shared" si="2"/>
        <v>-46</v>
      </c>
      <c r="BJ33" s="29">
        <f t="shared" si="3"/>
        <v>2.5228721929581369E-2</v>
      </c>
      <c r="BK33" s="29">
        <f t="shared" si="4"/>
        <v>0.46706586826347307</v>
      </c>
      <c r="BL33" s="29">
        <f t="shared" si="5"/>
        <v>2.5228721929581369E-2</v>
      </c>
      <c r="BM33" s="29">
        <f t="shared" si="6"/>
        <v>-1.8682770334025288E-2</v>
      </c>
    </row>
    <row r="34" spans="1:65" s="29" customFormat="1" ht="21" customHeight="1">
      <c r="A34" s="28"/>
      <c r="B34" s="10" t="s">
        <v>98</v>
      </c>
      <c r="C34" s="10">
        <v>16</v>
      </c>
      <c r="D34" s="27">
        <v>20439</v>
      </c>
      <c r="E34" s="10">
        <v>20462</v>
      </c>
      <c r="F34" s="10">
        <v>20434</v>
      </c>
      <c r="G34" s="10">
        <v>4890700</v>
      </c>
      <c r="H34" s="10">
        <v>24999</v>
      </c>
      <c r="I34" s="10">
        <v>25461</v>
      </c>
      <c r="J34" s="10">
        <v>24837</v>
      </c>
      <c r="K34" s="10">
        <v>78000</v>
      </c>
      <c r="L34" s="18">
        <f t="shared" ref="L34:L65" si="8">F34*G34</f>
        <v>99936563800</v>
      </c>
      <c r="M34" s="18">
        <f t="shared" ref="M34:M65" si="9">J34*K34</f>
        <v>1937286000</v>
      </c>
      <c r="N34" s="10">
        <v>20666</v>
      </c>
      <c r="O34" s="10">
        <v>25716</v>
      </c>
      <c r="P34" s="29">
        <v>20643</v>
      </c>
      <c r="Q34" s="29">
        <v>25249</v>
      </c>
      <c r="R34" s="10"/>
      <c r="S34" s="10"/>
      <c r="T34" s="10"/>
      <c r="U34" s="10"/>
      <c r="V34" s="10">
        <v>21050</v>
      </c>
      <c r="W34" s="10"/>
      <c r="X34" s="10">
        <v>21080</v>
      </c>
      <c r="Y34" s="10">
        <v>25571</v>
      </c>
      <c r="Z34" s="10">
        <v>21200</v>
      </c>
      <c r="AA34" s="10"/>
      <c r="AB34" s="10">
        <v>5850</v>
      </c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27"/>
      <c r="AT34" s="27">
        <v>9340000</v>
      </c>
      <c r="AU34" s="27"/>
      <c r="AV34" s="27"/>
      <c r="AW34" s="27"/>
      <c r="AX34" s="27"/>
      <c r="AY34" s="10"/>
      <c r="AZ34" s="10"/>
      <c r="BA34" s="10"/>
      <c r="BB34" s="10"/>
      <c r="BC34" s="10"/>
      <c r="BD34" s="10"/>
      <c r="BE34" s="30"/>
      <c r="BF34" s="30"/>
      <c r="BG34" s="30"/>
      <c r="BH34" s="30"/>
      <c r="BI34" s="29">
        <f t="shared" ref="BI34:BI54" si="10">X34-N34</f>
        <v>414</v>
      </c>
      <c r="BJ34" s="29">
        <f t="shared" ref="BJ34:BJ65" si="11">(Y34-O34)/O34</f>
        <v>-5.6385129880230211E-3</v>
      </c>
      <c r="BK34" s="29">
        <f t="shared" ref="BK34:BK61" si="12">K35/K34</f>
        <v>7.9474358974358976</v>
      </c>
      <c r="BL34" s="29">
        <f t="shared" ref="BL34:BL69" si="13">(Y34-O34)/O34</f>
        <v>-5.6385129880230211E-3</v>
      </c>
      <c r="BM34" s="29">
        <f t="shared" ref="BM34:BM65" si="14">(X34-D34)/D34</f>
        <v>3.1361612603356327E-2</v>
      </c>
    </row>
    <row r="35" spans="1:65" s="35" customFormat="1" ht="21" customHeight="1">
      <c r="A35" s="32"/>
      <c r="B35" s="33" t="s">
        <v>99</v>
      </c>
      <c r="C35" s="33">
        <v>18</v>
      </c>
      <c r="D35" s="34">
        <v>20439</v>
      </c>
      <c r="E35" s="33">
        <v>20523</v>
      </c>
      <c r="F35" s="33">
        <v>20458</v>
      </c>
      <c r="G35" s="33">
        <v>11158300</v>
      </c>
      <c r="H35" s="33">
        <v>25495</v>
      </c>
      <c r="I35" s="33">
        <v>24800</v>
      </c>
      <c r="J35" s="33">
        <v>24823</v>
      </c>
      <c r="K35" s="33">
        <v>619900</v>
      </c>
      <c r="L35" s="18">
        <f t="shared" si="8"/>
        <v>228276501400</v>
      </c>
      <c r="M35" s="18">
        <f t="shared" si="9"/>
        <v>15387777700</v>
      </c>
      <c r="N35" s="33">
        <v>20728</v>
      </c>
      <c r="O35" s="33">
        <v>25048</v>
      </c>
      <c r="P35" s="35">
        <v>20643</v>
      </c>
      <c r="Q35" s="35">
        <v>25750</v>
      </c>
      <c r="R35" s="33"/>
      <c r="S35" s="33"/>
      <c r="T35" s="33"/>
      <c r="U35" s="33"/>
      <c r="V35" s="33">
        <v>21680</v>
      </c>
      <c r="X35" s="33">
        <v>21480</v>
      </c>
      <c r="Y35" s="33">
        <v>26382</v>
      </c>
      <c r="Z35" s="33">
        <v>21840</v>
      </c>
      <c r="AA35" s="33">
        <v>21620</v>
      </c>
      <c r="AB35" s="33">
        <v>6020</v>
      </c>
      <c r="AC35" s="33">
        <v>5920</v>
      </c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4"/>
      <c r="AT35" s="34"/>
      <c r="AU35" s="34"/>
      <c r="AV35" s="34"/>
      <c r="AW35" s="34"/>
      <c r="AX35" s="34"/>
      <c r="AY35" s="33">
        <v>9545000</v>
      </c>
      <c r="AZ35" s="33">
        <v>5100000</v>
      </c>
      <c r="BA35" s="33">
        <v>3225000</v>
      </c>
      <c r="BB35" s="33">
        <v>1862000</v>
      </c>
      <c r="BC35" s="33">
        <v>935900</v>
      </c>
      <c r="BD35" s="33">
        <v>1831</v>
      </c>
      <c r="BE35" s="36"/>
      <c r="BF35" s="36"/>
      <c r="BG35" s="36"/>
      <c r="BH35" s="36"/>
      <c r="BI35" s="35">
        <f t="shared" si="10"/>
        <v>752</v>
      </c>
      <c r="BJ35" s="35">
        <f t="shared" si="11"/>
        <v>5.3257745129351643E-2</v>
      </c>
      <c r="BK35" s="35">
        <f t="shared" si="12"/>
        <v>1.6778512663332796</v>
      </c>
      <c r="BL35" s="35">
        <f t="shared" si="13"/>
        <v>5.3257745129351643E-2</v>
      </c>
      <c r="BM35" s="35">
        <f t="shared" si="14"/>
        <v>5.0932041685013946E-2</v>
      </c>
    </row>
    <row r="36" spans="1:65" s="35" customFormat="1" ht="21" customHeight="1">
      <c r="A36" s="32"/>
      <c r="B36" s="33" t="s">
        <v>100</v>
      </c>
      <c r="C36" s="33">
        <v>19</v>
      </c>
      <c r="D36" s="34">
        <v>20671</v>
      </c>
      <c r="E36" s="33">
        <v>20798</v>
      </c>
      <c r="F36" s="33">
        <v>20718</v>
      </c>
      <c r="G36" s="33">
        <v>9075500</v>
      </c>
      <c r="H36" s="33">
        <v>24800</v>
      </c>
      <c r="I36" s="33">
        <v>25000</v>
      </c>
      <c r="J36" s="33">
        <v>25013</v>
      </c>
      <c r="K36" s="33">
        <v>1040100</v>
      </c>
      <c r="L36" s="18">
        <f t="shared" si="8"/>
        <v>188026209000</v>
      </c>
      <c r="M36" s="18">
        <f t="shared" si="9"/>
        <v>26016021300</v>
      </c>
      <c r="N36" s="33">
        <v>21006</v>
      </c>
      <c r="O36" s="33">
        <v>25250</v>
      </c>
      <c r="P36" s="35">
        <v>20878</v>
      </c>
      <c r="Q36" s="35">
        <v>25048</v>
      </c>
      <c r="R36" s="33"/>
      <c r="S36" s="33"/>
      <c r="T36" s="33"/>
      <c r="U36" s="33"/>
      <c r="V36" s="33">
        <v>21430</v>
      </c>
      <c r="X36" s="33">
        <v>21440</v>
      </c>
      <c r="Y36" s="35">
        <v>26078</v>
      </c>
      <c r="Z36" s="33">
        <v>21450</v>
      </c>
      <c r="AA36" s="33">
        <v>21500</v>
      </c>
      <c r="AB36" s="33">
        <v>5920</v>
      </c>
      <c r="AC36" s="33">
        <v>5960</v>
      </c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4"/>
      <c r="AT36" s="34"/>
      <c r="AU36" s="34"/>
      <c r="AV36" s="34"/>
      <c r="AW36" s="34"/>
      <c r="AX36" s="34"/>
      <c r="AY36" s="33">
        <v>9550000</v>
      </c>
      <c r="AZ36" s="33"/>
      <c r="BA36" s="33"/>
      <c r="BB36" s="33"/>
      <c r="BC36" s="33">
        <v>932700</v>
      </c>
      <c r="BD36" s="35">
        <v>1837</v>
      </c>
      <c r="BE36" s="36"/>
      <c r="BF36" s="36"/>
      <c r="BG36" s="36"/>
      <c r="BH36" s="36"/>
      <c r="BI36" s="35">
        <f t="shared" si="10"/>
        <v>434</v>
      </c>
      <c r="BJ36" s="35">
        <f t="shared" si="11"/>
        <v>3.2792079207920793E-2</v>
      </c>
      <c r="BK36" s="35">
        <f t="shared" si="12"/>
        <v>1.9736563791943083</v>
      </c>
      <c r="BL36" s="35">
        <f t="shared" si="13"/>
        <v>3.2792079207920793E-2</v>
      </c>
      <c r="BM36" s="35">
        <f t="shared" si="14"/>
        <v>3.7201877025784917E-2</v>
      </c>
    </row>
    <row r="37" spans="1:65" s="35" customFormat="1" ht="21" customHeight="1">
      <c r="A37" s="32"/>
      <c r="B37" s="33" t="s">
        <v>101</v>
      </c>
      <c r="C37" s="33">
        <v>20</v>
      </c>
      <c r="D37" s="34">
        <v>20944</v>
      </c>
      <c r="E37" s="33">
        <v>21497</v>
      </c>
      <c r="F37" s="33">
        <v>21133</v>
      </c>
      <c r="G37" s="33">
        <v>8722500</v>
      </c>
      <c r="H37" s="33">
        <v>25268</v>
      </c>
      <c r="I37" s="33">
        <v>25198</v>
      </c>
      <c r="J37" s="33">
        <v>25327</v>
      </c>
      <c r="K37" s="33">
        <v>2052800</v>
      </c>
      <c r="L37" s="18">
        <f t="shared" si="8"/>
        <v>184332592500</v>
      </c>
      <c r="M37" s="18">
        <f t="shared" si="9"/>
        <v>51991265600</v>
      </c>
      <c r="N37" s="33">
        <v>21712</v>
      </c>
      <c r="O37" s="33">
        <v>25449</v>
      </c>
      <c r="P37" s="35">
        <v>21153</v>
      </c>
      <c r="Q37" s="35">
        <v>25520</v>
      </c>
      <c r="R37" s="33"/>
      <c r="S37" s="33"/>
      <c r="T37" s="33"/>
      <c r="U37" s="33"/>
      <c r="V37" s="33">
        <v>21950</v>
      </c>
      <c r="X37" s="35">
        <v>21920</v>
      </c>
      <c r="Y37" s="35">
        <v>26796</v>
      </c>
      <c r="Z37" s="33"/>
      <c r="AA37" s="33">
        <v>22200</v>
      </c>
      <c r="AB37" s="33">
        <v>6110</v>
      </c>
      <c r="AC37" s="33">
        <v>6110</v>
      </c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4">
        <v>6090</v>
      </c>
      <c r="AT37" s="34"/>
      <c r="AU37" s="34"/>
      <c r="AV37" s="34"/>
      <c r="AW37" s="34"/>
      <c r="AX37" s="34"/>
      <c r="AY37" s="33">
        <v>9805000</v>
      </c>
      <c r="AZ37" s="33"/>
      <c r="BA37" s="33"/>
      <c r="BB37" s="33"/>
      <c r="BC37" s="33"/>
      <c r="BE37" s="36"/>
      <c r="BF37" s="36"/>
      <c r="BG37" s="36"/>
      <c r="BH37" s="36"/>
      <c r="BI37" s="35">
        <f t="shared" si="10"/>
        <v>208</v>
      </c>
      <c r="BJ37" s="35">
        <f t="shared" si="11"/>
        <v>5.292938818814099E-2</v>
      </c>
      <c r="BK37" s="35">
        <f t="shared" si="12"/>
        <v>1.6885717069368666</v>
      </c>
      <c r="BL37" s="35">
        <f t="shared" si="13"/>
        <v>5.292938818814099E-2</v>
      </c>
      <c r="BM37" s="35">
        <f t="shared" si="14"/>
        <v>4.660045836516425E-2</v>
      </c>
    </row>
    <row r="38" spans="1:65" s="35" customFormat="1" ht="21" customHeight="1">
      <c r="A38" s="32"/>
      <c r="B38" s="33" t="s">
        <v>102</v>
      </c>
      <c r="C38" s="33">
        <v>21</v>
      </c>
      <c r="D38" s="34">
        <v>21816</v>
      </c>
      <c r="E38" s="33">
        <v>21912</v>
      </c>
      <c r="F38" s="33">
        <v>21989</v>
      </c>
      <c r="G38" s="33">
        <v>4093700</v>
      </c>
      <c r="H38" s="33">
        <v>25699</v>
      </c>
      <c r="I38" s="33">
        <v>25996</v>
      </c>
      <c r="J38" s="33">
        <v>25839</v>
      </c>
      <c r="K38" s="33">
        <v>3466300</v>
      </c>
      <c r="L38" s="18">
        <f t="shared" si="8"/>
        <v>90016369300</v>
      </c>
      <c r="M38" s="18">
        <f t="shared" si="9"/>
        <v>89565725700</v>
      </c>
      <c r="N38" s="33">
        <v>22132</v>
      </c>
      <c r="O38" s="33">
        <v>26256</v>
      </c>
      <c r="P38" s="35">
        <v>22034</v>
      </c>
      <c r="Q38" s="35">
        <v>25956</v>
      </c>
      <c r="R38" s="33"/>
      <c r="S38" s="33"/>
      <c r="T38" s="33"/>
      <c r="U38" s="33"/>
      <c r="V38" s="33">
        <v>22500</v>
      </c>
      <c r="X38" s="35">
        <v>22520</v>
      </c>
      <c r="Y38" s="35">
        <v>27339</v>
      </c>
      <c r="Z38" s="33">
        <v>22550</v>
      </c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4"/>
      <c r="AT38" s="34"/>
      <c r="AU38" s="34"/>
      <c r="AV38" s="34"/>
      <c r="AW38" s="34"/>
      <c r="AX38" s="34"/>
      <c r="AY38" s="33"/>
      <c r="AZ38" s="33"/>
      <c r="BA38" s="33"/>
      <c r="BB38" s="33"/>
      <c r="BC38" s="33"/>
      <c r="BE38" s="36"/>
      <c r="BF38" s="36"/>
      <c r="BG38" s="36"/>
      <c r="BH38" s="36"/>
      <c r="BI38" s="35">
        <f t="shared" si="10"/>
        <v>388</v>
      </c>
      <c r="BJ38" s="35">
        <f t="shared" si="11"/>
        <v>4.1247714808043873E-2</v>
      </c>
      <c r="BK38" s="35">
        <f t="shared" si="12"/>
        <v>0.74653088307417126</v>
      </c>
      <c r="BL38" s="35">
        <f t="shared" si="13"/>
        <v>4.1247714808043873E-2</v>
      </c>
      <c r="BM38" s="35">
        <f t="shared" si="14"/>
        <v>3.2269893656032271E-2</v>
      </c>
    </row>
    <row r="39" spans="1:65" s="35" customFormat="1" ht="21" customHeight="1">
      <c r="A39" s="32"/>
      <c r="B39" s="33" t="s">
        <v>103</v>
      </c>
      <c r="C39" s="33">
        <v>22</v>
      </c>
      <c r="D39" s="34">
        <v>21821</v>
      </c>
      <c r="E39" s="33">
        <v>22075</v>
      </c>
      <c r="F39" s="33">
        <v>21842</v>
      </c>
      <c r="G39" s="33">
        <v>4512900</v>
      </c>
      <c r="H39" s="33">
        <v>26273</v>
      </c>
      <c r="I39" s="33">
        <v>26000</v>
      </c>
      <c r="J39" s="33">
        <v>26157</v>
      </c>
      <c r="K39" s="33">
        <v>2587700</v>
      </c>
      <c r="L39" s="18">
        <f t="shared" si="8"/>
        <v>98570761800</v>
      </c>
      <c r="M39" s="18">
        <f t="shared" si="9"/>
        <v>67686468900</v>
      </c>
      <c r="N39" s="33">
        <v>22296</v>
      </c>
      <c r="O39" s="33">
        <v>26260</v>
      </c>
      <c r="P39" s="35">
        <v>22039</v>
      </c>
      <c r="Q39" s="35">
        <v>26536</v>
      </c>
      <c r="R39" s="33"/>
      <c r="S39" s="33"/>
      <c r="T39" s="33"/>
      <c r="U39" s="33"/>
      <c r="V39" s="33"/>
      <c r="X39" s="35">
        <v>22480</v>
      </c>
      <c r="Y39" s="35">
        <v>27192</v>
      </c>
      <c r="Z39" s="33"/>
      <c r="AA39" s="33"/>
      <c r="AB39" s="33"/>
      <c r="AC39" s="33">
        <v>6185</v>
      </c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4"/>
      <c r="AT39" s="34"/>
      <c r="AU39" s="34"/>
      <c r="AV39" s="34"/>
      <c r="AW39" s="34"/>
      <c r="AX39" s="34"/>
      <c r="AY39" s="33">
        <v>9945000</v>
      </c>
      <c r="AZ39" s="33"/>
      <c r="BA39" s="33"/>
      <c r="BB39" s="33"/>
      <c r="BC39" s="33"/>
      <c r="BE39" s="36"/>
      <c r="BF39" s="36"/>
      <c r="BG39" s="36"/>
      <c r="BH39" s="36"/>
      <c r="BI39" s="35">
        <f t="shared" si="10"/>
        <v>184</v>
      </c>
      <c r="BJ39" s="35">
        <f t="shared" si="11"/>
        <v>3.5491241431835491E-2</v>
      </c>
      <c r="BK39" s="35">
        <f t="shared" si="12"/>
        <v>1.1472736406847779</v>
      </c>
      <c r="BL39" s="35">
        <f t="shared" si="13"/>
        <v>3.5491241431835491E-2</v>
      </c>
      <c r="BM39" s="35">
        <f t="shared" si="14"/>
        <v>3.0200265799000963E-2</v>
      </c>
    </row>
    <row r="40" spans="1:65" s="24" customFormat="1" ht="21" customHeight="1">
      <c r="A40" s="21"/>
      <c r="B40" s="22" t="s">
        <v>104</v>
      </c>
      <c r="C40" s="22">
        <v>25</v>
      </c>
      <c r="D40" s="31">
        <v>22075</v>
      </c>
      <c r="E40" s="22">
        <v>22126</v>
      </c>
      <c r="F40" s="22">
        <v>21857</v>
      </c>
      <c r="G40" s="22">
        <v>5168000</v>
      </c>
      <c r="H40" s="22">
        <v>26000</v>
      </c>
      <c r="I40" s="22">
        <v>26040</v>
      </c>
      <c r="J40" s="22">
        <v>26182</v>
      </c>
      <c r="K40" s="22">
        <v>2968800</v>
      </c>
      <c r="L40" s="18">
        <f t="shared" si="8"/>
        <v>112956976000</v>
      </c>
      <c r="M40" s="18">
        <f t="shared" si="9"/>
        <v>77729121600</v>
      </c>
      <c r="N40" s="22">
        <v>22348</v>
      </c>
      <c r="O40" s="22">
        <v>26300</v>
      </c>
      <c r="P40" s="24">
        <v>22296</v>
      </c>
      <c r="Q40" s="24">
        <v>26260</v>
      </c>
      <c r="R40" s="22"/>
      <c r="S40" s="22"/>
      <c r="T40" s="22"/>
      <c r="U40" s="22"/>
      <c r="V40" s="22">
        <v>22650</v>
      </c>
      <c r="X40" s="24">
        <v>22900</v>
      </c>
      <c r="Y40" s="24">
        <v>27476</v>
      </c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31"/>
      <c r="AT40" s="31"/>
      <c r="AU40" s="31"/>
      <c r="AV40" s="31"/>
      <c r="AW40" s="31"/>
      <c r="AX40" s="31"/>
      <c r="AY40" s="22">
        <v>10215000</v>
      </c>
      <c r="AZ40" s="22"/>
      <c r="BA40" s="22"/>
      <c r="BB40" s="22"/>
      <c r="BC40" s="22"/>
      <c r="BE40" s="23"/>
      <c r="BF40" s="23"/>
      <c r="BG40" s="23"/>
      <c r="BH40" s="23"/>
      <c r="BI40" s="24">
        <f t="shared" si="10"/>
        <v>552</v>
      </c>
      <c r="BJ40" s="24">
        <f t="shared" si="11"/>
        <v>4.4714828897338403E-2</v>
      </c>
      <c r="BK40" s="24">
        <f t="shared" si="12"/>
        <v>0.87021692266235517</v>
      </c>
      <c r="BL40" s="24">
        <f t="shared" si="13"/>
        <v>4.4714828897338403E-2</v>
      </c>
      <c r="BM40" s="24">
        <f t="shared" si="14"/>
        <v>3.7372593431483581E-2</v>
      </c>
    </row>
    <row r="41" spans="1:65" s="24" customFormat="1" ht="21" customHeight="1">
      <c r="A41" s="21"/>
      <c r="B41" s="22" t="s">
        <v>105</v>
      </c>
      <c r="C41" s="22">
        <v>26</v>
      </c>
      <c r="D41" s="31">
        <v>22215</v>
      </c>
      <c r="E41" s="22">
        <v>22211</v>
      </c>
      <c r="F41" s="22">
        <v>22070</v>
      </c>
      <c r="G41" s="22">
        <v>6621700</v>
      </c>
      <c r="H41" s="22">
        <v>26054</v>
      </c>
      <c r="I41" s="22">
        <v>26298</v>
      </c>
      <c r="J41" s="22">
        <v>26307</v>
      </c>
      <c r="K41" s="22">
        <v>2583500</v>
      </c>
      <c r="L41" s="18">
        <f t="shared" si="8"/>
        <v>146140919000</v>
      </c>
      <c r="M41" s="18">
        <f t="shared" si="9"/>
        <v>67964134500</v>
      </c>
      <c r="N41" s="22">
        <v>22433</v>
      </c>
      <c r="O41" s="22">
        <v>26561</v>
      </c>
      <c r="P41" s="24">
        <v>22437</v>
      </c>
      <c r="Q41" s="24">
        <v>26315</v>
      </c>
      <c r="R41" s="22"/>
      <c r="S41" s="22"/>
      <c r="T41" s="22"/>
      <c r="U41" s="22"/>
      <c r="V41" s="22">
        <v>22980</v>
      </c>
      <c r="X41" s="24">
        <v>23240</v>
      </c>
      <c r="Y41" s="24">
        <v>28059</v>
      </c>
      <c r="Z41" s="22"/>
      <c r="AA41" s="22"/>
      <c r="AB41" s="22"/>
      <c r="AC41" s="22">
        <v>6400</v>
      </c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31"/>
      <c r="AT41" s="31"/>
      <c r="AU41" s="31"/>
      <c r="AV41" s="31"/>
      <c r="AW41" s="31"/>
      <c r="AX41" s="31"/>
      <c r="AY41" s="22">
        <v>10305000</v>
      </c>
      <c r="AZ41" s="22"/>
      <c r="BA41" s="22"/>
      <c r="BB41" s="22"/>
      <c r="BC41" s="22"/>
      <c r="BE41" s="23"/>
      <c r="BF41" s="23"/>
      <c r="BG41" s="23"/>
      <c r="BH41" s="23"/>
      <c r="BI41" s="24">
        <f t="shared" si="10"/>
        <v>807</v>
      </c>
      <c r="BJ41" s="24">
        <f t="shared" si="11"/>
        <v>5.6398478972930238E-2</v>
      </c>
      <c r="BK41" s="24">
        <f t="shared" si="12"/>
        <v>1.2627830462550804</v>
      </c>
      <c r="BL41" s="24">
        <f t="shared" si="13"/>
        <v>5.6398478972930238E-2</v>
      </c>
      <c r="BM41" s="24">
        <f t="shared" si="14"/>
        <v>4.6139995498537027E-2</v>
      </c>
    </row>
    <row r="42" spans="1:65" s="24" customFormat="1" ht="21" customHeight="1">
      <c r="A42" s="21"/>
      <c r="B42" s="22" t="s">
        <v>106</v>
      </c>
      <c r="C42" s="22">
        <v>27</v>
      </c>
      <c r="D42" s="31">
        <v>22299</v>
      </c>
      <c r="E42" s="22">
        <v>22000</v>
      </c>
      <c r="F42" s="22">
        <v>22161</v>
      </c>
      <c r="G42" s="22">
        <v>4271500</v>
      </c>
      <c r="H42" s="22">
        <v>26125</v>
      </c>
      <c r="I42" s="22">
        <v>26176</v>
      </c>
      <c r="J42" s="22">
        <v>26344</v>
      </c>
      <c r="K42" s="22">
        <v>3262400</v>
      </c>
      <c r="L42" s="18">
        <f t="shared" si="8"/>
        <v>94660711500</v>
      </c>
      <c r="M42" s="18">
        <f t="shared" si="9"/>
        <v>85944665600</v>
      </c>
      <c r="N42" s="22">
        <v>22220</v>
      </c>
      <c r="O42" s="22">
        <v>26437</v>
      </c>
      <c r="P42" s="24">
        <v>22522</v>
      </c>
      <c r="Q42" s="24">
        <v>26386</v>
      </c>
      <c r="R42" s="22"/>
      <c r="S42" s="22"/>
      <c r="T42" s="22"/>
      <c r="U42" s="22"/>
      <c r="V42" s="22">
        <v>23120</v>
      </c>
      <c r="X42" s="24">
        <v>22850</v>
      </c>
      <c r="Y42" s="24">
        <v>28105</v>
      </c>
      <c r="Z42" s="22"/>
      <c r="AA42" s="22"/>
      <c r="AB42" s="22">
        <v>6360</v>
      </c>
      <c r="AC42" s="22">
        <v>6300</v>
      </c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31"/>
      <c r="AT42" s="31"/>
      <c r="AU42" s="31"/>
      <c r="AV42" s="31"/>
      <c r="AW42" s="31"/>
      <c r="AX42" s="31"/>
      <c r="AY42" s="22">
        <v>10075000</v>
      </c>
      <c r="AZ42" s="22"/>
      <c r="BA42" s="22"/>
      <c r="BB42" s="22"/>
      <c r="BC42" s="22"/>
      <c r="BE42" s="23"/>
      <c r="BF42" s="23"/>
      <c r="BG42" s="23"/>
      <c r="BH42" s="23"/>
      <c r="BI42" s="24">
        <f t="shared" si="10"/>
        <v>630</v>
      </c>
      <c r="BJ42" s="24">
        <f t="shared" si="11"/>
        <v>6.3093391837197865E-2</v>
      </c>
      <c r="BK42" s="24">
        <f t="shared" si="12"/>
        <v>0.9125183913683178</v>
      </c>
      <c r="BL42" s="24">
        <f t="shared" si="13"/>
        <v>6.3093391837197865E-2</v>
      </c>
      <c r="BM42" s="24">
        <f t="shared" si="14"/>
        <v>2.4709628234449974E-2</v>
      </c>
    </row>
    <row r="43" spans="1:65" s="24" customFormat="1" ht="21" customHeight="1">
      <c r="A43" s="21"/>
      <c r="B43" s="22" t="s">
        <v>107</v>
      </c>
      <c r="C43" s="22">
        <v>28</v>
      </c>
      <c r="D43" s="31">
        <v>22201</v>
      </c>
      <c r="E43" s="22">
        <v>22361</v>
      </c>
      <c r="F43" s="22">
        <v>22261</v>
      </c>
      <c r="G43" s="22">
        <v>5202600</v>
      </c>
      <c r="H43" s="22">
        <v>26324</v>
      </c>
      <c r="I43" s="22">
        <v>26850</v>
      </c>
      <c r="J43" s="22">
        <v>26683</v>
      </c>
      <c r="K43" s="22">
        <v>2977000</v>
      </c>
      <c r="L43" s="18">
        <f t="shared" si="8"/>
        <v>115815078600</v>
      </c>
      <c r="M43" s="18">
        <f t="shared" si="9"/>
        <v>79435291000</v>
      </c>
      <c r="N43" s="22">
        <v>22585</v>
      </c>
      <c r="O43" s="22">
        <v>27118</v>
      </c>
      <c r="P43" s="24">
        <v>22423</v>
      </c>
      <c r="Q43" s="24">
        <v>26587</v>
      </c>
      <c r="R43" s="22"/>
      <c r="S43" s="22"/>
      <c r="T43" s="22"/>
      <c r="U43" s="22"/>
      <c r="V43" s="22"/>
      <c r="X43" s="24">
        <v>23130</v>
      </c>
      <c r="Y43" s="24">
        <v>27907</v>
      </c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31"/>
      <c r="AT43" s="31"/>
      <c r="AU43" s="31"/>
      <c r="AV43" s="31"/>
      <c r="AW43" s="31"/>
      <c r="AX43" s="31"/>
      <c r="AY43" s="22"/>
      <c r="AZ43" s="22"/>
      <c r="BA43" s="22"/>
      <c r="BB43" s="22"/>
      <c r="BC43" s="22"/>
      <c r="BE43" s="23"/>
      <c r="BF43" s="23"/>
      <c r="BG43" s="23"/>
      <c r="BH43" s="23"/>
      <c r="BI43" s="24">
        <f t="shared" si="10"/>
        <v>545</v>
      </c>
      <c r="BJ43" s="24">
        <f t="shared" si="11"/>
        <v>2.9095066007817687E-2</v>
      </c>
      <c r="BK43" s="24">
        <f t="shared" si="12"/>
        <v>0.44763184413839435</v>
      </c>
      <c r="BL43" s="24">
        <f t="shared" si="13"/>
        <v>2.9095066007817687E-2</v>
      </c>
      <c r="BM43" s="24">
        <f t="shared" si="14"/>
        <v>4.1844961938651414E-2</v>
      </c>
    </row>
    <row r="44" spans="1:65" s="24" customFormat="1" ht="21" customHeight="1">
      <c r="A44" s="21"/>
      <c r="B44" s="22" t="s">
        <v>108</v>
      </c>
      <c r="C44" s="22">
        <v>29</v>
      </c>
      <c r="D44" s="31">
        <v>22113</v>
      </c>
      <c r="E44" s="22">
        <v>21954</v>
      </c>
      <c r="F44" s="22">
        <v>22067</v>
      </c>
      <c r="G44" s="22">
        <v>3815100</v>
      </c>
      <c r="H44" s="22">
        <v>26850</v>
      </c>
      <c r="I44" s="22">
        <v>21620</v>
      </c>
      <c r="J44" s="22">
        <v>26812</v>
      </c>
      <c r="K44" s="22">
        <v>1332600</v>
      </c>
      <c r="L44" s="18">
        <f t="shared" si="8"/>
        <v>84187811700</v>
      </c>
      <c r="M44" s="18">
        <f t="shared" si="9"/>
        <v>35729671200</v>
      </c>
      <c r="N44" s="22">
        <v>22174</v>
      </c>
      <c r="O44" s="22">
        <v>26929</v>
      </c>
      <c r="P44" s="24">
        <v>22335</v>
      </c>
      <c r="Q44" s="24">
        <v>27118</v>
      </c>
      <c r="R44" s="22"/>
      <c r="S44" s="22"/>
      <c r="T44" s="22"/>
      <c r="U44" s="22"/>
      <c r="V44" s="22"/>
      <c r="X44" s="24">
        <v>22600</v>
      </c>
      <c r="Y44" s="24">
        <v>27745</v>
      </c>
      <c r="Z44" s="22"/>
      <c r="AA44" s="22"/>
      <c r="AB44" s="22"/>
      <c r="AC44" s="22">
        <v>6235</v>
      </c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31"/>
      <c r="AT44" s="31"/>
      <c r="AU44" s="31"/>
      <c r="AV44" s="31"/>
      <c r="AW44" s="31"/>
      <c r="AX44" s="31"/>
      <c r="AY44" s="22">
        <v>10005000</v>
      </c>
      <c r="AZ44" s="22"/>
      <c r="BA44" s="22"/>
      <c r="BB44" s="22"/>
      <c r="BC44" s="22"/>
      <c r="BE44" s="23"/>
      <c r="BF44" s="23"/>
      <c r="BG44" s="23"/>
      <c r="BH44" s="23"/>
      <c r="BI44" s="24">
        <f t="shared" si="10"/>
        <v>426</v>
      </c>
      <c r="BJ44" s="24">
        <f t="shared" si="11"/>
        <v>3.0301905009469346E-2</v>
      </c>
      <c r="BK44" s="24">
        <f t="shared" si="12"/>
        <v>0.3594476962329281</v>
      </c>
      <c r="BL44" s="24">
        <f t="shared" si="13"/>
        <v>3.0301905009469346E-2</v>
      </c>
      <c r="BM44" s="24">
        <f t="shared" si="14"/>
        <v>2.2023244245466467E-2</v>
      </c>
    </row>
    <row r="45" spans="1:65" s="24" customFormat="1" ht="21" customHeight="1">
      <c r="A45" s="21"/>
      <c r="B45" s="22" t="s">
        <v>109</v>
      </c>
      <c r="C45" s="22">
        <v>30</v>
      </c>
      <c r="D45" s="31">
        <v>22176</v>
      </c>
      <c r="E45" s="22">
        <v>22075</v>
      </c>
      <c r="F45" s="22">
        <v>22106</v>
      </c>
      <c r="G45" s="22">
        <v>5932300</v>
      </c>
      <c r="H45" s="22">
        <v>26903</v>
      </c>
      <c r="I45" s="22">
        <v>26893</v>
      </c>
      <c r="J45" s="22">
        <v>26945</v>
      </c>
      <c r="K45" s="22">
        <v>479000</v>
      </c>
      <c r="L45" s="18">
        <f t="shared" si="8"/>
        <v>131139423800</v>
      </c>
      <c r="M45" s="18">
        <f t="shared" si="9"/>
        <v>12906655000</v>
      </c>
      <c r="N45" s="22">
        <v>22296</v>
      </c>
      <c r="O45" s="22">
        <v>27162</v>
      </c>
      <c r="P45" s="24">
        <v>22397</v>
      </c>
      <c r="Q45" s="24">
        <v>27172</v>
      </c>
      <c r="R45" s="22"/>
      <c r="S45" s="22"/>
      <c r="T45" s="22"/>
      <c r="U45" s="22"/>
      <c r="V45" s="22">
        <v>23050</v>
      </c>
      <c r="X45" s="24">
        <v>22940</v>
      </c>
      <c r="Y45" s="24">
        <v>28025</v>
      </c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31"/>
      <c r="AT45" s="31"/>
      <c r="AU45" s="31"/>
      <c r="AV45" s="31"/>
      <c r="AW45" s="31"/>
      <c r="AX45" s="31"/>
      <c r="AY45" s="22"/>
      <c r="AZ45" s="22"/>
      <c r="BA45" s="22"/>
      <c r="BB45" s="22"/>
      <c r="BC45" s="22"/>
      <c r="BE45" s="23"/>
      <c r="BF45" s="23"/>
      <c r="BG45" s="23"/>
      <c r="BH45" s="23"/>
      <c r="BI45" s="24">
        <f t="shared" si="10"/>
        <v>644</v>
      </c>
      <c r="BJ45" s="24">
        <f t="shared" si="11"/>
        <v>3.1772328989028792E-2</v>
      </c>
      <c r="BK45" s="24">
        <f t="shared" si="12"/>
        <v>0.97620041753653441</v>
      </c>
      <c r="BL45" s="24">
        <f t="shared" si="13"/>
        <v>3.1772328989028792E-2</v>
      </c>
      <c r="BM45" s="24">
        <f t="shared" si="14"/>
        <v>3.4451659451659448E-2</v>
      </c>
    </row>
    <row r="46" spans="1:65" s="40" customFormat="1" ht="21" customHeight="1">
      <c r="A46" s="37"/>
      <c r="B46" s="38" t="s">
        <v>110</v>
      </c>
      <c r="C46" s="38">
        <v>1</v>
      </c>
      <c r="D46" s="39">
        <v>22080</v>
      </c>
      <c r="E46" s="38">
        <v>22151</v>
      </c>
      <c r="F46" s="38">
        <v>22145</v>
      </c>
      <c r="G46" s="38">
        <v>6080900</v>
      </c>
      <c r="H46" s="38">
        <v>26893</v>
      </c>
      <c r="I46" s="38">
        <v>27115</v>
      </c>
      <c r="J46" s="38">
        <v>27064</v>
      </c>
      <c r="K46" s="38">
        <v>467600</v>
      </c>
      <c r="L46" s="38">
        <f t="shared" si="8"/>
        <v>134661530500</v>
      </c>
      <c r="M46" s="38">
        <f t="shared" si="9"/>
        <v>12655126400</v>
      </c>
      <c r="N46" s="38">
        <v>22372</v>
      </c>
      <c r="O46" s="38">
        <v>27386</v>
      </c>
      <c r="P46" s="40">
        <v>22301</v>
      </c>
      <c r="Q46" s="40">
        <v>27162</v>
      </c>
      <c r="R46" s="38"/>
      <c r="S46" s="38"/>
      <c r="T46" s="38"/>
      <c r="U46" s="38"/>
      <c r="V46" s="38"/>
      <c r="X46" s="40">
        <v>22880</v>
      </c>
      <c r="Y46" s="40">
        <v>27927</v>
      </c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9"/>
      <c r="AT46" s="39"/>
      <c r="AU46" s="39"/>
      <c r="AV46" s="39"/>
      <c r="AW46" s="39"/>
      <c r="AX46" s="39"/>
      <c r="AY46" s="38"/>
      <c r="AZ46" s="38"/>
      <c r="BA46" s="38"/>
      <c r="BB46" s="38"/>
      <c r="BC46" s="38"/>
      <c r="BE46" s="41"/>
      <c r="BF46" s="41"/>
      <c r="BG46" s="41"/>
      <c r="BH46" s="41"/>
      <c r="BI46" s="40">
        <f t="shared" si="10"/>
        <v>508</v>
      </c>
      <c r="BJ46" s="40">
        <f t="shared" si="11"/>
        <v>1.9754619148470022E-2</v>
      </c>
      <c r="BK46" s="40">
        <f t="shared" si="12"/>
        <v>1.3083832335329342</v>
      </c>
      <c r="BL46" s="40">
        <f t="shared" si="13"/>
        <v>1.9754619148470022E-2</v>
      </c>
      <c r="BM46" s="40">
        <f t="shared" si="14"/>
        <v>3.6231884057971016E-2</v>
      </c>
    </row>
    <row r="47" spans="1:65" s="40" customFormat="1" ht="21" customHeight="1">
      <c r="A47" s="37"/>
      <c r="B47" s="38" t="s">
        <v>111</v>
      </c>
      <c r="C47" s="38">
        <v>2</v>
      </c>
      <c r="D47" s="39">
        <v>22173</v>
      </c>
      <c r="E47" s="38">
        <v>22186</v>
      </c>
      <c r="F47" s="38">
        <v>22176</v>
      </c>
      <c r="G47" s="38">
        <v>7356200</v>
      </c>
      <c r="H47" s="38">
        <v>27150</v>
      </c>
      <c r="I47" s="38">
        <v>27030</v>
      </c>
      <c r="J47" s="38">
        <v>27088</v>
      </c>
      <c r="K47" s="38">
        <v>611800</v>
      </c>
      <c r="L47" s="38">
        <f t="shared" si="8"/>
        <v>163131091200</v>
      </c>
      <c r="M47" s="38">
        <f t="shared" si="9"/>
        <v>16572438400</v>
      </c>
      <c r="N47" s="38">
        <v>22408</v>
      </c>
      <c r="O47" s="38">
        <v>27301</v>
      </c>
      <c r="P47" s="40">
        <v>22394</v>
      </c>
      <c r="Q47" s="40">
        <v>27421</v>
      </c>
      <c r="R47" s="38"/>
      <c r="S47" s="38"/>
      <c r="T47" s="38"/>
      <c r="U47" s="38"/>
      <c r="V47" s="38"/>
      <c r="X47" s="40">
        <v>22920</v>
      </c>
      <c r="Y47" s="40">
        <v>27950</v>
      </c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9"/>
      <c r="AT47" s="39"/>
      <c r="AU47" s="39"/>
      <c r="AV47" s="39"/>
      <c r="AW47" s="39"/>
      <c r="AX47" s="39"/>
      <c r="AY47" s="38">
        <v>1090000</v>
      </c>
      <c r="AZ47" s="38"/>
      <c r="BA47" s="38"/>
      <c r="BB47" s="38"/>
      <c r="BC47" s="38"/>
      <c r="BE47" s="41"/>
      <c r="BF47" s="41"/>
      <c r="BG47" s="41"/>
      <c r="BH47" s="41"/>
      <c r="BI47" s="40">
        <f t="shared" si="10"/>
        <v>512</v>
      </c>
      <c r="BJ47" s="40">
        <f t="shared" si="11"/>
        <v>2.377202300282041E-2</v>
      </c>
      <c r="BK47" s="40">
        <f t="shared" si="12"/>
        <v>1.0933311539718862</v>
      </c>
      <c r="BL47" s="40">
        <f t="shared" si="13"/>
        <v>2.377202300282041E-2</v>
      </c>
      <c r="BM47" s="40">
        <f t="shared" si="14"/>
        <v>3.3689622513868221E-2</v>
      </c>
    </row>
    <row r="48" spans="1:65" s="40" customFormat="1" ht="21" customHeight="1">
      <c r="A48" s="37"/>
      <c r="B48" s="38" t="s">
        <v>112</v>
      </c>
      <c r="C48" s="38">
        <v>3</v>
      </c>
      <c r="D48" s="39">
        <v>22283</v>
      </c>
      <c r="E48" s="38">
        <v>22201</v>
      </c>
      <c r="F48" s="38">
        <v>22265</v>
      </c>
      <c r="G48" s="38">
        <v>8787200</v>
      </c>
      <c r="H48" s="38">
        <v>27030</v>
      </c>
      <c r="I48" s="38">
        <v>27047</v>
      </c>
      <c r="J48" s="38">
        <v>27150</v>
      </c>
      <c r="K48" s="38">
        <v>668900</v>
      </c>
      <c r="L48" s="38">
        <f t="shared" si="8"/>
        <v>195647008000</v>
      </c>
      <c r="M48" s="38">
        <f t="shared" si="9"/>
        <v>18160635000</v>
      </c>
      <c r="N48" s="38">
        <v>22423</v>
      </c>
      <c r="O48" s="38">
        <v>27318</v>
      </c>
      <c r="P48" s="40">
        <v>22506</v>
      </c>
      <c r="Q48" s="40">
        <v>27301</v>
      </c>
      <c r="R48" s="38"/>
      <c r="S48" s="38"/>
      <c r="T48" s="38"/>
      <c r="U48" s="38"/>
      <c r="V48" s="38">
        <v>23280</v>
      </c>
      <c r="X48" s="40">
        <v>23210</v>
      </c>
      <c r="Y48" s="40">
        <v>28259</v>
      </c>
      <c r="Z48" s="38"/>
      <c r="AA48" s="38"/>
      <c r="AB48" s="38">
        <v>6410</v>
      </c>
      <c r="AC48" s="38">
        <v>6375</v>
      </c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9"/>
      <c r="AT48" s="39"/>
      <c r="AU48" s="39"/>
      <c r="AV48" s="39"/>
      <c r="AW48" s="39"/>
      <c r="AX48" s="39"/>
      <c r="AY48" s="38">
        <v>10200000</v>
      </c>
      <c r="AZ48" s="38"/>
      <c r="BA48" s="38"/>
      <c r="BB48" s="38"/>
      <c r="BC48" s="38"/>
      <c r="BE48" s="41"/>
      <c r="BF48" s="41"/>
      <c r="BG48" s="41"/>
      <c r="BH48" s="41"/>
      <c r="BI48" s="40">
        <f t="shared" si="10"/>
        <v>787</v>
      </c>
      <c r="BJ48" s="40">
        <f t="shared" si="11"/>
        <v>3.4446152719818435E-2</v>
      </c>
      <c r="BK48" s="40">
        <f t="shared" si="12"/>
        <v>1.1163103602930184</v>
      </c>
      <c r="BL48" s="40">
        <f t="shared" si="13"/>
        <v>3.4446152719818435E-2</v>
      </c>
      <c r="BM48" s="40">
        <f t="shared" si="14"/>
        <v>4.1601220661490822E-2</v>
      </c>
    </row>
    <row r="49" spans="1:65" s="40" customFormat="1" ht="21" customHeight="1">
      <c r="A49" s="37"/>
      <c r="B49" s="38" t="s">
        <v>113</v>
      </c>
      <c r="C49" s="38">
        <v>4</v>
      </c>
      <c r="D49" s="39">
        <v>22169</v>
      </c>
      <c r="E49" s="38">
        <v>22211</v>
      </c>
      <c r="F49" s="38">
        <v>22155</v>
      </c>
      <c r="G49" s="38">
        <v>7704000</v>
      </c>
      <c r="H49" s="38">
        <v>27047</v>
      </c>
      <c r="I49" s="38">
        <v>27091</v>
      </c>
      <c r="J49" s="38">
        <v>27091</v>
      </c>
      <c r="K49" s="38">
        <v>746700</v>
      </c>
      <c r="L49" s="38">
        <f t="shared" si="8"/>
        <v>170682120000</v>
      </c>
      <c r="M49" s="38">
        <f t="shared" si="9"/>
        <v>20228849700</v>
      </c>
      <c r="N49" s="38">
        <v>22433</v>
      </c>
      <c r="O49" s="38">
        <v>27362</v>
      </c>
      <c r="P49" s="40">
        <v>22390</v>
      </c>
      <c r="Q49" s="40">
        <v>27318</v>
      </c>
      <c r="R49" s="38"/>
      <c r="S49" s="38"/>
      <c r="T49" s="38"/>
      <c r="U49" s="38"/>
      <c r="V49" s="38">
        <v>23100</v>
      </c>
      <c r="X49" s="40">
        <v>22980</v>
      </c>
      <c r="Y49" s="40">
        <v>28003</v>
      </c>
      <c r="Z49" s="38"/>
      <c r="AA49" s="38"/>
      <c r="AB49" s="38"/>
      <c r="AC49" s="38">
        <v>6330</v>
      </c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9">
        <v>10095000</v>
      </c>
      <c r="AT49" s="39"/>
      <c r="AU49" s="39"/>
      <c r="AV49" s="39"/>
      <c r="AW49" s="39"/>
      <c r="AX49" s="39"/>
      <c r="AY49" s="38">
        <v>10095000</v>
      </c>
      <c r="AZ49" s="38"/>
      <c r="BA49" s="38"/>
      <c r="BB49" s="38"/>
      <c r="BC49" s="38"/>
      <c r="BE49" s="41"/>
      <c r="BF49" s="41"/>
      <c r="BG49" s="41"/>
      <c r="BH49" s="41"/>
      <c r="BI49" s="40">
        <f t="shared" si="10"/>
        <v>547</v>
      </c>
      <c r="BJ49" s="40">
        <f t="shared" si="11"/>
        <v>2.3426650098676997E-2</v>
      </c>
      <c r="BK49" s="40">
        <f t="shared" si="12"/>
        <v>0.88536226061336543</v>
      </c>
      <c r="BL49" s="40">
        <f t="shared" si="13"/>
        <v>2.3426650098676997E-2</v>
      </c>
      <c r="BM49" s="40">
        <f t="shared" si="14"/>
        <v>3.6582615363796291E-2</v>
      </c>
    </row>
    <row r="50" spans="1:65" s="40" customFormat="1" ht="21" customHeight="1">
      <c r="A50" s="37"/>
      <c r="B50" s="38" t="s">
        <v>114</v>
      </c>
      <c r="C50" s="38">
        <v>5</v>
      </c>
      <c r="D50" s="39">
        <v>22256</v>
      </c>
      <c r="E50" s="38">
        <v>22300</v>
      </c>
      <c r="F50" s="38">
        <v>22270</v>
      </c>
      <c r="G50" s="38">
        <v>10087200</v>
      </c>
      <c r="H50" s="38">
        <v>27091</v>
      </c>
      <c r="I50" s="38">
        <v>27234</v>
      </c>
      <c r="J50" s="38">
        <v>27259</v>
      </c>
      <c r="K50" s="38">
        <v>661100</v>
      </c>
      <c r="L50" s="38">
        <f t="shared" si="8"/>
        <v>224641944000</v>
      </c>
      <c r="M50" s="38">
        <f t="shared" si="9"/>
        <v>18020924900</v>
      </c>
      <c r="N50" s="38">
        <v>22523</v>
      </c>
      <c r="O50" s="38">
        <v>27506</v>
      </c>
      <c r="P50" s="40">
        <v>22479</v>
      </c>
      <c r="Q50" s="40">
        <v>27362</v>
      </c>
      <c r="R50" s="38"/>
      <c r="S50" s="38"/>
      <c r="T50" s="38"/>
      <c r="U50" s="38"/>
      <c r="V50" s="38">
        <v>23160</v>
      </c>
      <c r="X50" s="40">
        <v>23330</v>
      </c>
      <c r="Y50" s="40">
        <v>28422</v>
      </c>
      <c r="Z50" s="38"/>
      <c r="AA50" s="38"/>
      <c r="AB50" s="38"/>
      <c r="AC50" s="38">
        <v>6430</v>
      </c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9"/>
      <c r="AT50" s="39"/>
      <c r="AU50" s="39"/>
      <c r="AV50" s="39"/>
      <c r="AW50" s="39"/>
      <c r="AX50" s="39"/>
      <c r="AY50" s="38">
        <v>10290000</v>
      </c>
      <c r="AZ50" s="38"/>
      <c r="BA50" s="38"/>
      <c r="BB50" s="38"/>
      <c r="BC50" s="38"/>
      <c r="BE50" s="41"/>
      <c r="BF50" s="41"/>
      <c r="BG50" s="41"/>
      <c r="BH50" s="41"/>
      <c r="BI50" s="40">
        <f t="shared" si="10"/>
        <v>807</v>
      </c>
      <c r="BJ50" s="40">
        <f t="shared" si="11"/>
        <v>3.330182505635134E-2</v>
      </c>
      <c r="BK50" s="40">
        <f t="shared" si="12"/>
        <v>0.62895174708818635</v>
      </c>
      <c r="BL50" s="40">
        <f t="shared" si="13"/>
        <v>3.330182505635134E-2</v>
      </c>
      <c r="BM50" s="40">
        <f t="shared" si="14"/>
        <v>4.8256649892163911E-2</v>
      </c>
    </row>
    <row r="51" spans="1:65" s="40" customFormat="1" ht="21" customHeight="1">
      <c r="A51" s="37"/>
      <c r="B51" s="38" t="s">
        <v>115</v>
      </c>
      <c r="C51" s="38">
        <v>6</v>
      </c>
      <c r="D51" s="39">
        <v>22315</v>
      </c>
      <c r="E51" s="38">
        <v>22448</v>
      </c>
      <c r="F51" s="38">
        <v>22403</v>
      </c>
      <c r="G51" s="38">
        <v>6515600</v>
      </c>
      <c r="H51" s="38">
        <v>27318</v>
      </c>
      <c r="I51" s="38">
        <v>27263</v>
      </c>
      <c r="J51" s="38">
        <v>27354</v>
      </c>
      <c r="K51" s="38">
        <v>415800</v>
      </c>
      <c r="L51" s="38">
        <f t="shared" si="8"/>
        <v>145968986800</v>
      </c>
      <c r="M51" s="38">
        <f t="shared" si="9"/>
        <v>11373793200</v>
      </c>
      <c r="N51" s="38">
        <v>22673</v>
      </c>
      <c r="O51" s="38">
        <v>27535</v>
      </c>
      <c r="P51" s="40">
        <v>22538</v>
      </c>
      <c r="Q51" s="40">
        <v>27591</v>
      </c>
      <c r="R51" s="38"/>
      <c r="S51" s="38"/>
      <c r="T51" s="38"/>
      <c r="U51" s="38"/>
      <c r="V51" s="38"/>
      <c r="X51" s="40">
        <v>23200</v>
      </c>
      <c r="Y51" s="40">
        <v>28410</v>
      </c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9"/>
      <c r="AT51" s="39"/>
      <c r="AU51" s="39"/>
      <c r="AV51" s="39"/>
      <c r="AW51" s="39"/>
      <c r="AX51" s="39"/>
      <c r="AY51" s="38">
        <v>10325000</v>
      </c>
      <c r="AZ51" s="38"/>
      <c r="BA51" s="38"/>
      <c r="BB51" s="38"/>
      <c r="BC51" s="38"/>
      <c r="BE51" s="41"/>
      <c r="BF51" s="41"/>
      <c r="BG51" s="41"/>
      <c r="BH51" s="41"/>
      <c r="BI51" s="40">
        <f t="shared" si="10"/>
        <v>527</v>
      </c>
      <c r="BJ51" s="40">
        <f t="shared" si="11"/>
        <v>3.1777737425095334E-2</v>
      </c>
      <c r="BK51" s="40">
        <f t="shared" si="12"/>
        <v>2.7195767195767195</v>
      </c>
      <c r="BL51" s="40">
        <f t="shared" si="13"/>
        <v>3.1777737425095334E-2</v>
      </c>
      <c r="BM51" s="40">
        <f t="shared" si="14"/>
        <v>3.9659421913511093E-2</v>
      </c>
    </row>
    <row r="52" spans="1:65" s="29" customFormat="1" ht="21" customHeight="1">
      <c r="A52" s="28"/>
      <c r="B52" s="10" t="s">
        <v>116</v>
      </c>
      <c r="C52" s="10">
        <v>8</v>
      </c>
      <c r="D52" s="27">
        <v>22983</v>
      </c>
      <c r="E52" s="10">
        <v>23228</v>
      </c>
      <c r="F52" s="10">
        <v>23153</v>
      </c>
      <c r="G52" s="10">
        <v>10435700</v>
      </c>
      <c r="H52" s="10">
        <v>27263</v>
      </c>
      <c r="I52" s="10">
        <v>28030</v>
      </c>
      <c r="J52" s="10">
        <v>27964</v>
      </c>
      <c r="K52" s="10">
        <v>1130800</v>
      </c>
      <c r="L52" s="10">
        <f t="shared" si="8"/>
        <v>241617762100</v>
      </c>
      <c r="M52" s="10">
        <f t="shared" si="9"/>
        <v>31621691200</v>
      </c>
      <c r="N52" s="10">
        <v>23461</v>
      </c>
      <c r="O52" s="10">
        <v>28310</v>
      </c>
      <c r="P52" s="29">
        <v>23213</v>
      </c>
      <c r="Q52" s="29">
        <v>27535</v>
      </c>
      <c r="R52" s="10"/>
      <c r="S52" s="10"/>
      <c r="T52" s="10"/>
      <c r="U52" s="10"/>
      <c r="V52" s="10">
        <v>23770</v>
      </c>
      <c r="X52" s="29">
        <v>23950</v>
      </c>
      <c r="Y52" s="29">
        <v>29211</v>
      </c>
      <c r="Z52" s="10"/>
      <c r="AA52" s="10"/>
      <c r="AB52" s="10"/>
      <c r="AC52" s="10">
        <v>10630000</v>
      </c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27"/>
      <c r="AT52" s="27"/>
      <c r="AU52" s="27"/>
      <c r="AV52" s="27"/>
      <c r="AW52" s="27"/>
      <c r="AX52" s="27"/>
      <c r="AY52" s="10">
        <v>10695000</v>
      </c>
      <c r="AZ52" s="10"/>
      <c r="BA52" s="10"/>
      <c r="BB52" s="10"/>
      <c r="BC52" s="10"/>
      <c r="BE52" s="30"/>
      <c r="BF52" s="30"/>
      <c r="BG52" s="30"/>
      <c r="BH52" s="30"/>
      <c r="BI52" s="29">
        <f t="shared" si="10"/>
        <v>489</v>
      </c>
      <c r="BJ52" s="29">
        <f t="shared" si="11"/>
        <v>3.1826209819851639E-2</v>
      </c>
      <c r="BK52" s="29">
        <f t="shared" si="12"/>
        <v>0.59789529536611252</v>
      </c>
      <c r="BL52" s="29">
        <f t="shared" si="13"/>
        <v>3.1826209819851639E-2</v>
      </c>
      <c r="BM52" s="29">
        <f t="shared" si="14"/>
        <v>4.2074576861158244E-2</v>
      </c>
    </row>
    <row r="53" spans="1:65" s="29" customFormat="1" ht="21" customHeight="1">
      <c r="A53" s="28"/>
      <c r="B53" s="10" t="s">
        <v>117</v>
      </c>
      <c r="C53" s="10">
        <v>9</v>
      </c>
      <c r="D53" s="27">
        <v>24037</v>
      </c>
      <c r="E53" s="10">
        <v>23217</v>
      </c>
      <c r="F53" s="10">
        <v>23835</v>
      </c>
      <c r="G53" s="10">
        <v>7157400</v>
      </c>
      <c r="H53" s="10">
        <v>29007</v>
      </c>
      <c r="I53" s="10">
        <v>28036</v>
      </c>
      <c r="J53" s="10">
        <v>28534</v>
      </c>
      <c r="K53" s="10">
        <v>676100</v>
      </c>
      <c r="L53" s="10">
        <f t="shared" si="8"/>
        <v>170596629000</v>
      </c>
      <c r="M53" s="10">
        <f t="shared" si="9"/>
        <v>19291837400</v>
      </c>
      <c r="N53" s="10">
        <v>23449</v>
      </c>
      <c r="O53" s="10">
        <v>28316</v>
      </c>
      <c r="P53" s="29">
        <v>24278</v>
      </c>
      <c r="Q53" s="29">
        <v>29297</v>
      </c>
      <c r="R53" s="10"/>
      <c r="S53" s="10"/>
      <c r="T53" s="10"/>
      <c r="U53" s="10"/>
      <c r="V53" s="10">
        <v>24550</v>
      </c>
      <c r="X53" s="29">
        <v>24430</v>
      </c>
      <c r="Y53" s="29">
        <v>30077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27"/>
      <c r="AT53" s="27"/>
      <c r="AU53" s="27"/>
      <c r="AV53" s="27"/>
      <c r="AW53" s="27"/>
      <c r="AX53" s="27"/>
      <c r="AY53" s="10">
        <v>10750000</v>
      </c>
      <c r="AZ53" s="10"/>
      <c r="BA53" s="10"/>
      <c r="BB53" s="10"/>
      <c r="BC53" s="10"/>
      <c r="BE53" s="30"/>
      <c r="BF53" s="30"/>
      <c r="BG53" s="30"/>
      <c r="BH53" s="30"/>
      <c r="BI53" s="29">
        <f t="shared" si="10"/>
        <v>981</v>
      </c>
      <c r="BJ53" s="29">
        <f t="shared" si="11"/>
        <v>6.2190987427602769E-2</v>
      </c>
      <c r="BK53" s="29">
        <f t="shared" si="12"/>
        <v>0.59784055613074993</v>
      </c>
      <c r="BL53" s="29">
        <f t="shared" si="13"/>
        <v>6.2190987427602769E-2</v>
      </c>
      <c r="BM53" s="29">
        <f t="shared" si="14"/>
        <v>1.6349794067479304E-2</v>
      </c>
    </row>
    <row r="54" spans="1:65" s="24" customFormat="1" ht="21" customHeight="1">
      <c r="A54" s="21"/>
      <c r="B54" s="22" t="s">
        <v>118</v>
      </c>
      <c r="C54" s="22">
        <v>10</v>
      </c>
      <c r="D54" s="31">
        <v>23218</v>
      </c>
      <c r="E54" s="22">
        <v>23172</v>
      </c>
      <c r="F54" s="22">
        <v>23104</v>
      </c>
      <c r="G54" s="22">
        <v>6255100</v>
      </c>
      <c r="H54" s="22">
        <v>28036</v>
      </c>
      <c r="I54" s="22">
        <v>27978</v>
      </c>
      <c r="J54" s="22">
        <v>27984</v>
      </c>
      <c r="K54" s="22">
        <v>404200</v>
      </c>
      <c r="L54" s="22">
        <f t="shared" si="8"/>
        <v>144517830400</v>
      </c>
      <c r="M54" s="22">
        <f t="shared" si="9"/>
        <v>11311132800</v>
      </c>
      <c r="N54" s="22">
        <v>23404</v>
      </c>
      <c r="O54" s="22">
        <v>28258</v>
      </c>
      <c r="P54" s="24">
        <v>23450</v>
      </c>
      <c r="Q54" s="24">
        <v>28316</v>
      </c>
      <c r="R54" s="22"/>
      <c r="S54" s="22"/>
      <c r="T54" s="22"/>
      <c r="U54" s="22"/>
      <c r="V54" s="22">
        <v>24050</v>
      </c>
      <c r="X54" s="24">
        <v>23750</v>
      </c>
      <c r="Y54" s="24">
        <v>29116</v>
      </c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31"/>
      <c r="AT54" s="31"/>
      <c r="AU54" s="31"/>
      <c r="AV54" s="31"/>
      <c r="AW54" s="31"/>
      <c r="AX54" s="31"/>
      <c r="AY54" s="22">
        <v>10645000</v>
      </c>
      <c r="AZ54" s="22"/>
      <c r="BA54" s="22"/>
      <c r="BB54" s="22"/>
      <c r="BC54" s="22"/>
      <c r="BE54" s="23"/>
      <c r="BF54" s="23"/>
      <c r="BG54" s="23"/>
      <c r="BH54" s="23"/>
      <c r="BI54" s="24">
        <f t="shared" si="10"/>
        <v>346</v>
      </c>
      <c r="BJ54" s="24">
        <f t="shared" si="11"/>
        <v>3.0363083020737491E-2</v>
      </c>
      <c r="BK54" s="24">
        <f t="shared" si="12"/>
        <v>1.6110836219693221</v>
      </c>
      <c r="BL54" s="24">
        <f t="shared" si="13"/>
        <v>3.0363083020737491E-2</v>
      </c>
      <c r="BM54" s="24">
        <f t="shared" si="14"/>
        <v>2.2913256955810146E-2</v>
      </c>
    </row>
    <row r="55" spans="1:65" s="29" customFormat="1" ht="21" customHeight="1">
      <c r="A55" s="28"/>
      <c r="B55" s="10" t="s">
        <v>119</v>
      </c>
      <c r="C55" s="10">
        <v>11</v>
      </c>
      <c r="D55" s="27">
        <v>23305</v>
      </c>
      <c r="E55" s="10">
        <v>23263</v>
      </c>
      <c r="F55" s="10">
        <v>23284</v>
      </c>
      <c r="G55" s="10">
        <v>7440200</v>
      </c>
      <c r="H55" s="10">
        <v>27978</v>
      </c>
      <c r="I55" s="10">
        <v>28232</v>
      </c>
      <c r="J55" s="10">
        <v>28257</v>
      </c>
      <c r="K55" s="10">
        <v>651200</v>
      </c>
      <c r="L55" s="10">
        <f t="shared" si="8"/>
        <v>173237616800</v>
      </c>
      <c r="M55" s="10">
        <f t="shared" si="9"/>
        <v>18400958400</v>
      </c>
      <c r="N55" s="10">
        <v>23496</v>
      </c>
      <c r="O55" s="10">
        <v>28514</v>
      </c>
      <c r="P55" s="29">
        <v>23538</v>
      </c>
      <c r="Q55" s="29">
        <v>28258</v>
      </c>
      <c r="R55" s="10"/>
      <c r="S55" s="10"/>
      <c r="T55" s="10"/>
      <c r="U55" s="10"/>
      <c r="V55" s="10">
        <v>24170</v>
      </c>
      <c r="X55" s="29">
        <v>23980</v>
      </c>
      <c r="Y55" s="29">
        <v>29360</v>
      </c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27"/>
      <c r="AT55" s="27"/>
      <c r="AU55" s="27"/>
      <c r="AV55" s="27"/>
      <c r="AW55" s="27"/>
      <c r="AX55" s="27"/>
      <c r="AY55" s="10">
        <v>10830000</v>
      </c>
      <c r="AZ55" s="10"/>
      <c r="BA55" s="10"/>
      <c r="BB55" s="10"/>
      <c r="BC55" s="10"/>
      <c r="BE55" s="30"/>
      <c r="BF55" s="30"/>
      <c r="BG55" s="30"/>
      <c r="BH55" s="30"/>
      <c r="BJ55" s="29">
        <f t="shared" si="11"/>
        <v>2.9669635968296276E-2</v>
      </c>
      <c r="BK55" s="29">
        <f t="shared" si="12"/>
        <v>1.6933353808353808</v>
      </c>
      <c r="BL55" s="29">
        <f t="shared" si="13"/>
        <v>2.9669635968296276E-2</v>
      </c>
      <c r="BM55" s="29">
        <f t="shared" si="14"/>
        <v>2.8963741686333404E-2</v>
      </c>
    </row>
    <row r="56" spans="1:65" s="29" customFormat="1" ht="21" customHeight="1">
      <c r="A56" s="28"/>
      <c r="B56" s="10" t="s">
        <v>120</v>
      </c>
      <c r="C56" s="10">
        <v>12</v>
      </c>
      <c r="D56" s="27">
        <v>23190</v>
      </c>
      <c r="E56" s="10">
        <v>23095</v>
      </c>
      <c r="F56" s="10">
        <v>23157</v>
      </c>
      <c r="G56" s="10">
        <v>6911900</v>
      </c>
      <c r="H56" s="10">
        <v>28232</v>
      </c>
      <c r="I56" s="10">
        <v>28074</v>
      </c>
      <c r="J56" s="10">
        <v>28039</v>
      </c>
      <c r="K56" s="10">
        <v>1102700</v>
      </c>
      <c r="L56" s="10">
        <f t="shared" si="8"/>
        <v>160058868300</v>
      </c>
      <c r="M56" s="10">
        <f t="shared" si="9"/>
        <v>30918605300</v>
      </c>
      <c r="N56" s="10">
        <v>23326</v>
      </c>
      <c r="O56" s="10">
        <v>28355</v>
      </c>
      <c r="P56" s="29">
        <v>23421</v>
      </c>
      <c r="Q56" s="29">
        <v>28514</v>
      </c>
      <c r="R56" s="10"/>
      <c r="S56" s="10"/>
      <c r="T56" s="10"/>
      <c r="U56" s="10"/>
      <c r="V56" s="10">
        <v>23850</v>
      </c>
      <c r="X56" s="29">
        <v>23970</v>
      </c>
      <c r="Y56" s="29">
        <v>29055</v>
      </c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27"/>
      <c r="AT56" s="27"/>
      <c r="AU56" s="27"/>
      <c r="AV56" s="27"/>
      <c r="AW56" s="27"/>
      <c r="AX56" s="27"/>
      <c r="AY56" s="10">
        <v>10840000</v>
      </c>
      <c r="AZ56" s="10"/>
      <c r="BA56" s="10"/>
      <c r="BB56" s="10"/>
      <c r="BC56" s="10"/>
      <c r="BE56" s="30"/>
      <c r="BF56" s="30"/>
      <c r="BG56" s="30"/>
      <c r="BH56" s="30"/>
      <c r="BJ56" s="29">
        <f t="shared" si="11"/>
        <v>2.4687004055722096E-2</v>
      </c>
      <c r="BK56" s="29">
        <f t="shared" si="12"/>
        <v>0.2930987575949941</v>
      </c>
      <c r="BL56" s="29">
        <f t="shared" si="13"/>
        <v>2.4687004055722096E-2</v>
      </c>
      <c r="BM56" s="29">
        <f t="shared" si="14"/>
        <v>3.3635187580853813E-2</v>
      </c>
    </row>
    <row r="57" spans="1:65" s="29" customFormat="1" ht="21" customHeight="1">
      <c r="A57" s="28"/>
      <c r="B57" s="10" t="s">
        <v>121</v>
      </c>
      <c r="C57" s="10">
        <v>13</v>
      </c>
      <c r="D57" s="27">
        <v>23163</v>
      </c>
      <c r="E57" s="10">
        <v>23207</v>
      </c>
      <c r="F57" s="10">
        <v>23147</v>
      </c>
      <c r="G57" s="10">
        <v>5333300</v>
      </c>
      <c r="H57" s="10">
        <v>28100</v>
      </c>
      <c r="I57" s="10">
        <v>28417</v>
      </c>
      <c r="J57" s="10">
        <v>28310</v>
      </c>
      <c r="K57" s="10">
        <v>323200</v>
      </c>
      <c r="L57" s="10">
        <f t="shared" si="8"/>
        <v>123449895100</v>
      </c>
      <c r="M57" s="10">
        <f t="shared" si="9"/>
        <v>9149792000</v>
      </c>
      <c r="N57" s="10">
        <v>23439</v>
      </c>
      <c r="O57" s="10">
        <v>28701</v>
      </c>
      <c r="P57" s="29">
        <v>23394</v>
      </c>
      <c r="Q57" s="29">
        <v>28381</v>
      </c>
      <c r="R57" s="10"/>
      <c r="S57" s="10"/>
      <c r="T57" s="10"/>
      <c r="U57" s="10"/>
      <c r="V57" s="29">
        <v>23840</v>
      </c>
      <c r="X57" s="29">
        <v>23830</v>
      </c>
      <c r="Y57" s="29">
        <v>29111</v>
      </c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27"/>
      <c r="AT57" s="27"/>
      <c r="AU57" s="27"/>
      <c r="AV57" s="27"/>
      <c r="AW57" s="27"/>
      <c r="AX57" s="27"/>
      <c r="AY57" s="10">
        <v>10760000</v>
      </c>
      <c r="AZ57" s="10"/>
      <c r="BA57" s="10"/>
      <c r="BB57" s="10"/>
      <c r="BC57" s="10"/>
      <c r="BE57" s="30"/>
      <c r="BF57" s="30"/>
      <c r="BG57" s="30"/>
      <c r="BH57" s="30"/>
      <c r="BJ57" s="29">
        <f t="shared" si="11"/>
        <v>1.4285216542977597E-2</v>
      </c>
      <c r="BK57" s="29">
        <f t="shared" si="12"/>
        <v>0.93440594059405946</v>
      </c>
      <c r="BL57" s="29">
        <f t="shared" si="13"/>
        <v>1.4285216542977597E-2</v>
      </c>
      <c r="BM57" s="29">
        <f t="shared" si="14"/>
        <v>2.8795924534818461E-2</v>
      </c>
    </row>
    <row r="58" spans="1:65" s="35" customFormat="1" ht="21" customHeight="1">
      <c r="A58" s="32"/>
      <c r="B58" s="33" t="s">
        <v>122</v>
      </c>
      <c r="C58" s="33">
        <v>17</v>
      </c>
      <c r="D58" s="34">
        <v>23356</v>
      </c>
      <c r="E58" s="33">
        <v>23351</v>
      </c>
      <c r="F58" s="33">
        <v>23363</v>
      </c>
      <c r="G58" s="33">
        <v>7194800</v>
      </c>
      <c r="H58" s="33">
        <v>28417</v>
      </c>
      <c r="I58" s="33">
        <v>28450</v>
      </c>
      <c r="J58" s="33">
        <v>28491</v>
      </c>
      <c r="K58" s="33">
        <v>302000</v>
      </c>
      <c r="L58" s="33">
        <f t="shared" si="8"/>
        <v>168092112400</v>
      </c>
      <c r="M58" s="33">
        <f t="shared" si="9"/>
        <v>8604282000</v>
      </c>
      <c r="N58" s="33">
        <v>23584</v>
      </c>
      <c r="O58" s="33">
        <v>28734</v>
      </c>
      <c r="P58" s="35">
        <v>23590</v>
      </c>
      <c r="Q58" s="35">
        <v>28701</v>
      </c>
      <c r="R58" s="33"/>
      <c r="S58" s="33"/>
      <c r="T58" s="33"/>
      <c r="U58" s="33"/>
      <c r="V58" s="35">
        <v>24030</v>
      </c>
      <c r="X58" s="35">
        <v>23980</v>
      </c>
      <c r="Y58" s="35">
        <v>29166</v>
      </c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4"/>
      <c r="AT58" s="34"/>
      <c r="AU58" s="34"/>
      <c r="AV58" s="34"/>
      <c r="AW58" s="34"/>
      <c r="AX58" s="34"/>
      <c r="AY58" s="33">
        <v>10900000</v>
      </c>
      <c r="AZ58" s="33"/>
      <c r="BA58" s="33"/>
      <c r="BB58" s="33"/>
      <c r="BC58" s="33"/>
      <c r="BE58" s="36"/>
      <c r="BF58" s="36"/>
      <c r="BG58" s="36"/>
      <c r="BH58" s="36"/>
      <c r="BJ58" s="35">
        <f t="shared" si="11"/>
        <v>1.5034453956984757E-2</v>
      </c>
      <c r="BK58" s="35">
        <f t="shared" si="12"/>
        <v>0.74238410596026494</v>
      </c>
      <c r="BL58" s="35">
        <f t="shared" si="13"/>
        <v>1.5034453956984757E-2</v>
      </c>
      <c r="BM58" s="35">
        <f t="shared" si="14"/>
        <v>2.671690357938003E-2</v>
      </c>
    </row>
    <row r="59" spans="1:65" s="35" customFormat="1" ht="21" customHeight="1">
      <c r="A59" s="32"/>
      <c r="B59" s="33" t="s">
        <v>123</v>
      </c>
      <c r="C59" s="33">
        <v>18</v>
      </c>
      <c r="D59" s="34">
        <v>23319</v>
      </c>
      <c r="E59" s="33">
        <v>23298</v>
      </c>
      <c r="F59" s="33">
        <v>23284</v>
      </c>
      <c r="G59" s="33">
        <v>5780300</v>
      </c>
      <c r="H59" s="33">
        <v>28450</v>
      </c>
      <c r="I59" s="33">
        <v>28400</v>
      </c>
      <c r="J59" s="33">
        <v>28488</v>
      </c>
      <c r="K59" s="33">
        <v>224200</v>
      </c>
      <c r="L59" s="33">
        <f t="shared" si="8"/>
        <v>134588505200</v>
      </c>
      <c r="M59" s="33">
        <f t="shared" si="9"/>
        <v>6387009600</v>
      </c>
      <c r="N59" s="33">
        <v>23530</v>
      </c>
      <c r="O59" s="33">
        <v>28684</v>
      </c>
      <c r="P59" s="35">
        <v>23552</v>
      </c>
      <c r="Q59" s="35">
        <v>28735</v>
      </c>
      <c r="R59" s="33"/>
      <c r="S59" s="33"/>
      <c r="T59" s="33"/>
      <c r="U59" s="33"/>
      <c r="V59" s="35">
        <v>23920</v>
      </c>
      <c r="X59" s="35">
        <v>23880</v>
      </c>
      <c r="Y59" s="35">
        <v>29141</v>
      </c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4"/>
      <c r="AT59" s="34"/>
      <c r="AU59" s="34"/>
      <c r="AV59" s="34"/>
      <c r="AW59" s="34"/>
      <c r="AX59" s="34"/>
      <c r="AY59" s="33">
        <v>10685000</v>
      </c>
      <c r="AZ59" s="33"/>
      <c r="BA59" s="33"/>
      <c r="BB59" s="33"/>
      <c r="BC59" s="33"/>
      <c r="BE59" s="36"/>
      <c r="BF59" s="36"/>
      <c r="BG59" s="36"/>
      <c r="BH59" s="36"/>
      <c r="BJ59" s="35">
        <f t="shared" si="11"/>
        <v>1.5932227025519455E-2</v>
      </c>
      <c r="BK59" s="35">
        <f t="shared" si="12"/>
        <v>0.91882247992863519</v>
      </c>
      <c r="BL59" s="35">
        <f t="shared" si="13"/>
        <v>1.5932227025519455E-2</v>
      </c>
      <c r="BM59" s="35">
        <f t="shared" si="14"/>
        <v>2.4057635404605687E-2</v>
      </c>
    </row>
    <row r="60" spans="1:65" s="35" customFormat="1" ht="21" customHeight="1">
      <c r="A60" s="32"/>
      <c r="B60" s="33" t="s">
        <v>124</v>
      </c>
      <c r="C60" s="33">
        <v>19</v>
      </c>
      <c r="D60" s="34">
        <v>23418</v>
      </c>
      <c r="E60" s="33">
        <v>23341</v>
      </c>
      <c r="F60" s="33">
        <v>23364</v>
      </c>
      <c r="G60" s="33">
        <v>8986900</v>
      </c>
      <c r="H60" s="33">
        <v>28400</v>
      </c>
      <c r="I60" s="33">
        <v>28450</v>
      </c>
      <c r="J60" s="33">
        <v>28483</v>
      </c>
      <c r="K60" s="33">
        <v>206000</v>
      </c>
      <c r="L60" s="33">
        <f t="shared" si="8"/>
        <v>209969931600</v>
      </c>
      <c r="M60" s="33">
        <f t="shared" si="9"/>
        <v>5867498000</v>
      </c>
      <c r="N60" s="33">
        <v>23575</v>
      </c>
      <c r="O60" s="33">
        <v>28734</v>
      </c>
      <c r="P60" s="35">
        <v>23652</v>
      </c>
      <c r="Q60" s="35">
        <v>28684</v>
      </c>
      <c r="R60" s="33"/>
      <c r="S60" s="33"/>
      <c r="T60" s="33"/>
      <c r="U60" s="33"/>
      <c r="V60" s="35">
        <v>24030</v>
      </c>
      <c r="X60" s="35">
        <v>24180</v>
      </c>
      <c r="Y60" s="35">
        <v>29307</v>
      </c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4"/>
      <c r="AT60" s="34"/>
      <c r="AU60" s="34"/>
      <c r="AV60" s="34"/>
      <c r="AW60" s="34"/>
      <c r="AX60" s="34"/>
      <c r="AY60" s="33">
        <v>10755000</v>
      </c>
      <c r="AZ60" s="33"/>
      <c r="BA60" s="33"/>
      <c r="BB60" s="33"/>
      <c r="BC60" s="33"/>
      <c r="BE60" s="36"/>
      <c r="BF60" s="36"/>
      <c r="BG60" s="36"/>
      <c r="BH60" s="36"/>
      <c r="BJ60" s="35">
        <f t="shared" si="11"/>
        <v>1.994153267905617E-2</v>
      </c>
      <c r="BK60" s="35">
        <f t="shared" si="12"/>
        <v>0.3446601941747573</v>
      </c>
      <c r="BL60" s="35">
        <f t="shared" si="13"/>
        <v>1.994153267905617E-2</v>
      </c>
      <c r="BM60" s="35">
        <f t="shared" si="14"/>
        <v>3.2539072508326931E-2</v>
      </c>
    </row>
    <row r="61" spans="1:65" s="35" customFormat="1" ht="21" customHeight="1">
      <c r="A61" s="32"/>
      <c r="B61" s="33" t="s">
        <v>125</v>
      </c>
      <c r="C61" s="33">
        <v>20</v>
      </c>
      <c r="D61" s="34">
        <v>23360</v>
      </c>
      <c r="E61" s="33">
        <v>23375</v>
      </c>
      <c r="F61" s="33">
        <v>23364</v>
      </c>
      <c r="G61" s="33">
        <v>4261300</v>
      </c>
      <c r="H61" s="33">
        <v>28450</v>
      </c>
      <c r="I61" s="33">
        <v>28670</v>
      </c>
      <c r="J61" s="33">
        <v>28655</v>
      </c>
      <c r="K61" s="33">
        <v>71000</v>
      </c>
      <c r="L61" s="33">
        <f t="shared" si="8"/>
        <v>99561013200</v>
      </c>
      <c r="M61" s="33">
        <f t="shared" si="9"/>
        <v>2034505000</v>
      </c>
      <c r="N61" s="33">
        <v>23609</v>
      </c>
      <c r="O61" s="33">
        <v>28957</v>
      </c>
      <c r="P61" s="35">
        <v>23594</v>
      </c>
      <c r="Q61" s="35">
        <v>28734</v>
      </c>
      <c r="R61" s="33"/>
      <c r="S61" s="33"/>
      <c r="T61" s="33"/>
      <c r="U61" s="33"/>
      <c r="V61" s="35">
        <v>23950</v>
      </c>
      <c r="X61" s="35">
        <v>24020</v>
      </c>
      <c r="Y61" s="35">
        <v>29231</v>
      </c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4"/>
      <c r="AT61" s="34"/>
      <c r="AU61" s="34"/>
      <c r="AV61" s="34"/>
      <c r="AW61" s="34"/>
      <c r="AX61" s="34"/>
      <c r="AY61" s="33">
        <v>10795000</v>
      </c>
      <c r="AZ61" s="33"/>
      <c r="BA61" s="33"/>
      <c r="BB61" s="33"/>
      <c r="BC61" s="33"/>
      <c r="BE61" s="36"/>
      <c r="BF61" s="36"/>
      <c r="BG61" s="36"/>
      <c r="BH61" s="36"/>
      <c r="BJ61" s="35">
        <f t="shared" si="11"/>
        <v>9.4623061781261876E-3</v>
      </c>
      <c r="BK61" s="35">
        <f t="shared" si="12"/>
        <v>12.219718309859156</v>
      </c>
      <c r="BL61" s="35">
        <f t="shared" si="13"/>
        <v>9.4623061781261876E-3</v>
      </c>
      <c r="BM61" s="35">
        <f t="shared" si="14"/>
        <v>2.8253424657534245E-2</v>
      </c>
    </row>
    <row r="62" spans="1:65" s="29" customFormat="1" ht="21" customHeight="1">
      <c r="A62" s="28"/>
      <c r="B62" s="10" t="s">
        <v>126</v>
      </c>
      <c r="C62" s="10">
        <v>22</v>
      </c>
      <c r="D62" s="27">
        <v>23105</v>
      </c>
      <c r="E62" s="10">
        <v>23156</v>
      </c>
      <c r="F62" s="10">
        <v>23063</v>
      </c>
      <c r="G62" s="10">
        <v>4665200</v>
      </c>
      <c r="H62" s="10">
        <v>28670</v>
      </c>
      <c r="I62" s="10">
        <v>27862</v>
      </c>
      <c r="J62" s="10">
        <v>27891</v>
      </c>
      <c r="K62" s="10">
        <v>867600</v>
      </c>
      <c r="L62" s="10">
        <f t="shared" si="8"/>
        <v>107593507600</v>
      </c>
      <c r="M62" s="10">
        <f t="shared" si="9"/>
        <v>24198231600</v>
      </c>
      <c r="N62" s="10">
        <v>23387</v>
      </c>
      <c r="O62" s="10">
        <v>28140</v>
      </c>
      <c r="P62" s="29">
        <v>23336</v>
      </c>
      <c r="Q62" s="29">
        <v>28957</v>
      </c>
      <c r="R62" s="10"/>
      <c r="S62" s="10"/>
      <c r="T62" s="10"/>
      <c r="U62" s="10"/>
      <c r="V62" s="29">
        <v>23600</v>
      </c>
      <c r="X62" s="29">
        <v>23640</v>
      </c>
      <c r="Y62" s="29">
        <v>28601</v>
      </c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27"/>
      <c r="AT62" s="27"/>
      <c r="AU62" s="27"/>
      <c r="AV62" s="27"/>
      <c r="AW62" s="27"/>
      <c r="AX62" s="27"/>
      <c r="AY62" s="10"/>
      <c r="AZ62" s="10"/>
      <c r="BA62" s="10"/>
      <c r="BB62" s="10"/>
      <c r="BC62" s="10"/>
      <c r="BE62" s="30"/>
      <c r="BF62" s="30"/>
      <c r="BG62" s="30"/>
      <c r="BH62" s="30"/>
      <c r="BJ62" s="29">
        <f t="shared" si="11"/>
        <v>1.6382373845060413E-2</v>
      </c>
      <c r="BK62" s="29">
        <f>K133/K62</f>
        <v>144.72637159981559</v>
      </c>
      <c r="BL62" s="29">
        <f t="shared" si="13"/>
        <v>1.6382373845060413E-2</v>
      </c>
      <c r="BM62" s="29">
        <f t="shared" si="14"/>
        <v>2.3155161220515041E-2</v>
      </c>
    </row>
    <row r="63" spans="1:65" s="29" customFormat="1" ht="21" customHeight="1">
      <c r="A63" s="28"/>
      <c r="B63" s="10" t="s">
        <v>127</v>
      </c>
      <c r="C63" s="10">
        <v>23</v>
      </c>
      <c r="D63" s="27">
        <v>23294</v>
      </c>
      <c r="E63" s="10">
        <v>23297</v>
      </c>
      <c r="F63" s="10">
        <v>23280</v>
      </c>
      <c r="G63" s="10">
        <v>8774900</v>
      </c>
      <c r="H63" s="10">
        <v>27862</v>
      </c>
      <c r="I63" s="10">
        <v>28426</v>
      </c>
      <c r="J63" s="10">
        <v>28358</v>
      </c>
      <c r="K63" s="10">
        <v>322400</v>
      </c>
      <c r="L63" s="10">
        <f t="shared" si="8"/>
        <v>204279672000</v>
      </c>
      <c r="M63" s="10">
        <f t="shared" si="9"/>
        <v>9142619200</v>
      </c>
      <c r="N63" s="29">
        <v>23530</v>
      </c>
      <c r="O63" s="29">
        <v>28710</v>
      </c>
      <c r="P63" s="10">
        <v>23526</v>
      </c>
      <c r="Q63" s="10">
        <v>28140</v>
      </c>
      <c r="R63" s="10"/>
      <c r="S63" s="10"/>
      <c r="T63" s="10"/>
      <c r="U63" s="10"/>
      <c r="V63" s="29">
        <v>23870</v>
      </c>
      <c r="X63" s="29">
        <v>23970</v>
      </c>
      <c r="Y63" s="29">
        <v>28952</v>
      </c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27"/>
      <c r="AT63" s="27"/>
      <c r="AU63" s="27"/>
      <c r="AV63" s="27"/>
      <c r="AW63" s="27"/>
      <c r="AX63" s="27"/>
      <c r="AY63" s="10"/>
      <c r="AZ63" s="10"/>
      <c r="BA63" s="10"/>
      <c r="BB63" s="10"/>
      <c r="BC63" s="10"/>
      <c r="BE63" s="30"/>
      <c r="BF63" s="30"/>
      <c r="BG63" s="30"/>
      <c r="BH63" s="30"/>
      <c r="BJ63" s="29">
        <f t="shared" si="11"/>
        <v>8.4291187739463595E-3</v>
      </c>
      <c r="BL63" s="29">
        <f t="shared" si="13"/>
        <v>8.4291187739463595E-3</v>
      </c>
      <c r="BM63" s="29">
        <f t="shared" si="14"/>
        <v>2.9020348587619128E-2</v>
      </c>
    </row>
    <row r="64" spans="1:65" s="29" customFormat="1" ht="21" customHeight="1">
      <c r="A64" s="28"/>
      <c r="B64" s="10" t="s">
        <v>128</v>
      </c>
      <c r="C64" s="10">
        <v>24</v>
      </c>
      <c r="D64" s="27">
        <v>23341</v>
      </c>
      <c r="E64" s="10">
        <v>23316</v>
      </c>
      <c r="F64" s="10">
        <v>23361</v>
      </c>
      <c r="G64" s="10">
        <v>5852700</v>
      </c>
      <c r="H64" s="10">
        <v>28500</v>
      </c>
      <c r="I64" s="10">
        <v>28110</v>
      </c>
      <c r="J64" s="10">
        <v>28243</v>
      </c>
      <c r="K64" s="10">
        <v>894900</v>
      </c>
      <c r="L64" s="10">
        <f t="shared" si="8"/>
        <v>136724924700</v>
      </c>
      <c r="M64" s="10">
        <f t="shared" si="9"/>
        <v>25274660700</v>
      </c>
      <c r="N64" s="29">
        <v>23549</v>
      </c>
      <c r="O64" s="29">
        <v>28391</v>
      </c>
      <c r="P64" s="10">
        <v>23575</v>
      </c>
      <c r="Q64" s="10">
        <v>28785</v>
      </c>
      <c r="R64" s="10"/>
      <c r="S64" s="10"/>
      <c r="T64" s="10"/>
      <c r="U64" s="10"/>
      <c r="V64" s="29">
        <v>24000</v>
      </c>
      <c r="X64" s="29">
        <v>23920</v>
      </c>
      <c r="Y64" s="29">
        <v>29100</v>
      </c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27"/>
      <c r="AT64" s="27"/>
      <c r="AU64" s="27"/>
      <c r="AV64" s="27"/>
      <c r="AW64" s="27"/>
      <c r="AX64" s="27"/>
      <c r="AY64" s="10"/>
      <c r="AZ64" s="10"/>
      <c r="BA64" s="10"/>
      <c r="BB64" s="10"/>
      <c r="BC64" s="10"/>
      <c r="BE64" s="30"/>
      <c r="BF64" s="30"/>
      <c r="BG64" s="30"/>
      <c r="BH64" s="30"/>
      <c r="BJ64" s="29">
        <f t="shared" si="11"/>
        <v>2.4972702617026523E-2</v>
      </c>
      <c r="BL64" s="29">
        <f t="shared" si="13"/>
        <v>2.4972702617026523E-2</v>
      </c>
      <c r="BM64" s="29">
        <f t="shared" si="14"/>
        <v>2.4806135127029689E-2</v>
      </c>
    </row>
    <row r="65" spans="1:65" s="29" customFormat="1" ht="21" customHeight="1">
      <c r="A65" s="28"/>
      <c r="B65" s="10" t="s">
        <v>129</v>
      </c>
      <c r="C65" s="10">
        <v>25</v>
      </c>
      <c r="D65" s="27">
        <v>23332</v>
      </c>
      <c r="E65" s="10">
        <v>23345</v>
      </c>
      <c r="F65" s="10">
        <v>23346</v>
      </c>
      <c r="G65" s="10">
        <v>7357400</v>
      </c>
      <c r="H65" s="10">
        <v>28044</v>
      </c>
      <c r="I65" s="10">
        <v>28025</v>
      </c>
      <c r="J65" s="10">
        <v>28129</v>
      </c>
      <c r="K65" s="10">
        <v>1531000</v>
      </c>
      <c r="L65" s="10">
        <f t="shared" si="8"/>
        <v>171765860400</v>
      </c>
      <c r="M65" s="10">
        <f t="shared" si="9"/>
        <v>43065499000</v>
      </c>
      <c r="N65" s="29">
        <v>23578</v>
      </c>
      <c r="O65" s="29">
        <v>28305</v>
      </c>
      <c r="P65" s="10">
        <v>23565</v>
      </c>
      <c r="Q65" s="10">
        <v>28324</v>
      </c>
      <c r="R65" s="10"/>
      <c r="S65" s="10"/>
      <c r="T65" s="10"/>
      <c r="U65" s="10"/>
      <c r="V65" s="29">
        <v>23920</v>
      </c>
      <c r="X65" s="29">
        <v>24040</v>
      </c>
      <c r="Y65" s="29">
        <v>29055</v>
      </c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27"/>
      <c r="AT65" s="27"/>
      <c r="AU65" s="27"/>
      <c r="AV65" s="27"/>
      <c r="AW65" s="27"/>
      <c r="AX65" s="27"/>
      <c r="AY65" s="10"/>
      <c r="AZ65" s="10"/>
      <c r="BA65" s="10"/>
      <c r="BB65" s="10"/>
      <c r="BC65" s="10"/>
      <c r="BE65" s="30"/>
      <c r="BF65" s="30"/>
      <c r="BG65" s="30"/>
      <c r="BH65" s="30"/>
      <c r="BJ65" s="29">
        <f t="shared" si="11"/>
        <v>2.6497085320614733E-2</v>
      </c>
      <c r="BL65" s="29">
        <f t="shared" si="13"/>
        <v>2.6497085320614733E-2</v>
      </c>
      <c r="BM65" s="29">
        <f t="shared" si="14"/>
        <v>3.0344591119492541E-2</v>
      </c>
    </row>
    <row r="66" spans="1:65" s="29" customFormat="1" ht="21" customHeight="1">
      <c r="A66" s="28"/>
      <c r="B66" s="10" t="s">
        <v>130</v>
      </c>
      <c r="C66" s="10">
        <v>26</v>
      </c>
      <c r="D66" s="27">
        <v>23384</v>
      </c>
      <c r="E66" s="10">
        <v>23337</v>
      </c>
      <c r="F66" s="10">
        <v>23385</v>
      </c>
      <c r="G66" s="10">
        <v>8859500</v>
      </c>
      <c r="H66" s="10">
        <v>28025</v>
      </c>
      <c r="I66" s="10">
        <v>28360</v>
      </c>
      <c r="J66" s="10">
        <v>28342</v>
      </c>
      <c r="K66" s="10">
        <v>853300</v>
      </c>
      <c r="L66" s="10">
        <f t="shared" ref="L66:L97" si="15">F66*G66</f>
        <v>207179407500</v>
      </c>
      <c r="M66" s="10">
        <f t="shared" ref="M66:M97" si="16">J66*K66</f>
        <v>24184228600</v>
      </c>
      <c r="N66" s="29">
        <v>23570</v>
      </c>
      <c r="O66" s="29">
        <v>28643</v>
      </c>
      <c r="P66" s="10">
        <v>23618</v>
      </c>
      <c r="Q66" s="10">
        <v>28305</v>
      </c>
      <c r="R66" s="10"/>
      <c r="S66" s="10"/>
      <c r="T66" s="10"/>
      <c r="U66" s="10"/>
      <c r="V66" s="29">
        <v>23940</v>
      </c>
      <c r="X66" s="29">
        <v>24110</v>
      </c>
      <c r="Y66" s="29">
        <v>29095</v>
      </c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27"/>
      <c r="AT66" s="27"/>
      <c r="AU66" s="27"/>
      <c r="AV66" s="27"/>
      <c r="AW66" s="27"/>
      <c r="AX66" s="27"/>
      <c r="AY66" s="10"/>
      <c r="AZ66" s="10"/>
      <c r="BA66" s="10"/>
      <c r="BB66" s="10"/>
      <c r="BC66" s="10"/>
      <c r="BE66" s="30"/>
      <c r="BF66" s="30"/>
      <c r="BG66" s="30"/>
      <c r="BH66" s="30"/>
      <c r="BJ66" s="29">
        <f t="shared" ref="BJ66:BJ76" si="17">(Y66-O66)/O66</f>
        <v>1.5780469922843279E-2</v>
      </c>
      <c r="BL66" s="29">
        <f t="shared" si="13"/>
        <v>1.5780469922843279E-2</v>
      </c>
      <c r="BM66" s="29">
        <f t="shared" ref="BM66:BM81" si="18">(X66-D66)/D66</f>
        <v>3.1046869654464591E-2</v>
      </c>
    </row>
    <row r="67" spans="1:65" s="29" customFormat="1" ht="21" customHeight="1">
      <c r="A67" s="28"/>
      <c r="B67" s="10" t="s">
        <v>131</v>
      </c>
      <c r="C67" s="10">
        <v>27</v>
      </c>
      <c r="D67" s="27">
        <v>23424</v>
      </c>
      <c r="E67" s="10">
        <v>23475</v>
      </c>
      <c r="F67" s="10">
        <v>23425</v>
      </c>
      <c r="G67" s="10">
        <v>7220400</v>
      </c>
      <c r="H67" s="10">
        <v>28360</v>
      </c>
      <c r="I67" s="10">
        <v>28556</v>
      </c>
      <c r="J67" s="10">
        <v>28545</v>
      </c>
      <c r="K67" s="10">
        <v>201900</v>
      </c>
      <c r="L67" s="10">
        <f t="shared" si="15"/>
        <v>169137870000</v>
      </c>
      <c r="M67" s="10">
        <f t="shared" si="16"/>
        <v>5763235500</v>
      </c>
      <c r="N67" s="29">
        <v>23710</v>
      </c>
      <c r="O67" s="29">
        <v>28842</v>
      </c>
      <c r="P67" s="10">
        <v>23658</v>
      </c>
      <c r="Q67" s="10">
        <v>28643</v>
      </c>
      <c r="R67" s="10"/>
      <c r="S67" s="10"/>
      <c r="T67" s="10"/>
      <c r="U67" s="10"/>
      <c r="V67" s="29">
        <v>24220</v>
      </c>
      <c r="X67" s="29">
        <v>24340</v>
      </c>
      <c r="Y67" s="29">
        <v>29223</v>
      </c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27"/>
      <c r="AT67" s="27"/>
      <c r="AU67" s="27"/>
      <c r="AV67" s="27"/>
      <c r="AW67" s="27"/>
      <c r="AX67" s="27"/>
      <c r="AY67" s="10"/>
      <c r="AZ67" s="10"/>
      <c r="BA67" s="10"/>
      <c r="BB67" s="10"/>
      <c r="BC67" s="10"/>
      <c r="BE67" s="30"/>
      <c r="BF67" s="30"/>
      <c r="BG67" s="30"/>
      <c r="BH67" s="30"/>
      <c r="BJ67" s="29">
        <f t="shared" si="17"/>
        <v>1.3209902225920533E-2</v>
      </c>
      <c r="BL67" s="29">
        <f t="shared" si="13"/>
        <v>1.3209902225920533E-2</v>
      </c>
      <c r="BM67" s="29">
        <f t="shared" si="18"/>
        <v>3.9105191256830603E-2</v>
      </c>
    </row>
    <row r="68" spans="1:65" s="35" customFormat="1" ht="21" customHeight="1">
      <c r="A68" s="32"/>
      <c r="B68" s="33" t="s">
        <v>132</v>
      </c>
      <c r="C68" s="33">
        <v>29</v>
      </c>
      <c r="D68" s="34">
        <v>24050</v>
      </c>
      <c r="E68" s="33">
        <v>23388</v>
      </c>
      <c r="F68" s="33">
        <v>23663</v>
      </c>
      <c r="G68" s="33">
        <v>3826700</v>
      </c>
      <c r="H68" s="33">
        <v>28556</v>
      </c>
      <c r="I68" s="33">
        <v>27999</v>
      </c>
      <c r="J68" s="33">
        <v>28282</v>
      </c>
      <c r="K68" s="33">
        <v>533700</v>
      </c>
      <c r="L68" s="33">
        <f t="shared" si="15"/>
        <v>90551202100</v>
      </c>
      <c r="M68" s="33">
        <f t="shared" si="16"/>
        <v>15094103400</v>
      </c>
      <c r="N68" s="35">
        <v>23622</v>
      </c>
      <c r="O68" s="35">
        <v>28279</v>
      </c>
      <c r="P68" s="33">
        <v>24290</v>
      </c>
      <c r="Q68" s="33">
        <v>28842</v>
      </c>
      <c r="R68" s="33"/>
      <c r="S68" s="33"/>
      <c r="T68" s="33"/>
      <c r="U68" s="33"/>
      <c r="V68" s="35">
        <v>24430</v>
      </c>
      <c r="X68" s="35">
        <v>24200</v>
      </c>
      <c r="Y68" s="35">
        <v>28872</v>
      </c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4"/>
      <c r="AT68" s="34"/>
      <c r="AU68" s="34"/>
      <c r="AV68" s="34"/>
      <c r="AW68" s="34"/>
      <c r="AX68" s="34"/>
      <c r="AY68" s="33"/>
      <c r="AZ68" s="33"/>
      <c r="BA68" s="33"/>
      <c r="BB68" s="33"/>
      <c r="BC68" s="33"/>
      <c r="BE68" s="36"/>
      <c r="BF68" s="36"/>
      <c r="BG68" s="36"/>
      <c r="BH68" s="36"/>
      <c r="BJ68" s="35">
        <f t="shared" si="17"/>
        <v>2.0969624102691042E-2</v>
      </c>
      <c r="BL68" s="35">
        <f t="shared" si="13"/>
        <v>2.0969624102691042E-2</v>
      </c>
      <c r="BM68" s="35">
        <f t="shared" si="18"/>
        <v>6.2370062370062374E-3</v>
      </c>
    </row>
    <row r="69" spans="1:65" s="35" customFormat="1" ht="21" customHeight="1">
      <c r="A69" s="32"/>
      <c r="B69" s="33" t="s">
        <v>133</v>
      </c>
      <c r="C69" s="33">
        <v>30</v>
      </c>
      <c r="D69" s="34">
        <v>23388</v>
      </c>
      <c r="E69" s="33">
        <v>23311</v>
      </c>
      <c r="F69" s="33">
        <v>23226</v>
      </c>
      <c r="G69" s="33">
        <v>4222100</v>
      </c>
      <c r="H69" s="33">
        <v>27999</v>
      </c>
      <c r="I69" s="33">
        <v>27424</v>
      </c>
      <c r="J69" s="33">
        <v>27673</v>
      </c>
      <c r="K69" s="33">
        <v>359400</v>
      </c>
      <c r="L69" s="33">
        <f t="shared" si="15"/>
        <v>98062494600</v>
      </c>
      <c r="M69" s="33">
        <f t="shared" si="16"/>
        <v>9945676200</v>
      </c>
      <c r="N69" s="35">
        <v>23544</v>
      </c>
      <c r="O69" s="35">
        <v>27698</v>
      </c>
      <c r="P69" s="33">
        <v>23622</v>
      </c>
      <c r="Q69" s="33">
        <v>28279</v>
      </c>
      <c r="R69" s="33"/>
      <c r="S69" s="33"/>
      <c r="T69" s="33"/>
      <c r="U69" s="33"/>
      <c r="V69" s="35">
        <v>23630</v>
      </c>
      <c r="X69" s="35">
        <v>23740</v>
      </c>
      <c r="Y69" s="35">
        <v>27946</v>
      </c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4"/>
      <c r="AT69" s="34"/>
      <c r="AU69" s="34"/>
      <c r="AV69" s="34"/>
      <c r="AW69" s="34"/>
      <c r="AX69" s="34"/>
      <c r="AY69" s="33"/>
      <c r="AZ69" s="33"/>
      <c r="BA69" s="33"/>
      <c r="BB69" s="33"/>
      <c r="BC69" s="33"/>
      <c r="BE69" s="36"/>
      <c r="BF69" s="36"/>
      <c r="BG69" s="36"/>
      <c r="BH69" s="36"/>
      <c r="BJ69" s="35">
        <f t="shared" si="17"/>
        <v>8.953715069680122E-3</v>
      </c>
      <c r="BL69" s="35">
        <f t="shared" si="13"/>
        <v>8.953715069680122E-3</v>
      </c>
      <c r="BM69" s="35">
        <f t="shared" si="18"/>
        <v>1.5050453223875491E-2</v>
      </c>
    </row>
    <row r="70" spans="1:65" s="35" customFormat="1" ht="21" customHeight="1">
      <c r="A70" s="32"/>
      <c r="B70" s="33" t="s">
        <v>134</v>
      </c>
      <c r="C70" s="33">
        <v>31</v>
      </c>
      <c r="D70" s="34">
        <v>23311</v>
      </c>
      <c r="E70" s="33">
        <v>23544</v>
      </c>
      <c r="F70" s="33">
        <v>23364</v>
      </c>
      <c r="G70" s="33">
        <v>4213900</v>
      </c>
      <c r="H70" s="33">
        <v>27424</v>
      </c>
      <c r="I70" s="33">
        <v>27803</v>
      </c>
      <c r="J70" s="33">
        <v>27693</v>
      </c>
      <c r="K70" s="33">
        <v>596200</v>
      </c>
      <c r="L70" s="33">
        <f t="shared" si="15"/>
        <v>98453559600</v>
      </c>
      <c r="M70" s="33">
        <f t="shared" si="16"/>
        <v>16510566600</v>
      </c>
      <c r="N70" s="35">
        <v>23779</v>
      </c>
      <c r="O70" s="35">
        <v>28081</v>
      </c>
      <c r="P70" s="33">
        <v>23544</v>
      </c>
      <c r="Q70" s="33">
        <v>27698</v>
      </c>
      <c r="R70" s="33"/>
      <c r="S70" s="33"/>
      <c r="T70" s="33"/>
      <c r="U70" s="33"/>
      <c r="V70" s="35">
        <v>23880</v>
      </c>
      <c r="X70" s="35">
        <v>23930</v>
      </c>
      <c r="Y70" s="35">
        <v>28324</v>
      </c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4"/>
      <c r="AT70" s="34"/>
      <c r="AU70" s="34"/>
      <c r="AV70" s="34"/>
      <c r="AW70" s="34"/>
      <c r="AX70" s="34"/>
      <c r="AY70" s="33"/>
      <c r="AZ70" s="33"/>
      <c r="BA70" s="33"/>
      <c r="BB70" s="33"/>
      <c r="BC70" s="33"/>
      <c r="BE70" s="36"/>
      <c r="BF70" s="36"/>
      <c r="BG70" s="36"/>
      <c r="BH70" s="36"/>
      <c r="BJ70" s="35">
        <f t="shared" si="17"/>
        <v>8.6535379794166877E-3</v>
      </c>
      <c r="BM70" s="35">
        <f t="shared" si="18"/>
        <v>2.6553987387928447E-2</v>
      </c>
    </row>
    <row r="71" spans="1:65" s="35" customFormat="1" ht="21" customHeight="1">
      <c r="A71" s="32"/>
      <c r="B71" s="33" t="s">
        <v>135</v>
      </c>
      <c r="C71" s="33">
        <v>1</v>
      </c>
      <c r="D71" s="34">
        <v>23497</v>
      </c>
      <c r="E71" s="33">
        <v>23629</v>
      </c>
      <c r="F71" s="33">
        <v>23610</v>
      </c>
      <c r="G71" s="33">
        <v>6635900</v>
      </c>
      <c r="H71" s="33">
        <v>27803</v>
      </c>
      <c r="I71" s="33">
        <v>28225</v>
      </c>
      <c r="J71" s="33">
        <v>27963</v>
      </c>
      <c r="K71" s="33">
        <v>665400</v>
      </c>
      <c r="L71" s="33">
        <f t="shared" si="15"/>
        <v>156673599000</v>
      </c>
      <c r="M71" s="33">
        <f t="shared" si="16"/>
        <v>18606580200</v>
      </c>
      <c r="N71" s="35">
        <v>23865</v>
      </c>
      <c r="O71" s="35">
        <v>28507</v>
      </c>
      <c r="P71" s="33">
        <v>23732</v>
      </c>
      <c r="Q71" s="33">
        <v>28081</v>
      </c>
      <c r="R71" s="33"/>
      <c r="S71" s="33"/>
      <c r="T71" s="33"/>
      <c r="U71" s="33"/>
      <c r="V71" s="35">
        <v>24150</v>
      </c>
      <c r="X71" s="35">
        <v>24220</v>
      </c>
      <c r="Y71" s="35">
        <v>28791</v>
      </c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4"/>
      <c r="AT71" s="34"/>
      <c r="AU71" s="34"/>
      <c r="AV71" s="34"/>
      <c r="AW71" s="34"/>
      <c r="AX71" s="34"/>
      <c r="AY71" s="33"/>
      <c r="AZ71" s="33"/>
      <c r="BA71" s="33"/>
      <c r="BB71" s="33"/>
      <c r="BC71" s="33"/>
      <c r="BE71" s="36"/>
      <c r="BF71" s="36"/>
      <c r="BG71" s="36"/>
      <c r="BH71" s="36"/>
      <c r="BJ71" s="35">
        <f t="shared" si="17"/>
        <v>9.962465359385414E-3</v>
      </c>
      <c r="BM71" s="35">
        <f t="shared" si="18"/>
        <v>3.0769885517300082E-2</v>
      </c>
    </row>
    <row r="72" spans="1:65" s="35" customFormat="1" ht="21" customHeight="1">
      <c r="A72" s="32"/>
      <c r="B72" s="33" t="s">
        <v>136</v>
      </c>
      <c r="C72" s="33">
        <v>2</v>
      </c>
      <c r="D72" s="34">
        <v>23629</v>
      </c>
      <c r="E72" s="33">
        <v>23502</v>
      </c>
      <c r="F72" s="33">
        <v>23599</v>
      </c>
      <c r="G72" s="33">
        <v>5837100</v>
      </c>
      <c r="H72" s="33">
        <v>28225</v>
      </c>
      <c r="I72" s="33">
        <v>27800</v>
      </c>
      <c r="J72" s="33">
        <v>28072</v>
      </c>
      <c r="K72" s="33">
        <v>366600</v>
      </c>
      <c r="L72" s="33">
        <f t="shared" si="15"/>
        <v>137749722900</v>
      </c>
      <c r="M72" s="33">
        <f t="shared" si="16"/>
        <v>10291195200</v>
      </c>
      <c r="N72" s="35">
        <v>23737</v>
      </c>
      <c r="O72" s="35">
        <v>28078</v>
      </c>
      <c r="P72" s="33">
        <v>23865</v>
      </c>
      <c r="Q72" s="33">
        <v>28507</v>
      </c>
      <c r="R72" s="33"/>
      <c r="S72" s="33"/>
      <c r="T72" s="33"/>
      <c r="U72" s="33"/>
      <c r="X72" s="35">
        <v>24130</v>
      </c>
      <c r="Y72" s="35">
        <v>28818</v>
      </c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4"/>
      <c r="AT72" s="34"/>
      <c r="AU72" s="34"/>
      <c r="AV72" s="34"/>
      <c r="AW72" s="34"/>
      <c r="AX72" s="34"/>
      <c r="AY72" s="33"/>
      <c r="AZ72" s="33"/>
      <c r="BA72" s="33"/>
      <c r="BB72" s="33"/>
      <c r="BC72" s="33"/>
      <c r="BE72" s="36"/>
      <c r="BF72" s="36"/>
      <c r="BG72" s="36"/>
      <c r="BH72" s="36"/>
      <c r="BJ72" s="35">
        <f t="shared" si="17"/>
        <v>2.6355153500961608E-2</v>
      </c>
      <c r="BM72" s="35">
        <f t="shared" si="18"/>
        <v>2.1202759321173135E-2</v>
      </c>
    </row>
    <row r="73" spans="1:65" s="35" customFormat="1" ht="21" customHeight="1">
      <c r="A73" s="32"/>
      <c r="B73" s="33" t="s">
        <v>137</v>
      </c>
      <c r="C73" s="33">
        <v>3</v>
      </c>
      <c r="D73" s="34">
        <v>23608</v>
      </c>
      <c r="E73" s="33">
        <v>23640</v>
      </c>
      <c r="F73" s="33">
        <v>23612</v>
      </c>
      <c r="G73" s="33">
        <v>2942600</v>
      </c>
      <c r="H73" s="33">
        <v>27800</v>
      </c>
      <c r="I73" s="33">
        <v>28076</v>
      </c>
      <c r="J73" s="33">
        <v>28073</v>
      </c>
      <c r="K73" s="33">
        <v>261100</v>
      </c>
      <c r="L73" s="33">
        <f t="shared" si="15"/>
        <v>69480671200</v>
      </c>
      <c r="M73" s="33">
        <f t="shared" si="16"/>
        <v>7329860300</v>
      </c>
      <c r="N73" s="35">
        <v>23876</v>
      </c>
      <c r="O73" s="35">
        <v>28357</v>
      </c>
      <c r="P73" s="33">
        <v>23844</v>
      </c>
      <c r="Q73" s="33">
        <v>28078</v>
      </c>
      <c r="R73" s="33"/>
      <c r="S73" s="33"/>
      <c r="T73" s="33"/>
      <c r="U73" s="33"/>
      <c r="X73" s="35">
        <v>24100</v>
      </c>
      <c r="Y73" s="35">
        <v>28777</v>
      </c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4"/>
      <c r="AT73" s="34"/>
      <c r="AU73" s="34"/>
      <c r="AV73" s="34"/>
      <c r="AW73" s="34"/>
      <c r="AX73" s="34"/>
      <c r="AY73" s="33"/>
      <c r="AZ73" s="33"/>
      <c r="BA73" s="33"/>
      <c r="BB73" s="33"/>
      <c r="BC73" s="33"/>
      <c r="BE73" s="36"/>
      <c r="BF73" s="36"/>
      <c r="BG73" s="36"/>
      <c r="BH73" s="36"/>
      <c r="BJ73" s="35">
        <f t="shared" si="17"/>
        <v>1.4811157738829919E-2</v>
      </c>
      <c r="BM73" s="35">
        <f t="shared" si="18"/>
        <v>2.0840393087089123E-2</v>
      </c>
    </row>
    <row r="74" spans="1:65" s="29" customFormat="1" ht="21" customHeight="1">
      <c r="A74" s="28"/>
      <c r="B74" s="10" t="s">
        <v>138</v>
      </c>
      <c r="C74" s="10">
        <v>5</v>
      </c>
      <c r="D74" s="27">
        <v>23737</v>
      </c>
      <c r="E74" s="10">
        <v>23825</v>
      </c>
      <c r="F74" s="10">
        <v>23805</v>
      </c>
      <c r="G74" s="10">
        <v>8070900</v>
      </c>
      <c r="H74" s="10">
        <v>28076</v>
      </c>
      <c r="I74" s="10">
        <v>28205</v>
      </c>
      <c r="J74" s="10">
        <v>28276</v>
      </c>
      <c r="K74" s="10">
        <v>970400</v>
      </c>
      <c r="L74" s="10">
        <f t="shared" si="15"/>
        <v>192127774500</v>
      </c>
      <c r="M74" s="10">
        <f t="shared" si="16"/>
        <v>27439030400</v>
      </c>
      <c r="N74" s="29">
        <v>24063</v>
      </c>
      <c r="O74" s="29">
        <v>28487</v>
      </c>
      <c r="P74" s="10">
        <v>23974</v>
      </c>
      <c r="Q74" s="10">
        <v>28357</v>
      </c>
      <c r="R74" s="10"/>
      <c r="S74" s="10"/>
      <c r="T74" s="10"/>
      <c r="U74" s="10"/>
      <c r="V74" s="29">
        <v>24380</v>
      </c>
      <c r="X74" s="29">
        <v>24450</v>
      </c>
      <c r="Y74" s="29">
        <v>29400</v>
      </c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27"/>
      <c r="AT74" s="27"/>
      <c r="AU74" s="27"/>
      <c r="AV74" s="27"/>
      <c r="AW74" s="27"/>
      <c r="AX74" s="27"/>
      <c r="AY74" s="10"/>
      <c r="AZ74" s="10"/>
      <c r="BA74" s="10"/>
      <c r="BB74" s="10"/>
      <c r="BC74" s="10"/>
      <c r="BE74" s="30"/>
      <c r="BF74" s="30"/>
      <c r="BG74" s="30"/>
      <c r="BH74" s="30"/>
      <c r="BJ74" s="29">
        <f t="shared" si="17"/>
        <v>3.2049706883841754E-2</v>
      </c>
      <c r="BM74" s="29">
        <f t="shared" si="18"/>
        <v>3.0037494207355606E-2</v>
      </c>
    </row>
    <row r="75" spans="1:65" s="29" customFormat="1" ht="21" customHeight="1">
      <c r="A75" s="28"/>
      <c r="B75" s="10" t="s">
        <v>139</v>
      </c>
      <c r="C75" s="10">
        <v>6</v>
      </c>
      <c r="D75" s="27">
        <v>23825</v>
      </c>
      <c r="E75" s="10">
        <v>23786</v>
      </c>
      <c r="F75" s="10">
        <v>23786</v>
      </c>
      <c r="G75" s="10">
        <v>6150100</v>
      </c>
      <c r="H75" s="10">
        <v>28205</v>
      </c>
      <c r="I75" s="10">
        <v>28200</v>
      </c>
      <c r="J75" s="10">
        <v>28288</v>
      </c>
      <c r="K75" s="10">
        <v>758900</v>
      </c>
      <c r="L75" s="10">
        <f t="shared" si="15"/>
        <v>146286278600</v>
      </c>
      <c r="M75" s="10">
        <f t="shared" si="16"/>
        <v>21467763200</v>
      </c>
      <c r="N75" s="29">
        <v>24024</v>
      </c>
      <c r="O75" s="29">
        <v>28482</v>
      </c>
      <c r="P75" s="10">
        <v>24063</v>
      </c>
      <c r="Q75" s="10">
        <v>28487</v>
      </c>
      <c r="R75" s="10"/>
      <c r="S75" s="10"/>
      <c r="T75" s="10"/>
      <c r="U75" s="10"/>
      <c r="V75" s="29">
        <v>24340</v>
      </c>
      <c r="X75" s="29">
        <v>24400</v>
      </c>
      <c r="Y75" s="29">
        <v>29088</v>
      </c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27"/>
      <c r="AT75" s="27"/>
      <c r="AU75" s="27"/>
      <c r="AV75" s="27"/>
      <c r="AW75" s="27"/>
      <c r="AX75" s="27"/>
      <c r="AY75" s="10"/>
      <c r="AZ75" s="10"/>
      <c r="BA75" s="10"/>
      <c r="BB75" s="10"/>
      <c r="BC75" s="10"/>
      <c r="BE75" s="30"/>
      <c r="BF75" s="30"/>
      <c r="BG75" s="30"/>
      <c r="BH75" s="30"/>
      <c r="BJ75" s="29">
        <f t="shared" si="17"/>
        <v>2.1276595744680851E-2</v>
      </c>
      <c r="BM75" s="29">
        <f t="shared" si="18"/>
        <v>2.4134312696747113E-2</v>
      </c>
    </row>
    <row r="76" spans="1:65" s="29" customFormat="1" ht="21" customHeight="1">
      <c r="A76" s="28"/>
      <c r="B76" s="10" t="s">
        <v>140</v>
      </c>
      <c r="C76" s="10">
        <v>7</v>
      </c>
      <c r="D76" s="27">
        <v>23902</v>
      </c>
      <c r="E76" s="10">
        <v>24197</v>
      </c>
      <c r="F76" s="10">
        <v>24103</v>
      </c>
      <c r="G76" s="10">
        <v>6564300</v>
      </c>
      <c r="H76" s="10">
        <v>28405</v>
      </c>
      <c r="I76" s="10">
        <v>28537</v>
      </c>
      <c r="J76" s="10">
        <v>28539</v>
      </c>
      <c r="K76" s="10">
        <v>1415300</v>
      </c>
      <c r="L76" s="10">
        <f t="shared" si="15"/>
        <v>158219322900</v>
      </c>
      <c r="M76" s="10">
        <f t="shared" si="16"/>
        <v>40391246700</v>
      </c>
      <c r="N76" s="29">
        <v>24439</v>
      </c>
      <c r="O76" s="29">
        <v>28822</v>
      </c>
      <c r="P76" s="10">
        <v>24141</v>
      </c>
      <c r="Q76" s="10">
        <v>28689</v>
      </c>
      <c r="R76" s="10"/>
      <c r="S76" s="10"/>
      <c r="T76" s="10"/>
      <c r="U76" s="10"/>
      <c r="V76" s="29">
        <v>24670</v>
      </c>
      <c r="X76" s="29">
        <v>24740</v>
      </c>
      <c r="Y76" s="29">
        <v>29374</v>
      </c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27"/>
      <c r="AT76" s="27"/>
      <c r="AU76" s="27"/>
      <c r="AV76" s="27"/>
      <c r="AW76" s="27"/>
      <c r="AX76" s="27"/>
      <c r="AY76" s="10"/>
      <c r="AZ76" s="10"/>
      <c r="BA76" s="10"/>
      <c r="BB76" s="10"/>
      <c r="BC76" s="10"/>
      <c r="BE76" s="30"/>
      <c r="BF76" s="30"/>
      <c r="BG76" s="30"/>
      <c r="BH76" s="30"/>
      <c r="BJ76" s="29">
        <f t="shared" si="17"/>
        <v>1.9152036638678788E-2</v>
      </c>
      <c r="BM76" s="29">
        <f t="shared" si="18"/>
        <v>3.5059827629487075E-2</v>
      </c>
    </row>
    <row r="77" spans="1:65" s="29" customFormat="1" ht="21" customHeight="1">
      <c r="A77" s="28"/>
      <c r="B77" s="10" t="s">
        <v>141</v>
      </c>
      <c r="C77" s="10">
        <v>8</v>
      </c>
      <c r="D77" s="27">
        <v>24371</v>
      </c>
      <c r="E77" s="10">
        <v>24609</v>
      </c>
      <c r="F77" s="10">
        <v>24568</v>
      </c>
      <c r="G77" s="10">
        <v>4748900</v>
      </c>
      <c r="H77" s="10">
        <v>28600</v>
      </c>
      <c r="I77" s="10">
        <v>28969</v>
      </c>
      <c r="J77" s="10">
        <v>28899</v>
      </c>
      <c r="K77" s="10">
        <v>1224600</v>
      </c>
      <c r="L77" s="10">
        <f t="shared" si="15"/>
        <v>116670975200</v>
      </c>
      <c r="M77" s="10">
        <f t="shared" si="16"/>
        <v>35389715400</v>
      </c>
      <c r="N77" s="29">
        <v>24855</v>
      </c>
      <c r="O77" s="29">
        <v>29259</v>
      </c>
      <c r="P77" s="10">
        <v>24615</v>
      </c>
      <c r="Q77" s="10">
        <v>28886</v>
      </c>
      <c r="R77" s="10"/>
      <c r="S77" s="10"/>
      <c r="T77" s="10"/>
      <c r="U77" s="10"/>
      <c r="V77" s="29">
        <v>24980</v>
      </c>
      <c r="X77" s="29">
        <v>25130</v>
      </c>
      <c r="Y77" s="29">
        <v>29754</v>
      </c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27"/>
      <c r="AT77" s="27"/>
      <c r="AU77" s="27"/>
      <c r="AV77" s="27"/>
      <c r="AW77" s="27"/>
      <c r="AX77" s="27"/>
      <c r="AY77" s="10"/>
      <c r="AZ77" s="10"/>
      <c r="BA77" s="10"/>
      <c r="BB77" s="10"/>
      <c r="BC77" s="10"/>
      <c r="BE77" s="30"/>
      <c r="BF77" s="30"/>
      <c r="BG77" s="30"/>
      <c r="BH77" s="30"/>
      <c r="BM77" s="29">
        <f t="shared" si="18"/>
        <v>3.1143572278527758E-2</v>
      </c>
    </row>
    <row r="78" spans="1:65" s="29" customFormat="1" ht="21" customHeight="1">
      <c r="A78" s="28"/>
      <c r="B78" s="10" t="s">
        <v>142</v>
      </c>
      <c r="C78" s="10">
        <v>9</v>
      </c>
      <c r="D78" s="27">
        <v>24532</v>
      </c>
      <c r="E78" s="10">
        <v>24758</v>
      </c>
      <c r="F78" s="10">
        <v>24779</v>
      </c>
      <c r="G78" s="10">
        <v>4888200</v>
      </c>
      <c r="H78" s="10">
        <v>29000</v>
      </c>
      <c r="I78" s="10">
        <v>29442</v>
      </c>
      <c r="J78" s="10">
        <v>29388</v>
      </c>
      <c r="K78" s="10">
        <v>466700</v>
      </c>
      <c r="L78" s="10">
        <f t="shared" si="15"/>
        <v>121124707800</v>
      </c>
      <c r="M78" s="10">
        <f t="shared" si="16"/>
        <v>13715379600</v>
      </c>
      <c r="N78" s="29">
        <v>25005</v>
      </c>
      <c r="O78" s="29">
        <v>29736</v>
      </c>
      <c r="P78" s="10">
        <v>24855</v>
      </c>
      <c r="Q78" s="10">
        <v>29259</v>
      </c>
      <c r="R78" s="10"/>
      <c r="S78" s="10"/>
      <c r="T78" s="10"/>
      <c r="U78" s="10"/>
      <c r="V78" s="29">
        <v>25000</v>
      </c>
      <c r="X78" s="29">
        <v>25270</v>
      </c>
      <c r="Y78" s="29">
        <v>29786</v>
      </c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27"/>
      <c r="AT78" s="27"/>
      <c r="AU78" s="27"/>
      <c r="AV78" s="27"/>
      <c r="AW78" s="27"/>
      <c r="AX78" s="27"/>
      <c r="AY78" s="10"/>
      <c r="AZ78" s="10"/>
      <c r="BA78" s="10"/>
      <c r="BB78" s="10"/>
      <c r="BC78" s="10"/>
      <c r="BE78" s="30"/>
      <c r="BF78" s="30"/>
      <c r="BG78" s="30"/>
      <c r="BH78" s="30"/>
      <c r="BM78" s="29">
        <f t="shared" si="18"/>
        <v>3.008315669329855E-2</v>
      </c>
    </row>
    <row r="79" spans="1:65" s="29" customFormat="1" ht="21" customHeight="1">
      <c r="A79" s="28"/>
      <c r="B79" s="10" t="s">
        <v>143</v>
      </c>
      <c r="C79" s="10">
        <v>10</v>
      </c>
      <c r="D79" s="27">
        <v>24741</v>
      </c>
      <c r="E79" s="10">
        <v>24812</v>
      </c>
      <c r="F79" s="10">
        <v>24759</v>
      </c>
      <c r="G79" s="10">
        <v>3275700</v>
      </c>
      <c r="H79" s="10">
        <v>29800</v>
      </c>
      <c r="I79" s="10">
        <v>29650</v>
      </c>
      <c r="J79" s="10">
        <v>29635</v>
      </c>
      <c r="K79" s="10">
        <v>113200</v>
      </c>
      <c r="L79" s="10">
        <f t="shared" si="15"/>
        <v>81103056300</v>
      </c>
      <c r="M79" s="10">
        <f t="shared" si="16"/>
        <v>3354682000</v>
      </c>
      <c r="N79" s="29">
        <v>25060</v>
      </c>
      <c r="O79" s="29">
        <v>29946</v>
      </c>
      <c r="P79" s="10">
        <v>24988</v>
      </c>
      <c r="Q79" s="10">
        <v>30098</v>
      </c>
      <c r="R79" s="10"/>
      <c r="S79" s="10"/>
      <c r="T79" s="10"/>
      <c r="U79" s="10"/>
      <c r="V79" s="29">
        <v>25220</v>
      </c>
      <c r="X79" s="29">
        <v>25190</v>
      </c>
      <c r="Y79" s="29">
        <v>29966</v>
      </c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27"/>
      <c r="AT79" s="27"/>
      <c r="AU79" s="27"/>
      <c r="AV79" s="27"/>
      <c r="AW79" s="27"/>
      <c r="AX79" s="27"/>
      <c r="AY79" s="10"/>
      <c r="AZ79" s="10"/>
      <c r="BA79" s="10"/>
      <c r="BB79" s="10"/>
      <c r="BC79" s="10"/>
      <c r="BE79" s="30"/>
      <c r="BF79" s="30"/>
      <c r="BG79" s="30"/>
      <c r="BH79" s="30"/>
      <c r="BM79" s="29">
        <f t="shared" si="18"/>
        <v>1.8148013419021058E-2</v>
      </c>
    </row>
    <row r="80" spans="1:65" s="35" customFormat="1" ht="21" customHeight="1">
      <c r="A80" s="32"/>
      <c r="B80" s="33" t="s">
        <v>144</v>
      </c>
      <c r="C80" s="33">
        <v>12</v>
      </c>
      <c r="D80" s="34">
        <v>24812</v>
      </c>
      <c r="E80" s="33">
        <v>24676</v>
      </c>
      <c r="F80" s="33">
        <v>24687</v>
      </c>
      <c r="G80" s="33">
        <v>4004700</v>
      </c>
      <c r="H80" s="33">
        <v>29650</v>
      </c>
      <c r="I80" s="33">
        <v>29310</v>
      </c>
      <c r="J80" s="33">
        <v>29391</v>
      </c>
      <c r="K80" s="33">
        <v>180200</v>
      </c>
      <c r="L80" s="33">
        <f t="shared" si="15"/>
        <v>98864028900</v>
      </c>
      <c r="M80" s="33">
        <f t="shared" si="16"/>
        <v>5296258200</v>
      </c>
      <c r="N80" s="35">
        <v>24922</v>
      </c>
      <c r="O80" s="35">
        <v>29603</v>
      </c>
      <c r="P80" s="33">
        <v>25060</v>
      </c>
      <c r="Q80" s="33">
        <v>29946</v>
      </c>
      <c r="R80" s="33"/>
      <c r="S80" s="33"/>
      <c r="T80" s="33"/>
      <c r="U80" s="33"/>
      <c r="V80" s="35">
        <v>25120</v>
      </c>
      <c r="X80" s="35">
        <v>25190</v>
      </c>
      <c r="Y80" s="35">
        <v>29804</v>
      </c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4"/>
      <c r="AT80" s="34"/>
      <c r="AU80" s="34"/>
      <c r="AV80" s="34"/>
      <c r="AW80" s="34"/>
      <c r="AX80" s="34"/>
      <c r="AY80" s="33"/>
      <c r="AZ80" s="33"/>
      <c r="BA80" s="33"/>
      <c r="BB80" s="33"/>
      <c r="BC80" s="33"/>
      <c r="BE80" s="36"/>
      <c r="BF80" s="36"/>
      <c r="BG80" s="36"/>
      <c r="BH80" s="36"/>
      <c r="BM80" s="35">
        <f t="shared" si="18"/>
        <v>1.5234563920683539E-2</v>
      </c>
    </row>
    <row r="81" spans="1:65" s="35" customFormat="1" ht="21" customHeight="1">
      <c r="A81" s="32"/>
      <c r="B81" s="33" t="s">
        <v>145</v>
      </c>
      <c r="C81" s="33">
        <v>13</v>
      </c>
      <c r="D81" s="34">
        <v>24770</v>
      </c>
      <c r="E81" s="33">
        <v>24682</v>
      </c>
      <c r="F81" s="33">
        <v>24796</v>
      </c>
      <c r="G81" s="33">
        <v>4701500</v>
      </c>
      <c r="H81" s="33">
        <v>29310</v>
      </c>
      <c r="I81" s="33">
        <v>29655</v>
      </c>
      <c r="J81" s="33">
        <v>29623</v>
      </c>
      <c r="K81" s="33">
        <v>167500</v>
      </c>
      <c r="L81" s="33">
        <f t="shared" si="15"/>
        <v>116578394000</v>
      </c>
      <c r="M81" s="33">
        <f t="shared" si="16"/>
        <v>4961852500</v>
      </c>
      <c r="N81" s="35">
        <v>24929</v>
      </c>
      <c r="O81" s="35">
        <v>29951</v>
      </c>
      <c r="P81" s="33">
        <v>25018</v>
      </c>
      <c r="Q81" s="33">
        <v>29603</v>
      </c>
      <c r="R81" s="33"/>
      <c r="S81" s="33"/>
      <c r="T81" s="33"/>
      <c r="U81" s="33"/>
      <c r="V81" s="35">
        <v>25330</v>
      </c>
      <c r="X81" s="35">
        <v>25180</v>
      </c>
      <c r="Y81" s="35">
        <v>30065</v>
      </c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4"/>
      <c r="AT81" s="34"/>
      <c r="AU81" s="34"/>
      <c r="AV81" s="34"/>
      <c r="AW81" s="34"/>
      <c r="AX81" s="34"/>
      <c r="AY81" s="33"/>
      <c r="AZ81" s="33"/>
      <c r="BA81" s="33"/>
      <c r="BB81" s="33"/>
      <c r="BC81" s="33"/>
      <c r="BE81" s="36"/>
      <c r="BF81" s="36"/>
      <c r="BG81" s="36"/>
      <c r="BH81" s="36"/>
      <c r="BM81" s="35">
        <f t="shared" si="18"/>
        <v>1.6552280985062576E-2</v>
      </c>
    </row>
    <row r="82" spans="1:65" s="35" customFormat="1" ht="21" customHeight="1">
      <c r="A82" s="32"/>
      <c r="B82" s="33" t="s">
        <v>146</v>
      </c>
      <c r="C82" s="33">
        <v>14</v>
      </c>
      <c r="D82" s="34">
        <v>24682</v>
      </c>
      <c r="E82" s="33">
        <v>24505</v>
      </c>
      <c r="F82" s="33">
        <v>24560</v>
      </c>
      <c r="G82" s="33">
        <v>2063800</v>
      </c>
      <c r="H82" s="33">
        <v>29655</v>
      </c>
      <c r="I82" s="33">
        <v>29290</v>
      </c>
      <c r="J82" s="33">
        <v>29327</v>
      </c>
      <c r="K82" s="33">
        <v>98200</v>
      </c>
      <c r="L82" s="33">
        <f t="shared" si="15"/>
        <v>50686928000</v>
      </c>
      <c r="M82" s="33">
        <f t="shared" si="16"/>
        <v>2879911400</v>
      </c>
      <c r="N82" s="35">
        <v>24750</v>
      </c>
      <c r="O82" s="35">
        <v>29583</v>
      </c>
      <c r="P82" s="33">
        <v>24929</v>
      </c>
      <c r="Q82" s="33">
        <v>29951</v>
      </c>
      <c r="R82" s="33"/>
      <c r="S82" s="33"/>
      <c r="T82" s="33"/>
      <c r="U82" s="33"/>
      <c r="V82" s="35">
        <v>25080</v>
      </c>
      <c r="X82" s="36">
        <v>24970</v>
      </c>
      <c r="Y82" s="35">
        <v>29763</v>
      </c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4"/>
      <c r="AT82" s="34"/>
      <c r="AU82" s="34"/>
      <c r="AV82" s="34"/>
      <c r="AW82" s="34"/>
      <c r="AX82" s="34"/>
      <c r="AY82" s="33"/>
      <c r="AZ82" s="33"/>
      <c r="BA82" s="33"/>
      <c r="BB82" s="33"/>
      <c r="BC82" s="33"/>
      <c r="BE82" s="36"/>
      <c r="BF82" s="36"/>
      <c r="BG82" s="36"/>
      <c r="BH82" s="36"/>
    </row>
    <row r="83" spans="1:65" s="35" customFormat="1" ht="21" customHeight="1">
      <c r="A83" s="32"/>
      <c r="B83" s="33" t="s">
        <v>147</v>
      </c>
      <c r="C83" s="33">
        <v>15</v>
      </c>
      <c r="D83" s="34">
        <v>24505</v>
      </c>
      <c r="E83" s="33">
        <v>24359</v>
      </c>
      <c r="F83" s="33">
        <v>24461</v>
      </c>
      <c r="G83" s="33">
        <v>5991100</v>
      </c>
      <c r="H83" s="33">
        <v>29290</v>
      </c>
      <c r="I83" s="33">
        <v>29350</v>
      </c>
      <c r="J83" s="33">
        <v>29352</v>
      </c>
      <c r="K83" s="33">
        <v>180000</v>
      </c>
      <c r="L83" s="33">
        <f t="shared" si="15"/>
        <v>146548297100</v>
      </c>
      <c r="M83" s="33">
        <f t="shared" si="16"/>
        <v>5283360000</v>
      </c>
      <c r="N83" s="35">
        <v>24602</v>
      </c>
      <c r="O83" s="35">
        <v>29643</v>
      </c>
      <c r="P83" s="33">
        <v>24750</v>
      </c>
      <c r="Q83" s="33">
        <v>29583</v>
      </c>
      <c r="R83" s="33"/>
      <c r="S83" s="33"/>
      <c r="T83" s="33"/>
      <c r="U83" s="33"/>
      <c r="V83" s="35">
        <v>25060</v>
      </c>
      <c r="X83" s="36">
        <v>25110</v>
      </c>
      <c r="Y83" s="35">
        <v>29779</v>
      </c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4"/>
      <c r="AT83" s="34"/>
      <c r="AU83" s="34"/>
      <c r="AV83" s="34"/>
      <c r="AW83" s="34"/>
      <c r="AX83" s="34"/>
      <c r="AY83" s="33"/>
      <c r="AZ83" s="33"/>
      <c r="BA83" s="33"/>
      <c r="BB83" s="33"/>
      <c r="BC83" s="33"/>
      <c r="BE83" s="36"/>
      <c r="BF83" s="36"/>
      <c r="BG83" s="36"/>
      <c r="BH83" s="36"/>
    </row>
    <row r="84" spans="1:65" s="35" customFormat="1" ht="21" customHeight="1">
      <c r="A84" s="32"/>
      <c r="B84" s="33" t="s">
        <v>148</v>
      </c>
      <c r="C84" s="33">
        <v>16</v>
      </c>
      <c r="D84" s="34">
        <v>24432</v>
      </c>
      <c r="E84" s="33">
        <v>24109</v>
      </c>
      <c r="F84" s="33">
        <v>24242</v>
      </c>
      <c r="G84" s="33">
        <v>5324200</v>
      </c>
      <c r="H84" s="33">
        <v>29350</v>
      </c>
      <c r="I84" s="33">
        <v>29200</v>
      </c>
      <c r="J84" s="33">
        <v>29350</v>
      </c>
      <c r="K84" s="33">
        <v>115200</v>
      </c>
      <c r="L84" s="33">
        <f t="shared" si="15"/>
        <v>129069256400</v>
      </c>
      <c r="M84" s="33">
        <f t="shared" si="16"/>
        <v>3381120000</v>
      </c>
      <c r="N84" s="35">
        <v>24350</v>
      </c>
      <c r="O84" s="35">
        <v>29492</v>
      </c>
      <c r="P84" s="33">
        <v>24676</v>
      </c>
      <c r="Q84" s="33">
        <v>29643</v>
      </c>
      <c r="R84" s="33"/>
      <c r="S84" s="33"/>
      <c r="T84" s="33"/>
      <c r="U84" s="33"/>
      <c r="V84" s="35">
        <v>25030</v>
      </c>
      <c r="X84" s="36">
        <v>24900</v>
      </c>
      <c r="Y84" s="35">
        <v>29477</v>
      </c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4"/>
      <c r="AT84" s="34"/>
      <c r="AU84" s="34"/>
      <c r="AV84" s="34"/>
      <c r="AW84" s="34"/>
      <c r="AX84" s="34"/>
      <c r="AY84" s="33"/>
      <c r="AZ84" s="33"/>
      <c r="BA84" s="33"/>
      <c r="BB84" s="33"/>
      <c r="BC84" s="33"/>
      <c r="BE84" s="36"/>
      <c r="BF84" s="36"/>
      <c r="BG84" s="36"/>
      <c r="BH84" s="36"/>
    </row>
    <row r="85" spans="1:65" s="29" customFormat="1" ht="21" customHeight="1">
      <c r="A85" s="28"/>
      <c r="B85" s="10" t="s">
        <v>149</v>
      </c>
      <c r="C85" s="10">
        <v>19</v>
      </c>
      <c r="D85" s="27">
        <v>24279</v>
      </c>
      <c r="E85" s="10">
        <v>24268</v>
      </c>
      <c r="F85" s="10">
        <v>24240</v>
      </c>
      <c r="G85" s="10">
        <v>6332900</v>
      </c>
      <c r="H85" s="10">
        <v>29200</v>
      </c>
      <c r="I85" s="10">
        <v>29160</v>
      </c>
      <c r="J85" s="10">
        <v>29103</v>
      </c>
      <c r="K85" s="10">
        <v>205800</v>
      </c>
      <c r="L85" s="10">
        <f t="shared" si="15"/>
        <v>153509496000</v>
      </c>
      <c r="M85" s="10">
        <f t="shared" si="16"/>
        <v>5989397400</v>
      </c>
      <c r="N85" s="29">
        <v>24510</v>
      </c>
      <c r="O85" s="29">
        <v>29452</v>
      </c>
      <c r="P85" s="10">
        <v>24521</v>
      </c>
      <c r="Q85" s="10">
        <v>29492</v>
      </c>
      <c r="R85" s="10"/>
      <c r="S85" s="10"/>
      <c r="T85" s="10"/>
      <c r="U85" s="10"/>
      <c r="V85" s="29">
        <v>24920</v>
      </c>
      <c r="X85" s="30">
        <v>24880</v>
      </c>
      <c r="Y85" s="29">
        <v>29581</v>
      </c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27"/>
      <c r="AT85" s="27"/>
      <c r="AU85" s="27"/>
      <c r="AV85" s="27"/>
      <c r="AW85" s="27"/>
      <c r="AX85" s="27"/>
      <c r="AY85" s="10"/>
      <c r="AZ85" s="10"/>
      <c r="BA85" s="10"/>
      <c r="BB85" s="10"/>
      <c r="BC85" s="10"/>
      <c r="BE85" s="30"/>
      <c r="BF85" s="30"/>
      <c r="BG85" s="30"/>
      <c r="BH85" s="30"/>
    </row>
    <row r="86" spans="1:65" s="24" customFormat="1" ht="21" customHeight="1">
      <c r="A86" s="21"/>
      <c r="B86" s="22" t="s">
        <v>150</v>
      </c>
      <c r="C86" s="22">
        <v>20</v>
      </c>
      <c r="D86" s="31">
        <v>24242</v>
      </c>
      <c r="E86" s="22">
        <v>24405</v>
      </c>
      <c r="F86" s="22">
        <v>24302</v>
      </c>
      <c r="G86" s="22">
        <v>5403600</v>
      </c>
      <c r="H86" s="22">
        <v>29190</v>
      </c>
      <c r="I86" s="22">
        <v>29172</v>
      </c>
      <c r="J86" s="22">
        <v>29087</v>
      </c>
      <c r="K86" s="22">
        <v>190100</v>
      </c>
      <c r="L86" s="22">
        <f t="shared" si="15"/>
        <v>131318287200</v>
      </c>
      <c r="M86" s="22">
        <f t="shared" si="16"/>
        <v>5529438700</v>
      </c>
      <c r="N86" s="24">
        <v>24649</v>
      </c>
      <c r="O86" s="24">
        <v>29464</v>
      </c>
      <c r="P86" s="22">
        <v>24484</v>
      </c>
      <c r="Q86" s="22">
        <v>29482</v>
      </c>
      <c r="R86" s="22"/>
      <c r="S86" s="22"/>
      <c r="T86" s="22"/>
      <c r="U86" s="22"/>
      <c r="V86" s="24">
        <v>24900</v>
      </c>
      <c r="X86" s="23">
        <v>24880</v>
      </c>
      <c r="Y86" s="24">
        <v>29569</v>
      </c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31"/>
      <c r="AT86" s="31"/>
      <c r="AU86" s="31"/>
      <c r="AV86" s="31"/>
      <c r="AW86" s="31"/>
      <c r="AX86" s="31"/>
      <c r="AY86" s="22"/>
      <c r="AZ86" s="22"/>
      <c r="BA86" s="22"/>
      <c r="BB86" s="22"/>
      <c r="BC86" s="22"/>
      <c r="BE86" s="23"/>
      <c r="BF86" s="23"/>
      <c r="BG86" s="23"/>
      <c r="BH86" s="23"/>
    </row>
    <row r="87" spans="1:65" s="29" customFormat="1" ht="21" customHeight="1">
      <c r="A87" s="28"/>
      <c r="B87" s="10" t="s">
        <v>151</v>
      </c>
      <c r="C87" s="10">
        <v>21</v>
      </c>
      <c r="D87" s="27">
        <v>24358</v>
      </c>
      <c r="E87" s="10">
        <v>24467</v>
      </c>
      <c r="F87" s="10">
        <v>24411</v>
      </c>
      <c r="G87" s="10">
        <v>5277000</v>
      </c>
      <c r="H87" s="10">
        <v>29172</v>
      </c>
      <c r="I87" s="10">
        <v>29164</v>
      </c>
      <c r="J87" s="10">
        <v>29187</v>
      </c>
      <c r="K87" s="10">
        <v>100100</v>
      </c>
      <c r="L87" s="10">
        <f t="shared" si="15"/>
        <v>128816847000</v>
      </c>
      <c r="M87" s="10">
        <f t="shared" si="16"/>
        <v>2921618700</v>
      </c>
      <c r="N87" s="29">
        <v>24712</v>
      </c>
      <c r="O87" s="29">
        <v>29456</v>
      </c>
      <c r="P87" s="10">
        <v>24602</v>
      </c>
      <c r="Q87" s="10">
        <v>29464</v>
      </c>
      <c r="R87" s="10"/>
      <c r="S87" s="10"/>
      <c r="T87" s="10"/>
      <c r="U87" s="10"/>
      <c r="V87" s="30">
        <v>24890</v>
      </c>
      <c r="X87" s="29">
        <v>24920</v>
      </c>
      <c r="Y87" s="29">
        <v>29531</v>
      </c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27"/>
      <c r="AT87" s="27"/>
      <c r="AU87" s="27"/>
      <c r="AV87" s="27"/>
      <c r="AW87" s="27"/>
      <c r="AX87" s="27"/>
      <c r="AY87" s="10"/>
      <c r="AZ87" s="10"/>
      <c r="BA87" s="10"/>
      <c r="BB87" s="10"/>
      <c r="BC87" s="10"/>
      <c r="BE87" s="30"/>
      <c r="BF87" s="30"/>
      <c r="BG87" s="30"/>
      <c r="BH87" s="30"/>
    </row>
    <row r="88" spans="1:65" s="29" customFormat="1" ht="21" customHeight="1">
      <c r="A88" s="28"/>
      <c r="B88" s="10" t="s">
        <v>152</v>
      </c>
      <c r="C88" s="10">
        <v>22</v>
      </c>
      <c r="D88" s="27">
        <v>24467</v>
      </c>
      <c r="E88" s="10">
        <v>24318</v>
      </c>
      <c r="F88" s="10">
        <v>24369</v>
      </c>
      <c r="G88" s="10">
        <v>2548900</v>
      </c>
      <c r="H88" s="10">
        <v>29164</v>
      </c>
      <c r="I88" s="10">
        <v>29082</v>
      </c>
      <c r="J88" s="10">
        <v>29097</v>
      </c>
      <c r="K88" s="10">
        <v>105700</v>
      </c>
      <c r="L88" s="10">
        <f t="shared" si="15"/>
        <v>62114144100</v>
      </c>
      <c r="M88" s="10">
        <f t="shared" si="16"/>
        <v>3075552900</v>
      </c>
      <c r="N88" s="29">
        <v>24561</v>
      </c>
      <c r="O88" s="29">
        <v>29373</v>
      </c>
      <c r="P88" s="10">
        <v>24712</v>
      </c>
      <c r="Q88" s="10">
        <v>29456</v>
      </c>
      <c r="R88" s="10"/>
      <c r="S88" s="10"/>
      <c r="T88" s="10"/>
      <c r="U88" s="10"/>
      <c r="V88" s="30">
        <v>24850</v>
      </c>
      <c r="X88" s="29">
        <v>24750</v>
      </c>
      <c r="Y88" s="29">
        <v>29450</v>
      </c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27"/>
      <c r="AT88" s="27"/>
      <c r="AU88" s="27"/>
      <c r="AV88" s="27"/>
      <c r="AW88" s="27"/>
      <c r="AX88" s="27"/>
      <c r="AY88" s="10"/>
      <c r="AZ88" s="10"/>
      <c r="BA88" s="10"/>
      <c r="BB88" s="10"/>
      <c r="BC88" s="10"/>
      <c r="BE88" s="30"/>
      <c r="BF88" s="30"/>
      <c r="BG88" s="30"/>
      <c r="BH88" s="30"/>
    </row>
    <row r="89" spans="1:65" s="29" customFormat="1" ht="21" customHeight="1">
      <c r="A89" s="28"/>
      <c r="B89" s="10" t="s">
        <v>153</v>
      </c>
      <c r="C89" s="10">
        <v>23</v>
      </c>
      <c r="D89" s="27">
        <v>24318</v>
      </c>
      <c r="E89" s="10">
        <v>24015</v>
      </c>
      <c r="F89" s="10">
        <v>24005</v>
      </c>
      <c r="G89" s="10">
        <v>3386600</v>
      </c>
      <c r="H89" s="10">
        <v>29082</v>
      </c>
      <c r="I89" s="10">
        <v>28650</v>
      </c>
      <c r="J89" s="10">
        <v>28701</v>
      </c>
      <c r="K89" s="10">
        <v>78000</v>
      </c>
      <c r="L89" s="10">
        <f t="shared" si="15"/>
        <v>81295333000</v>
      </c>
      <c r="M89" s="10">
        <f t="shared" si="16"/>
        <v>2238678000</v>
      </c>
      <c r="N89" s="29">
        <v>24255</v>
      </c>
      <c r="O89" s="29">
        <v>28936</v>
      </c>
      <c r="P89" s="10">
        <v>24561</v>
      </c>
      <c r="Q89" s="10">
        <v>29373</v>
      </c>
      <c r="R89" s="10"/>
      <c r="S89" s="10"/>
      <c r="T89" s="10"/>
      <c r="U89" s="10"/>
      <c r="V89" s="29">
        <v>24450</v>
      </c>
      <c r="X89" s="29">
        <v>24520</v>
      </c>
      <c r="Y89" s="29">
        <v>28819</v>
      </c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27"/>
      <c r="AT89" s="27"/>
      <c r="AU89" s="27"/>
      <c r="AV89" s="27"/>
      <c r="AW89" s="27"/>
      <c r="AX89" s="27"/>
      <c r="AY89" s="10"/>
      <c r="AZ89" s="10"/>
      <c r="BA89" s="10"/>
      <c r="BB89" s="10"/>
      <c r="BC89" s="10"/>
      <c r="BE89" s="30"/>
      <c r="BF89" s="30"/>
      <c r="BG89" s="30"/>
      <c r="BH89" s="30"/>
    </row>
    <row r="90" spans="1:65" s="15" customFormat="1" ht="21" customHeight="1">
      <c r="A90" s="12"/>
      <c r="B90" s="13" t="s">
        <v>154</v>
      </c>
      <c r="C90" s="13">
        <v>26</v>
      </c>
      <c r="D90" s="42">
        <v>24100</v>
      </c>
      <c r="E90" s="13">
        <v>24091</v>
      </c>
      <c r="F90" s="13">
        <v>24138</v>
      </c>
      <c r="G90" s="13">
        <v>6225800</v>
      </c>
      <c r="H90" s="13">
        <v>28650</v>
      </c>
      <c r="I90" s="13">
        <v>28521</v>
      </c>
      <c r="J90" s="13">
        <v>28539</v>
      </c>
      <c r="K90" s="13">
        <v>326500</v>
      </c>
      <c r="L90" s="13">
        <f t="shared" si="15"/>
        <v>150278360400</v>
      </c>
      <c r="M90" s="13">
        <f t="shared" si="16"/>
        <v>9317983500</v>
      </c>
      <c r="N90" s="15">
        <v>24332</v>
      </c>
      <c r="O90" s="15">
        <v>28806</v>
      </c>
      <c r="P90" s="13">
        <v>24341</v>
      </c>
      <c r="Q90" s="13">
        <v>28936</v>
      </c>
      <c r="R90" s="13"/>
      <c r="S90" s="13"/>
      <c r="T90" s="13"/>
      <c r="U90" s="13"/>
      <c r="V90" s="15">
        <v>24770</v>
      </c>
      <c r="X90" s="15">
        <v>24670</v>
      </c>
      <c r="Y90" s="15">
        <v>29196</v>
      </c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42"/>
      <c r="AT90" s="42"/>
      <c r="AU90" s="42"/>
      <c r="AV90" s="42"/>
      <c r="AW90" s="42"/>
      <c r="AX90" s="42"/>
      <c r="AY90" s="13"/>
      <c r="AZ90" s="13"/>
      <c r="BA90" s="13"/>
      <c r="BB90" s="13"/>
      <c r="BC90" s="13"/>
      <c r="BE90" s="14"/>
      <c r="BF90" s="14"/>
      <c r="BG90" s="14"/>
      <c r="BH90" s="14"/>
    </row>
    <row r="91" spans="1:65" s="15" customFormat="1" ht="21" customHeight="1">
      <c r="A91" s="12"/>
      <c r="B91" s="13" t="s">
        <v>155</v>
      </c>
      <c r="C91" s="13">
        <v>27</v>
      </c>
      <c r="D91" s="42">
        <v>24008</v>
      </c>
      <c r="E91" s="13">
        <v>23899</v>
      </c>
      <c r="F91" s="13">
        <v>23959</v>
      </c>
      <c r="G91" s="13">
        <v>5786000</v>
      </c>
      <c r="H91" s="13">
        <v>28521</v>
      </c>
      <c r="I91" s="13">
        <v>28590</v>
      </c>
      <c r="J91" s="13">
        <v>28582</v>
      </c>
      <c r="K91" s="13">
        <v>151900</v>
      </c>
      <c r="L91" s="13">
        <f t="shared" si="15"/>
        <v>138626774000</v>
      </c>
      <c r="M91" s="13">
        <f t="shared" si="16"/>
        <v>4341605800</v>
      </c>
      <c r="N91" s="15">
        <v>24138</v>
      </c>
      <c r="O91" s="15">
        <v>28876</v>
      </c>
      <c r="P91" s="13">
        <v>24248</v>
      </c>
      <c r="Q91" s="13">
        <v>28807</v>
      </c>
      <c r="R91" s="13"/>
      <c r="S91" s="13"/>
      <c r="T91" s="13"/>
      <c r="U91" s="13"/>
      <c r="V91" s="15">
        <v>24720</v>
      </c>
      <c r="X91" s="15">
        <v>24650</v>
      </c>
      <c r="Y91" s="15">
        <v>29196</v>
      </c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42"/>
      <c r="AT91" s="42"/>
      <c r="AU91" s="42"/>
      <c r="AV91" s="42"/>
      <c r="AW91" s="42"/>
      <c r="AX91" s="42"/>
      <c r="AY91" s="13"/>
      <c r="AZ91" s="13"/>
      <c r="BA91" s="13"/>
      <c r="BB91" s="13"/>
      <c r="BC91" s="13"/>
      <c r="BE91" s="14"/>
      <c r="BF91" s="14"/>
      <c r="BG91" s="14"/>
      <c r="BH91" s="14"/>
    </row>
    <row r="92" spans="1:65" s="15" customFormat="1" ht="21" customHeight="1">
      <c r="A92" s="12"/>
      <c r="B92" s="13" t="s">
        <v>156</v>
      </c>
      <c r="C92" s="13">
        <v>28</v>
      </c>
      <c r="D92" s="42">
        <v>23056</v>
      </c>
      <c r="E92" s="13">
        <v>23911</v>
      </c>
      <c r="F92" s="13">
        <v>23840</v>
      </c>
      <c r="G92" s="13">
        <v>4854700</v>
      </c>
      <c r="H92" s="13">
        <v>28590</v>
      </c>
      <c r="I92" s="13">
        <v>28499</v>
      </c>
      <c r="J92" s="13">
        <v>28483</v>
      </c>
      <c r="K92" s="13">
        <v>179500</v>
      </c>
      <c r="L92" s="13">
        <f t="shared" si="15"/>
        <v>115736048000</v>
      </c>
      <c r="M92" s="13">
        <f t="shared" si="16"/>
        <v>5112698500</v>
      </c>
      <c r="N92" s="15">
        <v>24150</v>
      </c>
      <c r="O92" s="15">
        <v>28784</v>
      </c>
      <c r="P92" s="13">
        <v>23287</v>
      </c>
      <c r="Q92" s="13">
        <v>28876</v>
      </c>
      <c r="R92" s="13"/>
      <c r="S92" s="13"/>
      <c r="T92" s="13"/>
      <c r="U92" s="13"/>
      <c r="V92" s="15">
        <v>24500</v>
      </c>
      <c r="X92" s="15">
        <v>24400</v>
      </c>
      <c r="Y92" s="15">
        <v>28785</v>
      </c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42"/>
      <c r="AT92" s="42"/>
      <c r="AU92" s="42"/>
      <c r="AV92" s="42"/>
      <c r="AW92" s="42"/>
      <c r="AX92" s="42"/>
      <c r="AY92" s="13"/>
      <c r="AZ92" s="13"/>
      <c r="BA92" s="13"/>
      <c r="BB92" s="13"/>
      <c r="BC92" s="13"/>
      <c r="BE92" s="14"/>
      <c r="BF92" s="14"/>
      <c r="BG92" s="14"/>
      <c r="BH92" s="14"/>
    </row>
    <row r="93" spans="1:65" s="29" customFormat="1" ht="21" customHeight="1">
      <c r="A93" s="28"/>
      <c r="B93" s="10" t="s">
        <v>157</v>
      </c>
      <c r="C93" s="10">
        <v>4</v>
      </c>
      <c r="D93" s="27">
        <v>23911</v>
      </c>
      <c r="E93" s="10">
        <v>24357</v>
      </c>
      <c r="F93" s="10">
        <v>24311</v>
      </c>
      <c r="G93" s="10">
        <v>7792000</v>
      </c>
      <c r="H93" s="10">
        <v>28499</v>
      </c>
      <c r="I93" s="10">
        <v>28515</v>
      </c>
      <c r="J93" s="10">
        <v>28468</v>
      </c>
      <c r="K93" s="10">
        <v>769000</v>
      </c>
      <c r="L93" s="13">
        <f t="shared" si="15"/>
        <v>189431312000</v>
      </c>
      <c r="M93" s="13">
        <f t="shared" si="16"/>
        <v>21891892000</v>
      </c>
      <c r="N93" s="29">
        <v>24601</v>
      </c>
      <c r="O93" s="29">
        <v>28800</v>
      </c>
      <c r="P93" s="10">
        <v>24150</v>
      </c>
      <c r="Q93" s="10">
        <v>28784</v>
      </c>
      <c r="R93" s="10"/>
      <c r="S93" s="10"/>
      <c r="T93" s="10"/>
      <c r="U93" s="10"/>
      <c r="V93" s="29">
        <v>24830</v>
      </c>
      <c r="X93" s="29">
        <v>24980</v>
      </c>
      <c r="Y93" s="29">
        <v>29241</v>
      </c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27"/>
      <c r="AT93" s="27"/>
      <c r="AU93" s="27"/>
      <c r="AV93" s="27"/>
      <c r="AW93" s="27"/>
      <c r="AX93" s="27"/>
      <c r="AY93" s="10"/>
      <c r="AZ93" s="10"/>
      <c r="BA93" s="10"/>
      <c r="BB93" s="10"/>
      <c r="BC93" s="10"/>
      <c r="BE93" s="30"/>
      <c r="BF93" s="30"/>
      <c r="BG93" s="30"/>
      <c r="BH93" s="30"/>
    </row>
    <row r="94" spans="1:65" s="29" customFormat="1" ht="21" customHeight="1">
      <c r="A94" s="28"/>
      <c r="B94" s="10" t="s">
        <v>158</v>
      </c>
      <c r="C94" s="10">
        <v>5</v>
      </c>
      <c r="D94" s="27">
        <v>24392</v>
      </c>
      <c r="E94" s="10">
        <v>24049</v>
      </c>
      <c r="F94" s="10">
        <v>24247</v>
      </c>
      <c r="G94" s="10">
        <v>9069200</v>
      </c>
      <c r="H94" s="10">
        <v>28503</v>
      </c>
      <c r="I94" s="10">
        <v>28320</v>
      </c>
      <c r="J94" s="10">
        <v>28446</v>
      </c>
      <c r="K94" s="10">
        <v>501300</v>
      </c>
      <c r="L94" s="13">
        <f t="shared" si="15"/>
        <v>219900892400</v>
      </c>
      <c r="M94" s="13">
        <f t="shared" si="16"/>
        <v>14259979800</v>
      </c>
      <c r="N94" s="29">
        <v>24289</v>
      </c>
      <c r="O94" s="29">
        <v>28603</v>
      </c>
      <c r="P94" s="10">
        <v>24635</v>
      </c>
      <c r="Q94" s="10">
        <v>28788</v>
      </c>
      <c r="R94" s="10"/>
      <c r="S94" s="10"/>
      <c r="T94" s="10"/>
      <c r="U94" s="10"/>
      <c r="V94" s="29">
        <v>25110</v>
      </c>
      <c r="X94" s="29">
        <v>25120</v>
      </c>
      <c r="Y94" s="29">
        <v>29570</v>
      </c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27"/>
      <c r="AT94" s="27"/>
      <c r="AU94" s="27"/>
      <c r="AV94" s="27"/>
      <c r="AW94" s="27"/>
      <c r="AX94" s="27"/>
      <c r="AY94" s="10"/>
      <c r="AZ94" s="10"/>
      <c r="BA94" s="10"/>
      <c r="BB94" s="10"/>
      <c r="BC94" s="10"/>
      <c r="BE94" s="30"/>
      <c r="BF94" s="30"/>
      <c r="BG94" s="30"/>
      <c r="BH94" s="30"/>
    </row>
    <row r="95" spans="1:65" s="29" customFormat="1" ht="21" customHeight="1">
      <c r="A95" s="28"/>
      <c r="B95" s="10" t="s">
        <v>159</v>
      </c>
      <c r="C95" s="10">
        <v>6</v>
      </c>
      <c r="D95" s="27">
        <v>24195</v>
      </c>
      <c r="E95" s="10">
        <v>24564</v>
      </c>
      <c r="F95" s="10">
        <v>24237</v>
      </c>
      <c r="G95" s="10">
        <v>7907600</v>
      </c>
      <c r="H95" s="10">
        <v>28500</v>
      </c>
      <c r="I95" s="10">
        <v>28515</v>
      </c>
      <c r="J95" s="10">
        <v>28467</v>
      </c>
      <c r="K95" s="10">
        <v>1007000</v>
      </c>
      <c r="L95" s="13">
        <f t="shared" si="15"/>
        <v>191656501200</v>
      </c>
      <c r="M95" s="13">
        <f t="shared" si="16"/>
        <v>28666269000</v>
      </c>
      <c r="N95" s="29">
        <v>24809</v>
      </c>
      <c r="O95" s="29">
        <v>28800</v>
      </c>
      <c r="P95" s="10">
        <v>24437</v>
      </c>
      <c r="Q95" s="10">
        <v>28785</v>
      </c>
      <c r="R95" s="10"/>
      <c r="S95" s="10"/>
      <c r="T95" s="10"/>
      <c r="U95" s="10"/>
      <c r="V95" s="29">
        <v>25240</v>
      </c>
      <c r="X95" s="29">
        <v>25290</v>
      </c>
      <c r="Y95" s="29">
        <v>29810</v>
      </c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27"/>
      <c r="AT95" s="27"/>
      <c r="AU95" s="27"/>
      <c r="AV95" s="27"/>
      <c r="AW95" s="27"/>
      <c r="AX95" s="27"/>
      <c r="AY95" s="10"/>
      <c r="AZ95" s="10"/>
      <c r="BA95" s="10"/>
      <c r="BB95" s="10"/>
      <c r="BC95" s="10"/>
      <c r="BE95" s="30"/>
      <c r="BF95" s="30"/>
      <c r="BG95" s="30"/>
      <c r="BH95" s="30"/>
    </row>
    <row r="96" spans="1:65" s="15" customFormat="1" ht="21" customHeight="1">
      <c r="A96" s="12"/>
      <c r="B96" s="13" t="s">
        <v>160</v>
      </c>
      <c r="C96" s="13">
        <v>9</v>
      </c>
      <c r="D96" s="42">
        <v>24773</v>
      </c>
      <c r="E96" s="13">
        <v>25110</v>
      </c>
      <c r="F96" s="13">
        <v>25128</v>
      </c>
      <c r="G96" s="13">
        <v>6988700</v>
      </c>
      <c r="H96" s="13">
        <v>28584</v>
      </c>
      <c r="I96" s="13">
        <v>29455</v>
      </c>
      <c r="J96" s="13">
        <v>29324</v>
      </c>
      <c r="K96" s="13">
        <v>1353300</v>
      </c>
      <c r="L96" s="13">
        <f t="shared" si="15"/>
        <v>175612053600</v>
      </c>
      <c r="M96" s="13">
        <f t="shared" si="16"/>
        <v>39684169200</v>
      </c>
      <c r="N96" s="15">
        <v>25361</v>
      </c>
      <c r="O96" s="15">
        <v>29750</v>
      </c>
      <c r="P96" s="13">
        <v>25020</v>
      </c>
      <c r="Q96" s="13">
        <v>28870</v>
      </c>
      <c r="R96" s="13"/>
      <c r="S96" s="13"/>
      <c r="T96" s="13"/>
      <c r="U96" s="13"/>
      <c r="V96" s="15">
        <v>25720</v>
      </c>
      <c r="X96" s="15">
        <v>25980</v>
      </c>
      <c r="Y96" s="15">
        <v>30521</v>
      </c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42"/>
      <c r="AT96" s="42"/>
      <c r="AU96" s="42"/>
      <c r="AV96" s="42"/>
      <c r="AW96" s="42"/>
      <c r="AX96" s="42"/>
      <c r="AY96" s="13"/>
      <c r="AZ96" s="13"/>
      <c r="BA96" s="13"/>
      <c r="BB96" s="13"/>
      <c r="BC96" s="13"/>
      <c r="BE96" s="14"/>
      <c r="BF96" s="14"/>
      <c r="BG96" s="14"/>
      <c r="BH96" s="14"/>
    </row>
    <row r="97" spans="1:60" s="15" customFormat="1" ht="21" customHeight="1">
      <c r="A97" s="12"/>
      <c r="B97" s="13" t="s">
        <v>161</v>
      </c>
      <c r="C97" s="13">
        <v>10</v>
      </c>
      <c r="D97" s="42">
        <v>25002</v>
      </c>
      <c r="E97" s="13">
        <v>24850</v>
      </c>
      <c r="F97" s="13">
        <v>25051</v>
      </c>
      <c r="G97" s="13">
        <v>6167100</v>
      </c>
      <c r="H97" s="13">
        <v>29455</v>
      </c>
      <c r="I97" s="13">
        <v>29286</v>
      </c>
      <c r="J97" s="13">
        <v>29441</v>
      </c>
      <c r="K97" s="13">
        <v>861800</v>
      </c>
      <c r="L97" s="13">
        <f t="shared" si="15"/>
        <v>154492022100</v>
      </c>
      <c r="M97" s="13">
        <f t="shared" si="16"/>
        <v>25372253800</v>
      </c>
      <c r="N97" s="15">
        <v>25098</v>
      </c>
      <c r="O97" s="15">
        <v>29579</v>
      </c>
      <c r="P97" s="13">
        <v>25252</v>
      </c>
      <c r="Q97" s="13">
        <v>29750</v>
      </c>
      <c r="R97" s="13"/>
      <c r="S97" s="13"/>
      <c r="T97" s="13"/>
      <c r="U97" s="13"/>
      <c r="V97" s="15">
        <v>25780</v>
      </c>
      <c r="X97" s="15">
        <v>25620</v>
      </c>
      <c r="Y97" s="15">
        <v>30616</v>
      </c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42"/>
      <c r="AT97" s="42"/>
      <c r="AU97" s="42"/>
      <c r="AV97" s="42"/>
      <c r="AW97" s="42"/>
      <c r="AX97" s="42"/>
      <c r="AY97" s="13"/>
      <c r="AZ97" s="13"/>
      <c r="BA97" s="13"/>
      <c r="BB97" s="13"/>
      <c r="BC97" s="13"/>
      <c r="BE97" s="14"/>
      <c r="BF97" s="14"/>
      <c r="BG97" s="14"/>
      <c r="BH97" s="14"/>
    </row>
    <row r="98" spans="1:60" s="15" customFormat="1" ht="21" customHeight="1">
      <c r="A98" s="12"/>
      <c r="B98" s="13" t="s">
        <v>162</v>
      </c>
      <c r="C98" s="13">
        <v>11</v>
      </c>
      <c r="D98" s="42">
        <v>24850</v>
      </c>
      <c r="E98" s="13">
        <v>24950</v>
      </c>
      <c r="F98" s="13">
        <v>24959</v>
      </c>
      <c r="G98" s="13">
        <v>3698400</v>
      </c>
      <c r="H98" s="13">
        <v>29286</v>
      </c>
      <c r="I98" s="13">
        <v>29259</v>
      </c>
      <c r="J98" s="13">
        <v>29201</v>
      </c>
      <c r="K98" s="13">
        <v>1558800</v>
      </c>
      <c r="L98" s="13">
        <f t="shared" ref="L98:L132" si="19">F98*G98</f>
        <v>92308365600</v>
      </c>
      <c r="M98" s="13">
        <f t="shared" ref="M98:M132" si="20">J98*K98</f>
        <v>45518518800</v>
      </c>
      <c r="N98" s="15">
        <v>25200</v>
      </c>
      <c r="O98" s="15">
        <v>29552</v>
      </c>
      <c r="P98" s="13">
        <v>25098</v>
      </c>
      <c r="Q98" s="13">
        <v>29579</v>
      </c>
      <c r="R98" s="13"/>
      <c r="S98" s="13"/>
      <c r="T98" s="13"/>
      <c r="U98" s="13"/>
      <c r="V98" s="15">
        <v>25560</v>
      </c>
      <c r="X98" s="15">
        <v>25480</v>
      </c>
      <c r="Y98" s="15">
        <v>30347</v>
      </c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42"/>
      <c r="AT98" s="42"/>
      <c r="AU98" s="42"/>
      <c r="AV98" s="42"/>
      <c r="AW98" s="42"/>
      <c r="AX98" s="42"/>
      <c r="AY98" s="13"/>
      <c r="AZ98" s="13"/>
      <c r="BA98" s="13"/>
      <c r="BB98" s="13"/>
      <c r="BC98" s="13"/>
      <c r="BE98" s="14"/>
      <c r="BF98" s="14"/>
      <c r="BG98" s="14"/>
      <c r="BH98" s="14"/>
    </row>
    <row r="99" spans="1:60" s="15" customFormat="1" ht="21" customHeight="1">
      <c r="A99" s="12"/>
      <c r="B99" s="13" t="s">
        <v>163</v>
      </c>
      <c r="C99" s="13">
        <v>12</v>
      </c>
      <c r="D99" s="42">
        <v>24954</v>
      </c>
      <c r="E99" s="13">
        <v>25000</v>
      </c>
      <c r="F99" s="13">
        <v>24928</v>
      </c>
      <c r="G99" s="13">
        <v>6469700</v>
      </c>
      <c r="H99" s="13">
        <v>29259</v>
      </c>
      <c r="I99" s="13">
        <v>29649</v>
      </c>
      <c r="J99" s="13">
        <v>29249</v>
      </c>
      <c r="K99" s="13">
        <v>1301700</v>
      </c>
      <c r="L99" s="13">
        <f t="shared" si="19"/>
        <v>161276681600</v>
      </c>
      <c r="M99" s="13">
        <f t="shared" si="20"/>
        <v>38073423300</v>
      </c>
      <c r="N99" s="15">
        <v>25250</v>
      </c>
      <c r="O99" s="15">
        <v>29945</v>
      </c>
      <c r="P99" s="13">
        <v>25204</v>
      </c>
      <c r="Q99" s="13">
        <v>29552</v>
      </c>
      <c r="R99" s="13"/>
      <c r="S99" s="13"/>
      <c r="T99" s="13"/>
      <c r="U99" s="13"/>
      <c r="V99" s="15">
        <v>25500</v>
      </c>
      <c r="X99" s="15">
        <v>25630</v>
      </c>
      <c r="Y99" s="15">
        <v>30340</v>
      </c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42"/>
      <c r="AT99" s="42"/>
      <c r="AU99" s="42"/>
      <c r="AV99" s="42"/>
      <c r="AW99" s="42"/>
      <c r="AX99" s="42"/>
      <c r="AY99" s="13"/>
      <c r="AZ99" s="13"/>
      <c r="BA99" s="13"/>
      <c r="BB99" s="13"/>
      <c r="BC99" s="13"/>
      <c r="BE99" s="14"/>
      <c r="BF99" s="14"/>
      <c r="BG99" s="14"/>
      <c r="BH99" s="14"/>
    </row>
    <row r="100" spans="1:60" s="15" customFormat="1" ht="21" customHeight="1">
      <c r="A100" s="12"/>
      <c r="B100" s="13" t="s">
        <v>164</v>
      </c>
      <c r="C100" s="13">
        <v>13</v>
      </c>
      <c r="D100" s="42">
        <v>25001</v>
      </c>
      <c r="E100" s="13">
        <v>25020</v>
      </c>
      <c r="F100" s="13">
        <v>25023</v>
      </c>
      <c r="G100" s="13">
        <v>4324400</v>
      </c>
      <c r="H100" s="13">
        <v>29600</v>
      </c>
      <c r="I100" s="13">
        <v>29348</v>
      </c>
      <c r="J100" s="13">
        <v>29281</v>
      </c>
      <c r="K100" s="13">
        <v>1308200</v>
      </c>
      <c r="L100" s="13">
        <f t="shared" si="19"/>
        <v>108209461200</v>
      </c>
      <c r="M100" s="13">
        <f t="shared" si="20"/>
        <v>38305404200</v>
      </c>
      <c r="N100" s="15">
        <v>25270</v>
      </c>
      <c r="O100" s="15">
        <v>29642</v>
      </c>
      <c r="P100" s="13">
        <v>25251</v>
      </c>
      <c r="Q100" s="13">
        <v>29896</v>
      </c>
      <c r="R100" s="13"/>
      <c r="S100" s="13"/>
      <c r="T100" s="13"/>
      <c r="U100" s="13"/>
      <c r="V100" s="15">
        <v>25500</v>
      </c>
      <c r="X100" s="15">
        <v>25510</v>
      </c>
      <c r="Y100" s="15">
        <v>30230</v>
      </c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42"/>
      <c r="AT100" s="42"/>
      <c r="AU100" s="42"/>
      <c r="AV100" s="42"/>
      <c r="AW100" s="42"/>
      <c r="AX100" s="42"/>
      <c r="AY100" s="13"/>
      <c r="AZ100" s="13"/>
      <c r="BA100" s="13"/>
      <c r="BB100" s="13"/>
      <c r="BC100" s="13"/>
      <c r="BE100" s="14"/>
      <c r="BF100" s="14"/>
      <c r="BG100" s="14"/>
      <c r="BH100" s="14"/>
    </row>
    <row r="101" spans="1:60" s="29" customFormat="1" ht="21" customHeight="1">
      <c r="A101" s="28"/>
      <c r="B101" s="10" t="s">
        <v>165</v>
      </c>
      <c r="C101" s="10">
        <v>16</v>
      </c>
      <c r="D101" s="27">
        <v>25000</v>
      </c>
      <c r="E101" s="10">
        <v>24809</v>
      </c>
      <c r="F101" s="10">
        <v>24789</v>
      </c>
      <c r="G101" s="10">
        <v>6980200</v>
      </c>
      <c r="H101" s="10">
        <v>29348</v>
      </c>
      <c r="I101" s="10">
        <v>29335</v>
      </c>
      <c r="J101" s="10">
        <v>29182</v>
      </c>
      <c r="K101" s="10">
        <v>486500</v>
      </c>
      <c r="L101" s="13">
        <f t="shared" si="19"/>
        <v>173032177800</v>
      </c>
      <c r="M101" s="13">
        <f t="shared" si="20"/>
        <v>14197043000</v>
      </c>
      <c r="N101" s="29">
        <v>25057</v>
      </c>
      <c r="O101" s="29">
        <v>29628</v>
      </c>
      <c r="P101" s="10">
        <v>25250</v>
      </c>
      <c r="Q101" s="10">
        <v>29642</v>
      </c>
      <c r="R101" s="10"/>
      <c r="S101" s="10"/>
      <c r="T101" s="10"/>
      <c r="U101" s="10"/>
      <c r="V101" s="29">
        <v>25420</v>
      </c>
      <c r="X101" s="29">
        <v>25550</v>
      </c>
      <c r="Y101" s="29">
        <v>30039</v>
      </c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27"/>
      <c r="AT101" s="27"/>
      <c r="AU101" s="27"/>
      <c r="AV101" s="27"/>
      <c r="AW101" s="27"/>
      <c r="AX101" s="27"/>
      <c r="AY101" s="10"/>
      <c r="AZ101" s="10"/>
      <c r="BA101" s="10"/>
      <c r="BB101" s="10"/>
      <c r="BC101" s="10"/>
      <c r="BE101" s="30"/>
      <c r="BF101" s="30"/>
      <c r="BG101" s="30"/>
      <c r="BH101" s="30"/>
    </row>
    <row r="102" spans="1:60" s="29" customFormat="1" ht="21" customHeight="1">
      <c r="A102" s="28"/>
      <c r="B102" s="10" t="s">
        <v>166</v>
      </c>
      <c r="C102" s="10">
        <v>17</v>
      </c>
      <c r="D102" s="27">
        <v>24881</v>
      </c>
      <c r="E102" s="10">
        <v>25013</v>
      </c>
      <c r="F102" s="10">
        <v>24987</v>
      </c>
      <c r="G102" s="10">
        <v>6442800</v>
      </c>
      <c r="H102" s="10">
        <v>29200</v>
      </c>
      <c r="I102" s="10">
        <v>29500</v>
      </c>
      <c r="J102" s="10">
        <v>29234</v>
      </c>
      <c r="K102" s="10">
        <v>742800</v>
      </c>
      <c r="L102" s="13">
        <f t="shared" si="19"/>
        <v>160986243600</v>
      </c>
      <c r="M102" s="13">
        <f t="shared" si="20"/>
        <v>21715015200</v>
      </c>
      <c r="N102" s="29">
        <v>25263</v>
      </c>
      <c r="O102" s="29">
        <v>29795</v>
      </c>
      <c r="P102" s="10">
        <v>25130</v>
      </c>
      <c r="Q102" s="10">
        <v>29492</v>
      </c>
      <c r="R102" s="10"/>
      <c r="S102" s="10"/>
      <c r="T102" s="10"/>
      <c r="U102" s="10"/>
      <c r="V102" s="29">
        <v>25680</v>
      </c>
      <c r="X102" s="29">
        <v>25720</v>
      </c>
      <c r="Y102" s="29">
        <v>30215</v>
      </c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27"/>
      <c r="AT102" s="27"/>
      <c r="AU102" s="27"/>
      <c r="AV102" s="27"/>
      <c r="AW102" s="27"/>
      <c r="AX102" s="27"/>
      <c r="AY102" s="10"/>
      <c r="AZ102" s="10"/>
      <c r="BA102" s="10"/>
      <c r="BB102" s="10"/>
      <c r="BC102" s="10"/>
      <c r="BE102" s="30"/>
      <c r="BF102" s="30"/>
      <c r="BG102" s="30"/>
      <c r="BH102" s="30"/>
    </row>
    <row r="103" spans="1:60" s="29" customFormat="1" ht="21" customHeight="1">
      <c r="A103" s="28"/>
      <c r="B103" s="10" t="s">
        <v>167</v>
      </c>
      <c r="C103" s="10">
        <v>18</v>
      </c>
      <c r="D103" s="27">
        <v>25014</v>
      </c>
      <c r="E103" s="10">
        <v>25120</v>
      </c>
      <c r="F103" s="10">
        <v>25037</v>
      </c>
      <c r="G103" s="10">
        <v>7707900</v>
      </c>
      <c r="H103" s="10">
        <v>29500</v>
      </c>
      <c r="I103" s="10">
        <v>29522</v>
      </c>
      <c r="J103" s="10">
        <v>29461</v>
      </c>
      <c r="K103" s="10">
        <v>588500</v>
      </c>
      <c r="L103" s="13">
        <f t="shared" si="19"/>
        <v>192982692300</v>
      </c>
      <c r="M103" s="13">
        <f t="shared" si="20"/>
        <v>17337798500</v>
      </c>
      <c r="N103" s="29">
        <v>25371</v>
      </c>
      <c r="O103" s="29">
        <v>29817</v>
      </c>
      <c r="P103" s="10">
        <v>25264</v>
      </c>
      <c r="Q103" s="10">
        <v>29795</v>
      </c>
      <c r="R103" s="10"/>
      <c r="S103" s="10"/>
      <c r="T103" s="10"/>
      <c r="U103" s="10"/>
      <c r="V103" s="29">
        <v>25660</v>
      </c>
      <c r="X103" s="29">
        <v>25780</v>
      </c>
      <c r="Y103" s="29">
        <v>30239</v>
      </c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27"/>
      <c r="AT103" s="27"/>
      <c r="AU103" s="27"/>
      <c r="AV103" s="27"/>
      <c r="AW103" s="27"/>
      <c r="AX103" s="27"/>
      <c r="AY103" s="10"/>
      <c r="AZ103" s="10"/>
      <c r="BA103" s="10"/>
      <c r="BB103" s="10"/>
      <c r="BC103" s="10"/>
      <c r="BE103" s="30"/>
      <c r="BF103" s="30"/>
      <c r="BG103" s="30"/>
      <c r="BH103" s="30"/>
    </row>
    <row r="104" spans="1:60" s="29" customFormat="1" ht="21" customHeight="1">
      <c r="A104" s="28"/>
      <c r="B104" s="10" t="s">
        <v>168</v>
      </c>
      <c r="C104" s="10">
        <v>19</v>
      </c>
      <c r="D104" s="27">
        <v>25210</v>
      </c>
      <c r="E104" s="10">
        <v>25280</v>
      </c>
      <c r="F104" s="10">
        <v>25300</v>
      </c>
      <c r="G104" s="10">
        <v>8778800</v>
      </c>
      <c r="H104" s="10">
        <v>29522</v>
      </c>
      <c r="I104" s="10">
        <v>29898</v>
      </c>
      <c r="J104" s="10">
        <v>29725</v>
      </c>
      <c r="K104" s="10">
        <v>498500</v>
      </c>
      <c r="L104" s="13">
        <f t="shared" si="19"/>
        <v>222103640000</v>
      </c>
      <c r="M104" s="13">
        <f t="shared" si="20"/>
        <v>14817912500</v>
      </c>
      <c r="N104" s="29">
        <v>25533</v>
      </c>
      <c r="O104" s="29">
        <v>30197</v>
      </c>
      <c r="P104" s="10">
        <v>25462</v>
      </c>
      <c r="Q104" s="10">
        <v>29817</v>
      </c>
      <c r="R104" s="10"/>
      <c r="S104" s="10"/>
      <c r="T104" s="10"/>
      <c r="U104" s="10"/>
      <c r="V104" s="29">
        <v>25960</v>
      </c>
      <c r="X104" s="29">
        <v>26070</v>
      </c>
      <c r="Y104" s="29">
        <v>30619</v>
      </c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27"/>
      <c r="AT104" s="27"/>
      <c r="AU104" s="27"/>
      <c r="AV104" s="27"/>
      <c r="AW104" s="27"/>
      <c r="AX104" s="27"/>
      <c r="AY104" s="10"/>
      <c r="AZ104" s="10"/>
      <c r="BA104" s="10"/>
      <c r="BB104" s="10"/>
      <c r="BC104" s="10"/>
      <c r="BE104" s="30"/>
      <c r="BF104" s="30"/>
      <c r="BG104" s="30"/>
      <c r="BH104" s="30"/>
    </row>
    <row r="105" spans="1:60" s="29" customFormat="1" ht="21" customHeight="1">
      <c r="A105" s="28"/>
      <c r="B105" s="10" t="s">
        <v>169</v>
      </c>
      <c r="C105" s="10">
        <v>20</v>
      </c>
      <c r="D105" s="27">
        <v>25677</v>
      </c>
      <c r="E105" s="10">
        <v>25815</v>
      </c>
      <c r="F105" s="10">
        <v>25717</v>
      </c>
      <c r="G105" s="10">
        <v>9813900</v>
      </c>
      <c r="H105" s="10">
        <v>29978</v>
      </c>
      <c r="I105" s="10">
        <v>30124</v>
      </c>
      <c r="J105" s="10">
        <v>30036</v>
      </c>
      <c r="K105" s="10">
        <v>728300</v>
      </c>
      <c r="L105" s="10">
        <f t="shared" si="19"/>
        <v>252384066300</v>
      </c>
      <c r="M105" s="10">
        <f t="shared" si="20"/>
        <v>21875218800</v>
      </c>
      <c r="N105" s="29">
        <v>26073</v>
      </c>
      <c r="O105" s="29">
        <v>30426</v>
      </c>
      <c r="P105" s="10">
        <v>25934</v>
      </c>
      <c r="Q105" s="10">
        <v>30277</v>
      </c>
      <c r="R105" s="10"/>
      <c r="S105" s="10"/>
      <c r="T105" s="10"/>
      <c r="U105" s="10"/>
      <c r="V105" s="29">
        <v>26470</v>
      </c>
      <c r="X105" s="29">
        <v>26520</v>
      </c>
      <c r="Y105" s="29">
        <v>30971</v>
      </c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27"/>
      <c r="AT105" s="27"/>
      <c r="AU105" s="27"/>
      <c r="AV105" s="27"/>
      <c r="AW105" s="27"/>
      <c r="AX105" s="27"/>
      <c r="AY105" s="10"/>
      <c r="AZ105" s="10"/>
      <c r="BA105" s="10"/>
      <c r="BB105" s="10"/>
      <c r="BC105" s="10"/>
      <c r="BE105" s="30"/>
      <c r="BF105" s="30"/>
      <c r="BG105" s="30"/>
      <c r="BH105" s="30"/>
    </row>
    <row r="106" spans="1:60" s="35" customFormat="1" ht="21" customHeight="1">
      <c r="A106" s="32"/>
      <c r="B106" s="33" t="s">
        <v>170</v>
      </c>
      <c r="C106" s="33">
        <v>23</v>
      </c>
      <c r="D106" s="34">
        <v>25700</v>
      </c>
      <c r="E106" s="33">
        <v>25647</v>
      </c>
      <c r="F106" s="33">
        <v>25757</v>
      </c>
      <c r="G106" s="33">
        <v>7868600</v>
      </c>
      <c r="H106" s="33">
        <v>30124</v>
      </c>
      <c r="I106" s="33">
        <v>30128</v>
      </c>
      <c r="J106" s="33">
        <v>30108</v>
      </c>
      <c r="K106" s="33">
        <v>994800</v>
      </c>
      <c r="L106" s="13">
        <f t="shared" si="19"/>
        <v>202671530200</v>
      </c>
      <c r="M106" s="13">
        <f t="shared" si="20"/>
        <v>29951438400</v>
      </c>
      <c r="N106" s="35">
        <v>25903</v>
      </c>
      <c r="O106" s="35">
        <v>30429</v>
      </c>
      <c r="P106" s="33">
        <v>25957</v>
      </c>
      <c r="Q106" s="33">
        <v>30426</v>
      </c>
      <c r="R106" s="33"/>
      <c r="S106" s="33"/>
      <c r="T106" s="33"/>
      <c r="U106" s="33"/>
      <c r="V106" s="35">
        <v>26370</v>
      </c>
      <c r="X106" s="35">
        <v>26580</v>
      </c>
      <c r="Y106" s="35">
        <v>31149</v>
      </c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4"/>
      <c r="AT106" s="34"/>
      <c r="AU106" s="34"/>
      <c r="AV106" s="34"/>
      <c r="AW106" s="34"/>
      <c r="AX106" s="34"/>
      <c r="AY106" s="33"/>
      <c r="AZ106" s="33"/>
      <c r="BA106" s="33"/>
      <c r="BB106" s="33"/>
      <c r="BC106" s="33"/>
      <c r="BE106" s="36"/>
      <c r="BF106" s="36"/>
      <c r="BG106" s="36"/>
      <c r="BH106" s="36"/>
    </row>
    <row r="107" spans="1:60" s="35" customFormat="1" ht="21" customHeight="1">
      <c r="A107" s="32"/>
      <c r="B107" s="33" t="s">
        <v>171</v>
      </c>
      <c r="C107" s="33">
        <v>24</v>
      </c>
      <c r="D107" s="34">
        <v>25746</v>
      </c>
      <c r="E107" s="33">
        <v>25767</v>
      </c>
      <c r="F107" s="33">
        <v>25638</v>
      </c>
      <c r="G107" s="33">
        <v>7755400</v>
      </c>
      <c r="H107" s="33">
        <v>30128</v>
      </c>
      <c r="I107" s="33">
        <v>30268</v>
      </c>
      <c r="J107" s="33">
        <v>30117</v>
      </c>
      <c r="K107" s="33">
        <v>1127900</v>
      </c>
      <c r="L107" s="33">
        <f t="shared" si="19"/>
        <v>198832945200</v>
      </c>
      <c r="M107" s="33">
        <f t="shared" si="20"/>
        <v>33968964300</v>
      </c>
      <c r="N107" s="35">
        <v>26024</v>
      </c>
      <c r="O107" s="35">
        <v>30571</v>
      </c>
      <c r="P107" s="33">
        <v>26003</v>
      </c>
      <c r="Q107" s="33">
        <v>30429</v>
      </c>
      <c r="R107" s="33"/>
      <c r="S107" s="33"/>
      <c r="T107" s="33"/>
      <c r="U107" s="33"/>
      <c r="V107" s="35">
        <v>26500</v>
      </c>
      <c r="X107" s="35">
        <v>26660</v>
      </c>
      <c r="Y107" s="35">
        <v>31385</v>
      </c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4"/>
      <c r="AT107" s="34"/>
      <c r="AU107" s="34"/>
      <c r="AV107" s="34"/>
      <c r="AW107" s="34"/>
      <c r="AX107" s="34"/>
      <c r="AY107" s="33"/>
      <c r="AZ107" s="33"/>
      <c r="BA107" s="33"/>
      <c r="BB107" s="33"/>
      <c r="BC107" s="33"/>
      <c r="BE107" s="36"/>
      <c r="BF107" s="36"/>
      <c r="BG107" s="36"/>
      <c r="BH107" s="36"/>
    </row>
    <row r="108" spans="1:60" s="29" customFormat="1" ht="21" customHeight="1">
      <c r="A108" s="28"/>
      <c r="B108" s="10" t="s">
        <v>172</v>
      </c>
      <c r="C108" s="10">
        <v>31</v>
      </c>
      <c r="D108" s="27">
        <v>26655</v>
      </c>
      <c r="E108" s="10">
        <v>26635</v>
      </c>
      <c r="F108" s="10">
        <v>26659</v>
      </c>
      <c r="G108" s="10">
        <v>8276500</v>
      </c>
      <c r="H108" s="10">
        <v>31100</v>
      </c>
      <c r="I108" s="10">
        <v>31382</v>
      </c>
      <c r="J108" s="10">
        <v>31298</v>
      </c>
      <c r="K108" s="10">
        <v>663900</v>
      </c>
      <c r="L108" s="10">
        <f t="shared" si="19"/>
        <v>220643213500</v>
      </c>
      <c r="M108" s="10">
        <f t="shared" si="20"/>
        <v>20778742200</v>
      </c>
      <c r="N108" s="29">
        <v>26901</v>
      </c>
      <c r="O108" s="29">
        <v>31696</v>
      </c>
      <c r="P108" s="10">
        <v>26921</v>
      </c>
      <c r="Q108" s="10">
        <v>31411</v>
      </c>
      <c r="R108" s="10"/>
      <c r="S108" s="10"/>
      <c r="T108" s="10"/>
      <c r="U108" s="10"/>
      <c r="V108" s="29">
        <v>27380</v>
      </c>
      <c r="X108" s="29">
        <v>27390</v>
      </c>
      <c r="Y108" s="29">
        <v>32318</v>
      </c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27"/>
      <c r="AT108" s="27"/>
      <c r="AU108" s="27"/>
      <c r="AV108" s="27"/>
      <c r="AW108" s="27"/>
      <c r="AX108" s="27"/>
      <c r="AY108" s="10"/>
      <c r="AZ108" s="10"/>
      <c r="BA108" s="10"/>
      <c r="BB108" s="10"/>
      <c r="BC108" s="10"/>
      <c r="BE108" s="30"/>
      <c r="BF108" s="30"/>
      <c r="BG108" s="30"/>
      <c r="BH108" s="30"/>
    </row>
    <row r="109" spans="1:60" s="29" customFormat="1" ht="21" customHeight="1">
      <c r="A109" s="28"/>
      <c r="B109" s="10" t="s">
        <v>173</v>
      </c>
      <c r="C109" s="10">
        <v>1</v>
      </c>
      <c r="D109" s="27">
        <v>26409</v>
      </c>
      <c r="E109" s="10">
        <v>26432</v>
      </c>
      <c r="F109" s="10">
        <v>26465</v>
      </c>
      <c r="G109" s="10">
        <v>9486200</v>
      </c>
      <c r="H109" s="10">
        <v>31382</v>
      </c>
      <c r="I109" s="10">
        <v>31470</v>
      </c>
      <c r="J109" s="10">
        <v>31469</v>
      </c>
      <c r="K109" s="10">
        <v>846800</v>
      </c>
      <c r="L109" s="10">
        <f t="shared" si="19"/>
        <v>251052283000</v>
      </c>
      <c r="M109" s="10">
        <f t="shared" si="20"/>
        <v>26647949200</v>
      </c>
      <c r="N109" s="29">
        <v>26696</v>
      </c>
      <c r="O109" s="29">
        <v>31785</v>
      </c>
      <c r="P109" s="10">
        <v>26673</v>
      </c>
      <c r="Q109" s="10">
        <v>31696</v>
      </c>
      <c r="R109" s="10"/>
      <c r="S109" s="10"/>
      <c r="T109" s="10"/>
      <c r="U109" s="10"/>
      <c r="V109" s="29">
        <v>27400</v>
      </c>
      <c r="X109" s="29">
        <v>27460</v>
      </c>
      <c r="Y109" s="29">
        <v>32096</v>
      </c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27"/>
      <c r="AT109" s="27"/>
      <c r="AU109" s="27"/>
      <c r="AV109" s="27"/>
      <c r="AW109" s="27"/>
      <c r="AX109" s="27"/>
      <c r="AY109" s="10"/>
      <c r="AZ109" s="10"/>
      <c r="BA109" s="10"/>
      <c r="BB109" s="10"/>
      <c r="BC109" s="10"/>
      <c r="BE109" s="30"/>
      <c r="BF109" s="30"/>
      <c r="BG109" s="30"/>
      <c r="BH109" s="30"/>
    </row>
    <row r="110" spans="1:60" s="29" customFormat="1" ht="21" customHeight="1">
      <c r="A110" s="28"/>
      <c r="B110" s="10" t="s">
        <v>174</v>
      </c>
      <c r="C110" s="10">
        <v>2</v>
      </c>
      <c r="D110" s="27">
        <v>26581</v>
      </c>
      <c r="E110" s="10">
        <v>26638</v>
      </c>
      <c r="F110" s="10">
        <v>26674</v>
      </c>
      <c r="G110" s="10">
        <v>9412600</v>
      </c>
      <c r="H110" s="10">
        <v>31357</v>
      </c>
      <c r="I110" s="10">
        <v>31402</v>
      </c>
      <c r="J110" s="10">
        <v>31546</v>
      </c>
      <c r="K110" s="10">
        <v>865300</v>
      </c>
      <c r="L110" s="10">
        <f t="shared" si="19"/>
        <v>251071692400</v>
      </c>
      <c r="M110" s="10">
        <f t="shared" si="20"/>
        <v>27296753800</v>
      </c>
      <c r="N110" s="29">
        <v>26904</v>
      </c>
      <c r="O110" s="29">
        <v>31716</v>
      </c>
      <c r="P110" s="10">
        <v>26846</v>
      </c>
      <c r="Q110" s="29">
        <v>31671</v>
      </c>
      <c r="R110" s="10"/>
      <c r="S110" s="10"/>
      <c r="T110" s="10"/>
      <c r="U110" s="10"/>
      <c r="V110" s="29">
        <v>27850</v>
      </c>
      <c r="X110" s="29">
        <v>27730</v>
      </c>
      <c r="Y110" s="29">
        <v>32639</v>
      </c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27"/>
      <c r="AT110" s="27"/>
      <c r="AU110" s="27"/>
      <c r="AV110" s="27"/>
      <c r="AW110" s="27"/>
      <c r="AX110" s="27"/>
      <c r="AY110" s="10"/>
      <c r="AZ110" s="10"/>
      <c r="BA110" s="10"/>
      <c r="BB110" s="10"/>
      <c r="BC110" s="10"/>
      <c r="BE110" s="30"/>
      <c r="BF110" s="30"/>
      <c r="BG110" s="30"/>
      <c r="BH110" s="30"/>
    </row>
    <row r="111" spans="1:60" s="29" customFormat="1" ht="21" customHeight="1">
      <c r="A111" s="28"/>
      <c r="B111" s="10" t="s">
        <v>175</v>
      </c>
      <c r="C111" s="10">
        <v>3</v>
      </c>
      <c r="D111" s="27">
        <v>26638</v>
      </c>
      <c r="E111" s="10">
        <v>26862</v>
      </c>
      <c r="F111" s="10">
        <v>26768</v>
      </c>
      <c r="G111" s="10">
        <v>10321100</v>
      </c>
      <c r="H111" s="10">
        <v>31402</v>
      </c>
      <c r="I111" s="10">
        <v>31448</v>
      </c>
      <c r="J111" s="10">
        <v>31438</v>
      </c>
      <c r="K111" s="10">
        <v>985200</v>
      </c>
      <c r="L111" s="10">
        <f t="shared" si="19"/>
        <v>276275204800</v>
      </c>
      <c r="M111" s="10">
        <f t="shared" si="20"/>
        <v>30972717600</v>
      </c>
      <c r="N111" s="29">
        <v>27130</v>
      </c>
      <c r="O111" s="29">
        <v>31762</v>
      </c>
      <c r="P111" s="10">
        <v>26904</v>
      </c>
      <c r="Q111" s="29">
        <v>31716</v>
      </c>
      <c r="R111" s="10"/>
      <c r="S111" s="10"/>
      <c r="T111" s="10"/>
      <c r="U111" s="10"/>
      <c r="V111" s="29">
        <v>27650</v>
      </c>
      <c r="X111" s="29">
        <v>27740</v>
      </c>
      <c r="Y111" s="29">
        <v>32566</v>
      </c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27"/>
      <c r="AT111" s="27"/>
      <c r="AU111" s="27"/>
      <c r="AV111" s="27"/>
      <c r="AW111" s="27"/>
      <c r="AX111" s="27"/>
      <c r="AY111" s="10"/>
      <c r="AZ111" s="10"/>
      <c r="BA111" s="10"/>
      <c r="BB111" s="10"/>
      <c r="BC111" s="10"/>
      <c r="BE111" s="30"/>
      <c r="BF111" s="30"/>
      <c r="BG111" s="30"/>
      <c r="BH111" s="30"/>
    </row>
    <row r="112" spans="1:60" s="46" customFormat="1" ht="21" customHeight="1">
      <c r="A112" s="43"/>
      <c r="B112" s="44" t="s">
        <v>176</v>
      </c>
      <c r="C112" s="44">
        <v>4</v>
      </c>
      <c r="D112" s="45">
        <v>27030</v>
      </c>
      <c r="E112" s="44">
        <v>27490</v>
      </c>
      <c r="F112" s="44">
        <v>27299</v>
      </c>
      <c r="G112" s="44">
        <v>3900800</v>
      </c>
      <c r="H112" s="44">
        <v>31739</v>
      </c>
      <c r="I112" s="44">
        <v>31798</v>
      </c>
      <c r="J112" s="44">
        <v>31665</v>
      </c>
      <c r="K112" s="44">
        <v>1037800</v>
      </c>
      <c r="L112" s="44">
        <f t="shared" si="19"/>
        <v>106487939200</v>
      </c>
      <c r="M112" s="44">
        <f t="shared" si="20"/>
        <v>32861937000</v>
      </c>
      <c r="N112" s="46">
        <v>27765</v>
      </c>
      <c r="O112" s="46">
        <v>32116</v>
      </c>
      <c r="P112" s="44">
        <v>27300</v>
      </c>
      <c r="Q112" s="46">
        <v>32056</v>
      </c>
      <c r="R112" s="44"/>
      <c r="S112" s="44"/>
      <c r="T112" s="44"/>
      <c r="U112" s="44"/>
      <c r="X112" s="46">
        <v>27920</v>
      </c>
      <c r="Y112" s="46">
        <v>32700</v>
      </c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5"/>
      <c r="AT112" s="45"/>
      <c r="AU112" s="45"/>
      <c r="AV112" s="45"/>
      <c r="AW112" s="45"/>
      <c r="AX112" s="45"/>
      <c r="AY112" s="44"/>
      <c r="AZ112" s="44"/>
      <c r="BA112" s="44"/>
      <c r="BB112" s="44"/>
      <c r="BC112" s="44"/>
      <c r="BE112" s="47"/>
      <c r="BF112" s="47"/>
      <c r="BG112" s="47"/>
      <c r="BH112" s="47"/>
    </row>
    <row r="113" spans="1:60" s="15" customFormat="1" ht="21" customHeight="1">
      <c r="A113" s="12"/>
      <c r="B113" s="13" t="s">
        <v>177</v>
      </c>
      <c r="C113" s="13">
        <v>6</v>
      </c>
      <c r="D113" s="42">
        <v>27784</v>
      </c>
      <c r="E113" s="13">
        <v>27442</v>
      </c>
      <c r="F113" s="13">
        <v>27663</v>
      </c>
      <c r="G113" s="13">
        <v>5677600</v>
      </c>
      <c r="H113" s="13">
        <v>31798</v>
      </c>
      <c r="I113" s="13">
        <v>31992</v>
      </c>
      <c r="J113" s="13">
        <v>32158</v>
      </c>
      <c r="K113" s="13">
        <v>1457800</v>
      </c>
      <c r="L113" s="13">
        <f t="shared" si="19"/>
        <v>157059448800</v>
      </c>
      <c r="M113" s="13">
        <f t="shared" si="20"/>
        <v>46879932400</v>
      </c>
      <c r="N113" s="15">
        <v>27716</v>
      </c>
      <c r="O113" s="15">
        <v>32312</v>
      </c>
      <c r="P113" s="13">
        <v>28062</v>
      </c>
      <c r="Q113" s="15">
        <v>32116</v>
      </c>
      <c r="R113" s="13"/>
      <c r="S113" s="13"/>
      <c r="T113" s="13"/>
      <c r="U113" s="13"/>
      <c r="V113" s="15">
        <v>28270</v>
      </c>
      <c r="X113" s="15">
        <v>28260</v>
      </c>
      <c r="Y113" s="15">
        <v>33394</v>
      </c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42"/>
      <c r="AT113" s="42"/>
      <c r="AU113" s="42"/>
      <c r="AV113" s="42"/>
      <c r="AW113" s="42"/>
      <c r="AX113" s="42"/>
      <c r="AY113" s="13"/>
      <c r="AZ113" s="13"/>
      <c r="BA113" s="13"/>
      <c r="BB113" s="13"/>
      <c r="BC113" s="13"/>
      <c r="BE113" s="14"/>
      <c r="BF113" s="14"/>
      <c r="BG113" s="14"/>
      <c r="BH113" s="14"/>
    </row>
    <row r="114" spans="1:60" s="15" customFormat="1" ht="21" customHeight="1">
      <c r="A114" s="12"/>
      <c r="B114" s="13" t="s">
        <v>178</v>
      </c>
      <c r="C114" s="13">
        <v>7</v>
      </c>
      <c r="D114" s="42">
        <v>27340</v>
      </c>
      <c r="E114" s="13">
        <v>26965</v>
      </c>
      <c r="F114" s="13">
        <v>27148</v>
      </c>
      <c r="G114" s="13">
        <v>5269000</v>
      </c>
      <c r="H114" s="13">
        <v>32350</v>
      </c>
      <c r="I114" s="13">
        <v>31300</v>
      </c>
      <c r="J114" s="13">
        <v>31609</v>
      </c>
      <c r="K114" s="13">
        <v>1605500</v>
      </c>
      <c r="L114" s="13">
        <f t="shared" si="19"/>
        <v>143042812000</v>
      </c>
      <c r="M114" s="13">
        <f t="shared" si="20"/>
        <v>50748249500</v>
      </c>
      <c r="N114" s="15">
        <v>27234</v>
      </c>
      <c r="O114" s="15">
        <v>31613</v>
      </c>
      <c r="P114" s="13">
        <v>27614</v>
      </c>
      <c r="Q114" s="15">
        <v>32673</v>
      </c>
      <c r="R114" s="13"/>
      <c r="S114" s="13"/>
      <c r="T114" s="13"/>
      <c r="U114" s="13"/>
      <c r="V114" s="15">
        <v>28080</v>
      </c>
      <c r="X114" s="14">
        <v>27830</v>
      </c>
      <c r="Y114" s="15">
        <v>33099</v>
      </c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42"/>
      <c r="AT114" s="42"/>
      <c r="AU114" s="42"/>
      <c r="AV114" s="42"/>
      <c r="AW114" s="42"/>
      <c r="AX114" s="42"/>
      <c r="AY114" s="13"/>
      <c r="AZ114" s="13"/>
      <c r="BA114" s="13"/>
      <c r="BB114" s="13"/>
      <c r="BC114" s="13"/>
      <c r="BE114" s="14"/>
      <c r="BF114" s="14"/>
      <c r="BG114" s="14"/>
      <c r="BH114" s="14"/>
    </row>
    <row r="115" spans="1:60" s="15" customFormat="1" ht="21" customHeight="1">
      <c r="A115" s="12"/>
      <c r="B115" s="13" t="s">
        <v>179</v>
      </c>
      <c r="C115" s="13">
        <v>8</v>
      </c>
      <c r="D115" s="42">
        <v>26965</v>
      </c>
      <c r="E115" s="13">
        <v>25931</v>
      </c>
      <c r="F115" s="13">
        <v>26198</v>
      </c>
      <c r="G115" s="13">
        <v>5319000</v>
      </c>
      <c r="H115" s="13">
        <v>31300</v>
      </c>
      <c r="I115" s="13">
        <v>30387</v>
      </c>
      <c r="J115" s="13">
        <v>30487</v>
      </c>
      <c r="K115" s="13">
        <v>1376600</v>
      </c>
      <c r="L115" s="13">
        <f t="shared" si="19"/>
        <v>139347162000</v>
      </c>
      <c r="M115" s="13">
        <f t="shared" si="20"/>
        <v>41968404200</v>
      </c>
      <c r="N115" s="15">
        <v>26190</v>
      </c>
      <c r="O115" s="15">
        <v>30691</v>
      </c>
      <c r="P115" s="13">
        <v>27234</v>
      </c>
      <c r="Q115" s="15">
        <v>31613</v>
      </c>
      <c r="R115" s="13"/>
      <c r="S115" s="13"/>
      <c r="T115" s="13"/>
      <c r="U115" s="13"/>
      <c r="V115" s="48">
        <v>27230</v>
      </c>
      <c r="X115" s="15">
        <v>26900</v>
      </c>
      <c r="Y115" s="15">
        <v>32122</v>
      </c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42"/>
      <c r="AT115" s="42"/>
      <c r="AU115" s="42"/>
      <c r="AV115" s="42"/>
      <c r="AW115" s="42"/>
      <c r="AX115" s="42"/>
      <c r="AY115" s="13"/>
      <c r="AZ115" s="13"/>
      <c r="BA115" s="13"/>
      <c r="BB115" s="13"/>
      <c r="BC115" s="13"/>
      <c r="BE115" s="14"/>
      <c r="BF115" s="14"/>
      <c r="BG115" s="14"/>
      <c r="BH115" s="14"/>
    </row>
    <row r="116" spans="1:60" s="15" customFormat="1" ht="21" customHeight="1">
      <c r="A116" s="12"/>
      <c r="B116" s="13" t="s">
        <v>180</v>
      </c>
      <c r="C116" s="13">
        <v>9</v>
      </c>
      <c r="D116" s="42">
        <v>26285</v>
      </c>
      <c r="E116" s="13">
        <v>26215</v>
      </c>
      <c r="F116" s="13">
        <v>26265</v>
      </c>
      <c r="G116" s="13">
        <v>8186900</v>
      </c>
      <c r="H116" s="13">
        <v>30387</v>
      </c>
      <c r="I116" s="13">
        <v>30934</v>
      </c>
      <c r="J116" s="13">
        <v>30715</v>
      </c>
      <c r="K116" s="13">
        <v>1183300</v>
      </c>
      <c r="L116" s="13">
        <f t="shared" si="19"/>
        <v>215028928500</v>
      </c>
      <c r="M116" s="13">
        <f t="shared" si="20"/>
        <v>36345059500</v>
      </c>
      <c r="N116" s="15">
        <v>26477</v>
      </c>
      <c r="O116" s="15">
        <v>31243</v>
      </c>
      <c r="P116" s="13">
        <v>26548</v>
      </c>
      <c r="Q116" s="15">
        <v>30691</v>
      </c>
      <c r="R116" s="13"/>
      <c r="S116" s="13"/>
      <c r="T116" s="13"/>
      <c r="U116" s="13"/>
      <c r="V116" s="48">
        <v>27370</v>
      </c>
      <c r="X116" s="15">
        <v>27250</v>
      </c>
      <c r="Y116" s="15">
        <v>32333</v>
      </c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42"/>
      <c r="AT116" s="42"/>
      <c r="AU116" s="42"/>
      <c r="AV116" s="42"/>
      <c r="AW116" s="42"/>
      <c r="AX116" s="42"/>
      <c r="AY116" s="13"/>
      <c r="AZ116" s="13"/>
      <c r="BA116" s="13"/>
      <c r="BB116" s="13"/>
      <c r="BC116" s="13"/>
      <c r="BE116" s="14"/>
      <c r="BF116" s="14"/>
      <c r="BG116" s="14"/>
      <c r="BH116" s="14"/>
    </row>
    <row r="117" spans="1:60" s="15" customFormat="1" ht="21" customHeight="1">
      <c r="A117" s="12"/>
      <c r="B117" s="13" t="s">
        <v>181</v>
      </c>
      <c r="C117" s="13">
        <v>10</v>
      </c>
      <c r="D117" s="42">
        <v>26215</v>
      </c>
      <c r="E117" s="13">
        <v>26307</v>
      </c>
      <c r="F117" s="13">
        <v>26285</v>
      </c>
      <c r="G117" s="13">
        <v>7089500</v>
      </c>
      <c r="H117" s="13">
        <v>30934</v>
      </c>
      <c r="I117" s="13">
        <v>30797</v>
      </c>
      <c r="J117" s="13">
        <v>30862</v>
      </c>
      <c r="K117" s="13">
        <v>944600</v>
      </c>
      <c r="L117" s="13">
        <f t="shared" si="19"/>
        <v>186347507500</v>
      </c>
      <c r="M117" s="13">
        <f t="shared" si="20"/>
        <v>29152245200</v>
      </c>
      <c r="N117" s="15">
        <v>26570</v>
      </c>
      <c r="O117" s="15">
        <v>31105</v>
      </c>
      <c r="P117" s="13">
        <v>26477</v>
      </c>
      <c r="Q117" s="15">
        <v>31243</v>
      </c>
      <c r="R117" s="13"/>
      <c r="S117" s="13"/>
      <c r="T117" s="13"/>
      <c r="U117" s="13"/>
      <c r="V117" s="48">
        <v>27320</v>
      </c>
      <c r="X117" s="15">
        <v>27130</v>
      </c>
      <c r="Y117" s="15">
        <v>32247</v>
      </c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42"/>
      <c r="AT117" s="42"/>
      <c r="AU117" s="42"/>
      <c r="AV117" s="42"/>
      <c r="AW117" s="42"/>
      <c r="AX117" s="42"/>
      <c r="AY117" s="13"/>
      <c r="AZ117" s="13"/>
      <c r="BA117" s="13"/>
      <c r="BB117" s="13"/>
      <c r="BC117" s="13"/>
      <c r="BE117" s="14"/>
      <c r="BF117" s="14"/>
      <c r="BG117" s="14"/>
      <c r="BH117" s="14"/>
    </row>
    <row r="118" spans="1:60" s="46" customFormat="1" ht="21" customHeight="1">
      <c r="A118" s="43"/>
      <c r="B118" s="44" t="s">
        <v>182</v>
      </c>
      <c r="C118" s="44">
        <v>11</v>
      </c>
      <c r="D118" s="45">
        <v>26261</v>
      </c>
      <c r="E118" s="44">
        <v>26408</v>
      </c>
      <c r="F118" s="44">
        <v>26353</v>
      </c>
      <c r="G118" s="44">
        <v>5094700</v>
      </c>
      <c r="H118" s="44">
        <v>30797</v>
      </c>
      <c r="I118" s="44">
        <v>31052</v>
      </c>
      <c r="J118" s="44">
        <v>30846</v>
      </c>
      <c r="K118" s="44">
        <v>577000</v>
      </c>
      <c r="L118" s="44">
        <f t="shared" si="19"/>
        <v>134260629100</v>
      </c>
      <c r="M118" s="44">
        <f t="shared" si="20"/>
        <v>17798142000</v>
      </c>
      <c r="N118" s="46">
        <v>26672</v>
      </c>
      <c r="O118" s="46">
        <v>31362</v>
      </c>
      <c r="P118" s="44">
        <v>26523</v>
      </c>
      <c r="Q118" s="46">
        <v>31105</v>
      </c>
      <c r="R118" s="44"/>
      <c r="S118" s="44"/>
      <c r="T118" s="44"/>
      <c r="U118" s="44"/>
      <c r="V118" s="49"/>
      <c r="X118" s="46">
        <v>27190</v>
      </c>
      <c r="Y118" s="46">
        <v>32300</v>
      </c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5"/>
      <c r="AT118" s="45"/>
      <c r="AU118" s="45"/>
      <c r="AV118" s="45"/>
      <c r="AW118" s="45"/>
      <c r="AX118" s="45"/>
      <c r="AY118" s="44"/>
      <c r="AZ118" s="44"/>
      <c r="BA118" s="44"/>
      <c r="BB118" s="44"/>
      <c r="BC118" s="44"/>
      <c r="BE118" s="47"/>
      <c r="BF118" s="47"/>
      <c r="BG118" s="47"/>
      <c r="BH118" s="47"/>
    </row>
    <row r="119" spans="1:60" s="29" customFormat="1" ht="21" customHeight="1">
      <c r="A119" s="28"/>
      <c r="B119" s="10" t="s">
        <v>183</v>
      </c>
      <c r="C119" s="10">
        <v>13</v>
      </c>
      <c r="D119" s="27">
        <v>26408</v>
      </c>
      <c r="E119" s="10">
        <v>26500</v>
      </c>
      <c r="F119" s="10">
        <v>26424</v>
      </c>
      <c r="G119" s="10">
        <v>6055600</v>
      </c>
      <c r="H119" s="10">
        <v>31052</v>
      </c>
      <c r="I119" s="10">
        <v>30992</v>
      </c>
      <c r="J119" s="10">
        <v>31080</v>
      </c>
      <c r="K119" s="10">
        <v>857400</v>
      </c>
      <c r="L119" s="10">
        <f t="shared" si="19"/>
        <v>160013174400</v>
      </c>
      <c r="M119" s="10">
        <f t="shared" si="20"/>
        <v>26647992000</v>
      </c>
      <c r="N119" s="29">
        <v>26765</v>
      </c>
      <c r="O119" s="29">
        <v>31302</v>
      </c>
      <c r="P119" s="10">
        <v>26672</v>
      </c>
      <c r="Q119" s="29">
        <v>31362</v>
      </c>
      <c r="R119" s="10"/>
      <c r="S119" s="10"/>
      <c r="T119" s="10"/>
      <c r="U119" s="10"/>
      <c r="V119" s="50">
        <v>27170</v>
      </c>
      <c r="X119" s="29">
        <v>27050</v>
      </c>
      <c r="Y119" s="29">
        <v>32273</v>
      </c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27"/>
      <c r="AT119" s="27"/>
      <c r="AU119" s="27"/>
      <c r="AV119" s="27"/>
      <c r="AW119" s="27"/>
      <c r="AX119" s="27"/>
      <c r="AY119" s="10"/>
      <c r="AZ119" s="10"/>
      <c r="BA119" s="10"/>
      <c r="BB119" s="10"/>
      <c r="BC119" s="10"/>
      <c r="BE119" s="30"/>
      <c r="BF119" s="30"/>
      <c r="BG119" s="30"/>
      <c r="BH119" s="30"/>
    </row>
    <row r="120" spans="1:60" s="54" customFormat="1" ht="21" customHeight="1">
      <c r="A120" s="51"/>
      <c r="B120" s="52" t="s">
        <v>184</v>
      </c>
      <c r="C120" s="52">
        <v>14</v>
      </c>
      <c r="D120" s="53">
        <v>26441</v>
      </c>
      <c r="E120" s="52">
        <v>26423</v>
      </c>
      <c r="F120" s="52">
        <v>26453</v>
      </c>
      <c r="G120" s="52">
        <v>6934900</v>
      </c>
      <c r="H120" s="52">
        <v>31300</v>
      </c>
      <c r="I120" s="52">
        <v>31047</v>
      </c>
      <c r="J120" s="52">
        <v>31045</v>
      </c>
      <c r="K120" s="52">
        <v>1267000</v>
      </c>
      <c r="L120" s="52">
        <f t="shared" si="19"/>
        <v>183448909700</v>
      </c>
      <c r="M120" s="52">
        <f t="shared" si="20"/>
        <v>39334015000</v>
      </c>
      <c r="N120" s="54">
        <v>26687</v>
      </c>
      <c r="O120" s="54">
        <v>31358</v>
      </c>
      <c r="P120" s="52">
        <v>26705</v>
      </c>
      <c r="Q120" s="54">
        <v>31613</v>
      </c>
      <c r="R120" s="52"/>
      <c r="S120" s="52"/>
      <c r="T120" s="52"/>
      <c r="U120" s="52"/>
      <c r="V120" s="55">
        <v>27170</v>
      </c>
      <c r="X120" s="54">
        <v>27190</v>
      </c>
      <c r="Y120" s="54">
        <v>32356</v>
      </c>
      <c r="Z120" s="52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3"/>
      <c r="AT120" s="53"/>
      <c r="AU120" s="53"/>
      <c r="AV120" s="53"/>
      <c r="AW120" s="53"/>
      <c r="AX120" s="53"/>
      <c r="AY120" s="52"/>
      <c r="AZ120" s="52"/>
      <c r="BA120" s="52"/>
      <c r="BB120" s="52"/>
      <c r="BC120" s="52"/>
      <c r="BE120" s="56"/>
      <c r="BF120" s="56"/>
      <c r="BG120" s="56"/>
      <c r="BH120" s="56"/>
    </row>
    <row r="121" spans="1:60" s="60" customFormat="1" ht="21" customHeight="1">
      <c r="A121" s="57"/>
      <c r="B121" s="58" t="s">
        <v>185</v>
      </c>
      <c r="C121" s="58">
        <v>15</v>
      </c>
      <c r="D121" s="59">
        <v>26450</v>
      </c>
      <c r="E121" s="58">
        <v>26328</v>
      </c>
      <c r="F121" s="58">
        <v>26359</v>
      </c>
      <c r="G121" s="58">
        <v>5658100</v>
      </c>
      <c r="H121" s="58">
        <v>30950</v>
      </c>
      <c r="I121" s="58">
        <v>31104</v>
      </c>
      <c r="J121" s="58">
        <v>31137</v>
      </c>
      <c r="K121" s="58">
        <v>702100</v>
      </c>
      <c r="L121" s="58">
        <f t="shared" si="19"/>
        <v>149141857900</v>
      </c>
      <c r="M121" s="58">
        <f t="shared" si="20"/>
        <v>21861287700</v>
      </c>
      <c r="N121" s="60">
        <v>26591</v>
      </c>
      <c r="O121" s="60">
        <v>31415</v>
      </c>
      <c r="P121" s="58">
        <v>26714</v>
      </c>
      <c r="Q121" s="60">
        <v>31259</v>
      </c>
      <c r="R121" s="58"/>
      <c r="S121" s="58"/>
      <c r="T121" s="58"/>
      <c r="U121" s="58"/>
      <c r="V121" s="61">
        <v>27070</v>
      </c>
      <c r="X121" s="60">
        <v>27010</v>
      </c>
      <c r="Y121" s="60">
        <v>32081</v>
      </c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  <c r="AS121" s="59"/>
      <c r="AT121" s="59"/>
      <c r="AU121" s="59"/>
      <c r="AV121" s="59"/>
      <c r="AW121" s="59"/>
      <c r="AX121" s="59"/>
      <c r="AY121" s="58"/>
      <c r="AZ121" s="58"/>
      <c r="BA121" s="58"/>
      <c r="BB121" s="58"/>
      <c r="BC121" s="58"/>
      <c r="BE121" s="62"/>
      <c r="BF121" s="62"/>
      <c r="BG121" s="62"/>
      <c r="BH121" s="62"/>
    </row>
    <row r="122" spans="1:60" s="60" customFormat="1" ht="21" customHeight="1">
      <c r="A122" s="57"/>
      <c r="B122" s="58" t="s">
        <v>186</v>
      </c>
      <c r="C122" s="58">
        <v>16</v>
      </c>
      <c r="D122" s="59">
        <v>26570</v>
      </c>
      <c r="E122" s="58">
        <v>26360</v>
      </c>
      <c r="F122" s="58">
        <v>26384</v>
      </c>
      <c r="G122" s="58">
        <v>7781600</v>
      </c>
      <c r="H122" s="58">
        <v>31212</v>
      </c>
      <c r="I122" s="58">
        <v>31350</v>
      </c>
      <c r="J122" s="58">
        <v>31111</v>
      </c>
      <c r="K122" s="58">
        <v>1167200</v>
      </c>
      <c r="L122" s="58">
        <f t="shared" si="19"/>
        <v>205309734400</v>
      </c>
      <c r="M122" s="58">
        <f t="shared" si="20"/>
        <v>36312759200</v>
      </c>
      <c r="N122" s="60">
        <v>26623</v>
      </c>
      <c r="O122" s="60">
        <v>31663</v>
      </c>
      <c r="P122" s="58">
        <v>26836</v>
      </c>
      <c r="Q122" s="60">
        <v>31525</v>
      </c>
      <c r="R122" s="58"/>
      <c r="S122" s="58"/>
      <c r="T122" s="58"/>
      <c r="U122" s="58"/>
      <c r="V122" s="60">
        <v>27180</v>
      </c>
      <c r="X122" s="60">
        <v>27120</v>
      </c>
      <c r="Y122" s="60">
        <v>32297</v>
      </c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  <c r="AS122" s="59"/>
      <c r="AT122" s="59"/>
      <c r="AU122" s="59"/>
      <c r="AV122" s="59"/>
      <c r="AW122" s="59"/>
      <c r="AX122" s="59"/>
      <c r="AY122" s="58"/>
      <c r="AZ122" s="58"/>
      <c r="BA122" s="58"/>
      <c r="BB122" s="58"/>
      <c r="BC122" s="58"/>
      <c r="BE122" s="62"/>
      <c r="BF122" s="62"/>
      <c r="BG122" s="62"/>
      <c r="BH122" s="62"/>
    </row>
    <row r="123" spans="1:60" s="60" customFormat="1" ht="21" customHeight="1">
      <c r="A123" s="57"/>
      <c r="B123" s="58" t="s">
        <v>187</v>
      </c>
      <c r="C123" s="58">
        <v>17</v>
      </c>
      <c r="D123" s="59">
        <v>26681</v>
      </c>
      <c r="E123" s="58">
        <v>26582</v>
      </c>
      <c r="F123" s="58">
        <v>26514</v>
      </c>
      <c r="G123" s="58">
        <v>10053900</v>
      </c>
      <c r="H123" s="58">
        <v>31234</v>
      </c>
      <c r="I123" s="58">
        <v>31217</v>
      </c>
      <c r="J123" s="58">
        <v>31159</v>
      </c>
      <c r="K123" s="58">
        <v>1549100</v>
      </c>
      <c r="L123" s="58">
        <f t="shared" si="19"/>
        <v>266569104600</v>
      </c>
      <c r="M123" s="58">
        <f t="shared" si="20"/>
        <v>48268406900</v>
      </c>
      <c r="N123" s="60">
        <v>26852</v>
      </c>
      <c r="O123" s="60">
        <v>31530</v>
      </c>
      <c r="P123" s="58">
        <v>26948</v>
      </c>
      <c r="Q123" s="60">
        <v>31547</v>
      </c>
      <c r="R123" s="58"/>
      <c r="S123" s="58"/>
      <c r="T123" s="58"/>
      <c r="U123" s="58"/>
      <c r="V123" s="60">
        <v>27570</v>
      </c>
      <c r="X123" s="60">
        <v>27530</v>
      </c>
      <c r="Y123" s="60">
        <v>32539</v>
      </c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  <c r="AS123" s="59"/>
      <c r="AT123" s="59"/>
      <c r="AU123" s="59"/>
      <c r="AV123" s="59"/>
      <c r="AW123" s="59"/>
      <c r="AX123" s="59"/>
      <c r="AY123" s="58"/>
      <c r="AZ123" s="58"/>
      <c r="BA123" s="58"/>
      <c r="BB123" s="58"/>
      <c r="BC123" s="58"/>
      <c r="BE123" s="62"/>
      <c r="BF123" s="62"/>
      <c r="BG123" s="62"/>
      <c r="BH123" s="62"/>
    </row>
    <row r="124" spans="1:60" s="54" customFormat="1" ht="21" customHeight="1">
      <c r="A124" s="51"/>
      <c r="B124" s="52" t="s">
        <v>188</v>
      </c>
      <c r="C124" s="52">
        <v>18</v>
      </c>
      <c r="D124" s="53">
        <v>26670</v>
      </c>
      <c r="E124" s="52">
        <v>26624</v>
      </c>
      <c r="F124" s="52">
        <v>26589</v>
      </c>
      <c r="G124" s="52">
        <v>6494700</v>
      </c>
      <c r="H124" s="52">
        <v>31310</v>
      </c>
      <c r="I124" s="52">
        <v>31234</v>
      </c>
      <c r="J124" s="52">
        <v>31217</v>
      </c>
      <c r="K124" s="52">
        <v>1009100</v>
      </c>
      <c r="L124" s="52">
        <f t="shared" si="19"/>
        <v>172687578300</v>
      </c>
      <c r="M124" s="52">
        <f t="shared" si="20"/>
        <v>31501074700</v>
      </c>
      <c r="N124" s="54">
        <v>26936</v>
      </c>
      <c r="O124" s="54">
        <v>31623</v>
      </c>
      <c r="P124" s="52">
        <v>26890</v>
      </c>
      <c r="Q124" s="54">
        <v>31547</v>
      </c>
      <c r="R124" s="52"/>
      <c r="S124" s="52"/>
      <c r="T124" s="52"/>
      <c r="U124" s="52"/>
      <c r="X124" s="54">
        <v>27820</v>
      </c>
      <c r="Y124" s="54">
        <v>32696</v>
      </c>
      <c r="Z124" s="52"/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3"/>
      <c r="AT124" s="53"/>
      <c r="AU124" s="53"/>
      <c r="AV124" s="53"/>
      <c r="AW124" s="53"/>
      <c r="AX124" s="53"/>
      <c r="AY124" s="52"/>
      <c r="AZ124" s="52"/>
      <c r="BA124" s="52"/>
      <c r="BB124" s="52"/>
      <c r="BC124" s="52"/>
      <c r="BE124" s="56"/>
      <c r="BF124" s="56"/>
      <c r="BG124" s="56"/>
      <c r="BH124" s="56"/>
    </row>
    <row r="125" spans="1:60" s="63" customFormat="1" ht="21" customHeight="1">
      <c r="A125" s="12"/>
      <c r="B125" s="13" t="s">
        <v>189</v>
      </c>
      <c r="C125" s="13">
        <v>20</v>
      </c>
      <c r="D125" s="42">
        <v>26687</v>
      </c>
      <c r="E125" s="13">
        <v>26847</v>
      </c>
      <c r="F125" s="13">
        <v>26742</v>
      </c>
      <c r="G125" s="13">
        <v>9055300</v>
      </c>
      <c r="H125" s="13">
        <v>31234</v>
      </c>
      <c r="I125" s="13">
        <v>31388</v>
      </c>
      <c r="J125" s="13">
        <v>31359</v>
      </c>
      <c r="K125" s="13">
        <v>1223500</v>
      </c>
      <c r="L125" s="13">
        <f t="shared" si="19"/>
        <v>242156832600</v>
      </c>
      <c r="M125" s="13">
        <f t="shared" si="20"/>
        <v>38367736500</v>
      </c>
      <c r="N125" s="63">
        <v>27116</v>
      </c>
      <c r="O125" s="63">
        <v>31702</v>
      </c>
      <c r="P125" s="63">
        <v>26954</v>
      </c>
      <c r="Q125" s="63">
        <v>31547</v>
      </c>
      <c r="R125" s="13"/>
      <c r="S125" s="13"/>
      <c r="T125" s="13"/>
      <c r="U125" s="13"/>
      <c r="V125" s="63">
        <v>27800</v>
      </c>
      <c r="X125" s="63">
        <v>27830</v>
      </c>
      <c r="Y125" s="63">
        <v>32800</v>
      </c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42"/>
      <c r="AT125" s="42"/>
      <c r="AU125" s="42"/>
      <c r="AV125" s="42"/>
      <c r="AW125" s="42"/>
      <c r="AX125" s="42"/>
      <c r="AY125" s="13"/>
      <c r="AZ125" s="13"/>
      <c r="BA125" s="13"/>
      <c r="BB125" s="13"/>
      <c r="BC125" s="13"/>
      <c r="BE125" s="64"/>
      <c r="BF125" s="64"/>
      <c r="BG125" s="64"/>
      <c r="BH125" s="64"/>
    </row>
    <row r="126" spans="1:60" s="63" customFormat="1" ht="21" customHeight="1">
      <c r="A126" s="12"/>
      <c r="B126" s="13" t="s">
        <v>190</v>
      </c>
      <c r="C126" s="13">
        <v>21</v>
      </c>
      <c r="D126" s="42">
        <v>26778</v>
      </c>
      <c r="E126" s="13">
        <v>26502</v>
      </c>
      <c r="F126" s="13">
        <v>26580</v>
      </c>
      <c r="G126" s="13">
        <v>8758100</v>
      </c>
      <c r="H126" s="13">
        <v>31400</v>
      </c>
      <c r="I126" s="13">
        <v>31242</v>
      </c>
      <c r="J126" s="13">
        <v>31328</v>
      </c>
      <c r="K126" s="13">
        <v>962100</v>
      </c>
      <c r="L126" s="13">
        <f t="shared" si="19"/>
        <v>232790298000</v>
      </c>
      <c r="M126" s="13">
        <f t="shared" si="20"/>
        <v>30140668800</v>
      </c>
      <c r="N126" s="63">
        <v>26767</v>
      </c>
      <c r="O126" s="63">
        <v>31554</v>
      </c>
      <c r="P126" s="63">
        <v>27046</v>
      </c>
      <c r="Q126" s="63">
        <v>31714</v>
      </c>
      <c r="R126" s="13"/>
      <c r="S126" s="13"/>
      <c r="T126" s="13"/>
      <c r="U126" s="13"/>
      <c r="X126" s="63">
        <v>27500</v>
      </c>
      <c r="Y126" s="63">
        <v>32552</v>
      </c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42"/>
      <c r="AT126" s="42"/>
      <c r="AU126" s="42"/>
      <c r="AV126" s="42"/>
      <c r="AW126" s="42"/>
      <c r="AX126" s="42"/>
      <c r="AY126" s="13"/>
      <c r="AZ126" s="13"/>
      <c r="BA126" s="13"/>
      <c r="BB126" s="13"/>
      <c r="BC126" s="13"/>
      <c r="BE126" s="64"/>
      <c r="BF126" s="64"/>
      <c r="BG126" s="64"/>
      <c r="BH126" s="64"/>
    </row>
    <row r="127" spans="1:60" s="63" customFormat="1" ht="21" customHeight="1">
      <c r="A127" s="12"/>
      <c r="B127" s="13" t="s">
        <v>191</v>
      </c>
      <c r="C127" s="13">
        <v>22</v>
      </c>
      <c r="D127" s="42">
        <v>26502</v>
      </c>
      <c r="E127" s="13">
        <v>26313</v>
      </c>
      <c r="F127" s="13">
        <v>26204</v>
      </c>
      <c r="G127" s="13">
        <v>8019300</v>
      </c>
      <c r="H127" s="13">
        <v>31250</v>
      </c>
      <c r="I127" s="13">
        <v>31378</v>
      </c>
      <c r="J127" s="13">
        <v>31080</v>
      </c>
      <c r="K127" s="13">
        <v>573100</v>
      </c>
      <c r="L127" s="13">
        <f t="shared" si="19"/>
        <v>210137737200</v>
      </c>
      <c r="M127" s="13">
        <f t="shared" si="20"/>
        <v>17811948000</v>
      </c>
      <c r="N127" s="63">
        <v>26577</v>
      </c>
      <c r="O127" s="63">
        <v>31692</v>
      </c>
      <c r="P127" s="63">
        <v>26767</v>
      </c>
      <c r="Q127" s="63">
        <v>31562</v>
      </c>
      <c r="R127" s="13"/>
      <c r="S127" s="13"/>
      <c r="T127" s="13"/>
      <c r="U127" s="13"/>
      <c r="X127" s="63">
        <v>27100</v>
      </c>
      <c r="Y127" s="63">
        <v>31782</v>
      </c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42"/>
      <c r="AT127" s="42"/>
      <c r="AU127" s="42"/>
      <c r="AV127" s="42"/>
      <c r="AW127" s="42"/>
      <c r="AX127" s="42"/>
      <c r="AY127" s="13"/>
      <c r="AZ127" s="13"/>
      <c r="BA127" s="13"/>
      <c r="BB127" s="13"/>
      <c r="BC127" s="13"/>
      <c r="BE127" s="64"/>
      <c r="BF127" s="64"/>
      <c r="BG127" s="64"/>
      <c r="BH127" s="64"/>
    </row>
    <row r="128" spans="1:60" s="63" customFormat="1" ht="21" customHeight="1">
      <c r="A128" s="12"/>
      <c r="B128" s="13" t="s">
        <v>192</v>
      </c>
      <c r="C128" s="13">
        <v>23</v>
      </c>
      <c r="D128" s="42">
        <v>26313</v>
      </c>
      <c r="E128" s="13">
        <v>26516</v>
      </c>
      <c r="F128" s="13">
        <v>26379</v>
      </c>
      <c r="G128" s="13">
        <v>9028800</v>
      </c>
      <c r="H128" s="13">
        <v>31378</v>
      </c>
      <c r="I128" s="13">
        <v>31373</v>
      </c>
      <c r="J128" s="13">
        <v>31146</v>
      </c>
      <c r="K128" s="13">
        <v>1286100</v>
      </c>
      <c r="L128" s="13">
        <f t="shared" si="19"/>
        <v>238170715200</v>
      </c>
      <c r="M128" s="13">
        <f t="shared" si="20"/>
        <v>40056870600</v>
      </c>
      <c r="N128" s="63">
        <v>26781</v>
      </c>
      <c r="O128" s="63">
        <v>31687</v>
      </c>
      <c r="P128" s="63">
        <v>26577</v>
      </c>
      <c r="Q128" s="63">
        <v>31692</v>
      </c>
      <c r="R128" s="13"/>
      <c r="S128" s="13"/>
      <c r="T128" s="13"/>
      <c r="U128" s="13"/>
      <c r="V128" s="63">
        <v>27410</v>
      </c>
      <c r="X128" s="63">
        <v>27370</v>
      </c>
      <c r="Y128" s="63">
        <v>32420</v>
      </c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42"/>
      <c r="AT128" s="42"/>
      <c r="AU128" s="42"/>
      <c r="AV128" s="42"/>
      <c r="AW128" s="42"/>
      <c r="AX128" s="42"/>
      <c r="AY128" s="13"/>
      <c r="AZ128" s="13"/>
      <c r="BA128" s="13"/>
      <c r="BB128" s="13"/>
      <c r="BC128" s="13"/>
      <c r="BE128" s="64"/>
      <c r="BF128" s="64"/>
      <c r="BG128" s="64"/>
      <c r="BH128" s="64"/>
    </row>
    <row r="129" spans="1:62" s="80" customFormat="1" ht="21" customHeight="1">
      <c r="A129" s="77"/>
      <c r="B129" s="78" t="s">
        <v>193</v>
      </c>
      <c r="C129" s="78">
        <v>24</v>
      </c>
      <c r="D129" s="79">
        <v>26423</v>
      </c>
      <c r="E129" s="78">
        <v>26372</v>
      </c>
      <c r="F129" s="78">
        <v>26372</v>
      </c>
      <c r="G129" s="78">
        <v>9040900</v>
      </c>
      <c r="H129" s="78">
        <v>31425</v>
      </c>
      <c r="I129" s="78">
        <v>31224</v>
      </c>
      <c r="J129" s="78">
        <v>31330</v>
      </c>
      <c r="K129" s="78">
        <v>722300</v>
      </c>
      <c r="L129" s="78">
        <f t="shared" si="19"/>
        <v>238426614800</v>
      </c>
      <c r="M129" s="78">
        <f t="shared" si="20"/>
        <v>22629659000</v>
      </c>
      <c r="N129" s="80">
        <v>26636</v>
      </c>
      <c r="O129" s="80">
        <v>31537</v>
      </c>
      <c r="P129" s="80">
        <v>26687</v>
      </c>
      <c r="Q129" s="80">
        <v>31739</v>
      </c>
      <c r="R129" s="78"/>
      <c r="S129" s="78"/>
      <c r="T129" s="78"/>
      <c r="U129" s="78"/>
      <c r="V129" s="80">
        <v>27250</v>
      </c>
      <c r="X129" s="80">
        <v>27320</v>
      </c>
      <c r="Y129" s="80">
        <v>32233</v>
      </c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9"/>
      <c r="AT129" s="79"/>
      <c r="AU129" s="79"/>
      <c r="AV129" s="79"/>
      <c r="AW129" s="79"/>
      <c r="AX129" s="79"/>
      <c r="AY129" s="78"/>
      <c r="AZ129" s="78"/>
      <c r="BA129" s="78"/>
      <c r="BB129" s="78"/>
      <c r="BC129" s="78"/>
      <c r="BE129" s="81"/>
      <c r="BF129" s="81"/>
      <c r="BG129" s="81"/>
      <c r="BH129" s="81"/>
    </row>
    <row r="130" spans="1:62" s="80" customFormat="1" ht="21" customHeight="1">
      <c r="A130" s="77"/>
      <c r="B130" s="78" t="s">
        <v>340</v>
      </c>
      <c r="C130" s="78">
        <v>25</v>
      </c>
      <c r="D130" s="79">
        <v>26329</v>
      </c>
      <c r="E130" s="78">
        <v>26483</v>
      </c>
      <c r="F130" s="78">
        <v>26393</v>
      </c>
      <c r="G130" s="78">
        <v>5107400</v>
      </c>
      <c r="H130" s="78">
        <v>31400</v>
      </c>
      <c r="I130" s="78">
        <v>31085</v>
      </c>
      <c r="J130" s="78">
        <v>31114</v>
      </c>
      <c r="K130" s="78">
        <v>629100</v>
      </c>
      <c r="L130" s="78">
        <f t="shared" si="19"/>
        <v>134799608200</v>
      </c>
      <c r="M130" s="78">
        <f t="shared" si="20"/>
        <v>19573817400</v>
      </c>
      <c r="N130" s="80">
        <v>26748</v>
      </c>
      <c r="O130" s="80">
        <v>31396</v>
      </c>
      <c r="P130" s="80">
        <v>26592</v>
      </c>
      <c r="Q130" s="80">
        <v>31714</v>
      </c>
      <c r="R130" s="78"/>
      <c r="S130" s="78"/>
      <c r="T130" s="78"/>
      <c r="U130" s="78"/>
      <c r="V130" s="80">
        <v>27200</v>
      </c>
      <c r="X130" s="80">
        <v>27220</v>
      </c>
      <c r="Y130" s="80">
        <v>32187</v>
      </c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9"/>
      <c r="AT130" s="79"/>
      <c r="AU130" s="79"/>
      <c r="AV130" s="79"/>
      <c r="AW130" s="79"/>
      <c r="AX130" s="79"/>
      <c r="AY130" s="78"/>
      <c r="AZ130" s="78"/>
      <c r="BA130" s="78"/>
      <c r="BB130" s="78"/>
      <c r="BC130" s="78"/>
      <c r="BE130" s="81"/>
      <c r="BF130" s="81"/>
      <c r="BG130" s="81"/>
      <c r="BH130" s="81"/>
    </row>
    <row r="131" spans="1:62" s="93" customFormat="1" ht="21" customHeight="1">
      <c r="A131" s="90"/>
      <c r="B131" s="91" t="s">
        <v>345</v>
      </c>
      <c r="C131" s="91">
        <v>27</v>
      </c>
      <c r="D131" s="92">
        <v>26628</v>
      </c>
      <c r="E131" s="91">
        <v>26507</v>
      </c>
      <c r="F131" s="91">
        <v>26561</v>
      </c>
      <c r="G131" s="91">
        <v>8861800</v>
      </c>
      <c r="H131" s="91">
        <v>31295</v>
      </c>
      <c r="I131" s="91">
        <v>31039</v>
      </c>
      <c r="J131" s="91">
        <v>31112</v>
      </c>
      <c r="K131" s="91">
        <v>1048900</v>
      </c>
      <c r="L131" s="91">
        <f t="shared" si="19"/>
        <v>235378269800</v>
      </c>
      <c r="M131" s="91">
        <f t="shared" si="20"/>
        <v>32633376800</v>
      </c>
      <c r="N131" s="93">
        <v>26772</v>
      </c>
      <c r="O131" s="93">
        <v>31349</v>
      </c>
      <c r="P131" s="93">
        <v>26894</v>
      </c>
      <c r="Q131" s="93">
        <v>31608</v>
      </c>
      <c r="R131" s="91"/>
      <c r="S131" s="91"/>
      <c r="T131" s="91"/>
      <c r="U131" s="91"/>
      <c r="V131" s="93">
        <v>27470</v>
      </c>
      <c r="X131" s="93">
        <v>27600</v>
      </c>
      <c r="Y131" s="93">
        <v>32263</v>
      </c>
      <c r="Z131" s="91"/>
      <c r="AA131" s="91"/>
      <c r="AB131" s="91"/>
      <c r="AC131" s="91"/>
      <c r="AD131" s="91"/>
      <c r="AE131" s="91"/>
      <c r="AF131" s="91"/>
      <c r="AG131" s="91"/>
      <c r="AH131" s="91"/>
      <c r="AI131" s="91"/>
      <c r="AJ131" s="91"/>
      <c r="AK131" s="91"/>
      <c r="AL131" s="91"/>
      <c r="AM131" s="91"/>
      <c r="AN131" s="91"/>
      <c r="AO131" s="91"/>
      <c r="AP131" s="91"/>
      <c r="AQ131" s="91"/>
      <c r="AR131" s="91"/>
      <c r="AS131" s="92"/>
      <c r="AT131" s="92"/>
      <c r="AU131" s="92"/>
      <c r="AV131" s="92"/>
      <c r="AW131" s="92"/>
      <c r="AX131" s="92"/>
      <c r="AY131" s="91"/>
      <c r="AZ131" s="91"/>
      <c r="BA131" s="91"/>
      <c r="BB131" s="91"/>
      <c r="BC131" s="91"/>
      <c r="BE131" s="94"/>
      <c r="BF131" s="94"/>
      <c r="BG131" s="94"/>
      <c r="BH131" s="94"/>
    </row>
    <row r="132" spans="1:62" s="86" customFormat="1" ht="21" customHeight="1">
      <c r="A132" s="83"/>
      <c r="B132" s="84" t="s">
        <v>347</v>
      </c>
      <c r="C132" s="84">
        <v>28</v>
      </c>
      <c r="D132" s="85">
        <v>26507</v>
      </c>
      <c r="E132" s="84">
        <v>26395</v>
      </c>
      <c r="F132" s="84">
        <v>26391</v>
      </c>
      <c r="G132" s="84">
        <v>8230700</v>
      </c>
      <c r="H132" s="84">
        <v>31039</v>
      </c>
      <c r="I132" s="84">
        <v>31069</v>
      </c>
      <c r="J132" s="84">
        <v>31097</v>
      </c>
      <c r="K132" s="84">
        <v>482400</v>
      </c>
      <c r="L132" s="91">
        <f t="shared" si="19"/>
        <v>217216403700</v>
      </c>
      <c r="M132" s="91">
        <f t="shared" si="20"/>
        <v>15001192800</v>
      </c>
      <c r="N132" s="86">
        <v>26659</v>
      </c>
      <c r="O132" s="86">
        <v>31380</v>
      </c>
      <c r="P132" s="86">
        <v>26772</v>
      </c>
      <c r="Q132" s="86">
        <v>31349</v>
      </c>
      <c r="R132" s="84"/>
      <c r="S132" s="84"/>
      <c r="T132" s="84"/>
      <c r="U132" s="84"/>
      <c r="V132" s="86">
        <v>27300</v>
      </c>
      <c r="X132" s="86">
        <v>27340</v>
      </c>
      <c r="Y132" s="86">
        <v>32028</v>
      </c>
      <c r="Z132" s="84"/>
      <c r="AA132" s="84"/>
      <c r="AB132" s="84"/>
      <c r="AC132" s="84"/>
      <c r="AD132" s="84"/>
      <c r="AE132" s="84"/>
      <c r="AF132" s="84"/>
      <c r="AG132" s="84"/>
      <c r="AH132" s="84"/>
      <c r="AI132" s="84"/>
      <c r="AJ132" s="84"/>
      <c r="AK132" s="84"/>
      <c r="AL132" s="84"/>
      <c r="AM132" s="84"/>
      <c r="AN132" s="84"/>
      <c r="AO132" s="84"/>
      <c r="AP132" s="84"/>
      <c r="AQ132" s="84"/>
      <c r="AR132" s="84"/>
      <c r="AS132" s="85"/>
      <c r="AT132" s="85"/>
      <c r="AU132" s="85"/>
      <c r="AV132" s="85"/>
      <c r="AW132" s="85"/>
      <c r="AX132" s="85"/>
      <c r="AY132" s="84"/>
      <c r="AZ132" s="84"/>
      <c r="BA132" s="84"/>
      <c r="BB132" s="84"/>
      <c r="BC132" s="84"/>
      <c r="BE132" s="87"/>
      <c r="BF132" s="87"/>
      <c r="BG132" s="87"/>
      <c r="BH132" s="87"/>
    </row>
    <row r="133" spans="1:62" ht="18">
      <c r="A133" s="8"/>
      <c r="B133" s="9"/>
      <c r="C133" s="9"/>
      <c r="D133" s="27"/>
      <c r="E133" s="9"/>
      <c r="F133" s="9"/>
      <c r="G133" s="9">
        <f>SUM(G2:G132)/131</f>
        <v>5984860.2977099232</v>
      </c>
      <c r="H133" s="9"/>
      <c r="I133" s="9"/>
      <c r="J133" s="9"/>
      <c r="K133" s="9">
        <f>SUM(K2:K126)</f>
        <v>125564600</v>
      </c>
      <c r="L133" s="9">
        <f>SUM(L2:L132)</f>
        <v>19007583899709</v>
      </c>
      <c r="M133" s="10">
        <f>SUM(M2:M132)</f>
        <v>3712564725600</v>
      </c>
      <c r="N133" s="10"/>
      <c r="O133" s="10"/>
      <c r="P133" s="10"/>
      <c r="Q133" s="10"/>
      <c r="R133" s="10"/>
      <c r="S133" s="10"/>
      <c r="T133" s="10"/>
      <c r="U133" s="10"/>
      <c r="V133" s="60"/>
      <c r="W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Y133" s="10"/>
      <c r="AZ133" s="10"/>
      <c r="BA133" s="10"/>
      <c r="BB133" s="10"/>
      <c r="BC133" s="10"/>
      <c r="BD133" s="10"/>
      <c r="BE133" s="11"/>
      <c r="BF133" s="11"/>
      <c r="BG133" s="11"/>
      <c r="BH133" s="11"/>
      <c r="BI133" t="e">
        <f>#REF!-N133</f>
        <v>#REF!</v>
      </c>
      <c r="BJ133" t="e">
        <f>(Y133-O133)/O133</f>
        <v>#DIV/0!</v>
      </c>
    </row>
    <row r="134" spans="1:62" ht="18">
      <c r="D134" s="27"/>
      <c r="V134" s="66"/>
      <c r="Z134" s="26"/>
      <c r="AB134" s="26"/>
      <c r="AS134" s="26"/>
      <c r="AW134" s="31"/>
    </row>
    <row r="135" spans="1:62" ht="18">
      <c r="D135" s="27"/>
      <c r="Z135" s="26"/>
      <c r="AS135" s="27"/>
      <c r="AW135" s="31"/>
      <c r="AY135">
        <f>AY51-AY50</f>
        <v>35000</v>
      </c>
    </row>
    <row r="136" spans="1:62" ht="18">
      <c r="G136">
        <f>(G132-G133)/G133</f>
        <v>0.37525348806377923</v>
      </c>
      <c r="Z136" s="26"/>
      <c r="AS136" s="27">
        <v>10290000</v>
      </c>
      <c r="AW136" s="31"/>
      <c r="BB136">
        <f>AY60-AY59</f>
        <v>70000</v>
      </c>
    </row>
    <row r="137" spans="1:62" ht="18">
      <c r="V137" s="26"/>
      <c r="Z137" s="26"/>
      <c r="AS137" s="27"/>
      <c r="AU137">
        <f>AS136-AS49</f>
        <v>195000</v>
      </c>
      <c r="AW137" s="31">
        <f>AC52-AY51</f>
        <v>305000</v>
      </c>
    </row>
    <row r="138" spans="1:62" ht="18">
      <c r="V138" s="26"/>
      <c r="Z138" s="26"/>
      <c r="AW138" s="31"/>
    </row>
    <row r="139" spans="1:62" ht="17.25" customHeight="1">
      <c r="V139" s="26"/>
      <c r="Z139" s="26"/>
    </row>
    <row r="140" spans="1:62" ht="18">
      <c r="V140" s="26"/>
      <c r="Z140" s="26"/>
      <c r="AW140">
        <f>AW137/AY51</f>
        <v>2.9539951573849879E-2</v>
      </c>
    </row>
    <row r="141" spans="1:62" ht="18">
      <c r="V141" s="26"/>
    </row>
    <row r="142" spans="1:62" ht="18">
      <c r="V142" s="26"/>
    </row>
  </sheetData>
  <autoFilter ref="A1:BL137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"/>
  <sheetViews>
    <sheetView topLeftCell="A124" zoomScale="55" zoomScaleNormal="55" workbookViewId="0">
      <selection activeCell="A132" sqref="A132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  <c r="J1" t="s">
        <v>202</v>
      </c>
      <c r="K1" t="s">
        <v>203</v>
      </c>
    </row>
    <row r="2" spans="1:11">
      <c r="A2" t="s">
        <v>204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205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206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207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208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209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210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211</v>
      </c>
      <c r="B9">
        <v>22086</v>
      </c>
      <c r="C9" s="67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212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213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214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215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216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217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218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219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220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221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222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223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5" customFormat="1" ht="25.15" customHeight="1">
      <c r="A22" s="65" t="s">
        <v>224</v>
      </c>
      <c r="B22" s="65">
        <v>26705</v>
      </c>
      <c r="C22" s="65">
        <v>31498</v>
      </c>
      <c r="D22" s="65">
        <v>41397200</v>
      </c>
      <c r="E22" s="65">
        <f>D22/5</f>
        <v>8279440</v>
      </c>
      <c r="F22" s="65">
        <v>4399000</v>
      </c>
      <c r="G22" s="65">
        <f>F22/5</f>
        <v>879800</v>
      </c>
      <c r="H22" s="65">
        <v>27079</v>
      </c>
      <c r="I22" s="65">
        <v>31815</v>
      </c>
      <c r="J22" s="65">
        <v>27648</v>
      </c>
      <c r="K22" s="65">
        <v>32496</v>
      </c>
    </row>
    <row r="23" spans="1:11" s="29" customFormat="1" ht="25.15" customHeight="1">
      <c r="A23" s="29" t="s">
        <v>225</v>
      </c>
      <c r="B23" s="29">
        <v>26615</v>
      </c>
      <c r="C23" s="29">
        <v>31196</v>
      </c>
      <c r="D23" s="29">
        <v>36636700</v>
      </c>
      <c r="E23" s="29">
        <f>D23/6</f>
        <v>6106116.666666667</v>
      </c>
      <c r="F23" s="29">
        <v>7144800</v>
      </c>
      <c r="G23" s="29">
        <f>F23/6</f>
        <v>1190800</v>
      </c>
      <c r="H23" s="29">
        <v>26810</v>
      </c>
      <c r="I23" s="29">
        <v>31388</v>
      </c>
      <c r="J23" s="29">
        <v>27427</v>
      </c>
      <c r="K23" s="29">
        <v>32582</v>
      </c>
    </row>
    <row r="24" spans="1:11" ht="13.9" customHeight="1">
      <c r="A24" t="s">
        <v>226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82" customFormat="1" ht="13.9" customHeight="1">
      <c r="A25" s="82" t="s">
        <v>343</v>
      </c>
      <c r="B25" s="82">
        <v>26454</v>
      </c>
      <c r="C25" s="82">
        <v>31241</v>
      </c>
      <c r="D25" s="82">
        <v>49009800</v>
      </c>
      <c r="E25" s="82">
        <f>D25/6</f>
        <v>8168300</v>
      </c>
      <c r="F25" s="82">
        <v>5396200</v>
      </c>
      <c r="G25" s="82">
        <f>F25/6</f>
        <v>899366.66666666663</v>
      </c>
      <c r="H25" s="82">
        <v>26771</v>
      </c>
      <c r="I25" s="82">
        <v>31595</v>
      </c>
      <c r="J25" s="82">
        <v>27390</v>
      </c>
      <c r="K25" s="82">
        <v>32329</v>
      </c>
    </row>
    <row r="26" spans="1:11">
      <c r="B26">
        <f>(B2-B8)/B2</f>
        <v>0.15346494762288476</v>
      </c>
      <c r="C26">
        <f>(C2-C8)/C2</f>
        <v>0.1154959674639829</v>
      </c>
      <c r="D26">
        <f>SUM(D2:D16)/15</f>
        <v>29639479.933333334</v>
      </c>
    </row>
    <row r="30" spans="1:11">
      <c r="D30">
        <v>5375132</v>
      </c>
      <c r="E30">
        <f>(E17-D30)/D30</f>
        <v>4.5958809321644006E-2</v>
      </c>
      <c r="G30">
        <f t="shared" ref="G30:G38" si="0">B3-B2</f>
        <v>-554</v>
      </c>
    </row>
    <row r="31" spans="1:11">
      <c r="G31">
        <f t="shared" si="0"/>
        <v>-302</v>
      </c>
    </row>
    <row r="32" spans="1:11">
      <c r="C32">
        <f>(D30-E16)/E16</f>
        <v>0.17110375179746395</v>
      </c>
      <c r="G32">
        <f t="shared" si="0"/>
        <v>-511</v>
      </c>
    </row>
    <row r="33" spans="7:7">
      <c r="G33">
        <f t="shared" si="0"/>
        <v>-362</v>
      </c>
    </row>
    <row r="34" spans="7:7">
      <c r="G34">
        <f t="shared" si="0"/>
        <v>-1699</v>
      </c>
    </row>
    <row r="35" spans="7:7">
      <c r="G35">
        <f t="shared" si="0"/>
        <v>-381</v>
      </c>
    </row>
    <row r="36" spans="7:7">
      <c r="G36">
        <f t="shared" si="0"/>
        <v>1075</v>
      </c>
    </row>
    <row r="37" spans="7:7">
      <c r="G37">
        <f t="shared" si="0"/>
        <v>151</v>
      </c>
    </row>
    <row r="38" spans="7:7">
      <c r="G38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05"/>
  <sheetViews>
    <sheetView topLeftCell="A785" zoomScaleNormal="100" workbookViewId="0">
      <selection activeCell="C801" sqref="C801"/>
    </sheetView>
  </sheetViews>
  <sheetFormatPr defaultColWidth="8.5703125" defaultRowHeight="15"/>
  <cols>
    <col min="2" max="3" width="19.7109375" customWidth="1"/>
    <col min="4" max="4" width="15.855468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89" t="s">
        <v>227</v>
      </c>
      <c r="B1" s="89"/>
      <c r="C1" s="89"/>
      <c r="D1" s="89"/>
    </row>
    <row r="2" spans="1:4" ht="20.100000000000001" customHeight="1">
      <c r="A2" s="11" t="s">
        <v>228</v>
      </c>
      <c r="B2" s="11" t="s">
        <v>229</v>
      </c>
      <c r="C2" s="11" t="s">
        <v>230</v>
      </c>
      <c r="D2" s="11" t="s">
        <v>231</v>
      </c>
    </row>
    <row r="3" spans="1:4" ht="20.100000000000001" customHeight="1">
      <c r="A3" s="68">
        <v>0.45833333333333298</v>
      </c>
      <c r="B3" s="11">
        <v>23870</v>
      </c>
      <c r="C3" s="11">
        <v>6570</v>
      </c>
      <c r="D3" s="11">
        <v>10650000</v>
      </c>
    </row>
    <row r="4" spans="1:4" ht="20.100000000000001" customHeight="1">
      <c r="A4" s="69" t="s">
        <v>232</v>
      </c>
      <c r="B4" s="11">
        <v>23950</v>
      </c>
      <c r="C4" s="11">
        <v>6570</v>
      </c>
      <c r="D4" s="11">
        <v>10650000</v>
      </c>
    </row>
    <row r="5" spans="1:4" ht="20.100000000000001" customHeight="1">
      <c r="A5" s="70" t="s">
        <v>233</v>
      </c>
      <c r="B5" s="11">
        <v>24060</v>
      </c>
      <c r="C5" s="11">
        <v>6600</v>
      </c>
      <c r="D5" s="11">
        <v>10700000</v>
      </c>
    </row>
    <row r="6" spans="1:4" ht="20.100000000000001" customHeight="1">
      <c r="A6" s="68" t="s">
        <v>234</v>
      </c>
      <c r="B6" s="11">
        <v>23970</v>
      </c>
      <c r="C6" s="11">
        <v>6590</v>
      </c>
      <c r="D6" s="11">
        <v>10660000</v>
      </c>
    </row>
    <row r="7" spans="1:4" ht="20.100000000000001" customHeight="1">
      <c r="A7" s="68">
        <v>0.625</v>
      </c>
      <c r="B7" s="11">
        <v>23970</v>
      </c>
      <c r="C7" s="11">
        <v>6580</v>
      </c>
      <c r="D7" s="11">
        <v>10660000</v>
      </c>
    </row>
    <row r="8" spans="1:4" ht="20.100000000000001" customHeight="1">
      <c r="A8" s="69" t="s">
        <v>235</v>
      </c>
      <c r="B8" s="11">
        <v>23970</v>
      </c>
      <c r="C8" s="11">
        <v>6580</v>
      </c>
      <c r="D8" s="11">
        <v>10680000</v>
      </c>
    </row>
    <row r="9" spans="1:4" ht="20.100000000000001" customHeight="1">
      <c r="A9" s="69" t="s">
        <v>236</v>
      </c>
      <c r="B9" s="11">
        <v>23970</v>
      </c>
      <c r="C9" s="11">
        <v>6580</v>
      </c>
      <c r="D9" s="11">
        <v>10680000</v>
      </c>
    </row>
    <row r="10" spans="1:4" ht="20.100000000000001" customHeight="1">
      <c r="A10" s="71"/>
      <c r="B10" s="72"/>
      <c r="C10" s="72"/>
      <c r="D10" s="72"/>
    </row>
    <row r="11" spans="1:4">
      <c r="A11" s="89" t="s">
        <v>237</v>
      </c>
      <c r="B11" s="89"/>
      <c r="C11" s="89"/>
      <c r="D11" s="89"/>
    </row>
    <row r="12" spans="1:4">
      <c r="A12" s="11" t="s">
        <v>228</v>
      </c>
      <c r="B12" s="11" t="s">
        <v>229</v>
      </c>
      <c r="C12" s="11" t="s">
        <v>230</v>
      </c>
      <c r="D12" s="11" t="s">
        <v>231</v>
      </c>
    </row>
    <row r="13" spans="1:4">
      <c r="A13" s="68">
        <v>0.45833333333333298</v>
      </c>
      <c r="B13" s="11">
        <v>24000</v>
      </c>
      <c r="C13" s="11">
        <v>6570</v>
      </c>
      <c r="D13" s="11">
        <v>10660000</v>
      </c>
    </row>
    <row r="14" spans="1:4">
      <c r="A14" s="69" t="s">
        <v>232</v>
      </c>
      <c r="B14" s="11">
        <v>23940</v>
      </c>
      <c r="C14" s="11">
        <v>6570</v>
      </c>
      <c r="D14" s="11">
        <v>10600000</v>
      </c>
    </row>
    <row r="15" spans="1:4">
      <c r="A15" s="70" t="s">
        <v>233</v>
      </c>
      <c r="B15" s="11">
        <v>23950</v>
      </c>
      <c r="C15" s="11">
        <v>6580</v>
      </c>
      <c r="D15" s="11">
        <v>10610000</v>
      </c>
    </row>
    <row r="16" spans="1:4">
      <c r="A16" s="68" t="s">
        <v>234</v>
      </c>
      <c r="B16" s="11">
        <v>23920</v>
      </c>
      <c r="C16" s="11">
        <v>6560</v>
      </c>
      <c r="D16" s="11">
        <v>10600000</v>
      </c>
    </row>
    <row r="17" spans="1:6">
      <c r="A17" s="68">
        <v>0.625</v>
      </c>
      <c r="B17" s="11">
        <v>23920</v>
      </c>
      <c r="C17" s="11">
        <v>6560</v>
      </c>
      <c r="D17" s="11">
        <v>10620000</v>
      </c>
    </row>
    <row r="18" spans="1:6">
      <c r="A18" s="69" t="s">
        <v>235</v>
      </c>
      <c r="B18" s="11">
        <v>23920</v>
      </c>
      <c r="C18" s="11">
        <v>6560</v>
      </c>
      <c r="D18" s="11">
        <v>10610000</v>
      </c>
    </row>
    <row r="19" spans="1:6">
      <c r="A19" s="69" t="s">
        <v>236</v>
      </c>
      <c r="B19" s="11">
        <v>23920</v>
      </c>
      <c r="C19" s="11">
        <v>6560</v>
      </c>
      <c r="D19" s="11">
        <v>10610000</v>
      </c>
    </row>
    <row r="20" spans="1:6">
      <c r="F20" t="s">
        <v>238</v>
      </c>
    </row>
    <row r="21" spans="1:6">
      <c r="A21" s="89" t="s">
        <v>239</v>
      </c>
      <c r="B21" s="89"/>
      <c r="C21" s="89"/>
      <c r="D21" s="89"/>
    </row>
    <row r="22" spans="1:6">
      <c r="A22" s="11" t="s">
        <v>228</v>
      </c>
      <c r="B22" s="11" t="s">
        <v>229</v>
      </c>
      <c r="C22" s="11" t="s">
        <v>230</v>
      </c>
      <c r="D22" s="11" t="s">
        <v>231</v>
      </c>
    </row>
    <row r="23" spans="1:6">
      <c r="A23" s="68">
        <v>0.45833333333333298</v>
      </c>
      <c r="B23" s="11">
        <v>23920</v>
      </c>
      <c r="C23" s="11">
        <v>6590</v>
      </c>
      <c r="D23" s="11">
        <v>10610000</v>
      </c>
    </row>
    <row r="24" spans="1:6">
      <c r="A24" s="69" t="s">
        <v>232</v>
      </c>
      <c r="B24" s="11">
        <v>23960</v>
      </c>
      <c r="C24" s="11">
        <v>6590</v>
      </c>
      <c r="D24" s="11">
        <v>10640000</v>
      </c>
    </row>
    <row r="25" spans="1:6">
      <c r="A25" s="70" t="s">
        <v>233</v>
      </c>
      <c r="B25" s="11">
        <v>24030</v>
      </c>
      <c r="C25" s="11">
        <v>6570</v>
      </c>
      <c r="D25" s="11">
        <v>10670000</v>
      </c>
    </row>
    <row r="26" spans="1:6">
      <c r="A26" s="68" t="s">
        <v>234</v>
      </c>
      <c r="B26" s="11">
        <v>24040</v>
      </c>
      <c r="C26" s="11">
        <v>6590</v>
      </c>
      <c r="D26" s="11">
        <v>10660000</v>
      </c>
    </row>
    <row r="27" spans="1:6">
      <c r="A27" s="68">
        <v>0.625</v>
      </c>
      <c r="B27" s="11">
        <v>24040</v>
      </c>
      <c r="C27" s="11">
        <v>6590</v>
      </c>
      <c r="D27" s="11">
        <v>10670000</v>
      </c>
    </row>
    <row r="28" spans="1:6">
      <c r="A28" s="69" t="s">
        <v>235</v>
      </c>
      <c r="B28" s="11">
        <v>24040</v>
      </c>
      <c r="C28" s="11">
        <v>6590</v>
      </c>
      <c r="D28" s="11">
        <v>10680000</v>
      </c>
    </row>
    <row r="29" spans="1:6">
      <c r="A29" s="69" t="s">
        <v>236</v>
      </c>
      <c r="B29" s="11">
        <v>24040</v>
      </c>
      <c r="C29" s="11">
        <v>6590</v>
      </c>
      <c r="D29" s="11">
        <v>10670000</v>
      </c>
    </row>
    <row r="31" spans="1:6">
      <c r="A31" s="89" t="s">
        <v>240</v>
      </c>
      <c r="B31" s="89"/>
      <c r="C31" s="89"/>
      <c r="D31" s="89"/>
    </row>
    <row r="32" spans="1:6">
      <c r="A32" s="11" t="s">
        <v>228</v>
      </c>
      <c r="B32" s="11" t="s">
        <v>229</v>
      </c>
      <c r="C32" s="11" t="s">
        <v>230</v>
      </c>
      <c r="D32" s="11" t="s">
        <v>231</v>
      </c>
    </row>
    <row r="33" spans="1:4">
      <c r="A33" s="68">
        <v>0.45833333333333298</v>
      </c>
      <c r="B33" s="11">
        <v>23940</v>
      </c>
      <c r="C33" s="11">
        <v>6585</v>
      </c>
      <c r="D33" s="11">
        <v>10640000</v>
      </c>
    </row>
    <row r="34" spans="1:4">
      <c r="A34" s="69" t="s">
        <v>232</v>
      </c>
      <c r="B34" s="11">
        <v>24150</v>
      </c>
      <c r="C34" s="11">
        <v>6600</v>
      </c>
      <c r="D34" s="11">
        <v>10670000</v>
      </c>
    </row>
    <row r="35" spans="1:4">
      <c r="A35" s="70" t="s">
        <v>233</v>
      </c>
      <c r="B35" s="11">
        <v>24110</v>
      </c>
      <c r="C35" s="11">
        <v>6620</v>
      </c>
      <c r="D35" s="11">
        <v>10680000</v>
      </c>
    </row>
    <row r="36" spans="1:4">
      <c r="A36" s="68" t="s">
        <v>234</v>
      </c>
      <c r="B36" s="11">
        <v>24130</v>
      </c>
      <c r="C36" s="11">
        <v>6600</v>
      </c>
      <c r="D36" s="11">
        <v>10710000</v>
      </c>
    </row>
    <row r="37" spans="1:4">
      <c r="A37" s="68">
        <v>0.625</v>
      </c>
      <c r="B37" s="11">
        <v>24090</v>
      </c>
      <c r="C37" s="11">
        <v>6610</v>
      </c>
      <c r="D37" s="11">
        <v>10750000</v>
      </c>
    </row>
    <row r="38" spans="1:4">
      <c r="A38" s="69" t="s">
        <v>235</v>
      </c>
      <c r="B38" s="11">
        <v>24110</v>
      </c>
      <c r="C38" s="11">
        <v>6620</v>
      </c>
      <c r="D38" s="11">
        <v>10770000</v>
      </c>
    </row>
    <row r="39" spans="1:4">
      <c r="A39" s="69" t="s">
        <v>236</v>
      </c>
      <c r="B39" s="11">
        <v>24110</v>
      </c>
      <c r="C39" s="11">
        <v>6620</v>
      </c>
      <c r="D39" s="11">
        <v>10750000</v>
      </c>
    </row>
    <row r="41" spans="1:4">
      <c r="A41" s="89" t="s">
        <v>241</v>
      </c>
      <c r="B41" s="89"/>
      <c r="C41" s="89"/>
      <c r="D41" s="89"/>
    </row>
    <row r="42" spans="1:4">
      <c r="A42" s="11" t="s">
        <v>228</v>
      </c>
      <c r="B42" s="11" t="s">
        <v>229</v>
      </c>
      <c r="C42" s="11" t="s">
        <v>230</v>
      </c>
      <c r="D42" s="11" t="s">
        <v>231</v>
      </c>
    </row>
    <row r="43" spans="1:4">
      <c r="A43" s="68">
        <v>0.45833333333333298</v>
      </c>
      <c r="B43" s="11">
        <v>24220</v>
      </c>
      <c r="C43" s="11">
        <v>6650</v>
      </c>
      <c r="D43" s="11">
        <v>10700000</v>
      </c>
    </row>
    <row r="44" spans="1:4">
      <c r="A44" s="69" t="s">
        <v>232</v>
      </c>
      <c r="B44" s="11">
        <v>24290</v>
      </c>
      <c r="C44" s="11">
        <v>6650</v>
      </c>
      <c r="D44" s="11">
        <v>10720000</v>
      </c>
    </row>
    <row r="45" spans="1:4">
      <c r="A45" s="70" t="s">
        <v>233</v>
      </c>
      <c r="B45" s="11">
        <v>24340</v>
      </c>
      <c r="C45" s="11">
        <v>6685</v>
      </c>
      <c r="D45" s="11">
        <v>10790000</v>
      </c>
    </row>
    <row r="46" spans="1:4">
      <c r="A46" s="68" t="s">
        <v>234</v>
      </c>
      <c r="B46" s="11">
        <v>24340</v>
      </c>
      <c r="C46" s="11">
        <v>6675</v>
      </c>
      <c r="D46" s="11">
        <v>10790000</v>
      </c>
    </row>
    <row r="47" spans="1:4">
      <c r="A47" s="68">
        <v>0.625</v>
      </c>
      <c r="B47" s="11" t="s">
        <v>242</v>
      </c>
      <c r="C47" s="11" t="s">
        <v>242</v>
      </c>
      <c r="D47" s="11" t="s">
        <v>242</v>
      </c>
    </row>
    <row r="48" spans="1:4">
      <c r="A48" s="69" t="s">
        <v>235</v>
      </c>
      <c r="B48" s="11" t="s">
        <v>242</v>
      </c>
      <c r="C48" s="11" t="s">
        <v>242</v>
      </c>
      <c r="D48" s="11" t="s">
        <v>242</v>
      </c>
    </row>
    <row r="49" spans="1:11">
      <c r="A49" s="69" t="s">
        <v>236</v>
      </c>
      <c r="B49" s="11" t="s">
        <v>242</v>
      </c>
      <c r="C49" s="11" t="s">
        <v>242</v>
      </c>
      <c r="D49" s="11" t="s">
        <v>242</v>
      </c>
    </row>
    <row r="51" spans="1:11">
      <c r="A51" s="89" t="s">
        <v>243</v>
      </c>
      <c r="B51" s="89"/>
      <c r="C51" s="89"/>
      <c r="D51" s="89"/>
      <c r="J51">
        <f>D46-D59</f>
        <v>580000</v>
      </c>
      <c r="K51">
        <f>J51/D46</f>
        <v>5.375347544022243E-2</v>
      </c>
    </row>
    <row r="52" spans="1:11">
      <c r="A52" s="11" t="s">
        <v>228</v>
      </c>
      <c r="B52" s="11" t="s">
        <v>229</v>
      </c>
      <c r="C52" s="11" t="s">
        <v>230</v>
      </c>
      <c r="D52" s="11" t="s">
        <v>231</v>
      </c>
    </row>
    <row r="53" spans="1:11">
      <c r="A53" s="68">
        <v>0.45833333333333298</v>
      </c>
      <c r="B53" s="11">
        <v>24430</v>
      </c>
      <c r="C53" s="11">
        <v>6670</v>
      </c>
      <c r="D53" s="11">
        <v>10650000</v>
      </c>
    </row>
    <row r="54" spans="1:11">
      <c r="A54" s="69" t="s">
        <v>232</v>
      </c>
      <c r="B54" s="11">
        <v>24280</v>
      </c>
      <c r="C54" s="11">
        <v>6660</v>
      </c>
      <c r="D54" s="11">
        <v>10600000</v>
      </c>
    </row>
    <row r="55" spans="1:11">
      <c r="A55" s="70" t="s">
        <v>233</v>
      </c>
      <c r="B55" s="11">
        <v>24000</v>
      </c>
      <c r="C55" s="11">
        <v>6610</v>
      </c>
      <c r="D55" s="11">
        <v>10500000</v>
      </c>
    </row>
    <row r="56" spans="1:11">
      <c r="A56" s="68" t="s">
        <v>234</v>
      </c>
      <c r="B56" s="11">
        <v>24000</v>
      </c>
      <c r="C56" s="11">
        <v>6560</v>
      </c>
      <c r="D56" s="11">
        <v>10260000</v>
      </c>
    </row>
    <row r="57" spans="1:11">
      <c r="A57" s="68">
        <v>0.625</v>
      </c>
      <c r="B57" s="11">
        <v>24000</v>
      </c>
      <c r="C57" s="11">
        <v>6550</v>
      </c>
      <c r="D57" s="11">
        <v>10280000</v>
      </c>
    </row>
    <row r="58" spans="1:11">
      <c r="A58" s="69" t="s">
        <v>235</v>
      </c>
      <c r="B58" s="11">
        <v>24000</v>
      </c>
      <c r="C58" s="11">
        <v>6550</v>
      </c>
      <c r="D58" s="11">
        <v>10300000</v>
      </c>
    </row>
    <row r="59" spans="1:11">
      <c r="A59" s="69" t="s">
        <v>236</v>
      </c>
      <c r="B59" s="11">
        <v>24000</v>
      </c>
      <c r="C59" s="11">
        <v>6570</v>
      </c>
      <c r="D59" s="11">
        <v>10210000</v>
      </c>
    </row>
    <row r="61" spans="1:11">
      <c r="A61" s="89" t="s">
        <v>244</v>
      </c>
      <c r="B61" s="89"/>
      <c r="C61" s="89"/>
      <c r="D61" s="89"/>
    </row>
    <row r="62" spans="1:11">
      <c r="A62" s="11" t="s">
        <v>228</v>
      </c>
      <c r="B62" s="11" t="s">
        <v>229</v>
      </c>
      <c r="C62" s="11" t="s">
        <v>230</v>
      </c>
      <c r="D62" s="11" t="s">
        <v>231</v>
      </c>
    </row>
    <row r="63" spans="1:11">
      <c r="A63" s="68">
        <v>0.45833333333333298</v>
      </c>
      <c r="B63" s="11">
        <v>23630</v>
      </c>
      <c r="C63" s="11">
        <v>6550</v>
      </c>
      <c r="D63" s="11">
        <v>10170000</v>
      </c>
    </row>
    <row r="64" spans="1:11">
      <c r="A64" s="69" t="s">
        <v>232</v>
      </c>
      <c r="B64" s="11">
        <v>23630</v>
      </c>
      <c r="C64" s="11">
        <v>6550</v>
      </c>
      <c r="D64" s="11">
        <v>10230000</v>
      </c>
    </row>
    <row r="65" spans="1:4">
      <c r="A65" s="70" t="s">
        <v>233</v>
      </c>
      <c r="B65" s="11">
        <v>23740</v>
      </c>
      <c r="C65" s="11">
        <v>6495</v>
      </c>
      <c r="D65" s="11">
        <v>10240000</v>
      </c>
    </row>
    <row r="66" spans="1:4">
      <c r="A66" s="68" t="s">
        <v>234</v>
      </c>
      <c r="B66" s="11">
        <v>23740</v>
      </c>
      <c r="C66" s="11">
        <v>6530</v>
      </c>
      <c r="D66" s="11">
        <v>10210000</v>
      </c>
    </row>
    <row r="67" spans="1:4">
      <c r="A67" s="68">
        <v>0.625</v>
      </c>
      <c r="B67" s="11">
        <v>23740</v>
      </c>
      <c r="C67" s="11">
        <v>6520</v>
      </c>
      <c r="D67" s="11">
        <v>10260000</v>
      </c>
    </row>
    <row r="68" spans="1:4">
      <c r="A68" s="69" t="s">
        <v>235</v>
      </c>
      <c r="B68" s="11">
        <v>23740</v>
      </c>
      <c r="C68" s="11">
        <v>6520</v>
      </c>
      <c r="D68" s="11">
        <v>10265000</v>
      </c>
    </row>
    <row r="69" spans="1:4">
      <c r="A69" s="69" t="s">
        <v>236</v>
      </c>
      <c r="B69" s="11">
        <v>23740</v>
      </c>
      <c r="C69" s="11">
        <v>6520</v>
      </c>
      <c r="D69" s="11">
        <v>10180000</v>
      </c>
    </row>
    <row r="71" spans="1:4">
      <c r="A71" s="89" t="s">
        <v>245</v>
      </c>
      <c r="B71" s="89"/>
      <c r="C71" s="89"/>
      <c r="D71" s="89"/>
    </row>
    <row r="72" spans="1:4">
      <c r="A72" s="11" t="s">
        <v>228</v>
      </c>
      <c r="B72" s="11" t="s">
        <v>229</v>
      </c>
      <c r="C72" s="11" t="s">
        <v>230</v>
      </c>
      <c r="D72" s="11" t="s">
        <v>231</v>
      </c>
    </row>
    <row r="73" spans="1:4">
      <c r="A73" s="68">
        <v>0.45833333333333298</v>
      </c>
      <c r="B73" s="11">
        <v>23880</v>
      </c>
      <c r="C73" s="11">
        <v>6580</v>
      </c>
      <c r="D73" s="11">
        <v>10280000</v>
      </c>
    </row>
    <row r="74" spans="1:4">
      <c r="A74" s="69" t="s">
        <v>232</v>
      </c>
      <c r="B74" s="11">
        <v>23880</v>
      </c>
      <c r="C74" s="11">
        <v>6580</v>
      </c>
      <c r="D74" s="11">
        <v>10280000</v>
      </c>
    </row>
    <row r="75" spans="1:4">
      <c r="A75" s="70" t="s">
        <v>233</v>
      </c>
      <c r="B75" s="11">
        <v>24000</v>
      </c>
      <c r="C75" s="11">
        <v>6580</v>
      </c>
      <c r="D75" s="11">
        <v>10330000</v>
      </c>
    </row>
    <row r="76" spans="1:4">
      <c r="A76" s="68" t="s">
        <v>234</v>
      </c>
      <c r="B76" s="11">
        <v>23930</v>
      </c>
      <c r="C76" s="11">
        <v>6580</v>
      </c>
      <c r="D76" s="11">
        <v>10290000</v>
      </c>
    </row>
    <row r="77" spans="1:4">
      <c r="A77" s="68">
        <v>0.625</v>
      </c>
      <c r="B77" s="11">
        <v>23930</v>
      </c>
      <c r="C77" s="11">
        <v>6570</v>
      </c>
      <c r="D77" s="11">
        <v>10380000</v>
      </c>
    </row>
    <row r="78" spans="1:4">
      <c r="A78" s="69" t="s">
        <v>235</v>
      </c>
      <c r="B78" s="11">
        <v>23930</v>
      </c>
      <c r="C78" s="11">
        <v>6560</v>
      </c>
      <c r="D78" s="11">
        <v>10360000</v>
      </c>
    </row>
    <row r="79" spans="1:4">
      <c r="A79" s="69" t="s">
        <v>236</v>
      </c>
      <c r="B79" s="11">
        <v>23930</v>
      </c>
      <c r="C79" s="11">
        <v>6560</v>
      </c>
      <c r="D79" s="11">
        <v>10330000</v>
      </c>
    </row>
    <row r="81" spans="1:5">
      <c r="A81" s="89" t="s">
        <v>246</v>
      </c>
      <c r="B81" s="89"/>
      <c r="C81" s="89"/>
      <c r="D81" s="89"/>
    </row>
    <row r="82" spans="1:5">
      <c r="A82" s="11" t="s">
        <v>228</v>
      </c>
      <c r="B82" s="11" t="s">
        <v>229</v>
      </c>
      <c r="C82" s="11" t="s">
        <v>230</v>
      </c>
      <c r="D82" s="11" t="s">
        <v>231</v>
      </c>
    </row>
    <row r="83" spans="1:5">
      <c r="A83" s="68">
        <v>0.45833333333333298</v>
      </c>
      <c r="B83" s="11">
        <v>24150</v>
      </c>
      <c r="C83" s="11">
        <v>6610</v>
      </c>
      <c r="D83" s="11">
        <v>10350000</v>
      </c>
    </row>
    <row r="84" spans="1:5">
      <c r="A84" s="69" t="s">
        <v>232</v>
      </c>
      <c r="B84" s="11">
        <v>24210</v>
      </c>
      <c r="C84" s="11">
        <v>6620</v>
      </c>
      <c r="D84" s="11">
        <v>10390000</v>
      </c>
    </row>
    <row r="85" spans="1:5">
      <c r="A85" s="70" t="s">
        <v>233</v>
      </c>
      <c r="B85" s="11">
        <v>24160</v>
      </c>
      <c r="C85" s="11">
        <v>6615</v>
      </c>
      <c r="D85" s="11">
        <v>10400000</v>
      </c>
    </row>
    <row r="86" spans="1:5">
      <c r="A86" s="68" t="s">
        <v>234</v>
      </c>
      <c r="B86" s="11">
        <v>24220</v>
      </c>
      <c r="C86" s="11">
        <v>6640</v>
      </c>
      <c r="D86" s="11">
        <v>10410000</v>
      </c>
    </row>
    <row r="87" spans="1:5">
      <c r="A87" s="68">
        <v>0.625</v>
      </c>
      <c r="B87" s="11">
        <v>24220</v>
      </c>
      <c r="C87" s="11">
        <v>6640</v>
      </c>
      <c r="D87" s="11">
        <v>10420000</v>
      </c>
    </row>
    <row r="88" spans="1:5">
      <c r="A88" s="69" t="s">
        <v>235</v>
      </c>
      <c r="B88" s="11">
        <v>24220</v>
      </c>
      <c r="C88" s="11">
        <v>6640</v>
      </c>
      <c r="D88" s="11">
        <v>10420000</v>
      </c>
    </row>
    <row r="89" spans="1:5">
      <c r="A89" s="69" t="s">
        <v>236</v>
      </c>
      <c r="B89" s="11">
        <v>24220</v>
      </c>
      <c r="C89" s="11">
        <v>6640</v>
      </c>
      <c r="D89" s="11">
        <v>10410000</v>
      </c>
    </row>
    <row r="90" spans="1:5">
      <c r="C90" t="s">
        <v>247</v>
      </c>
      <c r="D90" t="s">
        <v>248</v>
      </c>
      <c r="E90">
        <v>10310000</v>
      </c>
    </row>
    <row r="91" spans="1:5">
      <c r="C91" t="s">
        <v>249</v>
      </c>
      <c r="D91" t="s">
        <v>248</v>
      </c>
      <c r="E91">
        <v>10375000</v>
      </c>
    </row>
    <row r="93" spans="1:5">
      <c r="A93" s="89" t="s">
        <v>250</v>
      </c>
      <c r="B93" s="89"/>
      <c r="C93" s="89"/>
      <c r="D93" s="89"/>
    </row>
    <row r="94" spans="1:5">
      <c r="A94" s="11" t="s">
        <v>228</v>
      </c>
      <c r="B94" s="11" t="s">
        <v>229</v>
      </c>
      <c r="C94" s="11" t="s">
        <v>230</v>
      </c>
      <c r="D94" s="11" t="s">
        <v>231</v>
      </c>
    </row>
    <row r="95" spans="1:5">
      <c r="A95" s="68">
        <v>0.45833333333333298</v>
      </c>
      <c r="B95" s="11">
        <v>24380</v>
      </c>
      <c r="C95" s="11">
        <v>6680</v>
      </c>
      <c r="D95" s="11">
        <v>10450000</v>
      </c>
    </row>
    <row r="96" spans="1:5">
      <c r="A96" s="69" t="s">
        <v>232</v>
      </c>
      <c r="B96" s="11">
        <v>24370</v>
      </c>
      <c r="C96" s="11">
        <v>6685</v>
      </c>
      <c r="D96" s="11">
        <v>10530000</v>
      </c>
    </row>
    <row r="97" spans="1:6">
      <c r="A97" s="70" t="s">
        <v>233</v>
      </c>
      <c r="B97" s="11">
        <v>24500</v>
      </c>
      <c r="C97" s="11">
        <v>6740</v>
      </c>
      <c r="D97" s="11">
        <v>10520000</v>
      </c>
    </row>
    <row r="98" spans="1:6">
      <c r="A98" s="68" t="s">
        <v>234</v>
      </c>
      <c r="B98" s="11">
        <v>24450</v>
      </c>
      <c r="C98" s="11">
        <v>6710</v>
      </c>
      <c r="D98" s="11">
        <v>10560000</v>
      </c>
    </row>
    <row r="99" spans="1:6">
      <c r="A99" s="68">
        <v>0.625</v>
      </c>
      <c r="B99" s="11">
        <v>24450</v>
      </c>
      <c r="C99" s="11">
        <v>6700</v>
      </c>
      <c r="D99" s="11">
        <v>10550000</v>
      </c>
    </row>
    <row r="100" spans="1:6">
      <c r="A100" s="69" t="s">
        <v>235</v>
      </c>
      <c r="B100" s="11">
        <v>24450</v>
      </c>
      <c r="C100" s="11">
        <v>6710</v>
      </c>
      <c r="D100" s="11">
        <v>10560000</v>
      </c>
    </row>
    <row r="101" spans="1:6">
      <c r="A101" s="69" t="s">
        <v>236</v>
      </c>
      <c r="B101" s="11">
        <v>24450</v>
      </c>
      <c r="C101" s="11">
        <v>6710</v>
      </c>
      <c r="D101" s="11">
        <v>10540000</v>
      </c>
    </row>
    <row r="103" spans="1:6">
      <c r="A103" s="89" t="s">
        <v>251</v>
      </c>
      <c r="B103" s="89"/>
      <c r="C103" s="89"/>
      <c r="D103" s="89"/>
    </row>
    <row r="104" spans="1:6">
      <c r="A104" s="11" t="s">
        <v>228</v>
      </c>
      <c r="B104" s="11" t="s">
        <v>229</v>
      </c>
      <c r="C104" s="11" t="s">
        <v>230</v>
      </c>
      <c r="D104" s="11" t="s">
        <v>231</v>
      </c>
    </row>
    <row r="105" spans="1:6">
      <c r="A105" s="68">
        <v>0.45833333333333298</v>
      </c>
      <c r="B105" s="11">
        <v>24340</v>
      </c>
      <c r="C105" s="11">
        <v>6700</v>
      </c>
      <c r="D105" s="11">
        <v>10450000</v>
      </c>
      <c r="F105" t="s">
        <v>252</v>
      </c>
    </row>
    <row r="106" spans="1:6">
      <c r="A106" s="69" t="s">
        <v>232</v>
      </c>
      <c r="B106" s="11">
        <v>24400</v>
      </c>
      <c r="C106" s="11">
        <v>6685</v>
      </c>
      <c r="D106" s="11">
        <v>10500000</v>
      </c>
    </row>
    <row r="107" spans="1:6">
      <c r="A107" s="70" t="s">
        <v>233</v>
      </c>
      <c r="B107" s="11">
        <v>24340</v>
      </c>
      <c r="C107" s="11">
        <v>6680</v>
      </c>
      <c r="D107" s="11">
        <v>10470000</v>
      </c>
    </row>
    <row r="108" spans="1:6">
      <c r="A108" s="68" t="s">
        <v>234</v>
      </c>
      <c r="B108" s="11">
        <v>24400</v>
      </c>
      <c r="C108" s="11">
        <v>6695</v>
      </c>
      <c r="D108" s="11">
        <v>10510000</v>
      </c>
    </row>
    <row r="109" spans="1:6">
      <c r="A109" s="68">
        <v>0.625</v>
      </c>
      <c r="B109" s="11">
        <v>24400</v>
      </c>
      <c r="C109" s="11">
        <v>6700</v>
      </c>
      <c r="D109" s="11">
        <v>10520000</v>
      </c>
    </row>
    <row r="110" spans="1:6">
      <c r="A110" s="69" t="s">
        <v>235</v>
      </c>
      <c r="B110" s="11">
        <v>24400</v>
      </c>
      <c r="C110" s="11">
        <v>6700</v>
      </c>
      <c r="D110" s="11">
        <v>10500000</v>
      </c>
    </row>
    <row r="111" spans="1:6">
      <c r="A111" s="69" t="s">
        <v>236</v>
      </c>
      <c r="B111" s="11">
        <v>24400</v>
      </c>
      <c r="C111" s="11">
        <v>6700</v>
      </c>
      <c r="D111" s="11">
        <v>10540000</v>
      </c>
    </row>
    <row r="113" spans="1:5">
      <c r="A113" s="89" t="s">
        <v>253</v>
      </c>
      <c r="B113" s="89"/>
      <c r="C113" s="89"/>
      <c r="D113" s="89"/>
    </row>
    <row r="114" spans="1:5">
      <c r="A114" s="11" t="s">
        <v>228</v>
      </c>
      <c r="B114" s="11" t="s">
        <v>229</v>
      </c>
      <c r="C114" s="11" t="s">
        <v>230</v>
      </c>
      <c r="D114" s="11" t="s">
        <v>231</v>
      </c>
    </row>
    <row r="115" spans="1:5">
      <c r="A115" s="68">
        <v>0.45833333333333298</v>
      </c>
      <c r="B115" s="11">
        <v>24670</v>
      </c>
      <c r="C115" s="11">
        <v>6760</v>
      </c>
      <c r="D115" s="11">
        <v>10670000</v>
      </c>
    </row>
    <row r="116" spans="1:5">
      <c r="A116" s="69" t="s">
        <v>232</v>
      </c>
      <c r="B116" s="11">
        <v>24640</v>
      </c>
      <c r="C116" s="11">
        <v>6760</v>
      </c>
      <c r="D116" s="11">
        <v>10660000</v>
      </c>
    </row>
    <row r="117" spans="1:5">
      <c r="A117" s="70" t="s">
        <v>233</v>
      </c>
      <c r="B117" s="11">
        <v>24720</v>
      </c>
      <c r="C117" s="11">
        <v>6785</v>
      </c>
      <c r="D117" s="11">
        <v>10720000</v>
      </c>
    </row>
    <row r="118" spans="1:5">
      <c r="A118" s="68" t="s">
        <v>234</v>
      </c>
      <c r="B118" s="11">
        <v>24760</v>
      </c>
      <c r="C118" s="11">
        <v>6795</v>
      </c>
      <c r="D118" s="11">
        <v>10700000</v>
      </c>
    </row>
    <row r="119" spans="1:5">
      <c r="A119" s="68">
        <v>0.625</v>
      </c>
      <c r="B119" s="11">
        <v>24740</v>
      </c>
      <c r="C119" s="11">
        <v>6800</v>
      </c>
      <c r="D119" s="11">
        <v>10720000</v>
      </c>
    </row>
    <row r="120" spans="1:5">
      <c r="A120" s="69" t="s">
        <v>235</v>
      </c>
      <c r="B120" s="11">
        <v>24740</v>
      </c>
      <c r="C120" s="11">
        <v>6800</v>
      </c>
      <c r="D120" s="11">
        <v>10700000</v>
      </c>
    </row>
    <row r="121" spans="1:5">
      <c r="A121" s="69" t="s">
        <v>236</v>
      </c>
      <c r="B121" s="11">
        <v>24740</v>
      </c>
      <c r="C121" s="11">
        <v>6800</v>
      </c>
      <c r="D121" s="11">
        <v>10690000</v>
      </c>
      <c r="E121">
        <f>B125-B121</f>
        <v>240</v>
      </c>
    </row>
    <row r="123" spans="1:5">
      <c r="A123" s="89" t="s">
        <v>254</v>
      </c>
      <c r="B123" s="89"/>
      <c r="C123" s="89"/>
      <c r="D123" s="89"/>
    </row>
    <row r="124" spans="1:5">
      <c r="A124" s="11" t="s">
        <v>228</v>
      </c>
      <c r="B124" s="11" t="s">
        <v>229</v>
      </c>
      <c r="C124" s="11" t="s">
        <v>230</v>
      </c>
      <c r="D124" s="11" t="s">
        <v>231</v>
      </c>
    </row>
    <row r="125" spans="1:5">
      <c r="A125" s="68">
        <v>0.45833333333333298</v>
      </c>
      <c r="B125" s="11">
        <v>24980</v>
      </c>
      <c r="C125" s="11">
        <v>6850</v>
      </c>
      <c r="D125" s="11">
        <v>10780000</v>
      </c>
    </row>
    <row r="126" spans="1:5">
      <c r="A126" s="69" t="s">
        <v>232</v>
      </c>
      <c r="B126" s="11">
        <v>25000</v>
      </c>
      <c r="C126" s="11">
        <v>6850</v>
      </c>
      <c r="D126" s="11">
        <v>10800000</v>
      </c>
    </row>
    <row r="127" spans="1:5">
      <c r="A127" s="70" t="s">
        <v>233</v>
      </c>
      <c r="B127" s="11">
        <v>25060</v>
      </c>
      <c r="C127" s="11">
        <v>6880</v>
      </c>
      <c r="D127" s="11">
        <v>10830000</v>
      </c>
    </row>
    <row r="128" spans="1:5">
      <c r="A128" s="68" t="s">
        <v>234</v>
      </c>
      <c r="B128" s="11">
        <v>25110</v>
      </c>
      <c r="C128" s="11">
        <v>6920</v>
      </c>
      <c r="D128" s="11">
        <v>10810000</v>
      </c>
    </row>
    <row r="129" spans="1:4">
      <c r="A129" s="68">
        <v>0.625</v>
      </c>
      <c r="B129" s="11">
        <v>25130</v>
      </c>
      <c r="C129" s="11">
        <v>6890</v>
      </c>
      <c r="D129" s="11">
        <v>10800000</v>
      </c>
    </row>
    <row r="130" spans="1:4">
      <c r="A130" s="69" t="s">
        <v>235</v>
      </c>
      <c r="B130" s="11">
        <v>25130</v>
      </c>
      <c r="C130" s="11">
        <v>6885</v>
      </c>
      <c r="D130" s="11">
        <v>10780000</v>
      </c>
    </row>
    <row r="131" spans="1:4">
      <c r="A131" s="69" t="s">
        <v>236</v>
      </c>
      <c r="B131" s="11">
        <v>25130</v>
      </c>
      <c r="C131" s="11">
        <v>6885</v>
      </c>
      <c r="D131" s="11">
        <v>10830000</v>
      </c>
    </row>
    <row r="133" spans="1:4">
      <c r="A133" s="89" t="s">
        <v>255</v>
      </c>
      <c r="B133" s="89"/>
      <c r="C133" s="89"/>
      <c r="D133" s="89"/>
    </row>
    <row r="134" spans="1:4">
      <c r="A134" s="11" t="s">
        <v>228</v>
      </c>
      <c r="B134" s="11" t="s">
        <v>229</v>
      </c>
      <c r="C134" s="11" t="s">
        <v>230</v>
      </c>
      <c r="D134" s="11" t="s">
        <v>231</v>
      </c>
    </row>
    <row r="135" spans="1:4">
      <c r="A135" s="68">
        <v>0.45833333333333298</v>
      </c>
      <c r="B135" s="11">
        <v>25000</v>
      </c>
      <c r="C135" s="11">
        <v>6900</v>
      </c>
      <c r="D135" s="11">
        <v>10750000</v>
      </c>
    </row>
    <row r="136" spans="1:4">
      <c r="A136" s="69" t="s">
        <v>232</v>
      </c>
      <c r="B136" s="11">
        <v>25120</v>
      </c>
      <c r="C136" s="11">
        <v>6900</v>
      </c>
      <c r="D136" s="11">
        <v>10780000</v>
      </c>
    </row>
    <row r="137" spans="1:4">
      <c r="A137" s="70" t="s">
        <v>233</v>
      </c>
      <c r="B137" s="11">
        <v>25230</v>
      </c>
      <c r="C137" s="11">
        <v>6890</v>
      </c>
      <c r="D137" s="11">
        <v>10810000</v>
      </c>
    </row>
    <row r="138" spans="1:4">
      <c r="A138" s="68" t="s">
        <v>234</v>
      </c>
      <c r="B138" s="11">
        <v>25260</v>
      </c>
      <c r="C138" s="11">
        <v>6920</v>
      </c>
      <c r="D138" s="11">
        <v>10840000</v>
      </c>
    </row>
    <row r="139" spans="1:4">
      <c r="A139" s="68">
        <v>0.625</v>
      </c>
      <c r="B139" s="11">
        <v>25270</v>
      </c>
      <c r="C139" s="11">
        <v>6900</v>
      </c>
      <c r="D139" s="11">
        <v>10830000</v>
      </c>
    </row>
    <row r="140" spans="1:4">
      <c r="A140" s="69" t="s">
        <v>235</v>
      </c>
      <c r="B140" s="11">
        <v>25270</v>
      </c>
      <c r="C140" s="11">
        <v>6900</v>
      </c>
      <c r="D140" s="11">
        <v>10840000</v>
      </c>
    </row>
    <row r="141" spans="1:4">
      <c r="A141" s="69" t="s">
        <v>236</v>
      </c>
      <c r="B141" s="11">
        <v>25270</v>
      </c>
      <c r="C141" s="11">
        <v>6900</v>
      </c>
      <c r="D141" s="11">
        <v>10830000</v>
      </c>
    </row>
    <row r="143" spans="1:4">
      <c r="A143" s="89" t="s">
        <v>256</v>
      </c>
      <c r="B143" s="89"/>
      <c r="C143" s="89"/>
      <c r="D143" s="89"/>
    </row>
    <row r="144" spans="1:4">
      <c r="A144" s="11" t="s">
        <v>228</v>
      </c>
      <c r="B144" s="11" t="s">
        <v>229</v>
      </c>
      <c r="C144" s="11" t="s">
        <v>230</v>
      </c>
      <c r="D144" s="11" t="s">
        <v>231</v>
      </c>
    </row>
    <row r="145" spans="1:7">
      <c r="A145" s="68">
        <v>0.45833333333333298</v>
      </c>
      <c r="B145" s="11">
        <v>25220</v>
      </c>
      <c r="C145" s="11">
        <v>6900</v>
      </c>
      <c r="D145" s="11">
        <v>10820000</v>
      </c>
    </row>
    <row r="146" spans="1:7">
      <c r="A146" s="69" t="s">
        <v>232</v>
      </c>
      <c r="B146" s="11">
        <v>25250</v>
      </c>
      <c r="C146" s="11">
        <v>6890</v>
      </c>
      <c r="D146" s="11">
        <v>10810000</v>
      </c>
    </row>
    <row r="147" spans="1:7">
      <c r="A147" s="70" t="s">
        <v>233</v>
      </c>
      <c r="B147" s="11">
        <v>25210</v>
      </c>
      <c r="C147" s="11">
        <v>6890</v>
      </c>
      <c r="D147" s="11">
        <v>10800000</v>
      </c>
    </row>
    <row r="148" spans="1:7">
      <c r="A148" s="68" t="s">
        <v>234</v>
      </c>
      <c r="B148" s="11">
        <v>25190</v>
      </c>
      <c r="C148" s="11">
        <v>6855</v>
      </c>
      <c r="D148" s="11">
        <v>10790000</v>
      </c>
    </row>
    <row r="149" spans="1:7">
      <c r="A149" s="68">
        <v>0.625</v>
      </c>
      <c r="B149" s="11" t="s">
        <v>257</v>
      </c>
      <c r="C149" s="11" t="s">
        <v>257</v>
      </c>
      <c r="D149" s="11" t="s">
        <v>257</v>
      </c>
    </row>
    <row r="150" spans="1:7">
      <c r="A150" s="69" t="s">
        <v>235</v>
      </c>
      <c r="B150" s="11" t="s">
        <v>257</v>
      </c>
      <c r="C150" s="11" t="s">
        <v>257</v>
      </c>
      <c r="D150" s="11" t="s">
        <v>257</v>
      </c>
    </row>
    <row r="151" spans="1:7">
      <c r="A151" s="69" t="s">
        <v>236</v>
      </c>
      <c r="B151" s="11" t="s">
        <v>257</v>
      </c>
      <c r="C151" s="11" t="s">
        <v>257</v>
      </c>
      <c r="D151" s="11" t="s">
        <v>257</v>
      </c>
    </row>
    <row r="153" spans="1:7">
      <c r="A153" s="89" t="s">
        <v>258</v>
      </c>
      <c r="B153" s="89"/>
      <c r="C153" s="89"/>
      <c r="D153" s="89"/>
    </row>
    <row r="154" spans="1:7">
      <c r="A154" s="11" t="s">
        <v>228</v>
      </c>
      <c r="B154" s="11" t="s">
        <v>229</v>
      </c>
      <c r="C154" s="11" t="s">
        <v>230</v>
      </c>
      <c r="D154" s="11" t="s">
        <v>231</v>
      </c>
      <c r="G154">
        <f>(F156-F157)/F157</f>
        <v>6.9863013698630141E-2</v>
      </c>
    </row>
    <row r="155" spans="1:7">
      <c r="A155" s="68">
        <v>0.45833333333333298</v>
      </c>
      <c r="B155" s="11">
        <v>25120</v>
      </c>
      <c r="C155" s="11">
        <v>6880</v>
      </c>
      <c r="D155" s="11">
        <v>10790000</v>
      </c>
    </row>
    <row r="156" spans="1:7">
      <c r="A156" s="69" t="s">
        <v>232</v>
      </c>
      <c r="B156" s="11">
        <v>25130</v>
      </c>
      <c r="C156" s="11">
        <v>6880</v>
      </c>
      <c r="D156" s="11">
        <v>10740000</v>
      </c>
      <c r="F156">
        <v>2343</v>
      </c>
    </row>
    <row r="157" spans="1:7">
      <c r="A157" s="70" t="s">
        <v>233</v>
      </c>
      <c r="B157" s="11">
        <v>25170</v>
      </c>
      <c r="C157" s="11">
        <v>6885</v>
      </c>
      <c r="D157" s="11">
        <v>10780000</v>
      </c>
      <c r="F157">
        <v>2190</v>
      </c>
    </row>
    <row r="158" spans="1:7">
      <c r="A158" s="68" t="s">
        <v>234</v>
      </c>
      <c r="B158" s="11">
        <v>25190</v>
      </c>
      <c r="C158" s="11">
        <v>6890</v>
      </c>
      <c r="D158" s="11">
        <v>10750000</v>
      </c>
    </row>
    <row r="159" spans="1:7">
      <c r="A159" s="68">
        <v>0.625</v>
      </c>
      <c r="B159" s="11">
        <v>25190</v>
      </c>
      <c r="C159" s="11">
        <v>6870</v>
      </c>
      <c r="D159" s="11">
        <v>10740000</v>
      </c>
    </row>
    <row r="160" spans="1:7">
      <c r="A160" s="69" t="s">
        <v>235</v>
      </c>
      <c r="B160" s="11">
        <v>25190</v>
      </c>
      <c r="C160" s="11">
        <v>6870</v>
      </c>
      <c r="D160" s="11">
        <v>10750000</v>
      </c>
    </row>
    <row r="161" spans="1:4">
      <c r="A161" s="69" t="s">
        <v>236</v>
      </c>
      <c r="B161" s="11">
        <v>25190</v>
      </c>
      <c r="C161" s="11">
        <v>6870</v>
      </c>
      <c r="D161" s="11">
        <v>10750000</v>
      </c>
    </row>
    <row r="163" spans="1:4">
      <c r="A163" s="89" t="s">
        <v>259</v>
      </c>
      <c r="B163" s="89"/>
      <c r="C163" s="89"/>
      <c r="D163" s="89"/>
    </row>
    <row r="164" spans="1:4">
      <c r="A164" s="11" t="s">
        <v>228</v>
      </c>
      <c r="B164" s="11" t="s">
        <v>229</v>
      </c>
      <c r="C164" s="11" t="s">
        <v>230</v>
      </c>
      <c r="D164" s="11" t="s">
        <v>231</v>
      </c>
    </row>
    <row r="165" spans="1:4">
      <c r="A165" s="68">
        <v>0.45833333333333298</v>
      </c>
      <c r="B165" s="11">
        <v>25330</v>
      </c>
      <c r="C165" s="11">
        <v>6920</v>
      </c>
      <c r="D165" s="11">
        <v>10810000</v>
      </c>
    </row>
    <row r="166" spans="1:4">
      <c r="A166" s="69" t="s">
        <v>232</v>
      </c>
      <c r="B166" s="11">
        <v>25310</v>
      </c>
      <c r="C166" s="11">
        <v>6920</v>
      </c>
      <c r="D166" s="11">
        <v>10790000</v>
      </c>
    </row>
    <row r="167" spans="1:4">
      <c r="A167" s="70" t="s">
        <v>233</v>
      </c>
      <c r="B167" s="11">
        <v>25260</v>
      </c>
      <c r="C167" s="11">
        <v>6900</v>
      </c>
      <c r="D167" s="11">
        <v>10780000</v>
      </c>
    </row>
    <row r="168" spans="1:4">
      <c r="A168" s="68" t="s">
        <v>234</v>
      </c>
      <c r="B168" s="11">
        <v>25250</v>
      </c>
      <c r="C168" s="11">
        <v>6885</v>
      </c>
      <c r="D168" s="11">
        <v>10750000</v>
      </c>
    </row>
    <row r="169" spans="1:4">
      <c r="A169" s="68">
        <v>0.625</v>
      </c>
      <c r="B169" s="11">
        <v>25180</v>
      </c>
      <c r="C169" s="11">
        <v>6905</v>
      </c>
      <c r="D169" s="11">
        <v>10750000</v>
      </c>
    </row>
    <row r="170" spans="1:4">
      <c r="A170" s="69" t="s">
        <v>235</v>
      </c>
      <c r="B170" s="11">
        <v>25180</v>
      </c>
      <c r="C170" s="11">
        <v>6895</v>
      </c>
      <c r="D170" s="11">
        <v>10760000</v>
      </c>
    </row>
    <row r="171" spans="1:4">
      <c r="A171" s="69" t="s">
        <v>236</v>
      </c>
      <c r="B171" s="11">
        <v>25180</v>
      </c>
      <c r="C171" s="11">
        <v>6895</v>
      </c>
      <c r="D171" s="11">
        <v>10750000</v>
      </c>
    </row>
    <row r="173" spans="1:4">
      <c r="A173" s="89" t="s">
        <v>260</v>
      </c>
      <c r="B173" s="89"/>
      <c r="C173" s="89"/>
      <c r="D173" s="89"/>
    </row>
    <row r="174" spans="1:4">
      <c r="A174" s="11" t="s">
        <v>228</v>
      </c>
      <c r="B174" s="11" t="s">
        <v>229</v>
      </c>
      <c r="C174" s="11" t="s">
        <v>230</v>
      </c>
      <c r="D174" s="11" t="s">
        <v>231</v>
      </c>
    </row>
    <row r="175" spans="1:4">
      <c r="A175" s="68">
        <v>0.45833333333333298</v>
      </c>
      <c r="B175" s="11">
        <v>25080</v>
      </c>
      <c r="C175" s="11">
        <v>6875</v>
      </c>
      <c r="D175" s="11">
        <v>10630000</v>
      </c>
    </row>
    <row r="176" spans="1:4">
      <c r="A176" s="69" t="s">
        <v>232</v>
      </c>
      <c r="B176" s="11">
        <v>25100</v>
      </c>
      <c r="C176" s="11">
        <v>6875</v>
      </c>
      <c r="D176" s="11">
        <v>10660000</v>
      </c>
    </row>
    <row r="177" spans="1:7">
      <c r="A177" s="70" t="s">
        <v>233</v>
      </c>
      <c r="B177" s="11">
        <v>25000</v>
      </c>
      <c r="C177" s="11">
        <v>6860</v>
      </c>
      <c r="D177" s="11">
        <v>10590000</v>
      </c>
    </row>
    <row r="178" spans="1:7">
      <c r="A178" s="68" t="s">
        <v>234</v>
      </c>
      <c r="B178" s="11">
        <v>24970</v>
      </c>
      <c r="C178" s="11">
        <v>6835</v>
      </c>
      <c r="D178" s="11">
        <v>10590000</v>
      </c>
    </row>
    <row r="179" spans="1:7">
      <c r="A179" s="68">
        <v>0.625</v>
      </c>
      <c r="B179" s="11">
        <v>24970</v>
      </c>
      <c r="C179" s="11">
        <v>6835</v>
      </c>
      <c r="D179" s="11">
        <v>10580000</v>
      </c>
      <c r="F179">
        <v>33214</v>
      </c>
      <c r="G179">
        <f>(F179-F180)/F179</f>
        <v>-5.4946709219004033E-2</v>
      </c>
    </row>
    <row r="180" spans="1:7">
      <c r="A180" s="69" t="s">
        <v>235</v>
      </c>
      <c r="B180" s="11">
        <v>24970</v>
      </c>
      <c r="C180" s="11">
        <v>6850</v>
      </c>
      <c r="D180" s="11">
        <v>10610000</v>
      </c>
      <c r="F180">
        <v>35039</v>
      </c>
    </row>
    <row r="181" spans="1:7">
      <c r="A181" s="69" t="s">
        <v>236</v>
      </c>
      <c r="B181" s="11">
        <v>24970</v>
      </c>
      <c r="C181" s="11">
        <v>6850</v>
      </c>
      <c r="D181" s="11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89" t="s">
        <v>261</v>
      </c>
      <c r="B183" s="89"/>
      <c r="C183" s="89"/>
      <c r="D183" s="89"/>
      <c r="F183">
        <v>2346</v>
      </c>
    </row>
    <row r="184" spans="1:7">
      <c r="A184" s="11" t="s">
        <v>228</v>
      </c>
      <c r="B184" s="11" t="s">
        <v>229</v>
      </c>
      <c r="C184" s="11" t="s">
        <v>230</v>
      </c>
      <c r="D184" s="11" t="s">
        <v>231</v>
      </c>
    </row>
    <row r="185" spans="1:7">
      <c r="A185" s="68">
        <v>0.45833333333333298</v>
      </c>
      <c r="B185" s="11">
        <v>25060</v>
      </c>
      <c r="C185" s="11">
        <v>6860</v>
      </c>
      <c r="D185" s="11">
        <v>10700000</v>
      </c>
    </row>
    <row r="186" spans="1:7">
      <c r="A186" s="69" t="s">
        <v>232</v>
      </c>
      <c r="B186" s="11">
        <v>25110</v>
      </c>
      <c r="C186" s="11">
        <v>6860</v>
      </c>
      <c r="D186" s="11">
        <v>10720000</v>
      </c>
    </row>
    <row r="187" spans="1:7">
      <c r="A187" s="70" t="s">
        <v>233</v>
      </c>
      <c r="B187" s="11">
        <v>25070</v>
      </c>
      <c r="C187" s="11">
        <v>6860</v>
      </c>
      <c r="D187" s="11">
        <v>10700000</v>
      </c>
    </row>
    <row r="188" spans="1:7">
      <c r="A188" s="68" t="s">
        <v>234</v>
      </c>
      <c r="B188" s="11">
        <v>25110</v>
      </c>
      <c r="C188" s="11">
        <v>6870</v>
      </c>
      <c r="D188" s="11">
        <v>10720000</v>
      </c>
    </row>
    <row r="189" spans="1:7">
      <c r="A189" s="68">
        <v>0.625</v>
      </c>
      <c r="B189" s="11">
        <v>25110</v>
      </c>
      <c r="C189" s="11">
        <v>6880</v>
      </c>
      <c r="D189" s="11">
        <v>10720000</v>
      </c>
    </row>
    <row r="190" spans="1:7">
      <c r="A190" s="69" t="s">
        <v>235</v>
      </c>
      <c r="B190" s="11">
        <v>25110</v>
      </c>
      <c r="C190" s="11">
        <v>6880</v>
      </c>
      <c r="D190" s="11">
        <v>10730000</v>
      </c>
      <c r="G190">
        <f>B195-B191</f>
        <v>-80</v>
      </c>
    </row>
    <row r="191" spans="1:7">
      <c r="A191" s="69" t="s">
        <v>236</v>
      </c>
      <c r="B191" s="11">
        <v>25110</v>
      </c>
      <c r="C191" s="11">
        <v>6880</v>
      </c>
      <c r="D191" s="11">
        <v>10720000</v>
      </c>
    </row>
    <row r="193" spans="1:4">
      <c r="A193" s="89" t="s">
        <v>262</v>
      </c>
      <c r="B193" s="89"/>
      <c r="C193" s="89"/>
      <c r="D193" s="89"/>
    </row>
    <row r="194" spans="1:4">
      <c r="A194" s="11" t="s">
        <v>228</v>
      </c>
      <c r="B194" s="11" t="s">
        <v>229</v>
      </c>
      <c r="C194" s="11" t="s">
        <v>230</v>
      </c>
      <c r="D194" s="11" t="s">
        <v>231</v>
      </c>
    </row>
    <row r="195" spans="1:4">
      <c r="A195" s="68">
        <v>0.45833333333333298</v>
      </c>
      <c r="B195" s="11">
        <v>25030</v>
      </c>
      <c r="C195" s="11">
        <v>6840</v>
      </c>
      <c r="D195" s="11">
        <v>10640000</v>
      </c>
    </row>
    <row r="196" spans="1:4">
      <c r="A196" s="69" t="s">
        <v>232</v>
      </c>
      <c r="B196" s="11">
        <v>24980</v>
      </c>
      <c r="C196" s="11">
        <v>6840</v>
      </c>
      <c r="D196" s="11">
        <v>10640000</v>
      </c>
    </row>
    <row r="197" spans="1:4">
      <c r="A197" s="70" t="s">
        <v>233</v>
      </c>
      <c r="B197" s="11">
        <v>24940</v>
      </c>
      <c r="C197" s="11">
        <v>6840</v>
      </c>
      <c r="D197" s="11">
        <v>10650000</v>
      </c>
    </row>
    <row r="198" spans="1:4">
      <c r="A198" s="68" t="s">
        <v>234</v>
      </c>
      <c r="B198" s="11">
        <v>24900</v>
      </c>
      <c r="C198" s="11">
        <v>6840</v>
      </c>
      <c r="D198" s="11">
        <v>10650000</v>
      </c>
    </row>
    <row r="199" spans="1:4">
      <c r="A199" s="68">
        <v>0.625</v>
      </c>
      <c r="B199" s="11">
        <v>24900</v>
      </c>
      <c r="C199" s="11">
        <v>6840</v>
      </c>
      <c r="D199" s="11">
        <v>10670000</v>
      </c>
    </row>
    <row r="200" spans="1:4">
      <c r="A200" s="69" t="s">
        <v>235</v>
      </c>
      <c r="B200" s="11">
        <v>24900</v>
      </c>
      <c r="C200" s="11">
        <v>6840</v>
      </c>
      <c r="D200" s="11">
        <v>10650000</v>
      </c>
    </row>
    <row r="201" spans="1:4">
      <c r="A201" s="69" t="s">
        <v>236</v>
      </c>
      <c r="B201" s="11">
        <v>24900</v>
      </c>
      <c r="C201" s="11">
        <v>6840</v>
      </c>
      <c r="D201" s="11">
        <v>10660000</v>
      </c>
    </row>
    <row r="203" spans="1:4">
      <c r="A203" s="89" t="s">
        <v>263</v>
      </c>
      <c r="B203" s="89"/>
      <c r="C203" s="89"/>
      <c r="D203" s="89"/>
    </row>
    <row r="204" spans="1:4">
      <c r="A204" s="11" t="s">
        <v>228</v>
      </c>
      <c r="B204" s="11" t="s">
        <v>229</v>
      </c>
      <c r="C204" s="11" t="s">
        <v>230</v>
      </c>
      <c r="D204" s="11" t="s">
        <v>231</v>
      </c>
    </row>
    <row r="205" spans="1:4">
      <c r="A205" s="68">
        <v>0.45833333333333298</v>
      </c>
      <c r="B205" s="11">
        <v>25020</v>
      </c>
      <c r="C205" s="11">
        <v>6840</v>
      </c>
      <c r="D205" s="11">
        <v>10680000</v>
      </c>
    </row>
    <row r="206" spans="1:4">
      <c r="A206" s="69" t="s">
        <v>232</v>
      </c>
      <c r="B206" s="11">
        <v>25000</v>
      </c>
      <c r="C206" s="11">
        <v>6830</v>
      </c>
      <c r="D206" s="11">
        <v>10690000</v>
      </c>
    </row>
    <row r="207" spans="1:4">
      <c r="A207" s="70" t="s">
        <v>233</v>
      </c>
      <c r="B207" s="11">
        <v>24970</v>
      </c>
      <c r="C207" s="11">
        <v>6830</v>
      </c>
      <c r="D207" s="11">
        <v>10710000</v>
      </c>
    </row>
    <row r="208" spans="1:4">
      <c r="A208" s="68" t="s">
        <v>234</v>
      </c>
      <c r="B208" s="11">
        <v>24970</v>
      </c>
      <c r="C208" s="11">
        <v>6820</v>
      </c>
      <c r="D208" s="11">
        <v>10720000</v>
      </c>
    </row>
    <row r="209" spans="1:4">
      <c r="A209" s="68">
        <v>0.625</v>
      </c>
      <c r="B209" s="11" t="s">
        <v>257</v>
      </c>
      <c r="C209" s="11" t="s">
        <v>257</v>
      </c>
      <c r="D209" s="11" t="s">
        <v>257</v>
      </c>
    </row>
    <row r="210" spans="1:4">
      <c r="A210" s="69" t="s">
        <v>235</v>
      </c>
      <c r="B210" s="11" t="s">
        <v>257</v>
      </c>
      <c r="C210" s="11" t="s">
        <v>257</v>
      </c>
      <c r="D210" s="11" t="s">
        <v>257</v>
      </c>
    </row>
    <row r="211" spans="1:4">
      <c r="A211" s="69" t="s">
        <v>236</v>
      </c>
      <c r="B211" s="11" t="s">
        <v>257</v>
      </c>
      <c r="C211" s="11" t="s">
        <v>257</v>
      </c>
      <c r="D211" s="11" t="s">
        <v>257</v>
      </c>
    </row>
    <row r="213" spans="1:4">
      <c r="A213" s="89" t="s">
        <v>264</v>
      </c>
      <c r="B213" s="89"/>
      <c r="C213" s="89"/>
      <c r="D213" s="89"/>
    </row>
    <row r="214" spans="1:4">
      <c r="A214" s="11" t="s">
        <v>228</v>
      </c>
      <c r="B214" s="11" t="s">
        <v>229</v>
      </c>
      <c r="C214" s="11" t="s">
        <v>230</v>
      </c>
      <c r="D214" s="11" t="s">
        <v>231</v>
      </c>
    </row>
    <row r="215" spans="1:4">
      <c r="A215" s="68">
        <v>0.45833333333333298</v>
      </c>
      <c r="B215" s="11">
        <v>24920</v>
      </c>
      <c r="C215" s="11">
        <v>6840</v>
      </c>
      <c r="D215" s="11">
        <v>10680000</v>
      </c>
    </row>
    <row r="216" spans="1:4">
      <c r="A216" s="69" t="s">
        <v>232</v>
      </c>
      <c r="B216" s="11">
        <v>24900</v>
      </c>
      <c r="C216" s="11">
        <v>6840</v>
      </c>
      <c r="D216" s="11">
        <v>10690000</v>
      </c>
    </row>
    <row r="217" spans="1:4">
      <c r="A217" s="70" t="s">
        <v>233</v>
      </c>
      <c r="B217" s="11">
        <v>24930</v>
      </c>
      <c r="C217" s="11">
        <v>6820</v>
      </c>
      <c r="D217" s="11">
        <v>10670000</v>
      </c>
    </row>
    <row r="218" spans="1:4">
      <c r="A218" s="68" t="s">
        <v>234</v>
      </c>
      <c r="B218" s="11">
        <v>24880</v>
      </c>
      <c r="C218" s="11">
        <v>6825</v>
      </c>
      <c r="D218" s="11">
        <v>10670000</v>
      </c>
    </row>
    <row r="219" spans="1:4">
      <c r="A219" s="68">
        <v>0.625</v>
      </c>
      <c r="B219" s="11">
        <v>24880</v>
      </c>
      <c r="C219" s="11">
        <v>6820</v>
      </c>
      <c r="D219" s="11">
        <v>10660000</v>
      </c>
    </row>
    <row r="220" spans="1:4">
      <c r="A220" s="69" t="s">
        <v>235</v>
      </c>
      <c r="B220" s="11">
        <v>24880</v>
      </c>
      <c r="C220" s="11">
        <v>6820</v>
      </c>
      <c r="D220" s="11">
        <v>10670000</v>
      </c>
    </row>
    <row r="221" spans="1:4">
      <c r="A221" s="69" t="s">
        <v>236</v>
      </c>
      <c r="B221" s="11">
        <v>24880</v>
      </c>
      <c r="C221" s="11">
        <v>6820</v>
      </c>
      <c r="D221" s="11">
        <v>10670000</v>
      </c>
    </row>
    <row r="223" spans="1:4">
      <c r="A223" s="89" t="s">
        <v>265</v>
      </c>
      <c r="B223" s="89"/>
      <c r="C223" s="89"/>
      <c r="D223" s="89"/>
    </row>
    <row r="224" spans="1:4">
      <c r="A224" s="11" t="s">
        <v>228</v>
      </c>
      <c r="B224" s="11" t="s">
        <v>229</v>
      </c>
      <c r="C224" s="11" t="s">
        <v>230</v>
      </c>
      <c r="D224" s="11" t="s">
        <v>231</v>
      </c>
    </row>
    <row r="225" spans="1:5">
      <c r="A225" s="68">
        <v>0.45833333333333298</v>
      </c>
      <c r="B225" s="11">
        <v>24900</v>
      </c>
      <c r="C225" s="11">
        <v>6820</v>
      </c>
      <c r="D225" s="11">
        <v>10630000</v>
      </c>
    </row>
    <row r="226" spans="1:5">
      <c r="A226" s="69" t="s">
        <v>232</v>
      </c>
      <c r="B226" s="11">
        <v>24890</v>
      </c>
      <c r="C226" s="11">
        <v>6820</v>
      </c>
      <c r="D226" s="11">
        <v>10650000</v>
      </c>
    </row>
    <row r="227" spans="1:5">
      <c r="A227" s="70" t="s">
        <v>233</v>
      </c>
      <c r="B227" s="11">
        <v>24880</v>
      </c>
      <c r="C227" s="11">
        <v>6820</v>
      </c>
      <c r="D227" s="11">
        <v>10640000</v>
      </c>
    </row>
    <row r="228" spans="1:5">
      <c r="A228" s="68" t="s">
        <v>234</v>
      </c>
      <c r="B228" s="11">
        <v>24880</v>
      </c>
      <c r="C228" s="11">
        <v>6825</v>
      </c>
      <c r="D228" s="11">
        <v>10650000</v>
      </c>
    </row>
    <row r="229" spans="1:5">
      <c r="A229" s="68">
        <v>0.625</v>
      </c>
      <c r="B229" s="11">
        <v>24880</v>
      </c>
      <c r="C229" s="11">
        <v>6825</v>
      </c>
      <c r="D229" s="11">
        <v>10690000</v>
      </c>
    </row>
    <row r="230" spans="1:5">
      <c r="A230" s="69" t="s">
        <v>235</v>
      </c>
      <c r="B230" s="11">
        <v>24880</v>
      </c>
      <c r="C230" s="11">
        <v>6825</v>
      </c>
      <c r="D230" s="11">
        <v>10700000</v>
      </c>
    </row>
    <row r="231" spans="1:5">
      <c r="A231" s="69" t="s">
        <v>236</v>
      </c>
      <c r="B231" s="11">
        <v>24880</v>
      </c>
      <c r="C231" s="11">
        <v>6825</v>
      </c>
      <c r="D231" s="11">
        <v>10700000</v>
      </c>
    </row>
    <row r="233" spans="1:5">
      <c r="A233" s="89" t="s">
        <v>266</v>
      </c>
      <c r="B233" s="89"/>
      <c r="C233" s="89"/>
      <c r="D233" s="89"/>
    </row>
    <row r="234" spans="1:5">
      <c r="A234" s="11" t="s">
        <v>228</v>
      </c>
      <c r="B234" s="11" t="s">
        <v>229</v>
      </c>
      <c r="C234" s="11" t="s">
        <v>230</v>
      </c>
      <c r="D234" s="11" t="s">
        <v>231</v>
      </c>
    </row>
    <row r="235" spans="1:5">
      <c r="A235" s="68">
        <v>0.45833333333333298</v>
      </c>
      <c r="B235" s="11">
        <v>24890</v>
      </c>
      <c r="C235" s="11">
        <v>6850</v>
      </c>
      <c r="D235" s="11">
        <v>10680000</v>
      </c>
      <c r="E235" s="73"/>
    </row>
    <row r="236" spans="1:5">
      <c r="A236" s="69" t="s">
        <v>232</v>
      </c>
      <c r="B236" s="11">
        <v>24880</v>
      </c>
      <c r="C236" s="11">
        <v>6850</v>
      </c>
      <c r="D236" s="11">
        <v>10680000</v>
      </c>
    </row>
    <row r="237" spans="1:5">
      <c r="A237" s="70" t="s">
        <v>233</v>
      </c>
      <c r="B237" s="11">
        <v>24910</v>
      </c>
      <c r="C237" s="11">
        <v>6825</v>
      </c>
      <c r="D237" s="11">
        <v>10670000</v>
      </c>
    </row>
    <row r="238" spans="1:5">
      <c r="A238" s="68" t="s">
        <v>234</v>
      </c>
      <c r="B238" s="11">
        <v>24920</v>
      </c>
      <c r="C238" s="11">
        <v>6820</v>
      </c>
      <c r="D238" s="11">
        <v>10670000</v>
      </c>
    </row>
    <row r="239" spans="1:5">
      <c r="A239" s="68">
        <v>0.625</v>
      </c>
      <c r="B239" s="11">
        <v>24920</v>
      </c>
      <c r="C239" s="11">
        <v>6820</v>
      </c>
      <c r="D239" s="11">
        <v>10680000</v>
      </c>
    </row>
    <row r="240" spans="1:5">
      <c r="A240" s="69" t="s">
        <v>235</v>
      </c>
      <c r="B240" s="11">
        <v>24920</v>
      </c>
      <c r="C240" s="11">
        <v>6820</v>
      </c>
      <c r="D240" s="11">
        <v>10680000</v>
      </c>
    </row>
    <row r="241" spans="1:4">
      <c r="A241" s="69" t="s">
        <v>236</v>
      </c>
      <c r="B241" s="11">
        <v>24920</v>
      </c>
      <c r="C241" s="11">
        <v>6820</v>
      </c>
      <c r="D241" s="11">
        <v>10680000</v>
      </c>
    </row>
    <row r="243" spans="1:4">
      <c r="A243" s="89" t="s">
        <v>267</v>
      </c>
      <c r="B243" s="89"/>
      <c r="C243" s="89"/>
      <c r="D243" s="89"/>
    </row>
    <row r="244" spans="1:4">
      <c r="A244" s="11" t="s">
        <v>228</v>
      </c>
      <c r="B244" s="11" t="s">
        <v>229</v>
      </c>
      <c r="C244" s="11" t="s">
        <v>230</v>
      </c>
      <c r="D244" s="11" t="s">
        <v>231</v>
      </c>
    </row>
    <row r="245" spans="1:4">
      <c r="A245" s="68">
        <v>0.45833333333333298</v>
      </c>
      <c r="B245" s="11">
        <v>24850</v>
      </c>
      <c r="C245" s="11">
        <v>6790</v>
      </c>
      <c r="D245" s="11">
        <v>10650000</v>
      </c>
    </row>
    <row r="246" spans="1:4">
      <c r="A246" s="69" t="s">
        <v>232</v>
      </c>
      <c r="B246" s="11">
        <v>24830</v>
      </c>
      <c r="C246" s="11">
        <v>6790</v>
      </c>
      <c r="D246" s="11">
        <v>10620000</v>
      </c>
    </row>
    <row r="247" spans="1:4">
      <c r="A247" s="70" t="s">
        <v>233</v>
      </c>
      <c r="B247" s="11">
        <v>24740</v>
      </c>
      <c r="C247" s="11">
        <v>6770</v>
      </c>
      <c r="D247" s="11">
        <v>10590000</v>
      </c>
    </row>
    <row r="248" spans="1:4">
      <c r="A248" s="68" t="s">
        <v>234</v>
      </c>
      <c r="B248" s="11">
        <v>24720</v>
      </c>
      <c r="C248" s="11">
        <v>6770</v>
      </c>
      <c r="D248" s="11">
        <v>10610000</v>
      </c>
    </row>
    <row r="249" spans="1:4">
      <c r="A249" s="68">
        <v>0.625</v>
      </c>
      <c r="B249" s="11">
        <v>24750</v>
      </c>
      <c r="C249" s="11">
        <v>6765</v>
      </c>
      <c r="D249" s="11">
        <v>10600000</v>
      </c>
    </row>
    <row r="250" spans="1:4">
      <c r="A250" s="69" t="s">
        <v>235</v>
      </c>
      <c r="B250" s="11">
        <v>24750</v>
      </c>
      <c r="C250" s="11">
        <v>6765</v>
      </c>
      <c r="D250" s="11">
        <v>10590000</v>
      </c>
    </row>
    <row r="251" spans="1:4">
      <c r="A251" s="69" t="s">
        <v>236</v>
      </c>
      <c r="B251" s="11">
        <v>24750</v>
      </c>
      <c r="C251" s="11">
        <v>6765</v>
      </c>
      <c r="D251" s="11">
        <v>10610000</v>
      </c>
    </row>
    <row r="252" spans="1:4">
      <c r="D252" s="73"/>
    </row>
    <row r="253" spans="1:4">
      <c r="A253" s="89" t="s">
        <v>268</v>
      </c>
      <c r="B253" s="89"/>
      <c r="C253" s="89"/>
      <c r="D253" s="89"/>
    </row>
    <row r="254" spans="1:4">
      <c r="A254" s="11" t="s">
        <v>228</v>
      </c>
      <c r="B254" s="11" t="s">
        <v>229</v>
      </c>
      <c r="C254" s="11" t="s">
        <v>230</v>
      </c>
      <c r="D254" s="11" t="s">
        <v>231</v>
      </c>
    </row>
    <row r="255" spans="1:4">
      <c r="A255" s="68">
        <v>0.45833333333333298</v>
      </c>
      <c r="B255" s="11">
        <v>24450</v>
      </c>
      <c r="C255" s="11">
        <v>6700</v>
      </c>
      <c r="D255" s="11">
        <v>10450000</v>
      </c>
    </row>
    <row r="256" spans="1:4">
      <c r="A256" s="69" t="s">
        <v>232</v>
      </c>
      <c r="B256" s="11">
        <v>24440</v>
      </c>
      <c r="C256" s="11">
        <v>6700</v>
      </c>
      <c r="D256" s="11">
        <v>10480000</v>
      </c>
    </row>
    <row r="257" spans="1:4">
      <c r="A257" s="70" t="s">
        <v>233</v>
      </c>
      <c r="B257" s="11">
        <v>24470</v>
      </c>
      <c r="C257" s="11">
        <v>6735</v>
      </c>
      <c r="D257" s="11">
        <v>10500000</v>
      </c>
    </row>
    <row r="258" spans="1:4">
      <c r="A258" s="68" t="s">
        <v>234</v>
      </c>
      <c r="B258" s="11">
        <v>24520</v>
      </c>
      <c r="C258" s="11">
        <v>6730</v>
      </c>
      <c r="D258" s="11">
        <v>10490000</v>
      </c>
    </row>
    <row r="259" spans="1:4">
      <c r="A259" s="68">
        <v>0.625</v>
      </c>
      <c r="B259" s="11">
        <v>24520</v>
      </c>
      <c r="C259" s="11">
        <v>6725</v>
      </c>
      <c r="D259" s="11">
        <v>10470000</v>
      </c>
    </row>
    <row r="260" spans="1:4">
      <c r="A260" s="69" t="s">
        <v>235</v>
      </c>
      <c r="B260" s="11">
        <v>24520</v>
      </c>
      <c r="C260" s="11">
        <v>6725</v>
      </c>
      <c r="D260" s="11">
        <v>10480000</v>
      </c>
    </row>
    <row r="261" spans="1:4">
      <c r="A261" s="69" t="s">
        <v>236</v>
      </c>
      <c r="B261" s="11">
        <v>24520</v>
      </c>
      <c r="C261" s="11">
        <v>6725</v>
      </c>
      <c r="D261" s="11">
        <v>10500000</v>
      </c>
    </row>
    <row r="263" spans="1:4">
      <c r="A263" s="89" t="s">
        <v>269</v>
      </c>
      <c r="B263" s="89"/>
      <c r="C263" s="89"/>
      <c r="D263" s="89"/>
    </row>
    <row r="264" spans="1:4">
      <c r="A264" s="11" t="s">
        <v>228</v>
      </c>
      <c r="B264" s="11" t="s">
        <v>229</v>
      </c>
      <c r="C264" s="11" t="s">
        <v>230</v>
      </c>
      <c r="D264" s="11" t="s">
        <v>231</v>
      </c>
    </row>
    <row r="265" spans="1:4">
      <c r="A265" s="68">
        <v>0.45833333333333298</v>
      </c>
      <c r="B265" s="11">
        <v>24750</v>
      </c>
      <c r="C265" s="11">
        <v>6770</v>
      </c>
      <c r="D265" s="11">
        <v>10620000</v>
      </c>
    </row>
    <row r="266" spans="1:4">
      <c r="A266" s="69" t="s">
        <v>232</v>
      </c>
      <c r="B266" s="11">
        <v>24740</v>
      </c>
      <c r="C266" s="11">
        <v>6780</v>
      </c>
      <c r="D266" s="11">
        <v>10610000</v>
      </c>
    </row>
    <row r="267" spans="1:4">
      <c r="A267" s="70" t="s">
        <v>233</v>
      </c>
      <c r="B267" s="11">
        <v>24720</v>
      </c>
      <c r="C267" s="11">
        <v>6770</v>
      </c>
      <c r="D267" s="11">
        <v>10610000</v>
      </c>
    </row>
    <row r="268" spans="1:4">
      <c r="A268" s="68" t="s">
        <v>234</v>
      </c>
      <c r="B268" s="11">
        <v>24700</v>
      </c>
      <c r="C268" s="11">
        <v>6760</v>
      </c>
      <c r="D268" s="11">
        <v>10600000</v>
      </c>
    </row>
    <row r="269" spans="1:4">
      <c r="A269" s="68">
        <v>0.625</v>
      </c>
      <c r="B269" s="11" t="s">
        <v>257</v>
      </c>
      <c r="C269" s="11" t="s">
        <v>257</v>
      </c>
      <c r="D269" s="11" t="s">
        <v>257</v>
      </c>
    </row>
    <row r="270" spans="1:4">
      <c r="A270" s="69" t="s">
        <v>235</v>
      </c>
      <c r="B270" s="11" t="s">
        <v>257</v>
      </c>
      <c r="C270" s="11" t="s">
        <v>257</v>
      </c>
      <c r="D270" s="11" t="s">
        <v>257</v>
      </c>
    </row>
    <row r="271" spans="1:4">
      <c r="A271" s="69" t="s">
        <v>236</v>
      </c>
      <c r="B271" s="11" t="s">
        <v>257</v>
      </c>
      <c r="C271" s="11" t="s">
        <v>257</v>
      </c>
      <c r="D271" s="11" t="s">
        <v>257</v>
      </c>
    </row>
    <row r="273" spans="1:4">
      <c r="A273" s="89" t="s">
        <v>270</v>
      </c>
      <c r="B273" s="89"/>
      <c r="C273" s="89"/>
      <c r="D273" s="89"/>
    </row>
    <row r="274" spans="1:4">
      <c r="A274" s="11" t="s">
        <v>228</v>
      </c>
      <c r="B274" s="11" t="s">
        <v>229</v>
      </c>
      <c r="C274" s="11" t="s">
        <v>230</v>
      </c>
      <c r="D274" s="11" t="s">
        <v>231</v>
      </c>
    </row>
    <row r="275" spans="1:4">
      <c r="A275" s="68">
        <v>0.45833333333333298</v>
      </c>
      <c r="B275" s="11">
        <v>24770</v>
      </c>
      <c r="C275" s="11">
        <v>6780</v>
      </c>
      <c r="D275" s="11">
        <v>10590000</v>
      </c>
    </row>
    <row r="276" spans="1:4">
      <c r="A276" s="69" t="s">
        <v>232</v>
      </c>
      <c r="B276" s="11">
        <v>24700</v>
      </c>
      <c r="C276" s="11">
        <v>6760</v>
      </c>
      <c r="D276" s="11">
        <v>10580000</v>
      </c>
    </row>
    <row r="277" spans="1:4">
      <c r="A277" s="70" t="s">
        <v>233</v>
      </c>
      <c r="B277" s="11">
        <v>24720</v>
      </c>
      <c r="C277" s="11">
        <v>6755</v>
      </c>
      <c r="D277" s="11">
        <v>10540000</v>
      </c>
    </row>
    <row r="278" spans="1:4">
      <c r="A278" s="68" t="s">
        <v>234</v>
      </c>
      <c r="B278" s="11">
        <v>24670</v>
      </c>
      <c r="C278" s="11">
        <v>6755</v>
      </c>
      <c r="D278" s="11">
        <v>10550000</v>
      </c>
    </row>
    <row r="279" spans="1:4">
      <c r="A279" s="68">
        <v>0.625</v>
      </c>
      <c r="B279" s="11">
        <v>24670</v>
      </c>
      <c r="C279" s="11">
        <v>6775</v>
      </c>
      <c r="D279" s="11">
        <v>10540000</v>
      </c>
    </row>
    <row r="280" spans="1:4">
      <c r="A280" s="69" t="s">
        <v>235</v>
      </c>
      <c r="B280" s="11">
        <v>24670</v>
      </c>
      <c r="C280" s="11">
        <v>6765</v>
      </c>
      <c r="D280" s="11">
        <v>10530000</v>
      </c>
    </row>
    <row r="281" spans="1:4">
      <c r="A281" s="69" t="s">
        <v>236</v>
      </c>
      <c r="B281" s="11">
        <v>24670</v>
      </c>
      <c r="C281" s="11">
        <v>6765</v>
      </c>
      <c r="D281" s="11">
        <v>10540000</v>
      </c>
    </row>
    <row r="283" spans="1:4">
      <c r="A283" s="89" t="s">
        <v>271</v>
      </c>
      <c r="B283" s="89"/>
      <c r="C283" s="89"/>
      <c r="D283" s="89"/>
    </row>
    <row r="284" spans="1:4">
      <c r="A284" s="11" t="s">
        <v>228</v>
      </c>
      <c r="B284" s="11" t="s">
        <v>229</v>
      </c>
      <c r="C284" s="11" t="s">
        <v>230</v>
      </c>
      <c r="D284" s="11" t="s">
        <v>231</v>
      </c>
    </row>
    <row r="285" spans="1:4">
      <c r="A285" s="68">
        <v>0.45833333333333298</v>
      </c>
      <c r="B285" s="11">
        <v>24720</v>
      </c>
      <c r="C285" s="11">
        <v>6740</v>
      </c>
      <c r="D285" s="11">
        <v>10520000</v>
      </c>
    </row>
    <row r="286" spans="1:4">
      <c r="A286" s="69" t="s">
        <v>232</v>
      </c>
      <c r="B286" s="11">
        <v>24700</v>
      </c>
      <c r="C286" s="11">
        <v>6740</v>
      </c>
      <c r="D286" s="11">
        <v>10510000</v>
      </c>
    </row>
    <row r="287" spans="1:4">
      <c r="A287" s="70" t="s">
        <v>233</v>
      </c>
      <c r="B287" s="11">
        <v>24650</v>
      </c>
      <c r="C287" s="11">
        <v>6730</v>
      </c>
      <c r="D287" s="11">
        <v>10500000</v>
      </c>
    </row>
    <row r="288" spans="1:4">
      <c r="A288" s="68" t="s">
        <v>234</v>
      </c>
      <c r="B288" s="11">
        <v>24650</v>
      </c>
      <c r="C288" s="11">
        <v>6730</v>
      </c>
      <c r="D288" s="11">
        <v>10500000</v>
      </c>
    </row>
    <row r="289" spans="1:6">
      <c r="A289" s="68">
        <v>0.625</v>
      </c>
      <c r="B289" s="11">
        <v>24650</v>
      </c>
      <c r="C289" s="11">
        <v>6720</v>
      </c>
      <c r="D289" s="11">
        <v>10510000</v>
      </c>
    </row>
    <row r="290" spans="1:6">
      <c r="A290" s="69" t="s">
        <v>235</v>
      </c>
      <c r="B290" s="11">
        <v>24650</v>
      </c>
      <c r="C290" s="11">
        <v>6730</v>
      </c>
      <c r="D290" s="11">
        <v>10530000</v>
      </c>
    </row>
    <row r="291" spans="1:6">
      <c r="A291" s="69" t="s">
        <v>236</v>
      </c>
      <c r="B291" s="11">
        <v>24650</v>
      </c>
      <c r="C291" s="11">
        <v>6730</v>
      </c>
      <c r="D291" s="11">
        <v>10520000</v>
      </c>
    </row>
    <row r="293" spans="1:6">
      <c r="A293" s="89" t="s">
        <v>272</v>
      </c>
      <c r="B293" s="89"/>
      <c r="C293" s="89"/>
      <c r="D293" s="89"/>
    </row>
    <row r="294" spans="1:6">
      <c r="A294" s="11" t="s">
        <v>228</v>
      </c>
      <c r="B294" s="11" t="s">
        <v>229</v>
      </c>
      <c r="C294" s="11" t="s">
        <v>230</v>
      </c>
      <c r="D294" s="11" t="s">
        <v>231</v>
      </c>
    </row>
    <row r="295" spans="1:6">
      <c r="A295" s="68">
        <v>0.45833333333333298</v>
      </c>
      <c r="B295" s="11">
        <v>24500</v>
      </c>
      <c r="C295" s="11">
        <v>6700</v>
      </c>
      <c r="D295" s="11">
        <v>10490000</v>
      </c>
    </row>
    <row r="296" spans="1:6">
      <c r="A296" s="69" t="s">
        <v>232</v>
      </c>
      <c r="B296" s="11">
        <v>24470</v>
      </c>
      <c r="C296" s="11">
        <v>6700</v>
      </c>
      <c r="D296" s="11">
        <v>10490000</v>
      </c>
    </row>
    <row r="297" spans="1:6">
      <c r="A297" s="70" t="s">
        <v>233</v>
      </c>
      <c r="B297" s="11">
        <v>24400</v>
      </c>
      <c r="C297" s="11">
        <v>6700</v>
      </c>
      <c r="D297" s="11">
        <v>10510000</v>
      </c>
    </row>
    <row r="298" spans="1:6">
      <c r="A298" s="68" t="s">
        <v>234</v>
      </c>
      <c r="B298" s="11">
        <v>24390</v>
      </c>
      <c r="C298" s="11">
        <v>6700</v>
      </c>
      <c r="D298" s="11">
        <v>10500000</v>
      </c>
    </row>
    <row r="299" spans="1:6">
      <c r="A299" s="68">
        <v>0.625</v>
      </c>
      <c r="B299" s="11">
        <v>24400</v>
      </c>
      <c r="C299" s="11">
        <v>6700</v>
      </c>
      <c r="D299" s="11">
        <v>10510000</v>
      </c>
      <c r="E299" s="73"/>
    </row>
    <row r="300" spans="1:6">
      <c r="A300" s="69" t="s">
        <v>235</v>
      </c>
      <c r="B300" s="11">
        <v>24400</v>
      </c>
      <c r="C300" s="11">
        <v>6700</v>
      </c>
      <c r="D300" s="11">
        <v>10500000</v>
      </c>
      <c r="E300" s="74"/>
    </row>
    <row r="301" spans="1:6">
      <c r="A301" s="69" t="s">
        <v>236</v>
      </c>
      <c r="B301" s="11">
        <v>24400</v>
      </c>
      <c r="C301" s="11">
        <v>6700</v>
      </c>
      <c r="D301" s="11">
        <v>10510000</v>
      </c>
      <c r="E301" s="74"/>
      <c r="F301" s="74"/>
    </row>
    <row r="303" spans="1:6">
      <c r="A303" s="89" t="s">
        <v>273</v>
      </c>
      <c r="B303" s="89"/>
      <c r="C303" s="89"/>
      <c r="D303" s="89"/>
    </row>
    <row r="304" spans="1:6">
      <c r="A304" s="11" t="s">
        <v>228</v>
      </c>
      <c r="B304" s="11" t="s">
        <v>229</v>
      </c>
      <c r="C304" s="11" t="s">
        <v>230</v>
      </c>
      <c r="D304" s="11" t="s">
        <v>231</v>
      </c>
    </row>
    <row r="305" spans="1:6">
      <c r="A305" s="68">
        <v>0.45833333333333298</v>
      </c>
      <c r="B305" s="11" t="s">
        <v>274</v>
      </c>
      <c r="C305" s="11"/>
      <c r="D305" s="11">
        <v>10560000</v>
      </c>
    </row>
    <row r="306" spans="1:6">
      <c r="A306" s="69" t="s">
        <v>232</v>
      </c>
      <c r="B306" s="11" t="s">
        <v>275</v>
      </c>
      <c r="C306" s="11"/>
      <c r="D306" s="11">
        <v>10550000</v>
      </c>
    </row>
    <row r="307" spans="1:6">
      <c r="A307" s="70" t="s">
        <v>233</v>
      </c>
      <c r="B307" s="11" t="s">
        <v>276</v>
      </c>
      <c r="C307" s="11"/>
      <c r="D307" s="11">
        <v>10560000</v>
      </c>
    </row>
    <row r="308" spans="1:6">
      <c r="A308" s="68" t="s">
        <v>234</v>
      </c>
      <c r="B308" s="11"/>
      <c r="C308" s="11"/>
      <c r="D308" s="11"/>
    </row>
    <row r="309" spans="1:6">
      <c r="A309" s="68">
        <v>0.625</v>
      </c>
      <c r="B309" s="11"/>
      <c r="C309" s="11"/>
      <c r="D309" s="11"/>
    </row>
    <row r="310" spans="1:6">
      <c r="A310" s="69" t="s">
        <v>235</v>
      </c>
      <c r="B310" s="11"/>
      <c r="C310" s="11"/>
      <c r="D310" s="11"/>
    </row>
    <row r="311" spans="1:6">
      <c r="A311" s="69" t="s">
        <v>236</v>
      </c>
      <c r="B311" s="11"/>
      <c r="C311" s="11"/>
      <c r="D311" s="11"/>
    </row>
    <row r="313" spans="1:6">
      <c r="A313" s="89" t="s">
        <v>277</v>
      </c>
      <c r="B313" s="89"/>
      <c r="C313" s="89"/>
      <c r="D313" s="89"/>
    </row>
    <row r="314" spans="1:6">
      <c r="A314" s="11" t="s">
        <v>228</v>
      </c>
      <c r="B314" s="11" t="s">
        <v>229</v>
      </c>
      <c r="C314" s="11" t="s">
        <v>230</v>
      </c>
      <c r="D314" s="11" t="s">
        <v>231</v>
      </c>
    </row>
    <row r="315" spans="1:6">
      <c r="A315" s="68">
        <v>0.45833333333333298</v>
      </c>
      <c r="B315" s="11">
        <v>24680</v>
      </c>
      <c r="C315" s="11"/>
      <c r="D315" s="11"/>
      <c r="E315">
        <v>10580000</v>
      </c>
      <c r="F315" t="s">
        <v>278</v>
      </c>
    </row>
    <row r="316" spans="1:6">
      <c r="A316" s="69" t="s">
        <v>232</v>
      </c>
      <c r="B316" s="11"/>
      <c r="C316" s="11"/>
      <c r="D316" s="11"/>
      <c r="E316">
        <v>10590000</v>
      </c>
      <c r="F316" t="s">
        <v>279</v>
      </c>
    </row>
    <row r="317" spans="1:6">
      <c r="A317" s="70" t="s">
        <v>233</v>
      </c>
      <c r="B317" s="11"/>
      <c r="C317" s="11"/>
      <c r="D317" s="11"/>
      <c r="E317">
        <v>10550000</v>
      </c>
      <c r="F317" t="s">
        <v>280</v>
      </c>
    </row>
    <row r="318" spans="1:6">
      <c r="A318" s="68" t="s">
        <v>234</v>
      </c>
      <c r="B318" s="11"/>
      <c r="C318" s="11"/>
      <c r="D318" s="11"/>
    </row>
    <row r="319" spans="1:6">
      <c r="A319" s="68">
        <v>0.625</v>
      </c>
      <c r="B319" s="11"/>
      <c r="C319" s="11"/>
      <c r="D319" s="11"/>
    </row>
    <row r="320" spans="1:6">
      <c r="A320" s="69" t="s">
        <v>235</v>
      </c>
      <c r="B320" s="11"/>
      <c r="C320" s="11"/>
      <c r="D320" s="11"/>
    </row>
    <row r="321" spans="1:6">
      <c r="A321" s="69" t="s">
        <v>236</v>
      </c>
      <c r="B321" s="11"/>
      <c r="C321" s="11"/>
      <c r="D321" s="11"/>
    </row>
    <row r="324" spans="1:6">
      <c r="A324" s="89" t="s">
        <v>281</v>
      </c>
      <c r="B324" s="89"/>
      <c r="C324" s="89"/>
      <c r="D324" s="89"/>
    </row>
    <row r="325" spans="1:6">
      <c r="A325" s="11" t="s">
        <v>228</v>
      </c>
      <c r="B325" s="11" t="s">
        <v>229</v>
      </c>
      <c r="C325" s="11" t="s">
        <v>230</v>
      </c>
      <c r="D325" s="11" t="s">
        <v>231</v>
      </c>
    </row>
    <row r="326" spans="1:6">
      <c r="A326" s="68">
        <v>0.45833333333333298</v>
      </c>
      <c r="B326" s="11"/>
      <c r="C326" s="11"/>
      <c r="D326" s="11"/>
      <c r="E326">
        <v>10660000</v>
      </c>
      <c r="F326" t="s">
        <v>282</v>
      </c>
    </row>
    <row r="327" spans="1:6">
      <c r="A327" s="69" t="s">
        <v>232</v>
      </c>
      <c r="B327" s="11"/>
      <c r="C327" s="11"/>
      <c r="D327" s="11"/>
      <c r="E327">
        <v>10710000</v>
      </c>
      <c r="F327" t="s">
        <v>283</v>
      </c>
    </row>
    <row r="328" spans="1:6">
      <c r="A328" s="70" t="s">
        <v>233</v>
      </c>
      <c r="B328" s="11"/>
      <c r="C328" s="11"/>
      <c r="D328" s="11"/>
    </row>
    <row r="329" spans="1:6">
      <c r="A329" s="68" t="s">
        <v>234</v>
      </c>
      <c r="B329" s="11"/>
      <c r="C329" s="11"/>
      <c r="D329" s="11"/>
    </row>
    <row r="330" spans="1:6">
      <c r="A330" s="68">
        <v>0.625</v>
      </c>
      <c r="B330" s="11"/>
      <c r="C330" s="11"/>
      <c r="D330" s="11"/>
    </row>
    <row r="331" spans="1:6">
      <c r="A331" s="69" t="s">
        <v>235</v>
      </c>
      <c r="B331" s="11"/>
      <c r="C331" s="11"/>
      <c r="D331" s="11"/>
    </row>
    <row r="332" spans="1:6">
      <c r="A332" s="69" t="s">
        <v>236</v>
      </c>
      <c r="B332" s="11"/>
      <c r="C332" s="11"/>
      <c r="D332" s="11"/>
    </row>
    <row r="335" spans="1:6">
      <c r="A335" s="89" t="s">
        <v>284</v>
      </c>
      <c r="B335" s="89"/>
      <c r="C335" s="89"/>
      <c r="D335" s="89"/>
    </row>
    <row r="336" spans="1:6">
      <c r="A336" s="11" t="s">
        <v>228</v>
      </c>
      <c r="B336" s="11" t="s">
        <v>229</v>
      </c>
      <c r="C336" s="11" t="s">
        <v>230</v>
      </c>
      <c r="D336" s="11" t="s">
        <v>231</v>
      </c>
    </row>
    <row r="337" spans="1:4">
      <c r="A337" s="68">
        <v>0.45833333333333298</v>
      </c>
      <c r="B337" s="11">
        <v>24830</v>
      </c>
      <c r="C337" s="11">
        <v>6820</v>
      </c>
      <c r="D337" s="11">
        <v>10710000</v>
      </c>
    </row>
    <row r="338" spans="1:4">
      <c r="A338" s="69" t="s">
        <v>232</v>
      </c>
      <c r="B338" s="11">
        <v>24780</v>
      </c>
      <c r="C338" s="11">
        <v>6820</v>
      </c>
      <c r="D338" s="11">
        <v>10730000</v>
      </c>
    </row>
    <row r="339" spans="1:4">
      <c r="A339" s="70" t="s">
        <v>233</v>
      </c>
      <c r="B339" s="11">
        <v>24890</v>
      </c>
      <c r="C339" s="11">
        <v>6815</v>
      </c>
      <c r="D339" s="11">
        <v>10790000</v>
      </c>
    </row>
    <row r="340" spans="1:4">
      <c r="A340" s="68" t="s">
        <v>234</v>
      </c>
      <c r="B340" s="11">
        <v>24980</v>
      </c>
      <c r="C340" s="11">
        <v>6830</v>
      </c>
      <c r="D340" s="11">
        <v>10800000</v>
      </c>
    </row>
    <row r="341" spans="1:4">
      <c r="A341" s="68">
        <v>0.625</v>
      </c>
      <c r="B341" s="11">
        <v>24980</v>
      </c>
      <c r="C341" s="11">
        <v>6840</v>
      </c>
      <c r="D341" s="11">
        <v>10880000</v>
      </c>
    </row>
    <row r="342" spans="1:4">
      <c r="A342" s="69" t="s">
        <v>235</v>
      </c>
      <c r="B342" s="11">
        <v>24980</v>
      </c>
      <c r="C342" s="11">
        <v>6840</v>
      </c>
      <c r="D342" s="11">
        <v>10890000</v>
      </c>
    </row>
    <row r="343" spans="1:4">
      <c r="A343" s="69" t="s">
        <v>236</v>
      </c>
      <c r="B343" s="11">
        <v>24980</v>
      </c>
      <c r="C343" s="11">
        <v>6840</v>
      </c>
      <c r="D343" s="11">
        <v>10930000</v>
      </c>
    </row>
    <row r="346" spans="1:4">
      <c r="A346" s="89" t="s">
        <v>285</v>
      </c>
      <c r="B346" s="89"/>
      <c r="C346" s="89"/>
      <c r="D346" s="89"/>
    </row>
    <row r="347" spans="1:4">
      <c r="A347" s="11" t="s">
        <v>228</v>
      </c>
      <c r="B347" s="11" t="s">
        <v>229</v>
      </c>
      <c r="C347" s="11" t="s">
        <v>230</v>
      </c>
      <c r="D347" s="11" t="s">
        <v>231</v>
      </c>
    </row>
    <row r="348" spans="1:4">
      <c r="A348" s="68">
        <v>0.45833333333333298</v>
      </c>
      <c r="B348" s="11">
        <v>25110</v>
      </c>
      <c r="C348" s="11">
        <v>6880</v>
      </c>
      <c r="D348" s="11">
        <v>10980000</v>
      </c>
    </row>
    <row r="349" spans="1:4">
      <c r="A349" s="69" t="s">
        <v>232</v>
      </c>
      <c r="B349" s="11">
        <v>25140</v>
      </c>
      <c r="C349" s="11">
        <v>6870</v>
      </c>
      <c r="D349" s="11">
        <v>11030000</v>
      </c>
    </row>
    <row r="350" spans="1:4">
      <c r="A350" s="70" t="s">
        <v>233</v>
      </c>
      <c r="B350" s="11">
        <v>25120</v>
      </c>
      <c r="C350" s="11">
        <v>6890</v>
      </c>
      <c r="D350" s="11">
        <v>10950000</v>
      </c>
    </row>
    <row r="351" spans="1:4">
      <c r="A351" s="68" t="s">
        <v>234</v>
      </c>
      <c r="B351" s="11">
        <v>25120</v>
      </c>
      <c r="C351" s="11">
        <v>6890</v>
      </c>
      <c r="D351" s="11">
        <v>10990000</v>
      </c>
    </row>
    <row r="352" spans="1:4">
      <c r="A352" s="68">
        <v>0.625</v>
      </c>
      <c r="B352" s="11">
        <v>25120</v>
      </c>
      <c r="C352" s="11">
        <v>6890</v>
      </c>
      <c r="D352" s="11">
        <v>10970000</v>
      </c>
    </row>
    <row r="353" spans="1:4">
      <c r="A353" s="69" t="s">
        <v>235</v>
      </c>
      <c r="B353" s="11">
        <v>25120</v>
      </c>
      <c r="C353" s="11">
        <v>6890</v>
      </c>
      <c r="D353" s="11">
        <v>10970000</v>
      </c>
    </row>
    <row r="354" spans="1:4">
      <c r="A354" s="69" t="s">
        <v>236</v>
      </c>
      <c r="B354" s="11">
        <v>25120</v>
      </c>
      <c r="C354" s="11">
        <v>6890</v>
      </c>
      <c r="D354" s="11">
        <v>11000000</v>
      </c>
    </row>
    <row r="357" spans="1:4">
      <c r="A357" s="89" t="s">
        <v>286</v>
      </c>
      <c r="B357" s="89"/>
      <c r="C357" s="89"/>
      <c r="D357" s="89"/>
    </row>
    <row r="358" spans="1:4">
      <c r="A358" s="11" t="s">
        <v>228</v>
      </c>
      <c r="B358" s="11" t="s">
        <v>229</v>
      </c>
      <c r="C358" s="11" t="s">
        <v>230</v>
      </c>
      <c r="D358" s="11" t="s">
        <v>231</v>
      </c>
    </row>
    <row r="359" spans="1:4">
      <c r="A359" s="68">
        <v>0.45833333333333298</v>
      </c>
      <c r="B359" s="11">
        <v>25240</v>
      </c>
      <c r="C359" s="11">
        <v>6930</v>
      </c>
      <c r="D359" s="11">
        <v>11120000</v>
      </c>
    </row>
    <row r="360" spans="1:4">
      <c r="A360" s="69" t="s">
        <v>232</v>
      </c>
      <c r="B360" s="11">
        <v>25250</v>
      </c>
      <c r="C360" s="11">
        <v>6930</v>
      </c>
      <c r="D360" s="11">
        <v>11100000</v>
      </c>
    </row>
    <row r="361" spans="1:4">
      <c r="A361" s="70" t="s">
        <v>233</v>
      </c>
      <c r="B361" s="11">
        <v>25300</v>
      </c>
      <c r="C361" s="11">
        <v>6945</v>
      </c>
      <c r="D361" s="11">
        <v>11110000</v>
      </c>
    </row>
    <row r="362" spans="1:4">
      <c r="A362" s="68" t="s">
        <v>234</v>
      </c>
      <c r="B362" s="11">
        <v>25290</v>
      </c>
      <c r="C362" s="11">
        <v>6930</v>
      </c>
      <c r="D362" s="11">
        <v>11170000</v>
      </c>
    </row>
    <row r="363" spans="1:4">
      <c r="A363" s="68">
        <v>0.625</v>
      </c>
      <c r="B363" s="11">
        <v>25290</v>
      </c>
      <c r="C363" s="11">
        <v>6930</v>
      </c>
      <c r="D363" s="11">
        <v>11200000</v>
      </c>
    </row>
    <row r="364" spans="1:4">
      <c r="A364" s="69" t="s">
        <v>235</v>
      </c>
      <c r="B364" s="11">
        <v>25290</v>
      </c>
      <c r="C364" s="11">
        <v>6930</v>
      </c>
      <c r="D364" s="11">
        <v>11200000</v>
      </c>
    </row>
    <row r="365" spans="1:4">
      <c r="A365" s="69" t="s">
        <v>236</v>
      </c>
      <c r="B365" s="11">
        <v>25290</v>
      </c>
      <c r="C365" s="11">
        <v>6930</v>
      </c>
      <c r="D365" s="11">
        <v>11190000</v>
      </c>
    </row>
    <row r="368" spans="1:4">
      <c r="A368" s="89" t="s">
        <v>287</v>
      </c>
      <c r="B368" s="89"/>
      <c r="C368" s="89"/>
      <c r="D368" s="89"/>
    </row>
    <row r="369" spans="1:7">
      <c r="A369" s="11" t="s">
        <v>228</v>
      </c>
      <c r="B369" s="11" t="s">
        <v>229</v>
      </c>
      <c r="C369" s="11" t="s">
        <v>230</v>
      </c>
      <c r="D369" s="11" t="s">
        <v>231</v>
      </c>
    </row>
    <row r="370" spans="1:7">
      <c r="A370" s="68">
        <v>0.45833333333333298</v>
      </c>
      <c r="B370" s="11">
        <v>25720</v>
      </c>
      <c r="C370" s="11">
        <v>7050</v>
      </c>
      <c r="D370" s="11">
        <v>11350000</v>
      </c>
    </row>
    <row r="371" spans="1:7">
      <c r="A371" s="69" t="s">
        <v>232</v>
      </c>
      <c r="B371" s="11">
        <v>25680</v>
      </c>
      <c r="C371" s="11">
        <v>7040</v>
      </c>
      <c r="D371" s="11">
        <v>11370000</v>
      </c>
    </row>
    <row r="372" spans="1:7">
      <c r="A372" s="70" t="s">
        <v>233</v>
      </c>
      <c r="B372" s="11">
        <v>25710</v>
      </c>
      <c r="C372" s="11">
        <v>7100</v>
      </c>
      <c r="D372" s="11">
        <v>11510000</v>
      </c>
    </row>
    <row r="373" spans="1:7">
      <c r="A373" s="68" t="s">
        <v>234</v>
      </c>
      <c r="B373" s="11">
        <v>25980</v>
      </c>
      <c r="C373" s="11">
        <v>7095</v>
      </c>
      <c r="D373" s="11">
        <v>15700000</v>
      </c>
    </row>
    <row r="374" spans="1:7">
      <c r="A374" s="68">
        <v>0.625</v>
      </c>
      <c r="B374" s="11">
        <v>25980</v>
      </c>
      <c r="C374" s="11">
        <v>7070</v>
      </c>
      <c r="D374" s="11">
        <v>11560000</v>
      </c>
    </row>
    <row r="375" spans="1:7">
      <c r="A375" s="69" t="s">
        <v>235</v>
      </c>
      <c r="B375" s="11">
        <v>25980</v>
      </c>
      <c r="C375" s="11">
        <v>7060</v>
      </c>
      <c r="D375" s="11">
        <v>11550000</v>
      </c>
      <c r="G375" t="e">
        <f>(D373-E386)/E386</f>
        <v>#DIV/0!</v>
      </c>
    </row>
    <row r="376" spans="1:7">
      <c r="A376" s="69" t="s">
        <v>236</v>
      </c>
      <c r="B376" s="11">
        <v>25980</v>
      </c>
      <c r="C376" s="11">
        <v>7060</v>
      </c>
      <c r="D376" s="11">
        <v>11430000</v>
      </c>
    </row>
    <row r="379" spans="1:7">
      <c r="A379" s="89" t="s">
        <v>288</v>
      </c>
      <c r="B379" s="89"/>
      <c r="C379" s="89"/>
      <c r="D379" s="89"/>
    </row>
    <row r="380" spans="1:7">
      <c r="A380" s="11" t="s">
        <v>228</v>
      </c>
      <c r="B380" s="11" t="s">
        <v>229</v>
      </c>
      <c r="C380" s="11" t="s">
        <v>230</v>
      </c>
      <c r="D380" s="11" t="s">
        <v>231</v>
      </c>
    </row>
    <row r="381" spans="1:7">
      <c r="A381" s="68">
        <v>0.45833333333333298</v>
      </c>
      <c r="B381" s="11">
        <v>25780</v>
      </c>
      <c r="C381" s="11">
        <v>7060</v>
      </c>
      <c r="D381" s="11">
        <v>11450000</v>
      </c>
    </row>
    <row r="382" spans="1:7">
      <c r="A382" s="69" t="s">
        <v>232</v>
      </c>
      <c r="B382" s="11">
        <v>25750</v>
      </c>
      <c r="C382" s="11">
        <v>7060</v>
      </c>
      <c r="D382" s="11">
        <v>11380000</v>
      </c>
    </row>
    <row r="383" spans="1:7">
      <c r="A383" s="70" t="s">
        <v>233</v>
      </c>
      <c r="B383" s="11">
        <v>25700</v>
      </c>
      <c r="C383" s="11">
        <v>7015</v>
      </c>
      <c r="D383" s="11">
        <v>11300000</v>
      </c>
    </row>
    <row r="384" spans="1:7">
      <c r="A384" s="68" t="s">
        <v>234</v>
      </c>
      <c r="B384" s="11">
        <v>25620</v>
      </c>
      <c r="C384" s="11">
        <v>7005</v>
      </c>
      <c r="D384" s="11">
        <v>11190000</v>
      </c>
    </row>
    <row r="385" spans="1:4">
      <c r="A385" s="68">
        <v>0.625</v>
      </c>
      <c r="B385" s="11">
        <v>25620</v>
      </c>
      <c r="C385" s="11">
        <v>6970</v>
      </c>
      <c r="D385" s="11">
        <v>11200000</v>
      </c>
    </row>
    <row r="386" spans="1:4">
      <c r="A386" s="69" t="s">
        <v>235</v>
      </c>
      <c r="B386" s="11">
        <v>25620</v>
      </c>
      <c r="C386" s="11">
        <v>6965</v>
      </c>
      <c r="D386" s="11">
        <v>11230000</v>
      </c>
    </row>
    <row r="387" spans="1:4">
      <c r="A387" s="69" t="s">
        <v>236</v>
      </c>
      <c r="B387" s="11">
        <v>25620</v>
      </c>
      <c r="C387" s="11">
        <v>6965</v>
      </c>
      <c r="D387" s="11">
        <v>11240000</v>
      </c>
    </row>
    <row r="390" spans="1:4">
      <c r="A390" s="89" t="s">
        <v>289</v>
      </c>
      <c r="B390" s="89"/>
      <c r="C390" s="89"/>
      <c r="D390" s="89"/>
    </row>
    <row r="391" spans="1:4">
      <c r="A391" s="11" t="s">
        <v>228</v>
      </c>
      <c r="B391" s="11" t="s">
        <v>229</v>
      </c>
      <c r="C391" s="11" t="s">
        <v>230</v>
      </c>
      <c r="D391" s="11" t="s">
        <v>231</v>
      </c>
    </row>
    <row r="392" spans="1:4">
      <c r="A392" s="68">
        <v>0.45833333333333298</v>
      </c>
      <c r="B392" s="11">
        <v>25560</v>
      </c>
      <c r="C392" s="11">
        <v>6990</v>
      </c>
      <c r="D392" s="11">
        <v>11300000</v>
      </c>
    </row>
    <row r="393" spans="1:4">
      <c r="A393" s="69" t="s">
        <v>232</v>
      </c>
      <c r="B393" s="11">
        <v>25550</v>
      </c>
      <c r="C393" s="11">
        <v>6985</v>
      </c>
      <c r="D393" s="11">
        <v>11250000</v>
      </c>
    </row>
    <row r="394" spans="1:4">
      <c r="A394" s="70" t="s">
        <v>233</v>
      </c>
      <c r="B394" s="11">
        <v>25500</v>
      </c>
      <c r="C394" s="11">
        <v>6970</v>
      </c>
      <c r="D394" s="11">
        <v>11260000</v>
      </c>
    </row>
    <row r="395" spans="1:4">
      <c r="A395" s="68" t="s">
        <v>234</v>
      </c>
      <c r="B395" s="11">
        <v>25480</v>
      </c>
      <c r="C395" s="11">
        <v>6975</v>
      </c>
      <c r="D395" s="11">
        <v>11200000</v>
      </c>
    </row>
    <row r="396" spans="1:4">
      <c r="A396" s="68">
        <v>0.625</v>
      </c>
      <c r="B396" s="11">
        <v>25480</v>
      </c>
      <c r="C396" s="11">
        <v>6965</v>
      </c>
      <c r="D396" s="11">
        <v>11220000</v>
      </c>
    </row>
    <row r="397" spans="1:4">
      <c r="A397" s="69" t="s">
        <v>235</v>
      </c>
      <c r="B397" s="11">
        <v>25480</v>
      </c>
      <c r="C397" s="11">
        <v>6965</v>
      </c>
      <c r="D397" s="11">
        <v>11200000</v>
      </c>
    </row>
    <row r="398" spans="1:4">
      <c r="A398" s="69" t="s">
        <v>236</v>
      </c>
      <c r="B398" s="11">
        <v>25480</v>
      </c>
      <c r="C398" s="11">
        <v>6965</v>
      </c>
      <c r="D398" s="11">
        <v>11180000</v>
      </c>
    </row>
    <row r="401" spans="1:4">
      <c r="A401" s="89" t="s">
        <v>290</v>
      </c>
      <c r="B401" s="89"/>
      <c r="C401" s="89"/>
      <c r="D401" s="89"/>
    </row>
    <row r="402" spans="1:4">
      <c r="A402" s="11" t="s">
        <v>228</v>
      </c>
      <c r="B402" s="11" t="s">
        <v>229</v>
      </c>
      <c r="C402" s="11" t="s">
        <v>230</v>
      </c>
      <c r="D402" s="11" t="s">
        <v>231</v>
      </c>
    </row>
    <row r="403" spans="1:4">
      <c r="A403" s="68">
        <v>0.45833333333333298</v>
      </c>
      <c r="B403" s="11">
        <v>25500</v>
      </c>
      <c r="C403" s="11">
        <v>7000</v>
      </c>
      <c r="D403" s="11">
        <v>11230000</v>
      </c>
    </row>
    <row r="404" spans="1:4">
      <c r="A404" s="69" t="s">
        <v>232</v>
      </c>
      <c r="B404" s="11">
        <v>25580</v>
      </c>
      <c r="C404" s="11">
        <v>7000</v>
      </c>
      <c r="D404" s="11">
        <v>11370000</v>
      </c>
    </row>
    <row r="405" spans="1:4">
      <c r="A405" s="70" t="s">
        <v>233</v>
      </c>
      <c r="B405" s="11">
        <v>25700</v>
      </c>
      <c r="C405" s="11">
        <v>7010</v>
      </c>
      <c r="D405" s="11">
        <v>11310000</v>
      </c>
    </row>
    <row r="406" spans="1:4">
      <c r="A406" s="68" t="s">
        <v>234</v>
      </c>
      <c r="B406" s="11">
        <v>25630</v>
      </c>
      <c r="C406" s="11">
        <v>7005</v>
      </c>
      <c r="D406" s="11">
        <v>11330000</v>
      </c>
    </row>
    <row r="407" spans="1:4">
      <c r="A407" s="68">
        <v>0.625</v>
      </c>
      <c r="B407" s="11">
        <v>25630</v>
      </c>
      <c r="C407" s="11">
        <v>7000</v>
      </c>
      <c r="D407" s="11">
        <v>11390000</v>
      </c>
    </row>
    <row r="408" spans="1:4">
      <c r="A408" s="69" t="s">
        <v>235</v>
      </c>
      <c r="B408" s="11">
        <v>25630</v>
      </c>
      <c r="C408" s="11">
        <v>7000</v>
      </c>
      <c r="D408" s="11">
        <v>11360000</v>
      </c>
    </row>
    <row r="409" spans="1:4">
      <c r="A409" s="69" t="s">
        <v>236</v>
      </c>
      <c r="B409" s="11">
        <v>25630</v>
      </c>
      <c r="C409" s="11">
        <v>7000</v>
      </c>
      <c r="D409" s="11">
        <v>11380000</v>
      </c>
    </row>
    <row r="412" spans="1:4">
      <c r="A412" s="89" t="s">
        <v>291</v>
      </c>
      <c r="B412" s="89"/>
      <c r="C412" s="89"/>
      <c r="D412" s="89"/>
    </row>
    <row r="413" spans="1:4">
      <c r="A413" s="11" t="s">
        <v>228</v>
      </c>
      <c r="B413" s="11" t="s">
        <v>229</v>
      </c>
      <c r="C413" s="11" t="s">
        <v>230</v>
      </c>
      <c r="D413" s="11" t="s">
        <v>231</v>
      </c>
    </row>
    <row r="414" spans="1:4">
      <c r="A414" s="68">
        <v>0.45833333333333298</v>
      </c>
      <c r="B414" s="11">
        <v>25500</v>
      </c>
      <c r="C414" s="11">
        <v>6990</v>
      </c>
      <c r="D414" s="11">
        <v>11220000</v>
      </c>
    </row>
    <row r="415" spans="1:4">
      <c r="A415" s="69" t="s">
        <v>232</v>
      </c>
      <c r="B415" s="11">
        <v>25500</v>
      </c>
      <c r="C415" s="11">
        <v>6980</v>
      </c>
      <c r="D415" s="11">
        <v>11230000</v>
      </c>
    </row>
    <row r="416" spans="1:4">
      <c r="A416" s="70" t="s">
        <v>233</v>
      </c>
      <c r="B416" s="11">
        <v>25460</v>
      </c>
      <c r="C416" s="11">
        <v>6975</v>
      </c>
      <c r="D416" s="11">
        <v>11220000</v>
      </c>
    </row>
    <row r="417" spans="1:6">
      <c r="A417" s="68" t="s">
        <v>234</v>
      </c>
      <c r="B417" s="11">
        <v>25510</v>
      </c>
      <c r="C417" s="11">
        <v>6990</v>
      </c>
      <c r="D417" s="11">
        <v>11270000</v>
      </c>
    </row>
    <row r="418" spans="1:6">
      <c r="A418" s="68">
        <v>0.625</v>
      </c>
      <c r="B418" s="11">
        <v>25510</v>
      </c>
      <c r="C418" s="11">
        <v>6980</v>
      </c>
      <c r="D418" s="11">
        <v>11260000</v>
      </c>
    </row>
    <row r="419" spans="1:6">
      <c r="A419" s="69" t="s">
        <v>235</v>
      </c>
      <c r="B419" s="11">
        <v>25510</v>
      </c>
      <c r="C419" s="11">
        <v>6980</v>
      </c>
      <c r="D419" s="11">
        <v>11260000</v>
      </c>
    </row>
    <row r="420" spans="1:6">
      <c r="A420" s="69" t="s">
        <v>236</v>
      </c>
      <c r="B420" s="11">
        <v>25510</v>
      </c>
      <c r="C420" s="11">
        <v>6980</v>
      </c>
      <c r="D420" s="11">
        <v>11300000</v>
      </c>
    </row>
    <row r="423" spans="1:6">
      <c r="A423" s="89" t="s">
        <v>292</v>
      </c>
      <c r="B423" s="89"/>
      <c r="C423" s="89"/>
      <c r="D423" s="89"/>
    </row>
    <row r="424" spans="1:6">
      <c r="A424" s="11" t="s">
        <v>228</v>
      </c>
      <c r="B424" s="11" t="s">
        <v>229</v>
      </c>
      <c r="C424" s="11" t="s">
        <v>230</v>
      </c>
      <c r="D424" s="11" t="s">
        <v>231</v>
      </c>
    </row>
    <row r="425" spans="1:6">
      <c r="A425" s="68">
        <v>0.45833333333333298</v>
      </c>
      <c r="B425" s="11"/>
      <c r="C425" s="11"/>
      <c r="D425" s="11"/>
      <c r="E425">
        <v>11360000</v>
      </c>
      <c r="F425" t="s">
        <v>293</v>
      </c>
    </row>
    <row r="426" spans="1:6">
      <c r="A426" s="69" t="s">
        <v>232</v>
      </c>
      <c r="B426" s="11"/>
      <c r="C426" s="11"/>
      <c r="D426" s="11"/>
      <c r="E426">
        <v>11330000</v>
      </c>
      <c r="F426" t="s">
        <v>294</v>
      </c>
    </row>
    <row r="427" spans="1:6">
      <c r="A427" s="70" t="s">
        <v>233</v>
      </c>
      <c r="B427" s="11"/>
      <c r="C427" s="11"/>
      <c r="D427" s="11"/>
      <c r="E427">
        <v>11350000</v>
      </c>
      <c r="F427" t="s">
        <v>295</v>
      </c>
    </row>
    <row r="428" spans="1:6">
      <c r="A428" s="68" t="s">
        <v>234</v>
      </c>
      <c r="B428" s="11"/>
      <c r="C428" s="11"/>
      <c r="D428" s="11"/>
    </row>
    <row r="429" spans="1:6">
      <c r="A429" s="68">
        <v>0.625</v>
      </c>
      <c r="B429" s="11"/>
      <c r="C429" s="11"/>
      <c r="D429" s="11"/>
    </row>
    <row r="430" spans="1:6">
      <c r="A430" s="69" t="s">
        <v>235</v>
      </c>
      <c r="B430" s="11"/>
      <c r="C430" s="11"/>
      <c r="D430" s="11"/>
    </row>
    <row r="431" spans="1:6">
      <c r="A431" s="69" t="s">
        <v>236</v>
      </c>
      <c r="B431" s="11"/>
      <c r="C431" s="11"/>
      <c r="D431" s="11"/>
    </row>
    <row r="434" spans="1:4">
      <c r="A434" s="89" t="s">
        <v>296</v>
      </c>
      <c r="B434" s="89"/>
      <c r="C434" s="89"/>
      <c r="D434" s="89"/>
    </row>
    <row r="435" spans="1:4">
      <c r="A435" s="11" t="s">
        <v>228</v>
      </c>
      <c r="B435" s="11" t="s">
        <v>229</v>
      </c>
      <c r="C435" s="11" t="s">
        <v>230</v>
      </c>
      <c r="D435" s="11" t="s">
        <v>231</v>
      </c>
    </row>
    <row r="436" spans="1:4">
      <c r="A436" s="68">
        <v>0.45833333333333298</v>
      </c>
      <c r="B436" s="11">
        <v>25420</v>
      </c>
      <c r="C436" s="11">
        <v>6950</v>
      </c>
      <c r="D436" s="11">
        <v>11000000</v>
      </c>
    </row>
    <row r="437" spans="1:4">
      <c r="A437" s="69" t="s">
        <v>232</v>
      </c>
      <c r="B437" s="11">
        <v>25380</v>
      </c>
      <c r="C437" s="11">
        <v>6950</v>
      </c>
      <c r="D437" s="11">
        <v>11050000</v>
      </c>
    </row>
    <row r="438" spans="1:4">
      <c r="A438" s="70" t="s">
        <v>233</v>
      </c>
      <c r="B438" s="11">
        <v>25500</v>
      </c>
      <c r="C438" s="11">
        <v>6970</v>
      </c>
      <c r="D438" s="11">
        <v>11070000</v>
      </c>
    </row>
    <row r="439" spans="1:4">
      <c r="A439" s="68" t="s">
        <v>234</v>
      </c>
      <c r="B439" s="11">
        <v>25550</v>
      </c>
      <c r="C439" s="11">
        <v>7000</v>
      </c>
      <c r="D439" s="11">
        <v>11130000</v>
      </c>
    </row>
    <row r="440" spans="1:4">
      <c r="A440" s="68">
        <v>0.625</v>
      </c>
      <c r="B440" s="11">
        <v>25550</v>
      </c>
      <c r="C440" s="11">
        <v>6995</v>
      </c>
      <c r="D440" s="11">
        <v>11160000</v>
      </c>
    </row>
    <row r="441" spans="1:4">
      <c r="A441" s="69" t="s">
        <v>235</v>
      </c>
      <c r="B441" s="11">
        <v>25550</v>
      </c>
      <c r="C441" s="11">
        <v>6995</v>
      </c>
      <c r="D441" s="11">
        <v>11170000</v>
      </c>
    </row>
    <row r="442" spans="1:4">
      <c r="A442" s="69" t="s">
        <v>236</v>
      </c>
      <c r="B442" s="11">
        <v>25550</v>
      </c>
      <c r="C442" s="11">
        <v>6995</v>
      </c>
      <c r="D442" s="11">
        <v>11180000</v>
      </c>
    </row>
    <row r="445" spans="1:4">
      <c r="A445" s="89" t="s">
        <v>297</v>
      </c>
      <c r="B445" s="89"/>
      <c r="C445" s="89"/>
      <c r="D445" s="89"/>
    </row>
    <row r="446" spans="1:4">
      <c r="A446" s="11" t="s">
        <v>228</v>
      </c>
      <c r="B446" s="11" t="s">
        <v>229</v>
      </c>
      <c r="C446" s="11" t="s">
        <v>230</v>
      </c>
      <c r="D446" s="11" t="s">
        <v>231</v>
      </c>
    </row>
    <row r="447" spans="1:4">
      <c r="A447" s="68">
        <v>0.45833333333333298</v>
      </c>
      <c r="B447" s="11">
        <v>25680</v>
      </c>
      <c r="C447" s="11">
        <v>7010</v>
      </c>
      <c r="D447" s="11">
        <v>11250000</v>
      </c>
    </row>
    <row r="448" spans="1:4">
      <c r="A448" s="69" t="s">
        <v>232</v>
      </c>
      <c r="B448" s="11">
        <v>25720</v>
      </c>
      <c r="C448" s="11">
        <v>7010</v>
      </c>
      <c r="D448" s="11">
        <v>11200000</v>
      </c>
    </row>
    <row r="449" spans="1:4">
      <c r="A449" s="70" t="s">
        <v>233</v>
      </c>
      <c r="B449" s="11">
        <v>25650</v>
      </c>
      <c r="C449" s="11">
        <v>7020</v>
      </c>
      <c r="D449" s="11">
        <v>11210000</v>
      </c>
    </row>
    <row r="450" spans="1:4">
      <c r="A450" s="68" t="s">
        <v>234</v>
      </c>
      <c r="B450" s="11">
        <v>25720</v>
      </c>
      <c r="C450" s="11">
        <v>7030</v>
      </c>
      <c r="D450" s="11">
        <v>11240000</v>
      </c>
    </row>
    <row r="451" spans="1:4">
      <c r="A451" s="68">
        <v>0.625</v>
      </c>
      <c r="B451" s="11">
        <v>25720</v>
      </c>
      <c r="C451" s="11">
        <v>7025</v>
      </c>
      <c r="D451" s="11">
        <v>11240000</v>
      </c>
    </row>
    <row r="452" spans="1:4">
      <c r="A452" s="69" t="s">
        <v>235</v>
      </c>
      <c r="B452" s="11">
        <v>25720</v>
      </c>
      <c r="C452" s="11">
        <v>7020</v>
      </c>
      <c r="D452" s="11">
        <v>11220000</v>
      </c>
    </row>
    <row r="453" spans="1:4">
      <c r="A453" s="69" t="s">
        <v>236</v>
      </c>
      <c r="B453" s="11">
        <v>25720</v>
      </c>
      <c r="C453" s="11">
        <v>7015</v>
      </c>
      <c r="D453" s="11">
        <v>11260000</v>
      </c>
    </row>
    <row r="456" spans="1:4">
      <c r="A456" s="89" t="s">
        <v>298</v>
      </c>
      <c r="B456" s="89"/>
      <c r="C456" s="89"/>
      <c r="D456" s="89"/>
    </row>
    <row r="457" spans="1:4">
      <c r="A457" s="11" t="s">
        <v>228</v>
      </c>
      <c r="B457" s="11" t="s">
        <v>229</v>
      </c>
      <c r="C457" s="11" t="s">
        <v>230</v>
      </c>
      <c r="D457" s="11" t="s">
        <v>231</v>
      </c>
    </row>
    <row r="458" spans="1:4">
      <c r="A458" s="68">
        <v>0.45833333333333298</v>
      </c>
      <c r="B458" s="11">
        <v>25660</v>
      </c>
      <c r="C458" s="11">
        <v>7025</v>
      </c>
      <c r="D458" s="11">
        <v>11150000</v>
      </c>
    </row>
    <row r="459" spans="1:4">
      <c r="A459" s="69" t="s">
        <v>232</v>
      </c>
      <c r="B459" s="11">
        <v>25720</v>
      </c>
      <c r="C459" s="11">
        <v>7025</v>
      </c>
      <c r="D459" s="11">
        <v>11160000</v>
      </c>
    </row>
    <row r="460" spans="1:4">
      <c r="A460" s="70" t="s">
        <v>233</v>
      </c>
      <c r="B460" s="11">
        <v>25750</v>
      </c>
      <c r="C460" s="11">
        <v>7040</v>
      </c>
      <c r="D460" s="11">
        <v>11190000</v>
      </c>
    </row>
    <row r="461" spans="1:4">
      <c r="A461" s="68" t="s">
        <v>234</v>
      </c>
      <c r="B461" s="11">
        <v>25780</v>
      </c>
      <c r="C461" s="11">
        <v>7070</v>
      </c>
      <c r="D461" s="11">
        <v>11170000</v>
      </c>
    </row>
    <row r="462" spans="1:4">
      <c r="A462" s="68">
        <v>0.625</v>
      </c>
      <c r="B462" s="11">
        <v>25780</v>
      </c>
      <c r="C462" s="11">
        <v>7070</v>
      </c>
      <c r="D462" s="11">
        <v>11190000</v>
      </c>
    </row>
    <row r="463" spans="1:4">
      <c r="A463" s="69" t="s">
        <v>235</v>
      </c>
      <c r="B463" s="11">
        <v>25780</v>
      </c>
      <c r="C463" s="11">
        <v>7070</v>
      </c>
      <c r="D463" s="11">
        <v>11230000</v>
      </c>
    </row>
    <row r="464" spans="1:4">
      <c r="A464" s="69" t="s">
        <v>236</v>
      </c>
      <c r="B464" s="11">
        <v>25780</v>
      </c>
      <c r="C464" s="11">
        <v>7070</v>
      </c>
      <c r="D464" s="11">
        <v>11290000</v>
      </c>
    </row>
    <row r="467" spans="1:4">
      <c r="A467" s="89" t="s">
        <v>299</v>
      </c>
      <c r="B467" s="89"/>
      <c r="C467" s="89"/>
      <c r="D467" s="89"/>
    </row>
    <row r="468" spans="1:4">
      <c r="A468" s="11" t="s">
        <v>228</v>
      </c>
      <c r="B468" s="11" t="s">
        <v>229</v>
      </c>
      <c r="C468" s="11" t="s">
        <v>230</v>
      </c>
      <c r="D468" s="11" t="s">
        <v>231</v>
      </c>
    </row>
    <row r="469" spans="1:4">
      <c r="A469" s="68">
        <v>0.45833333333333298</v>
      </c>
      <c r="B469" s="11">
        <v>25960</v>
      </c>
      <c r="C469" s="11">
        <v>7100</v>
      </c>
      <c r="D469" s="11">
        <v>11300000</v>
      </c>
    </row>
    <row r="470" spans="1:4">
      <c r="A470" s="69" t="s">
        <v>232</v>
      </c>
      <c r="B470" s="11">
        <v>26000</v>
      </c>
      <c r="C470" s="11">
        <v>7120</v>
      </c>
      <c r="D470" s="11">
        <v>11280000</v>
      </c>
    </row>
    <row r="471" spans="1:4">
      <c r="A471" s="70" t="s">
        <v>233</v>
      </c>
      <c r="B471" s="11">
        <v>26100</v>
      </c>
      <c r="C471" s="11">
        <v>7180</v>
      </c>
      <c r="D471" s="11">
        <v>11290000</v>
      </c>
    </row>
    <row r="472" spans="1:4">
      <c r="A472" s="68" t="s">
        <v>234</v>
      </c>
      <c r="B472" s="11">
        <v>26120</v>
      </c>
      <c r="C472" s="11">
        <v>7150</v>
      </c>
      <c r="D472" s="11">
        <v>11280000</v>
      </c>
    </row>
    <row r="473" spans="1:4">
      <c r="A473" s="68">
        <v>0.625</v>
      </c>
      <c r="B473" s="11">
        <v>26070</v>
      </c>
      <c r="C473" s="11">
        <v>7160</v>
      </c>
      <c r="D473" s="11">
        <v>11290000</v>
      </c>
    </row>
    <row r="474" spans="1:4">
      <c r="A474" s="69" t="s">
        <v>235</v>
      </c>
      <c r="B474" s="11">
        <v>26070</v>
      </c>
      <c r="C474" s="11">
        <v>7165</v>
      </c>
      <c r="D474" s="11">
        <v>11290000</v>
      </c>
    </row>
    <row r="475" spans="1:4">
      <c r="A475" s="69" t="s">
        <v>236</v>
      </c>
      <c r="B475" s="11">
        <v>26070</v>
      </c>
      <c r="C475" s="11">
        <v>7165</v>
      </c>
      <c r="D475" s="11">
        <v>11400000</v>
      </c>
    </row>
    <row r="478" spans="1:4">
      <c r="A478" s="89" t="s">
        <v>300</v>
      </c>
      <c r="B478" s="89"/>
      <c r="C478" s="89"/>
      <c r="D478" s="89"/>
    </row>
    <row r="479" spans="1:4">
      <c r="A479" s="11" t="s">
        <v>228</v>
      </c>
      <c r="B479" s="11" t="s">
        <v>229</v>
      </c>
      <c r="C479" s="11" t="s">
        <v>230</v>
      </c>
      <c r="D479" s="11" t="s">
        <v>231</v>
      </c>
    </row>
    <row r="480" spans="1:4">
      <c r="A480" s="68">
        <v>0.45833333333333298</v>
      </c>
      <c r="B480" s="11">
        <v>26470</v>
      </c>
      <c r="C480" s="11">
        <v>7275</v>
      </c>
      <c r="D480" s="11">
        <v>11520000</v>
      </c>
    </row>
    <row r="481" spans="1:6">
      <c r="A481" s="69" t="s">
        <v>232</v>
      </c>
      <c r="B481" s="11">
        <v>26420</v>
      </c>
      <c r="C481" s="11">
        <v>7275</v>
      </c>
      <c r="D481" s="11">
        <v>11510000</v>
      </c>
    </row>
    <row r="482" spans="1:6">
      <c r="A482" s="70" t="s">
        <v>233</v>
      </c>
      <c r="B482" s="11">
        <v>26520</v>
      </c>
      <c r="C482" s="11">
        <v>7265</v>
      </c>
      <c r="D482" s="11">
        <v>11530000</v>
      </c>
    </row>
    <row r="483" spans="1:6">
      <c r="A483" s="68" t="s">
        <v>234</v>
      </c>
      <c r="B483" s="11">
        <v>26520</v>
      </c>
      <c r="C483" s="11">
        <v>7325</v>
      </c>
      <c r="D483" s="11">
        <v>11610000</v>
      </c>
    </row>
    <row r="484" spans="1:6">
      <c r="A484" s="68">
        <v>0.625</v>
      </c>
      <c r="B484" s="11">
        <v>26520</v>
      </c>
      <c r="C484" s="11">
        <v>7320</v>
      </c>
      <c r="D484" s="11">
        <v>11560000</v>
      </c>
    </row>
    <row r="485" spans="1:6">
      <c r="A485" s="69" t="s">
        <v>235</v>
      </c>
      <c r="B485" s="11">
        <v>26520</v>
      </c>
      <c r="C485" s="11">
        <v>7320</v>
      </c>
      <c r="D485" s="11">
        <v>11590000</v>
      </c>
    </row>
    <row r="486" spans="1:6">
      <c r="A486" s="69" t="s">
        <v>236</v>
      </c>
      <c r="B486" s="11">
        <v>26520</v>
      </c>
      <c r="C486" s="11">
        <v>7320</v>
      </c>
      <c r="D486" s="11">
        <v>11630000</v>
      </c>
    </row>
    <row r="489" spans="1:6">
      <c r="A489" s="89" t="s">
        <v>301</v>
      </c>
      <c r="B489" s="89"/>
      <c r="C489" s="89"/>
      <c r="D489" s="89"/>
    </row>
    <row r="490" spans="1:6">
      <c r="A490" s="11" t="s">
        <v>228</v>
      </c>
      <c r="B490" s="11" t="s">
        <v>229</v>
      </c>
      <c r="C490" s="11" t="s">
        <v>230</v>
      </c>
      <c r="D490" s="11" t="s">
        <v>231</v>
      </c>
    </row>
    <row r="491" spans="1:6">
      <c r="A491" s="68">
        <v>0.45833333333333298</v>
      </c>
      <c r="B491" s="11"/>
      <c r="C491" s="11"/>
      <c r="D491" s="11"/>
      <c r="E491">
        <v>11580111</v>
      </c>
      <c r="F491" t="s">
        <v>302</v>
      </c>
    </row>
    <row r="492" spans="1:6">
      <c r="A492" s="69" t="s">
        <v>232</v>
      </c>
      <c r="B492" s="11"/>
      <c r="C492" s="11"/>
      <c r="D492" s="11"/>
      <c r="E492">
        <v>11600000</v>
      </c>
      <c r="F492" t="s">
        <v>303</v>
      </c>
    </row>
    <row r="493" spans="1:6">
      <c r="A493" s="70" t="s">
        <v>233</v>
      </c>
      <c r="B493" s="11"/>
      <c r="C493" s="11"/>
      <c r="D493" s="11"/>
    </row>
    <row r="494" spans="1:6">
      <c r="A494" s="68" t="s">
        <v>234</v>
      </c>
      <c r="B494" s="11"/>
      <c r="C494" s="11"/>
      <c r="D494" s="11"/>
    </row>
    <row r="495" spans="1:6">
      <c r="A495" s="68">
        <v>0.625</v>
      </c>
      <c r="B495" s="11"/>
      <c r="C495" s="11"/>
      <c r="D495" s="11"/>
    </row>
    <row r="496" spans="1:6">
      <c r="A496" s="69" t="s">
        <v>235</v>
      </c>
      <c r="B496" s="11"/>
      <c r="C496" s="11"/>
      <c r="D496" s="11"/>
    </row>
    <row r="497" spans="1:4">
      <c r="A497" s="69" t="s">
        <v>236</v>
      </c>
      <c r="B497" s="11"/>
      <c r="C497" s="11"/>
      <c r="D497" s="11"/>
    </row>
    <row r="500" spans="1:4">
      <c r="A500" s="89" t="s">
        <v>304</v>
      </c>
      <c r="B500" s="89"/>
      <c r="C500" s="89"/>
      <c r="D500" s="89"/>
    </row>
    <row r="501" spans="1:4">
      <c r="A501" s="11" t="s">
        <v>228</v>
      </c>
      <c r="B501" s="11" t="s">
        <v>229</v>
      </c>
      <c r="C501" s="11" t="s">
        <v>230</v>
      </c>
      <c r="D501" s="11" t="s">
        <v>231</v>
      </c>
    </row>
    <row r="502" spans="1:4">
      <c r="A502" s="68">
        <v>0.45833333333333298</v>
      </c>
      <c r="B502" s="11">
        <v>26370</v>
      </c>
      <c r="C502" s="11">
        <v>7300</v>
      </c>
      <c r="D502" s="11">
        <v>11720000</v>
      </c>
    </row>
    <row r="503" spans="1:4">
      <c r="A503" s="69" t="s">
        <v>232</v>
      </c>
      <c r="B503" s="11">
        <v>26530</v>
      </c>
      <c r="C503" s="11">
        <v>7310</v>
      </c>
      <c r="D503" s="11">
        <v>11790000</v>
      </c>
    </row>
    <row r="504" spans="1:4">
      <c r="A504" s="70" t="s">
        <v>233</v>
      </c>
      <c r="B504" s="11">
        <v>26550</v>
      </c>
      <c r="C504" s="11">
        <v>7300</v>
      </c>
      <c r="D504" s="11">
        <v>11770000</v>
      </c>
    </row>
    <row r="505" spans="1:4">
      <c r="A505" s="68" t="s">
        <v>234</v>
      </c>
      <c r="B505" s="11">
        <v>26620</v>
      </c>
      <c r="C505" s="11">
        <v>7285</v>
      </c>
      <c r="D505" s="11">
        <v>11710000</v>
      </c>
    </row>
    <row r="506" spans="1:4">
      <c r="A506" s="68">
        <v>0.625</v>
      </c>
      <c r="B506" s="11">
        <v>26580</v>
      </c>
      <c r="C506" s="11">
        <v>7285</v>
      </c>
      <c r="D506" s="11">
        <v>11730000</v>
      </c>
    </row>
    <row r="507" spans="1:4">
      <c r="A507" s="69" t="s">
        <v>235</v>
      </c>
      <c r="B507" s="11">
        <v>26580</v>
      </c>
      <c r="C507" s="11">
        <v>7285</v>
      </c>
      <c r="D507" s="11">
        <v>11700000</v>
      </c>
    </row>
    <row r="508" spans="1:4">
      <c r="A508" s="69" t="s">
        <v>236</v>
      </c>
      <c r="B508" s="11">
        <v>26580</v>
      </c>
      <c r="C508" s="11">
        <v>7285</v>
      </c>
      <c r="D508" s="11">
        <v>11690000</v>
      </c>
    </row>
    <row r="511" spans="1:4">
      <c r="A511" s="89" t="s">
        <v>305</v>
      </c>
      <c r="B511" s="89"/>
      <c r="C511" s="89"/>
      <c r="D511" s="89"/>
    </row>
    <row r="512" spans="1:4">
      <c r="A512" s="11" t="s">
        <v>228</v>
      </c>
      <c r="B512" s="11" t="s">
        <v>229</v>
      </c>
      <c r="C512" s="11" t="s">
        <v>230</v>
      </c>
      <c r="D512" s="11" t="s">
        <v>231</v>
      </c>
    </row>
    <row r="513" spans="1:4">
      <c r="A513" s="68">
        <v>0.45833333333333298</v>
      </c>
      <c r="B513" s="11">
        <v>26500</v>
      </c>
      <c r="C513" s="11">
        <v>7320</v>
      </c>
      <c r="D513" s="11">
        <v>11770000</v>
      </c>
    </row>
    <row r="514" spans="1:4">
      <c r="A514" s="69" t="s">
        <v>232</v>
      </c>
      <c r="B514" s="11">
        <v>26650</v>
      </c>
      <c r="C514" s="11">
        <v>7320</v>
      </c>
      <c r="D514" s="11">
        <v>11830000</v>
      </c>
    </row>
    <row r="515" spans="1:4">
      <c r="A515" s="70" t="s">
        <v>233</v>
      </c>
      <c r="B515" s="11">
        <v>26620</v>
      </c>
      <c r="C515" s="11">
        <v>7320</v>
      </c>
      <c r="D515" s="11">
        <v>11820000</v>
      </c>
    </row>
    <row r="516" spans="1:4">
      <c r="A516" s="68" t="s">
        <v>234</v>
      </c>
      <c r="B516" s="11">
        <v>26660</v>
      </c>
      <c r="C516" s="11">
        <v>7320</v>
      </c>
      <c r="D516" s="11">
        <v>11820000</v>
      </c>
    </row>
    <row r="517" spans="1:4">
      <c r="A517" s="68">
        <v>0.625</v>
      </c>
      <c r="B517" s="11">
        <v>26660</v>
      </c>
      <c r="C517" s="11">
        <v>7320</v>
      </c>
      <c r="D517" s="11">
        <v>11850000</v>
      </c>
    </row>
    <row r="518" spans="1:4">
      <c r="A518" s="69" t="s">
        <v>235</v>
      </c>
      <c r="B518" s="11">
        <v>26660</v>
      </c>
      <c r="C518" s="11">
        <v>7320</v>
      </c>
      <c r="D518" s="11">
        <v>11950000</v>
      </c>
    </row>
    <row r="519" spans="1:4">
      <c r="A519" s="69" t="s">
        <v>236</v>
      </c>
      <c r="B519" s="11">
        <v>26660</v>
      </c>
      <c r="C519" s="11">
        <v>7320</v>
      </c>
      <c r="D519" s="11">
        <v>11920000</v>
      </c>
    </row>
    <row r="522" spans="1:4">
      <c r="A522" s="89" t="s">
        <v>306</v>
      </c>
      <c r="B522" s="89"/>
      <c r="C522" s="89"/>
      <c r="D522" s="89"/>
    </row>
    <row r="523" spans="1:4">
      <c r="A523" s="11" t="s">
        <v>228</v>
      </c>
      <c r="B523" s="11" t="s">
        <v>229</v>
      </c>
      <c r="C523" s="11" t="s">
        <v>230</v>
      </c>
      <c r="D523" s="11" t="s">
        <v>231</v>
      </c>
    </row>
    <row r="524" spans="1:4">
      <c r="A524" s="68">
        <v>0.45833333333333298</v>
      </c>
      <c r="B524" s="11">
        <v>27380</v>
      </c>
      <c r="C524" s="11">
        <v>7510</v>
      </c>
      <c r="D524" s="11">
        <v>12080000</v>
      </c>
    </row>
    <row r="525" spans="1:4">
      <c r="A525" s="69" t="s">
        <v>232</v>
      </c>
      <c r="B525" s="11">
        <v>27500</v>
      </c>
      <c r="C525" s="11">
        <v>7560</v>
      </c>
      <c r="D525" s="11">
        <v>12100000</v>
      </c>
    </row>
    <row r="526" spans="1:4">
      <c r="A526" s="70" t="s">
        <v>233</v>
      </c>
      <c r="B526" s="11">
        <v>27400</v>
      </c>
      <c r="C526" s="11">
        <v>7505</v>
      </c>
      <c r="D526" s="11">
        <v>12120000</v>
      </c>
    </row>
    <row r="527" spans="1:4">
      <c r="A527" s="68" t="s">
        <v>234</v>
      </c>
      <c r="B527" s="11">
        <v>27390</v>
      </c>
      <c r="C527" s="11">
        <v>7485</v>
      </c>
      <c r="D527" s="11">
        <v>12070000</v>
      </c>
    </row>
    <row r="528" spans="1:4">
      <c r="A528" s="68">
        <v>0.625</v>
      </c>
      <c r="B528" s="11">
        <v>27390</v>
      </c>
      <c r="C528" s="11">
        <v>7500</v>
      </c>
      <c r="D528" s="11">
        <v>12030000</v>
      </c>
    </row>
    <row r="529" spans="1:4">
      <c r="A529" s="69" t="s">
        <v>235</v>
      </c>
      <c r="B529" s="11">
        <v>27390</v>
      </c>
      <c r="C529" s="11">
        <v>7500</v>
      </c>
      <c r="D529" s="11">
        <v>12020000</v>
      </c>
    </row>
    <row r="530" spans="1:4">
      <c r="A530" s="69" t="s">
        <v>236</v>
      </c>
      <c r="B530" s="11">
        <v>27390</v>
      </c>
      <c r="C530" s="11">
        <v>7500</v>
      </c>
      <c r="D530" s="11">
        <v>11970000</v>
      </c>
    </row>
    <row r="533" spans="1:4">
      <c r="A533" s="89" t="s">
        <v>307</v>
      </c>
      <c r="B533" s="89"/>
      <c r="C533" s="89"/>
      <c r="D533" s="89"/>
    </row>
    <row r="534" spans="1:4">
      <c r="A534" s="11" t="s">
        <v>228</v>
      </c>
      <c r="B534" s="11" t="s">
        <v>229</v>
      </c>
      <c r="C534" s="11" t="s">
        <v>230</v>
      </c>
      <c r="D534" s="11" t="s">
        <v>231</v>
      </c>
    </row>
    <row r="535" spans="1:4">
      <c r="A535" s="68">
        <v>0.45833333333333298</v>
      </c>
      <c r="B535" s="11">
        <v>27400</v>
      </c>
      <c r="C535" s="11">
        <v>7500</v>
      </c>
      <c r="D535" s="11">
        <v>11950000</v>
      </c>
    </row>
    <row r="536" spans="1:4">
      <c r="A536" s="69" t="s">
        <v>232</v>
      </c>
      <c r="B536" s="11">
        <v>27360</v>
      </c>
      <c r="C536" s="11">
        <v>7500</v>
      </c>
      <c r="D536" s="11">
        <v>11960000</v>
      </c>
    </row>
    <row r="537" spans="1:4">
      <c r="A537" s="70" t="s">
        <v>233</v>
      </c>
      <c r="B537" s="11">
        <v>27410</v>
      </c>
      <c r="C537" s="11">
        <v>7490</v>
      </c>
      <c r="D537" s="11">
        <v>12030000</v>
      </c>
    </row>
    <row r="538" spans="1:4">
      <c r="A538" s="68" t="s">
        <v>234</v>
      </c>
      <c r="B538" s="11">
        <v>27460</v>
      </c>
      <c r="C538" s="11">
        <v>7530</v>
      </c>
      <c r="D538" s="11">
        <v>12090000</v>
      </c>
    </row>
    <row r="539" spans="1:4">
      <c r="A539" s="68">
        <v>0.625</v>
      </c>
      <c r="B539" s="11">
        <v>27460</v>
      </c>
      <c r="C539" s="11">
        <v>7520</v>
      </c>
      <c r="D539" s="11">
        <v>12180000</v>
      </c>
    </row>
    <row r="540" spans="1:4">
      <c r="A540" s="69" t="s">
        <v>235</v>
      </c>
      <c r="B540" s="11">
        <v>27460</v>
      </c>
      <c r="C540" s="11">
        <v>7520</v>
      </c>
      <c r="D540" s="11">
        <v>12180000</v>
      </c>
    </row>
    <row r="541" spans="1:4">
      <c r="A541" s="69" t="s">
        <v>236</v>
      </c>
      <c r="B541" s="11">
        <v>27460</v>
      </c>
      <c r="C541" s="11">
        <v>7520</v>
      </c>
      <c r="D541" s="11">
        <v>12160000</v>
      </c>
    </row>
    <row r="544" spans="1:4">
      <c r="A544" s="89" t="s">
        <v>308</v>
      </c>
      <c r="B544" s="89"/>
      <c r="C544" s="89"/>
      <c r="D544" s="89"/>
    </row>
    <row r="545" spans="1:6">
      <c r="A545" s="11" t="s">
        <v>228</v>
      </c>
      <c r="B545" s="11" t="s">
        <v>229</v>
      </c>
      <c r="C545" s="11" t="s">
        <v>230</v>
      </c>
      <c r="D545" s="11" t="s">
        <v>231</v>
      </c>
    </row>
    <row r="546" spans="1:6">
      <c r="A546" s="68">
        <v>0.45833333333333298</v>
      </c>
      <c r="B546" s="11">
        <v>27850</v>
      </c>
      <c r="C546" s="11">
        <v>7580</v>
      </c>
      <c r="D546" s="11">
        <v>12280000</v>
      </c>
    </row>
    <row r="547" spans="1:6">
      <c r="A547" s="69" t="s">
        <v>232</v>
      </c>
      <c r="B547" s="11">
        <v>27750</v>
      </c>
      <c r="C547" s="11">
        <v>7580</v>
      </c>
      <c r="D547" s="11">
        <v>12240000</v>
      </c>
    </row>
    <row r="548" spans="1:6">
      <c r="A548" s="70" t="s">
        <v>233</v>
      </c>
      <c r="B548" s="11">
        <v>27730</v>
      </c>
      <c r="C548" s="11">
        <v>7590</v>
      </c>
      <c r="D548" s="11">
        <v>12250000</v>
      </c>
    </row>
    <row r="549" spans="1:6">
      <c r="A549" s="68" t="s">
        <v>234</v>
      </c>
      <c r="B549" s="11">
        <v>27730</v>
      </c>
      <c r="C549" s="11">
        <v>7570</v>
      </c>
      <c r="D549" s="11">
        <v>12240000</v>
      </c>
    </row>
    <row r="550" spans="1:6">
      <c r="A550" s="68">
        <v>0.625</v>
      </c>
      <c r="B550" s="11">
        <v>27730</v>
      </c>
      <c r="C550" s="11">
        <v>7570</v>
      </c>
      <c r="D550" s="11">
        <v>12150000</v>
      </c>
    </row>
    <row r="551" spans="1:6">
      <c r="A551" s="69" t="s">
        <v>235</v>
      </c>
      <c r="B551" s="11">
        <v>27730</v>
      </c>
      <c r="C551" s="11">
        <v>7570</v>
      </c>
      <c r="D551" s="11">
        <v>12160000</v>
      </c>
    </row>
    <row r="552" spans="1:6">
      <c r="A552" s="69" t="s">
        <v>236</v>
      </c>
      <c r="B552" s="11">
        <v>27730</v>
      </c>
      <c r="C552" s="11">
        <v>7570</v>
      </c>
      <c r="D552" s="11">
        <v>12100000</v>
      </c>
    </row>
    <row r="555" spans="1:6">
      <c r="A555" s="89" t="s">
        <v>309</v>
      </c>
      <c r="B555" s="89"/>
      <c r="C555" s="89"/>
      <c r="D555" s="89"/>
    </row>
    <row r="556" spans="1:6">
      <c r="A556" s="11" t="s">
        <v>228</v>
      </c>
      <c r="B556" s="11" t="s">
        <v>229</v>
      </c>
      <c r="C556" s="11" t="s">
        <v>230</v>
      </c>
      <c r="D556" s="11" t="s">
        <v>231</v>
      </c>
    </row>
    <row r="557" spans="1:6">
      <c r="A557" s="68">
        <v>0.45833333333333298</v>
      </c>
      <c r="B557" s="11">
        <v>27650</v>
      </c>
      <c r="C557" s="11">
        <v>7560</v>
      </c>
      <c r="D557" s="11">
        <v>12110000</v>
      </c>
      <c r="E557">
        <v>12110000</v>
      </c>
      <c r="F557">
        <v>1055</v>
      </c>
    </row>
    <row r="558" spans="1:6">
      <c r="A558" s="69" t="s">
        <v>232</v>
      </c>
      <c r="B558" s="11">
        <v>27720</v>
      </c>
      <c r="C558" s="11">
        <v>7560</v>
      </c>
      <c r="D558" s="11">
        <v>12140000</v>
      </c>
      <c r="E558">
        <v>12140000</v>
      </c>
      <c r="F558">
        <v>1120</v>
      </c>
    </row>
    <row r="559" spans="1:6">
      <c r="A559" s="70" t="s">
        <v>233</v>
      </c>
      <c r="B559" s="11">
        <v>27830</v>
      </c>
      <c r="C559" s="11">
        <v>7580</v>
      </c>
      <c r="D559" s="11">
        <v>12150000</v>
      </c>
      <c r="E559">
        <v>12150000</v>
      </c>
      <c r="F559">
        <v>1310</v>
      </c>
    </row>
    <row r="560" spans="1:6">
      <c r="A560" s="68" t="s">
        <v>234</v>
      </c>
      <c r="B560" s="11">
        <v>27790</v>
      </c>
      <c r="C560" s="11">
        <v>7590</v>
      </c>
      <c r="D560" s="11">
        <v>12130000</v>
      </c>
      <c r="E560">
        <v>12130000</v>
      </c>
      <c r="F560">
        <v>1430</v>
      </c>
    </row>
    <row r="561" spans="1:6">
      <c r="A561" s="68">
        <v>0.625</v>
      </c>
      <c r="B561" s="11">
        <v>27740</v>
      </c>
      <c r="C561" s="11">
        <v>7610</v>
      </c>
      <c r="D561" s="11">
        <v>12160000</v>
      </c>
      <c r="E561">
        <v>12160000</v>
      </c>
      <c r="F561">
        <v>1555</v>
      </c>
    </row>
    <row r="562" spans="1:6">
      <c r="A562" s="69" t="s">
        <v>235</v>
      </c>
      <c r="B562" s="11">
        <v>27740</v>
      </c>
      <c r="C562" s="11">
        <v>7610</v>
      </c>
      <c r="D562" s="11">
        <v>12240000</v>
      </c>
      <c r="E562">
        <v>12240000</v>
      </c>
      <c r="F562" t="s">
        <v>310</v>
      </c>
    </row>
    <row r="563" spans="1:6">
      <c r="A563" s="69" t="s">
        <v>236</v>
      </c>
      <c r="B563" s="11">
        <v>27740</v>
      </c>
      <c r="C563" s="11">
        <v>7610</v>
      </c>
      <c r="D563" s="11">
        <v>12230000</v>
      </c>
      <c r="E563">
        <v>12230000</v>
      </c>
      <c r="F563" t="s">
        <v>311</v>
      </c>
    </row>
    <row r="567" spans="1:6">
      <c r="A567" s="89" t="s">
        <v>309</v>
      </c>
      <c r="B567" s="89"/>
      <c r="C567" s="89"/>
      <c r="D567" s="89"/>
    </row>
    <row r="568" spans="1:6">
      <c r="A568" s="11" t="s">
        <v>228</v>
      </c>
      <c r="B568" s="11" t="s">
        <v>229</v>
      </c>
      <c r="C568" s="11" t="s">
        <v>230</v>
      </c>
      <c r="D568" s="11" t="s">
        <v>231</v>
      </c>
    </row>
    <row r="569" spans="1:6">
      <c r="A569" s="68">
        <v>0.45833333333333298</v>
      </c>
      <c r="B569" s="11">
        <v>27920</v>
      </c>
      <c r="C569" s="11"/>
      <c r="D569" s="11"/>
      <c r="E569" s="73">
        <v>12000000</v>
      </c>
      <c r="F569" s="73">
        <v>1100</v>
      </c>
    </row>
    <row r="570" spans="1:6">
      <c r="A570" s="69" t="s">
        <v>232</v>
      </c>
      <c r="B570" s="11">
        <v>27920</v>
      </c>
      <c r="C570" s="11"/>
      <c r="D570" s="11"/>
      <c r="E570" s="73">
        <v>12020000</v>
      </c>
      <c r="F570" t="s">
        <v>312</v>
      </c>
    </row>
    <row r="571" spans="1:6">
      <c r="A571" s="70" t="s">
        <v>233</v>
      </c>
      <c r="B571" s="11"/>
      <c r="C571" s="11"/>
      <c r="D571" s="11"/>
      <c r="E571">
        <v>11970000</v>
      </c>
      <c r="F571" t="s">
        <v>313</v>
      </c>
    </row>
    <row r="572" spans="1:6">
      <c r="A572" s="68" t="s">
        <v>234</v>
      </c>
      <c r="B572" s="11"/>
      <c r="C572" s="11"/>
      <c r="D572" s="11"/>
    </row>
    <row r="573" spans="1:6">
      <c r="A573" s="68">
        <v>0.625</v>
      </c>
      <c r="B573" s="11"/>
      <c r="C573" s="11"/>
      <c r="D573" s="11"/>
      <c r="E573">
        <f>230000/E563</f>
        <v>1.8806214227309895E-2</v>
      </c>
    </row>
    <row r="574" spans="1:6">
      <c r="A574" s="69" t="s">
        <v>235</v>
      </c>
      <c r="B574" s="11"/>
      <c r="C574" s="11"/>
      <c r="D574" s="11"/>
    </row>
    <row r="575" spans="1:6">
      <c r="A575" s="69" t="s">
        <v>236</v>
      </c>
      <c r="B575" s="11"/>
      <c r="C575" s="11"/>
      <c r="D575" s="11"/>
    </row>
    <row r="579" spans="1:5">
      <c r="A579" s="89" t="s">
        <v>314</v>
      </c>
      <c r="B579" s="89"/>
      <c r="C579" s="89"/>
      <c r="D579" s="89"/>
    </row>
    <row r="580" spans="1:5">
      <c r="A580" s="11" t="s">
        <v>228</v>
      </c>
      <c r="B580" s="11" t="s">
        <v>229</v>
      </c>
      <c r="C580" s="11" t="s">
        <v>230</v>
      </c>
      <c r="D580" s="11" t="s">
        <v>231</v>
      </c>
    </row>
    <row r="581" spans="1:5">
      <c r="A581" s="68">
        <v>0.45833333333333298</v>
      </c>
      <c r="B581" s="11">
        <v>28270</v>
      </c>
      <c r="C581" s="11">
        <v>7750</v>
      </c>
      <c r="D581" s="11">
        <v>12300000</v>
      </c>
    </row>
    <row r="582" spans="1:5">
      <c r="A582" s="69" t="s">
        <v>232</v>
      </c>
      <c r="B582" s="11">
        <v>28320</v>
      </c>
      <c r="C582" s="11">
        <v>7720</v>
      </c>
      <c r="D582" s="11">
        <v>12330000</v>
      </c>
    </row>
    <row r="583" spans="1:5">
      <c r="A583" s="70" t="s">
        <v>233</v>
      </c>
      <c r="B583" s="11">
        <v>28170</v>
      </c>
      <c r="C583" s="11">
        <v>7670</v>
      </c>
      <c r="D583" s="11">
        <v>12220000</v>
      </c>
    </row>
    <row r="584" spans="1:5">
      <c r="A584" s="68" t="s">
        <v>234</v>
      </c>
      <c r="B584" s="11">
        <v>28260</v>
      </c>
      <c r="C584" s="11">
        <v>7700</v>
      </c>
      <c r="D584" s="11">
        <v>12220000</v>
      </c>
    </row>
    <row r="585" spans="1:5">
      <c r="A585" s="68">
        <v>0.625</v>
      </c>
      <c r="B585" s="11">
        <v>28260</v>
      </c>
      <c r="C585" s="11">
        <v>7685</v>
      </c>
      <c r="D585" s="11">
        <v>12190000</v>
      </c>
      <c r="E585" s="73"/>
    </row>
    <row r="586" spans="1:5">
      <c r="A586" s="69" t="s">
        <v>235</v>
      </c>
      <c r="B586" s="11">
        <v>28260</v>
      </c>
      <c r="C586" s="11">
        <v>7685</v>
      </c>
      <c r="D586" s="11">
        <v>12200000</v>
      </c>
      <c r="E586" s="74"/>
    </row>
    <row r="587" spans="1:5">
      <c r="A587" s="69" t="s">
        <v>236</v>
      </c>
      <c r="B587" s="11">
        <v>28260</v>
      </c>
      <c r="C587" s="11">
        <v>7685</v>
      </c>
      <c r="D587" s="11">
        <v>12210000</v>
      </c>
    </row>
    <row r="590" spans="1:5">
      <c r="A590" s="89" t="s">
        <v>315</v>
      </c>
      <c r="B590" s="89"/>
      <c r="C590" s="89"/>
      <c r="D590" s="89"/>
    </row>
    <row r="591" spans="1:5">
      <c r="A591" s="11" t="s">
        <v>228</v>
      </c>
      <c r="B591" s="11" t="s">
        <v>229</v>
      </c>
      <c r="C591" s="11" t="s">
        <v>230</v>
      </c>
      <c r="D591" s="11" t="s">
        <v>231</v>
      </c>
    </row>
    <row r="592" spans="1:5">
      <c r="A592" s="68">
        <v>0.45833333333333298</v>
      </c>
      <c r="B592" s="11">
        <v>28080</v>
      </c>
      <c r="C592" s="11">
        <v>7635</v>
      </c>
      <c r="D592" s="11">
        <v>12120000</v>
      </c>
    </row>
    <row r="593" spans="1:5">
      <c r="A593" s="69" t="s">
        <v>232</v>
      </c>
      <c r="B593" s="11">
        <v>27980</v>
      </c>
      <c r="C593" s="11">
        <v>7635</v>
      </c>
      <c r="D593" s="11">
        <v>12040000</v>
      </c>
    </row>
    <row r="594" spans="1:5">
      <c r="A594" s="70" t="s">
        <v>233</v>
      </c>
      <c r="B594" s="11">
        <v>27850</v>
      </c>
      <c r="C594" s="11">
        <v>7600</v>
      </c>
      <c r="D594" s="11">
        <v>12060000</v>
      </c>
    </row>
    <row r="595" spans="1:5">
      <c r="A595" s="68" t="s">
        <v>234</v>
      </c>
      <c r="B595" s="11">
        <v>27830</v>
      </c>
      <c r="C595" s="11">
        <v>7600</v>
      </c>
      <c r="D595" s="11">
        <v>12030000</v>
      </c>
    </row>
    <row r="596" spans="1:5">
      <c r="A596" s="68">
        <v>0.625</v>
      </c>
      <c r="B596" s="11">
        <v>27830</v>
      </c>
      <c r="C596" s="11">
        <v>7540</v>
      </c>
      <c r="D596" s="11">
        <v>12000000</v>
      </c>
      <c r="E596" s="73"/>
    </row>
    <row r="597" spans="1:5">
      <c r="A597" s="69" t="s">
        <v>235</v>
      </c>
      <c r="B597" s="11">
        <v>27830</v>
      </c>
      <c r="C597" s="11">
        <v>7540</v>
      </c>
      <c r="D597" s="11">
        <v>12000000</v>
      </c>
      <c r="E597" s="74"/>
    </row>
    <row r="598" spans="1:5">
      <c r="A598" s="69" t="s">
        <v>236</v>
      </c>
      <c r="B598" s="11">
        <v>27830</v>
      </c>
      <c r="C598" s="11">
        <v>7540</v>
      </c>
      <c r="D598" s="11">
        <v>12020000</v>
      </c>
    </row>
    <row r="601" spans="1:5">
      <c r="A601" s="89" t="s">
        <v>316</v>
      </c>
      <c r="B601" s="89"/>
      <c r="C601" s="89"/>
      <c r="D601" s="89"/>
    </row>
    <row r="602" spans="1:5">
      <c r="A602" s="11" t="s">
        <v>228</v>
      </c>
      <c r="B602" s="11" t="s">
        <v>229</v>
      </c>
      <c r="C602" s="11" t="s">
        <v>230</v>
      </c>
      <c r="D602" s="11" t="s">
        <v>231</v>
      </c>
    </row>
    <row r="603" spans="1:5">
      <c r="A603" s="68">
        <v>0.45833333333333298</v>
      </c>
      <c r="B603" s="11">
        <v>27230</v>
      </c>
      <c r="C603" s="11">
        <v>7440</v>
      </c>
      <c r="D603">
        <v>11830000</v>
      </c>
    </row>
    <row r="604" spans="1:5">
      <c r="A604" s="69" t="s">
        <v>232</v>
      </c>
      <c r="B604" s="11">
        <v>27150</v>
      </c>
      <c r="C604" s="11">
        <v>7435</v>
      </c>
      <c r="D604">
        <v>11850000</v>
      </c>
    </row>
    <row r="605" spans="1:5">
      <c r="A605" s="70" t="s">
        <v>233</v>
      </c>
      <c r="B605" s="11">
        <v>26900</v>
      </c>
      <c r="C605" s="11">
        <v>7380</v>
      </c>
      <c r="D605">
        <v>11780000</v>
      </c>
    </row>
    <row r="606" spans="1:5">
      <c r="A606" s="68" t="s">
        <v>234</v>
      </c>
      <c r="B606" s="11">
        <v>26900</v>
      </c>
      <c r="C606" s="11">
        <v>7420</v>
      </c>
      <c r="D606">
        <v>11800000</v>
      </c>
    </row>
    <row r="607" spans="1:5">
      <c r="A607" s="68">
        <v>0.625</v>
      </c>
      <c r="B607" s="11">
        <v>26900</v>
      </c>
      <c r="C607" s="11">
        <v>7420</v>
      </c>
      <c r="D607">
        <v>11850000</v>
      </c>
    </row>
    <row r="608" spans="1:5">
      <c r="A608" s="69" t="s">
        <v>235</v>
      </c>
      <c r="B608" s="11">
        <v>26900</v>
      </c>
      <c r="C608" s="11">
        <v>7420</v>
      </c>
      <c r="D608">
        <v>11820000</v>
      </c>
    </row>
    <row r="609" spans="1:4">
      <c r="A609" s="69" t="s">
        <v>236</v>
      </c>
      <c r="B609" s="11">
        <v>26900</v>
      </c>
      <c r="C609" s="11">
        <v>7420</v>
      </c>
      <c r="D609">
        <v>11850000</v>
      </c>
    </row>
    <row r="612" spans="1:4">
      <c r="A612" s="89" t="s">
        <v>317</v>
      </c>
      <c r="B612" s="89"/>
      <c r="C612" s="89"/>
      <c r="D612" s="89"/>
    </row>
    <row r="613" spans="1:4">
      <c r="A613" s="11" t="s">
        <v>228</v>
      </c>
      <c r="B613" s="11" t="s">
        <v>229</v>
      </c>
      <c r="C613" s="11" t="s">
        <v>230</v>
      </c>
      <c r="D613" s="11" t="s">
        <v>231</v>
      </c>
    </row>
    <row r="614" spans="1:4">
      <c r="A614" s="68">
        <v>0.45833333333333298</v>
      </c>
      <c r="B614" s="11">
        <v>27370</v>
      </c>
      <c r="C614" s="11">
        <v>7500</v>
      </c>
      <c r="D614">
        <v>11850000</v>
      </c>
    </row>
    <row r="615" spans="1:4">
      <c r="A615" s="69" t="s">
        <v>232</v>
      </c>
      <c r="B615" s="11">
        <v>27310</v>
      </c>
      <c r="C615" s="11">
        <v>7490</v>
      </c>
      <c r="D615">
        <v>12010000</v>
      </c>
    </row>
    <row r="616" spans="1:4">
      <c r="A616" s="70" t="s">
        <v>233</v>
      </c>
      <c r="B616" s="11">
        <v>27260</v>
      </c>
      <c r="C616" s="11">
        <v>7445</v>
      </c>
      <c r="D616">
        <v>11990000</v>
      </c>
    </row>
    <row r="617" spans="1:4">
      <c r="A617" s="68" t="s">
        <v>234</v>
      </c>
      <c r="B617" s="11">
        <v>27250</v>
      </c>
      <c r="C617" s="11">
        <v>7440</v>
      </c>
      <c r="D617">
        <v>11980000</v>
      </c>
    </row>
    <row r="618" spans="1:4">
      <c r="A618" s="68">
        <v>0.625</v>
      </c>
      <c r="B618" s="11">
        <v>27250</v>
      </c>
      <c r="C618" s="11">
        <v>7440</v>
      </c>
      <c r="D618">
        <v>11960000</v>
      </c>
    </row>
    <row r="619" spans="1:4">
      <c r="A619" s="69" t="s">
        <v>235</v>
      </c>
      <c r="B619" s="11">
        <v>27250</v>
      </c>
      <c r="C619" s="11">
        <v>7440</v>
      </c>
      <c r="D619">
        <v>11980000</v>
      </c>
    </row>
    <row r="620" spans="1:4">
      <c r="A620" s="69" t="s">
        <v>236</v>
      </c>
      <c r="B620" s="11">
        <v>27250</v>
      </c>
      <c r="C620" s="11">
        <v>7440</v>
      </c>
      <c r="D620">
        <v>11990000</v>
      </c>
    </row>
    <row r="623" spans="1:4">
      <c r="A623" s="89" t="s">
        <v>318</v>
      </c>
      <c r="B623" s="89"/>
      <c r="C623" s="89"/>
      <c r="D623" s="89"/>
    </row>
    <row r="624" spans="1:4">
      <c r="A624" s="11" t="s">
        <v>228</v>
      </c>
      <c r="B624" s="11" t="s">
        <v>229</v>
      </c>
      <c r="C624" s="11" t="s">
        <v>230</v>
      </c>
      <c r="D624" s="11" t="s">
        <v>231</v>
      </c>
    </row>
    <row r="625" spans="1:6">
      <c r="A625" s="68">
        <v>0.45833333333333298</v>
      </c>
      <c r="B625" s="11">
        <v>27320</v>
      </c>
      <c r="C625" s="11">
        <v>7410</v>
      </c>
      <c r="D625">
        <v>12020000</v>
      </c>
    </row>
    <row r="626" spans="1:6">
      <c r="A626" s="69" t="s">
        <v>232</v>
      </c>
      <c r="B626" s="11">
        <v>27240</v>
      </c>
      <c r="C626" s="11">
        <v>7410</v>
      </c>
      <c r="D626">
        <v>11970000</v>
      </c>
    </row>
    <row r="627" spans="1:6">
      <c r="A627" s="70" t="s">
        <v>233</v>
      </c>
      <c r="B627" s="11">
        <v>27170</v>
      </c>
      <c r="C627" s="11">
        <v>7410</v>
      </c>
      <c r="D627">
        <v>11930000</v>
      </c>
    </row>
    <row r="628" spans="1:6">
      <c r="A628" s="68" t="s">
        <v>234</v>
      </c>
      <c r="B628" s="11">
        <v>27130</v>
      </c>
      <c r="C628" s="11">
        <v>7400</v>
      </c>
      <c r="D628">
        <v>11880000</v>
      </c>
    </row>
    <row r="629" spans="1:6">
      <c r="A629" s="68">
        <v>0.625</v>
      </c>
      <c r="B629" s="11">
        <v>27130</v>
      </c>
      <c r="C629" s="11">
        <v>7375</v>
      </c>
      <c r="D629">
        <v>11890000</v>
      </c>
    </row>
    <row r="630" spans="1:6">
      <c r="A630" s="69" t="s">
        <v>235</v>
      </c>
      <c r="B630" s="11">
        <v>27130</v>
      </c>
      <c r="C630" s="11">
        <v>7375</v>
      </c>
      <c r="D630">
        <v>11890000</v>
      </c>
    </row>
    <row r="631" spans="1:6">
      <c r="A631" s="69" t="s">
        <v>236</v>
      </c>
      <c r="B631" s="11">
        <v>27130</v>
      </c>
      <c r="C631" s="11">
        <v>7375</v>
      </c>
      <c r="D631">
        <v>11890000</v>
      </c>
    </row>
    <row r="635" spans="1:6">
      <c r="A635" s="89" t="s">
        <v>319</v>
      </c>
      <c r="B635" s="89"/>
      <c r="C635" s="89"/>
      <c r="D635" s="89"/>
    </row>
    <row r="636" spans="1:6">
      <c r="A636" s="11" t="s">
        <v>228</v>
      </c>
      <c r="B636" s="11" t="s">
        <v>229</v>
      </c>
      <c r="C636" s="11" t="s">
        <v>230</v>
      </c>
      <c r="D636" s="11" t="s">
        <v>231</v>
      </c>
    </row>
    <row r="637" spans="1:6">
      <c r="A637" s="68">
        <v>0.45833333333333298</v>
      </c>
      <c r="B637" s="11">
        <v>27200</v>
      </c>
      <c r="C637" s="11"/>
      <c r="E637">
        <v>12000000</v>
      </c>
      <c r="F637" t="s">
        <v>320</v>
      </c>
    </row>
    <row r="638" spans="1:6">
      <c r="A638" s="69" t="s">
        <v>232</v>
      </c>
      <c r="B638" s="11">
        <v>27190</v>
      </c>
      <c r="C638" s="11"/>
    </row>
    <row r="639" spans="1:6">
      <c r="A639" s="70" t="s">
        <v>233</v>
      </c>
      <c r="B639" s="11"/>
      <c r="C639" s="11"/>
    </row>
    <row r="640" spans="1:6">
      <c r="A640" s="68" t="s">
        <v>234</v>
      </c>
      <c r="B640" s="11"/>
      <c r="C640" s="11"/>
    </row>
    <row r="641" spans="1:4">
      <c r="A641" s="68">
        <v>0.625</v>
      </c>
      <c r="B641" s="11"/>
      <c r="C641" s="11"/>
    </row>
    <row r="642" spans="1:4">
      <c r="A642" s="69" t="s">
        <v>235</v>
      </c>
      <c r="B642" s="11"/>
      <c r="C642" s="11"/>
    </row>
    <row r="643" spans="1:4">
      <c r="A643" s="69" t="s">
        <v>236</v>
      </c>
      <c r="B643" s="11"/>
      <c r="C643" s="11"/>
    </row>
    <row r="647" spans="1:4">
      <c r="A647" s="89" t="s">
        <v>321</v>
      </c>
      <c r="B647" s="89"/>
      <c r="C647" s="89"/>
      <c r="D647" s="89"/>
    </row>
    <row r="648" spans="1:4">
      <c r="A648" s="11" t="s">
        <v>228</v>
      </c>
      <c r="B648" s="11" t="s">
        <v>229</v>
      </c>
      <c r="C648" s="11" t="s">
        <v>230</v>
      </c>
      <c r="D648" s="11" t="s">
        <v>231</v>
      </c>
    </row>
    <row r="649" spans="1:4">
      <c r="A649" s="68">
        <v>0.45833333333333298</v>
      </c>
      <c r="B649" s="11">
        <v>27170</v>
      </c>
      <c r="C649" s="11">
        <v>7420</v>
      </c>
      <c r="D649">
        <v>11960000</v>
      </c>
    </row>
    <row r="650" spans="1:4">
      <c r="A650" s="69" t="s">
        <v>232</v>
      </c>
      <c r="B650" s="11">
        <v>27150</v>
      </c>
      <c r="C650" s="11">
        <v>7420</v>
      </c>
      <c r="D650">
        <v>11930000</v>
      </c>
    </row>
    <row r="651" spans="1:4">
      <c r="A651" s="70" t="s">
        <v>233</v>
      </c>
      <c r="B651" s="11">
        <v>27180</v>
      </c>
      <c r="C651" s="11">
        <v>7410</v>
      </c>
      <c r="D651">
        <v>11990000</v>
      </c>
    </row>
    <row r="652" spans="1:4">
      <c r="A652" s="68" t="s">
        <v>234</v>
      </c>
      <c r="B652" s="11">
        <v>27050</v>
      </c>
      <c r="C652" s="11">
        <v>7405</v>
      </c>
      <c r="D652">
        <v>12010000</v>
      </c>
    </row>
    <row r="653" spans="1:4">
      <c r="A653" s="68">
        <v>0.625</v>
      </c>
      <c r="B653" s="11">
        <v>27050</v>
      </c>
      <c r="C653" s="11">
        <v>7390</v>
      </c>
      <c r="D653">
        <v>11900000</v>
      </c>
    </row>
    <row r="654" spans="1:4">
      <c r="A654" s="69" t="s">
        <v>235</v>
      </c>
      <c r="B654" s="11">
        <v>27050</v>
      </c>
      <c r="C654" s="11">
        <v>7390</v>
      </c>
      <c r="D654">
        <v>11980000</v>
      </c>
    </row>
    <row r="655" spans="1:4">
      <c r="A655" s="69" t="s">
        <v>236</v>
      </c>
      <c r="B655" s="11">
        <v>27050</v>
      </c>
      <c r="C655" s="11">
        <v>7390</v>
      </c>
      <c r="D655">
        <v>11990000</v>
      </c>
    </row>
    <row r="658" spans="1:4">
      <c r="A658" s="89" t="s">
        <v>322</v>
      </c>
      <c r="B658" s="89"/>
      <c r="C658" s="89"/>
      <c r="D658" s="89"/>
    </row>
    <row r="659" spans="1:4">
      <c r="A659" s="11" t="s">
        <v>228</v>
      </c>
      <c r="B659" s="11" t="s">
        <v>229</v>
      </c>
      <c r="C659" s="11" t="s">
        <v>230</v>
      </c>
      <c r="D659" s="11" t="s">
        <v>231</v>
      </c>
    </row>
    <row r="660" spans="1:4">
      <c r="A660" s="68">
        <v>0.45833333333333298</v>
      </c>
      <c r="B660" s="11">
        <v>27170</v>
      </c>
      <c r="C660" s="11">
        <v>7400</v>
      </c>
      <c r="D660">
        <v>12090000</v>
      </c>
    </row>
    <row r="661" spans="1:4">
      <c r="A661" s="69" t="s">
        <v>232</v>
      </c>
      <c r="B661" s="11">
        <v>27210</v>
      </c>
      <c r="C661" s="11">
        <v>7400</v>
      </c>
      <c r="D661">
        <v>12090000</v>
      </c>
    </row>
    <row r="662" spans="1:4">
      <c r="A662" s="70" t="s">
        <v>233</v>
      </c>
      <c r="B662" s="11">
        <v>27220</v>
      </c>
      <c r="C662" s="11">
        <v>7420</v>
      </c>
      <c r="D662">
        <v>12150000</v>
      </c>
    </row>
    <row r="663" spans="1:4">
      <c r="A663" s="68" t="s">
        <v>234</v>
      </c>
      <c r="B663" s="11">
        <v>27190</v>
      </c>
      <c r="C663" s="11">
        <v>7410</v>
      </c>
      <c r="D663">
        <v>12140000</v>
      </c>
    </row>
    <row r="664" spans="1:4">
      <c r="A664" s="68">
        <v>0.625</v>
      </c>
      <c r="B664" s="11">
        <v>27190</v>
      </c>
      <c r="C664" s="11">
        <v>7410</v>
      </c>
      <c r="D664">
        <v>12110000</v>
      </c>
    </row>
    <row r="665" spans="1:4">
      <c r="A665" s="69" t="s">
        <v>235</v>
      </c>
      <c r="B665" s="11">
        <v>27190</v>
      </c>
      <c r="C665" s="11">
        <v>7410</v>
      </c>
      <c r="D665">
        <v>12090000</v>
      </c>
    </row>
    <row r="666" spans="1:4">
      <c r="A666" s="69" t="s">
        <v>236</v>
      </c>
      <c r="B666" s="11">
        <v>27190</v>
      </c>
      <c r="C666" s="11">
        <v>7410</v>
      </c>
      <c r="D666">
        <v>12130000</v>
      </c>
    </row>
    <row r="670" spans="1:4">
      <c r="A670" s="89" t="s">
        <v>323</v>
      </c>
      <c r="B670" s="89"/>
      <c r="C670" s="89"/>
      <c r="D670" s="89"/>
    </row>
    <row r="671" spans="1:4">
      <c r="A671" s="11" t="s">
        <v>228</v>
      </c>
      <c r="B671" s="11" t="s">
        <v>229</v>
      </c>
      <c r="C671" s="11" t="s">
        <v>230</v>
      </c>
      <c r="D671" s="11" t="s">
        <v>231</v>
      </c>
    </row>
    <row r="672" spans="1:4">
      <c r="A672" s="68">
        <v>0.45833333333333298</v>
      </c>
      <c r="B672" s="11">
        <v>27070</v>
      </c>
      <c r="C672" s="11">
        <v>7400</v>
      </c>
      <c r="D672">
        <v>12080000</v>
      </c>
    </row>
    <row r="673" spans="1:4">
      <c r="A673" s="69" t="s">
        <v>232</v>
      </c>
      <c r="B673" s="11">
        <v>27050</v>
      </c>
      <c r="C673" s="11">
        <v>7400</v>
      </c>
      <c r="D673">
        <v>12070000</v>
      </c>
    </row>
    <row r="674" spans="1:4">
      <c r="A674" s="70" t="s">
        <v>233</v>
      </c>
      <c r="B674" s="11">
        <v>27000</v>
      </c>
      <c r="C674" s="11">
        <v>7370</v>
      </c>
      <c r="D674">
        <v>12040000</v>
      </c>
    </row>
    <row r="675" spans="1:4">
      <c r="A675" s="68" t="s">
        <v>234</v>
      </c>
      <c r="B675" s="11">
        <v>27020</v>
      </c>
      <c r="C675" s="11">
        <v>7390</v>
      </c>
      <c r="D675">
        <v>12030000</v>
      </c>
    </row>
    <row r="676" spans="1:4">
      <c r="A676" s="68">
        <v>0.625</v>
      </c>
      <c r="B676" s="11">
        <v>27010</v>
      </c>
      <c r="C676" s="11">
        <v>7385</v>
      </c>
      <c r="D676">
        <v>12060000</v>
      </c>
    </row>
    <row r="677" spans="1:4">
      <c r="A677" s="69" t="s">
        <v>235</v>
      </c>
      <c r="B677" s="11">
        <v>27010</v>
      </c>
      <c r="C677" s="11">
        <v>7385</v>
      </c>
      <c r="D677">
        <v>12030000</v>
      </c>
    </row>
    <row r="678" spans="1:4">
      <c r="A678" s="69" t="s">
        <v>236</v>
      </c>
      <c r="B678" s="11">
        <v>27010</v>
      </c>
      <c r="C678" s="11">
        <v>7385</v>
      </c>
      <c r="D678">
        <v>12050000</v>
      </c>
    </row>
    <row r="681" spans="1:4">
      <c r="A681" s="89" t="s">
        <v>324</v>
      </c>
      <c r="B681" s="89"/>
      <c r="C681" s="89"/>
      <c r="D681" s="89"/>
    </row>
    <row r="682" spans="1:4">
      <c r="A682" s="11" t="s">
        <v>228</v>
      </c>
      <c r="B682" s="11" t="s">
        <v>229</v>
      </c>
      <c r="C682" s="11" t="s">
        <v>230</v>
      </c>
      <c r="D682" s="11" t="s">
        <v>231</v>
      </c>
    </row>
    <row r="683" spans="1:4">
      <c r="A683" s="68">
        <v>0.45833333333333298</v>
      </c>
      <c r="B683" s="11">
        <v>27180</v>
      </c>
      <c r="C683" s="11">
        <v>7410</v>
      </c>
      <c r="D683">
        <v>12100000</v>
      </c>
    </row>
    <row r="684" spans="1:4">
      <c r="A684" s="69" t="s">
        <v>232</v>
      </c>
      <c r="B684" s="11">
        <v>27170</v>
      </c>
      <c r="C684" s="11">
        <v>7405</v>
      </c>
      <c r="D684">
        <v>12110000</v>
      </c>
    </row>
    <row r="685" spans="1:4">
      <c r="A685" s="70" t="s">
        <v>233</v>
      </c>
      <c r="B685" s="11">
        <v>27080</v>
      </c>
      <c r="C685" s="11">
        <v>7420</v>
      </c>
      <c r="D685">
        <v>12080000</v>
      </c>
    </row>
    <row r="686" spans="1:4">
      <c r="A686" s="68" t="s">
        <v>234</v>
      </c>
      <c r="B686" s="11">
        <v>27120</v>
      </c>
      <c r="C686" s="11">
        <v>7410</v>
      </c>
      <c r="D686">
        <v>12080000</v>
      </c>
    </row>
    <row r="687" spans="1:4">
      <c r="A687" s="68">
        <v>0.625</v>
      </c>
      <c r="B687" s="11">
        <v>27120</v>
      </c>
      <c r="C687" s="11">
        <v>7410</v>
      </c>
      <c r="D687">
        <v>12080000</v>
      </c>
    </row>
    <row r="688" spans="1:4">
      <c r="A688" s="69" t="s">
        <v>235</v>
      </c>
      <c r="B688" s="11">
        <v>27120</v>
      </c>
      <c r="C688" s="11">
        <v>7410</v>
      </c>
      <c r="D688">
        <v>12110000</v>
      </c>
    </row>
    <row r="689" spans="1:4">
      <c r="A689" s="69" t="s">
        <v>236</v>
      </c>
      <c r="B689" s="11">
        <v>27120</v>
      </c>
      <c r="C689" s="11">
        <v>7410</v>
      </c>
      <c r="D689">
        <v>12140000</v>
      </c>
    </row>
    <row r="692" spans="1:4">
      <c r="A692" s="89" t="s">
        <v>325</v>
      </c>
      <c r="B692" s="89"/>
      <c r="C692" s="89"/>
      <c r="D692" s="89"/>
    </row>
    <row r="693" spans="1:4">
      <c r="A693" s="11" t="s">
        <v>228</v>
      </c>
      <c r="B693" s="11" t="s">
        <v>229</v>
      </c>
      <c r="C693" s="11" t="s">
        <v>230</v>
      </c>
      <c r="D693" s="11" t="s">
        <v>231</v>
      </c>
    </row>
    <row r="694" spans="1:4">
      <c r="A694" s="68">
        <v>0.45833333333333298</v>
      </c>
      <c r="B694" s="11">
        <v>27570</v>
      </c>
      <c r="C694" s="11">
        <v>7530</v>
      </c>
      <c r="D694">
        <v>12190000</v>
      </c>
    </row>
    <row r="695" spans="1:4">
      <c r="A695" s="69" t="s">
        <v>232</v>
      </c>
      <c r="B695" s="11">
        <v>27510</v>
      </c>
      <c r="C695" s="11">
        <v>7530</v>
      </c>
      <c r="D695">
        <v>12160000</v>
      </c>
    </row>
    <row r="696" spans="1:4">
      <c r="A696" s="70" t="s">
        <v>233</v>
      </c>
      <c r="B696" s="11">
        <v>27560</v>
      </c>
      <c r="C696" s="11">
        <v>7540</v>
      </c>
      <c r="D696">
        <v>12190000</v>
      </c>
    </row>
    <row r="697" spans="1:4">
      <c r="A697" s="68" t="s">
        <v>234</v>
      </c>
      <c r="B697" s="11">
        <v>27530</v>
      </c>
      <c r="C697" s="11">
        <v>7545</v>
      </c>
      <c r="D697">
        <v>12180000</v>
      </c>
    </row>
    <row r="698" spans="1:4">
      <c r="A698" s="68">
        <v>0.625</v>
      </c>
      <c r="B698" s="11">
        <v>27530</v>
      </c>
      <c r="C698" s="11">
        <v>7550</v>
      </c>
      <c r="D698">
        <v>12190000</v>
      </c>
    </row>
    <row r="699" spans="1:4">
      <c r="A699" s="69" t="s">
        <v>235</v>
      </c>
      <c r="B699" s="11">
        <v>27530</v>
      </c>
      <c r="C699" s="11">
        <v>7570</v>
      </c>
      <c r="D699">
        <v>12210000</v>
      </c>
    </row>
    <row r="700" spans="1:4">
      <c r="A700" s="69" t="s">
        <v>236</v>
      </c>
      <c r="B700" s="11">
        <v>27530</v>
      </c>
      <c r="C700" s="11">
        <v>7570</v>
      </c>
      <c r="D700">
        <v>12200000</v>
      </c>
    </row>
    <row r="703" spans="1:4">
      <c r="A703" s="89" t="s">
        <v>326</v>
      </c>
      <c r="B703" s="89"/>
      <c r="C703" s="89"/>
      <c r="D703" s="89"/>
    </row>
    <row r="704" spans="1:4">
      <c r="A704" s="11" t="s">
        <v>228</v>
      </c>
      <c r="B704" s="11" t="s">
        <v>229</v>
      </c>
      <c r="C704" s="11" t="s">
        <v>230</v>
      </c>
      <c r="D704" s="11" t="s">
        <v>231</v>
      </c>
    </row>
    <row r="705" spans="1:6">
      <c r="A705" s="68">
        <v>0.45833333333333298</v>
      </c>
      <c r="B705" s="11">
        <v>27660</v>
      </c>
      <c r="C705" s="11"/>
      <c r="E705">
        <v>12050000</v>
      </c>
      <c r="F705" t="s">
        <v>327</v>
      </c>
    </row>
    <row r="706" spans="1:6">
      <c r="A706" s="69" t="s">
        <v>232</v>
      </c>
      <c r="B706" s="11">
        <v>27670</v>
      </c>
      <c r="C706" s="11"/>
      <c r="E706">
        <v>12060000</v>
      </c>
      <c r="F706" t="s">
        <v>328</v>
      </c>
    </row>
    <row r="707" spans="1:6">
      <c r="A707" s="70" t="s">
        <v>233</v>
      </c>
      <c r="B707" s="11">
        <v>27620</v>
      </c>
      <c r="C707" s="11"/>
    </row>
    <row r="708" spans="1:6">
      <c r="A708" s="68" t="s">
        <v>234</v>
      </c>
      <c r="B708" s="11">
        <v>27820</v>
      </c>
      <c r="C708" s="11"/>
    </row>
    <row r="709" spans="1:6">
      <c r="A709" s="68">
        <v>0.625</v>
      </c>
      <c r="B709" s="11"/>
      <c r="C709" s="11"/>
    </row>
    <row r="710" spans="1:6">
      <c r="A710" s="69" t="s">
        <v>235</v>
      </c>
      <c r="B710" s="11"/>
      <c r="C710" s="11"/>
    </row>
    <row r="711" spans="1:6">
      <c r="A711" s="69" t="s">
        <v>236</v>
      </c>
      <c r="B711" s="11"/>
      <c r="C711" s="11"/>
    </row>
    <row r="715" spans="1:6">
      <c r="A715" s="89" t="s">
        <v>329</v>
      </c>
      <c r="B715" s="89"/>
      <c r="C715" s="89"/>
      <c r="D715" s="89"/>
    </row>
    <row r="716" spans="1:6">
      <c r="A716" s="11" t="s">
        <v>228</v>
      </c>
      <c r="B716" s="11" t="s">
        <v>229</v>
      </c>
      <c r="C716" s="11" t="s">
        <v>230</v>
      </c>
      <c r="D716" s="11" t="s">
        <v>231</v>
      </c>
    </row>
    <row r="717" spans="1:6">
      <c r="A717" s="68">
        <v>0.45833333333333298</v>
      </c>
      <c r="B717" s="11">
        <v>27800</v>
      </c>
      <c r="C717" s="11">
        <v>7600</v>
      </c>
      <c r="D717">
        <v>12040000</v>
      </c>
    </row>
    <row r="718" spans="1:6">
      <c r="A718" s="69" t="s">
        <v>232</v>
      </c>
      <c r="B718" s="11">
        <v>27780</v>
      </c>
      <c r="C718" s="11">
        <v>7595</v>
      </c>
      <c r="D718">
        <v>12040000</v>
      </c>
    </row>
    <row r="719" spans="1:6">
      <c r="A719" s="70" t="s">
        <v>233</v>
      </c>
      <c r="B719" s="11">
        <v>27750</v>
      </c>
      <c r="C719" s="11">
        <v>7585</v>
      </c>
      <c r="D719">
        <v>12070000</v>
      </c>
    </row>
    <row r="720" spans="1:6">
      <c r="A720" s="68" t="s">
        <v>234</v>
      </c>
      <c r="B720" s="11">
        <v>27830</v>
      </c>
      <c r="C720" s="11">
        <v>7595</v>
      </c>
      <c r="D720">
        <v>12050000</v>
      </c>
    </row>
    <row r="721" spans="1:4">
      <c r="A721" s="68">
        <v>0.625</v>
      </c>
      <c r="B721" s="11">
        <v>27830</v>
      </c>
      <c r="C721" s="11">
        <v>7590</v>
      </c>
      <c r="D721">
        <v>12080000</v>
      </c>
    </row>
    <row r="722" spans="1:4">
      <c r="A722" s="69" t="s">
        <v>235</v>
      </c>
      <c r="B722" s="11">
        <v>27830</v>
      </c>
      <c r="C722" s="11">
        <v>7590</v>
      </c>
      <c r="D722">
        <v>12080000</v>
      </c>
    </row>
    <row r="723" spans="1:4">
      <c r="A723" s="69" t="s">
        <v>236</v>
      </c>
      <c r="B723" s="11">
        <v>27830</v>
      </c>
      <c r="C723" s="11">
        <v>7590</v>
      </c>
      <c r="D723">
        <v>12020000</v>
      </c>
    </row>
    <row r="726" spans="1:4">
      <c r="A726" s="89" t="s">
        <v>330</v>
      </c>
      <c r="B726" s="89"/>
      <c r="C726" s="89"/>
      <c r="D726" s="89"/>
    </row>
    <row r="727" spans="1:4">
      <c r="A727" s="11" t="s">
        <v>228</v>
      </c>
      <c r="B727" s="11" t="s">
        <v>229</v>
      </c>
      <c r="C727" s="11" t="s">
        <v>230</v>
      </c>
      <c r="D727" s="11" t="s">
        <v>231</v>
      </c>
    </row>
    <row r="728" spans="1:4">
      <c r="A728" s="68">
        <v>0.45833333333333298</v>
      </c>
      <c r="B728" s="11">
        <v>27630</v>
      </c>
      <c r="C728" s="11">
        <v>7560</v>
      </c>
      <c r="D728">
        <v>11960000</v>
      </c>
    </row>
    <row r="729" spans="1:4">
      <c r="A729" s="69" t="s">
        <v>232</v>
      </c>
      <c r="B729" s="11">
        <v>27550</v>
      </c>
      <c r="C729" s="11">
        <v>7550</v>
      </c>
      <c r="D729">
        <v>11990000</v>
      </c>
    </row>
    <row r="730" spans="1:4">
      <c r="A730" s="70" t="s">
        <v>233</v>
      </c>
      <c r="B730" s="11">
        <v>27560</v>
      </c>
      <c r="C730" s="11">
        <v>7545</v>
      </c>
      <c r="D730">
        <v>12010000</v>
      </c>
    </row>
    <row r="731" spans="1:4">
      <c r="A731" s="68" t="s">
        <v>234</v>
      </c>
      <c r="B731" s="11">
        <v>27500</v>
      </c>
      <c r="C731" s="11">
        <v>7525</v>
      </c>
      <c r="D731">
        <v>11990000</v>
      </c>
    </row>
    <row r="732" spans="1:4">
      <c r="A732" s="68">
        <v>0.625</v>
      </c>
      <c r="B732" s="11">
        <v>27500</v>
      </c>
      <c r="C732" s="11">
        <v>7530</v>
      </c>
      <c r="D732">
        <v>12020000</v>
      </c>
    </row>
    <row r="733" spans="1:4">
      <c r="A733" s="69" t="s">
        <v>235</v>
      </c>
      <c r="B733" s="11">
        <v>27500</v>
      </c>
      <c r="C733" s="11">
        <v>7535</v>
      </c>
      <c r="D733">
        <v>12000000</v>
      </c>
    </row>
    <row r="734" spans="1:4">
      <c r="A734" s="69" t="s">
        <v>236</v>
      </c>
      <c r="B734" s="11">
        <v>27500</v>
      </c>
      <c r="C734" s="11">
        <v>7535</v>
      </c>
      <c r="D734">
        <v>11990000</v>
      </c>
    </row>
    <row r="738" spans="1:4">
      <c r="A738" s="89" t="s">
        <v>331</v>
      </c>
      <c r="B738" s="89"/>
      <c r="C738" s="89"/>
      <c r="D738" s="89"/>
    </row>
    <row r="739" spans="1:4">
      <c r="A739" s="11" t="s">
        <v>228</v>
      </c>
      <c r="B739" s="11" t="s">
        <v>229</v>
      </c>
      <c r="C739" s="11" t="s">
        <v>230</v>
      </c>
      <c r="D739" s="11" t="s">
        <v>231</v>
      </c>
    </row>
    <row r="740" spans="1:4">
      <c r="A740" s="68">
        <v>0.45833333333333298</v>
      </c>
      <c r="B740" s="11">
        <v>26970</v>
      </c>
      <c r="C740" s="11">
        <v>7400</v>
      </c>
      <c r="D740">
        <v>11770000</v>
      </c>
    </row>
    <row r="741" spans="1:4">
      <c r="A741" s="69" t="s">
        <v>232</v>
      </c>
      <c r="B741" s="11">
        <v>26900</v>
      </c>
      <c r="C741" s="11">
        <v>7390</v>
      </c>
      <c r="D741">
        <v>11780000</v>
      </c>
    </row>
    <row r="742" spans="1:4">
      <c r="A742" s="70" t="s">
        <v>233</v>
      </c>
      <c r="B742" s="11">
        <v>26990</v>
      </c>
      <c r="C742" s="11">
        <v>7430</v>
      </c>
      <c r="D742">
        <v>11790000</v>
      </c>
    </row>
    <row r="743" spans="1:4">
      <c r="A743" s="68" t="s">
        <v>234</v>
      </c>
      <c r="B743" s="11">
        <v>27100</v>
      </c>
      <c r="C743" s="11">
        <v>7430</v>
      </c>
      <c r="D743">
        <v>11810000</v>
      </c>
    </row>
    <row r="744" spans="1:4">
      <c r="A744" s="68">
        <v>0.625</v>
      </c>
      <c r="B744" s="11">
        <v>27100</v>
      </c>
      <c r="C744" s="11">
        <v>7450</v>
      </c>
      <c r="D744">
        <v>11840000</v>
      </c>
    </row>
    <row r="745" spans="1:4">
      <c r="A745" s="69" t="s">
        <v>235</v>
      </c>
      <c r="B745" s="11">
        <v>27100</v>
      </c>
      <c r="C745" s="11">
        <v>7450</v>
      </c>
      <c r="D745">
        <v>11840000</v>
      </c>
    </row>
    <row r="746" spans="1:4">
      <c r="A746" s="69" t="s">
        <v>236</v>
      </c>
      <c r="B746" s="11">
        <v>27100</v>
      </c>
      <c r="C746" s="11">
        <v>7450</v>
      </c>
      <c r="D746">
        <v>11850000</v>
      </c>
    </row>
    <row r="749" spans="1:4">
      <c r="A749" s="89" t="s">
        <v>332</v>
      </c>
      <c r="B749" s="89"/>
      <c r="C749" s="89"/>
      <c r="D749" s="89"/>
    </row>
    <row r="750" spans="1:4">
      <c r="A750" s="11" t="s">
        <v>228</v>
      </c>
      <c r="B750" s="11" t="s">
        <v>229</v>
      </c>
      <c r="C750" s="11" t="s">
        <v>230</v>
      </c>
      <c r="D750" s="11" t="s">
        <v>231</v>
      </c>
    </row>
    <row r="751" spans="1:4">
      <c r="A751" s="68">
        <v>0.45833333333333298</v>
      </c>
      <c r="B751" s="11">
        <v>27410</v>
      </c>
      <c r="C751" s="11">
        <v>7520</v>
      </c>
      <c r="D751">
        <v>11890000</v>
      </c>
    </row>
    <row r="752" spans="1:4">
      <c r="A752" s="69" t="s">
        <v>232</v>
      </c>
      <c r="B752" s="11">
        <v>27390</v>
      </c>
      <c r="C752" s="11">
        <v>7520</v>
      </c>
      <c r="D752">
        <v>11880000</v>
      </c>
    </row>
    <row r="753" spans="1:4">
      <c r="A753" s="70" t="s">
        <v>233</v>
      </c>
      <c r="B753" s="11">
        <v>27420</v>
      </c>
      <c r="C753" s="11">
        <v>7500</v>
      </c>
      <c r="D753">
        <v>11870000</v>
      </c>
    </row>
    <row r="754" spans="1:4">
      <c r="A754" s="68" t="s">
        <v>234</v>
      </c>
      <c r="B754" s="11">
        <v>27370</v>
      </c>
      <c r="C754" s="11">
        <v>7510</v>
      </c>
      <c r="D754">
        <v>11830000</v>
      </c>
    </row>
    <row r="755" spans="1:4">
      <c r="A755" s="68">
        <v>0.625</v>
      </c>
      <c r="B755" s="11">
        <v>27370</v>
      </c>
      <c r="C755" s="11">
        <v>7520</v>
      </c>
      <c r="D755">
        <v>11840000</v>
      </c>
    </row>
    <row r="756" spans="1:4">
      <c r="A756" s="69" t="s">
        <v>235</v>
      </c>
      <c r="B756" s="11">
        <v>27370</v>
      </c>
      <c r="C756" s="11">
        <v>7535</v>
      </c>
      <c r="D756">
        <v>11940000</v>
      </c>
    </row>
    <row r="757" spans="1:4">
      <c r="A757" s="69" t="s">
        <v>236</v>
      </c>
      <c r="B757" s="11">
        <v>27370</v>
      </c>
      <c r="C757" s="11">
        <v>7535</v>
      </c>
      <c r="D757">
        <v>11930000</v>
      </c>
    </row>
    <row r="760" spans="1:4">
      <c r="A760" s="89" t="s">
        <v>333</v>
      </c>
      <c r="B760" s="89"/>
      <c r="C760" s="89"/>
      <c r="D760" s="89"/>
    </row>
    <row r="761" spans="1:4">
      <c r="A761" s="11" t="s">
        <v>228</v>
      </c>
      <c r="B761" s="11" t="s">
        <v>229</v>
      </c>
      <c r="C761" s="11" t="s">
        <v>230</v>
      </c>
      <c r="D761" s="11" t="s">
        <v>231</v>
      </c>
    </row>
    <row r="762" spans="1:4">
      <c r="A762" s="68">
        <v>0.45833333333333298</v>
      </c>
      <c r="B762" s="11">
        <v>27250</v>
      </c>
      <c r="C762" s="11">
        <v>7540</v>
      </c>
      <c r="D762">
        <v>11900000</v>
      </c>
    </row>
    <row r="763" spans="1:4">
      <c r="A763" s="69" t="s">
        <v>232</v>
      </c>
      <c r="B763" s="11">
        <v>27380</v>
      </c>
      <c r="C763" s="11">
        <v>7520</v>
      </c>
      <c r="D763">
        <v>11880000</v>
      </c>
    </row>
    <row r="764" spans="1:4">
      <c r="A764" s="70" t="s">
        <v>233</v>
      </c>
      <c r="B764" s="11">
        <v>27350</v>
      </c>
      <c r="C764" s="11">
        <v>7495</v>
      </c>
      <c r="D764">
        <v>11890000</v>
      </c>
    </row>
    <row r="765" spans="1:4">
      <c r="A765" s="68" t="s">
        <v>234</v>
      </c>
      <c r="B765" s="11">
        <v>27320</v>
      </c>
      <c r="C765" s="11">
        <v>7485</v>
      </c>
      <c r="D765">
        <v>11840000</v>
      </c>
    </row>
    <row r="766" spans="1:4">
      <c r="A766" s="68">
        <v>0.625</v>
      </c>
      <c r="B766" s="11">
        <v>27320</v>
      </c>
      <c r="C766" s="11">
        <v>7485</v>
      </c>
      <c r="D766">
        <v>11830000</v>
      </c>
    </row>
    <row r="767" spans="1:4">
      <c r="A767" s="69" t="s">
        <v>235</v>
      </c>
      <c r="B767" s="11">
        <v>27320</v>
      </c>
      <c r="C767" s="11">
        <v>7485</v>
      </c>
      <c r="D767">
        <v>11840000</v>
      </c>
    </row>
    <row r="768" spans="1:4">
      <c r="A768" s="69" t="s">
        <v>236</v>
      </c>
      <c r="B768" s="11">
        <v>27320</v>
      </c>
      <c r="C768" s="11">
        <v>7485</v>
      </c>
      <c r="D768">
        <v>11840000</v>
      </c>
    </row>
    <row r="772" spans="1:6">
      <c r="A772" s="89" t="s">
        <v>341</v>
      </c>
      <c r="B772" s="89"/>
      <c r="C772" s="89"/>
      <c r="D772" s="89"/>
    </row>
    <row r="773" spans="1:6">
      <c r="A773" s="11" t="s">
        <v>228</v>
      </c>
      <c r="B773" s="11" t="s">
        <v>229</v>
      </c>
      <c r="C773" s="11" t="s">
        <v>230</v>
      </c>
      <c r="D773" s="11" t="s">
        <v>231</v>
      </c>
    </row>
    <row r="774" spans="1:6">
      <c r="A774" s="68">
        <v>0.45833333333333298</v>
      </c>
      <c r="B774" s="11"/>
      <c r="C774" s="11"/>
      <c r="E774">
        <v>11720000</v>
      </c>
      <c r="F774">
        <v>1047</v>
      </c>
    </row>
    <row r="775" spans="1:6">
      <c r="A775" s="69" t="s">
        <v>232</v>
      </c>
      <c r="B775" s="11"/>
      <c r="C775" s="11"/>
      <c r="E775">
        <v>11730000</v>
      </c>
      <c r="F775">
        <v>1202</v>
      </c>
    </row>
    <row r="776" spans="1:6">
      <c r="A776" s="70" t="s">
        <v>233</v>
      </c>
      <c r="B776" s="11"/>
      <c r="C776" s="11"/>
      <c r="E776">
        <v>11710000</v>
      </c>
      <c r="F776" t="s">
        <v>342</v>
      </c>
    </row>
    <row r="777" spans="1:6">
      <c r="A777" s="68" t="s">
        <v>234</v>
      </c>
      <c r="B777" s="11"/>
      <c r="C777" s="11"/>
    </row>
    <row r="778" spans="1:6">
      <c r="A778" s="68">
        <v>0.625</v>
      </c>
      <c r="B778" s="11"/>
      <c r="C778" s="11"/>
    </row>
    <row r="779" spans="1:6">
      <c r="A779" s="69" t="s">
        <v>235</v>
      </c>
      <c r="B779" s="11"/>
      <c r="C779" s="11"/>
    </row>
    <row r="780" spans="1:6">
      <c r="A780" s="69" t="s">
        <v>236</v>
      </c>
      <c r="B780" s="11"/>
      <c r="C780" s="11"/>
    </row>
    <row r="784" spans="1:6">
      <c r="A784" s="89" t="s">
        <v>344</v>
      </c>
      <c r="B784" s="89"/>
      <c r="C784" s="89"/>
      <c r="D784" s="89"/>
    </row>
    <row r="785" spans="1:5">
      <c r="A785" s="11" t="s">
        <v>228</v>
      </c>
      <c r="B785" s="11" t="s">
        <v>229</v>
      </c>
      <c r="C785" s="11" t="s">
        <v>230</v>
      </c>
      <c r="D785" s="11" t="s">
        <v>231</v>
      </c>
    </row>
    <row r="786" spans="1:5">
      <c r="A786" s="68">
        <v>0.45833333333333298</v>
      </c>
      <c r="B786" s="11">
        <v>27470</v>
      </c>
      <c r="C786" s="11">
        <v>7520</v>
      </c>
      <c r="D786" s="1">
        <v>11700000</v>
      </c>
      <c r="E786">
        <v>11700000</v>
      </c>
    </row>
    <row r="787" spans="1:5">
      <c r="A787" s="69" t="s">
        <v>232</v>
      </c>
      <c r="B787" s="11">
        <v>27530</v>
      </c>
      <c r="C787" s="11">
        <v>7520</v>
      </c>
      <c r="D787" s="1">
        <v>11710000</v>
      </c>
      <c r="E787">
        <v>11710000</v>
      </c>
    </row>
    <row r="788" spans="1:5">
      <c r="A788" s="70" t="s">
        <v>233</v>
      </c>
      <c r="B788" s="11">
        <v>27610</v>
      </c>
      <c r="C788" s="11">
        <v>7515</v>
      </c>
      <c r="D788" s="1">
        <v>11740000</v>
      </c>
      <c r="E788">
        <v>11740000</v>
      </c>
    </row>
    <row r="789" spans="1:5">
      <c r="A789" s="68" t="s">
        <v>234</v>
      </c>
      <c r="B789" s="11">
        <v>27600</v>
      </c>
      <c r="C789" s="11">
        <v>7525</v>
      </c>
      <c r="D789" s="1">
        <v>11750000</v>
      </c>
      <c r="E789">
        <v>11750000</v>
      </c>
    </row>
    <row r="790" spans="1:5">
      <c r="A790" s="68">
        <v>0.625</v>
      </c>
      <c r="B790" s="11">
        <v>27620</v>
      </c>
      <c r="C790" s="11">
        <v>7500</v>
      </c>
      <c r="D790" s="1">
        <v>11770000</v>
      </c>
      <c r="E790">
        <v>11770000</v>
      </c>
    </row>
    <row r="791" spans="1:5">
      <c r="A791" s="69" t="s">
        <v>235</v>
      </c>
      <c r="B791" s="11">
        <v>27600</v>
      </c>
      <c r="C791" s="11">
        <v>7495</v>
      </c>
      <c r="D791" s="1">
        <v>11730000</v>
      </c>
      <c r="E791">
        <v>11730000</v>
      </c>
    </row>
    <row r="792" spans="1:5">
      <c r="A792" s="69" t="s">
        <v>236</v>
      </c>
      <c r="B792" s="11">
        <v>27600</v>
      </c>
      <c r="C792" s="11">
        <v>7495</v>
      </c>
      <c r="D792" s="1">
        <v>11710000</v>
      </c>
      <c r="E792">
        <v>11710000</v>
      </c>
    </row>
    <row r="795" spans="1:5">
      <c r="B795" s="1"/>
      <c r="C795" s="1"/>
    </row>
    <row r="796" spans="1:5">
      <c r="A796" s="89" t="s">
        <v>346</v>
      </c>
      <c r="B796" s="89"/>
      <c r="C796" s="89"/>
      <c r="D796" s="89"/>
    </row>
    <row r="797" spans="1:5">
      <c r="A797" s="11" t="s">
        <v>228</v>
      </c>
      <c r="B797" s="11" t="s">
        <v>229</v>
      </c>
      <c r="C797" s="11" t="s">
        <v>230</v>
      </c>
      <c r="D797" s="11" t="s">
        <v>231</v>
      </c>
    </row>
    <row r="798" spans="1:5">
      <c r="A798" s="68">
        <v>0.45833333333333298</v>
      </c>
      <c r="B798" s="11">
        <v>27300</v>
      </c>
      <c r="C798" s="11">
        <v>7500</v>
      </c>
      <c r="D798" s="1">
        <v>11620000</v>
      </c>
    </row>
    <row r="799" spans="1:5">
      <c r="A799" s="69" t="s">
        <v>232</v>
      </c>
      <c r="B799" s="11">
        <v>27340</v>
      </c>
      <c r="C799" s="11">
        <v>7490</v>
      </c>
      <c r="D799" s="1">
        <v>11670000</v>
      </c>
    </row>
    <row r="800" spans="1:5">
      <c r="A800" s="70" t="s">
        <v>233</v>
      </c>
      <c r="B800" s="11">
        <v>27280</v>
      </c>
      <c r="C800" s="11">
        <v>7475</v>
      </c>
      <c r="D800" s="1">
        <v>11650000</v>
      </c>
    </row>
    <row r="801" spans="1:8">
      <c r="A801" s="68" t="s">
        <v>234</v>
      </c>
      <c r="B801" s="11">
        <v>27350</v>
      </c>
      <c r="C801" s="11">
        <v>7485</v>
      </c>
      <c r="D801" s="1">
        <v>11710000</v>
      </c>
      <c r="H801">
        <f>H805*C804</f>
        <v>27510.77</v>
      </c>
    </row>
    <row r="802" spans="1:8">
      <c r="A802" s="68">
        <v>0.625</v>
      </c>
      <c r="B802" s="11">
        <v>27340</v>
      </c>
      <c r="C802" s="11">
        <v>7490</v>
      </c>
      <c r="D802" s="1">
        <v>11710000</v>
      </c>
      <c r="E802" s="88"/>
    </row>
    <row r="803" spans="1:8">
      <c r="A803" s="69" t="s">
        <v>235</v>
      </c>
      <c r="B803" s="11">
        <v>27340</v>
      </c>
      <c r="C803" s="11">
        <v>7490</v>
      </c>
      <c r="D803" s="88">
        <v>11720000</v>
      </c>
      <c r="E803" s="88"/>
    </row>
    <row r="804" spans="1:8">
      <c r="A804" s="69" t="s">
        <v>236</v>
      </c>
      <c r="B804" s="11">
        <v>27340</v>
      </c>
      <c r="C804" s="11">
        <v>7490</v>
      </c>
      <c r="D804" s="88">
        <v>11720000</v>
      </c>
    </row>
    <row r="805" spans="1:8">
      <c r="H805">
        <v>3.673</v>
      </c>
    </row>
  </sheetData>
  <mergeCells count="75">
    <mergeCell ref="A796:D796"/>
    <mergeCell ref="A749:D749"/>
    <mergeCell ref="A760:D760"/>
    <mergeCell ref="A772:D772"/>
    <mergeCell ref="A692:D692"/>
    <mergeCell ref="A703:D703"/>
    <mergeCell ref="A715:D715"/>
    <mergeCell ref="A726:D726"/>
    <mergeCell ref="A738:D738"/>
    <mergeCell ref="A635:D635"/>
    <mergeCell ref="A647:D647"/>
    <mergeCell ref="A658:D658"/>
    <mergeCell ref="A670:D670"/>
    <mergeCell ref="A681:D681"/>
    <mergeCell ref="A579:D579"/>
    <mergeCell ref="A590:D590"/>
    <mergeCell ref="A601:D601"/>
    <mergeCell ref="A612:D612"/>
    <mergeCell ref="A623:D623"/>
    <mergeCell ref="A522:D522"/>
    <mergeCell ref="A533:D533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12:D412"/>
    <mergeCell ref="A423:D423"/>
    <mergeCell ref="A434:D434"/>
    <mergeCell ref="A445:D445"/>
    <mergeCell ref="A456:D456"/>
    <mergeCell ref="A357:D357"/>
    <mergeCell ref="A368:D368"/>
    <mergeCell ref="A379:D379"/>
    <mergeCell ref="A390:D390"/>
    <mergeCell ref="A401:D401"/>
    <mergeCell ref="A303:D303"/>
    <mergeCell ref="A313:D313"/>
    <mergeCell ref="A324:D324"/>
    <mergeCell ref="A335:D335"/>
    <mergeCell ref="A346:D346"/>
    <mergeCell ref="A253:D253"/>
    <mergeCell ref="A263:D263"/>
    <mergeCell ref="A273:D273"/>
    <mergeCell ref="A283:D283"/>
    <mergeCell ref="A293:D29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784:D784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113:D113"/>
    <mergeCell ref="A123:D123"/>
    <mergeCell ref="A133:D133"/>
    <mergeCell ref="A143:D143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72"/>
  <sheetViews>
    <sheetView tabSelected="1" zoomScaleNormal="100" workbookViewId="0">
      <selection activeCell="L73" sqref="L73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334</v>
      </c>
      <c r="D1" t="s">
        <v>335</v>
      </c>
      <c r="E1" t="s">
        <v>336</v>
      </c>
      <c r="F1" t="s">
        <v>337</v>
      </c>
      <c r="G1" t="s">
        <v>248</v>
      </c>
      <c r="H1" t="s">
        <v>338</v>
      </c>
      <c r="I1" t="s">
        <v>339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5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5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72" si="3">(C35-C34)*100/C34</f>
        <v>-1.0141987829614605</v>
      </c>
      <c r="G35">
        <f t="shared" ref="G35:G72" si="4">(D35-D34)*100/D34</f>
        <v>-9.5057034220532313E-2</v>
      </c>
      <c r="H35">
        <f t="shared" ref="H35:H72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1">
        <v>26900</v>
      </c>
      <c r="D58">
        <v>11850000</v>
      </c>
      <c r="E58" s="75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6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6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6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6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6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6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13">
      <c r="B65">
        <v>14000617</v>
      </c>
      <c r="C65" s="76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13">
      <c r="B66">
        <v>14000620</v>
      </c>
      <c r="C66" s="76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13">
      <c r="B67">
        <v>14000621</v>
      </c>
      <c r="C67" s="76">
        <v>27500</v>
      </c>
      <c r="D67">
        <v>11990000</v>
      </c>
      <c r="E67">
        <v>1162098</v>
      </c>
      <c r="F67">
        <f t="shared" si="3"/>
        <v>-1.1857707509881423</v>
      </c>
      <c r="G67">
        <f t="shared" si="4"/>
        <v>-0.24958402662229617</v>
      </c>
      <c r="H67">
        <f t="shared" si="5"/>
        <v>-0.71009365102284761</v>
      </c>
      <c r="I67">
        <v>-2.64</v>
      </c>
    </row>
    <row r="68" spans="2:13">
      <c r="B68">
        <v>14000622</v>
      </c>
      <c r="C68" s="76">
        <v>27100</v>
      </c>
      <c r="D68">
        <v>11850000</v>
      </c>
      <c r="E68">
        <v>1145939</v>
      </c>
      <c r="F68">
        <f t="shared" si="3"/>
        <v>-1.4545454545454546</v>
      </c>
      <c r="G68">
        <f t="shared" si="4"/>
        <v>-1.1676396997497915</v>
      </c>
      <c r="H68">
        <f t="shared" si="5"/>
        <v>-1.3905023500599778</v>
      </c>
      <c r="I68">
        <v>-0.99</v>
      </c>
    </row>
    <row r="69" spans="2:13">
      <c r="B69">
        <v>14000623</v>
      </c>
      <c r="C69" s="76">
        <v>27370</v>
      </c>
      <c r="D69">
        <v>11930000</v>
      </c>
      <c r="E69">
        <v>1161636</v>
      </c>
      <c r="F69">
        <f t="shared" si="3"/>
        <v>0.99630996309963105</v>
      </c>
      <c r="G69">
        <f t="shared" si="4"/>
        <v>0.67510548523206748</v>
      </c>
      <c r="H69">
        <f t="shared" si="5"/>
        <v>1.3697936801173536</v>
      </c>
      <c r="I69">
        <v>1.47</v>
      </c>
    </row>
    <row r="70" spans="2:13">
      <c r="B70">
        <v>14000624</v>
      </c>
      <c r="C70" s="76">
        <v>27320</v>
      </c>
      <c r="D70">
        <v>11840000</v>
      </c>
      <c r="E70">
        <v>1158635</v>
      </c>
      <c r="F70">
        <f t="shared" si="3"/>
        <v>-0.18268176835951772</v>
      </c>
      <c r="G70">
        <f t="shared" si="4"/>
        <v>-0.7544006705783739</v>
      </c>
      <c r="H70">
        <f t="shared" si="5"/>
        <v>-0.25834254448037081</v>
      </c>
      <c r="I70">
        <v>-0.57999999999999996</v>
      </c>
    </row>
    <row r="71" spans="2:13">
      <c r="B71">
        <v>14000627</v>
      </c>
      <c r="C71" s="88">
        <v>27600</v>
      </c>
      <c r="D71">
        <v>11710000</v>
      </c>
      <c r="E71">
        <v>1135320</v>
      </c>
      <c r="F71" s="1">
        <f t="shared" si="3"/>
        <v>1.0248901903367496</v>
      </c>
      <c r="G71" s="1">
        <f t="shared" si="4"/>
        <v>-1.097972972972973</v>
      </c>
      <c r="H71" s="1">
        <f t="shared" si="5"/>
        <v>-2.0122816935445589</v>
      </c>
      <c r="I71">
        <v>-2.5499999999999998</v>
      </c>
    </row>
    <row r="72" spans="2:13">
      <c r="B72">
        <v>14000628</v>
      </c>
      <c r="C72" s="88">
        <v>27340</v>
      </c>
      <c r="D72">
        <v>11720000</v>
      </c>
      <c r="E72">
        <v>1133934</v>
      </c>
      <c r="F72" s="1">
        <f t="shared" si="3"/>
        <v>-0.94202898550724634</v>
      </c>
      <c r="G72" s="1">
        <f t="shared" si="4"/>
        <v>8.5397096498719044E-2</v>
      </c>
      <c r="H72" s="1">
        <f t="shared" si="5"/>
        <v>-0.12208011838072086</v>
      </c>
      <c r="I72">
        <v>-2.0499999999999998</v>
      </c>
      <c r="J72">
        <v>-0.94</v>
      </c>
      <c r="K72">
        <v>0.09</v>
      </c>
      <c r="L72">
        <v>-0.12</v>
      </c>
      <c r="M72">
        <v>-2.0499999999999998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set</vt:lpstr>
      <vt:lpstr>weekly</vt:lpstr>
      <vt:lpstr>tables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1</cp:revision>
  <dcterms:created xsi:type="dcterms:W3CDTF">2021-04-05T10:39:57Z</dcterms:created>
  <dcterms:modified xsi:type="dcterms:W3CDTF">2021-09-19T12:28:23Z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