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tabRatio="500" activeTab="3"/>
  </bookViews>
  <sheets>
    <sheet name="data set" sheetId="1" r:id="rId1"/>
    <sheet name="weekly" sheetId="2" r:id="rId2"/>
    <sheet name="tables" sheetId="3" r:id="rId3"/>
    <sheet name="price change" sheetId="4" r:id="rId4"/>
  </sheets>
  <definedNames>
    <definedName name="_xlnm._FilterDatabase" localSheetId="0" hidden="1">'data set'!$A$1:$BL$138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3" i="4" l="1"/>
  <c r="G73" i="4"/>
  <c r="F73" i="4"/>
  <c r="G138" i="1"/>
  <c r="G134" i="1"/>
  <c r="D822" i="3" l="1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8" i="2"/>
  <c r="G37" i="2"/>
  <c r="G36" i="2"/>
  <c r="G35" i="2"/>
  <c r="G34" i="2"/>
  <c r="G33" i="2"/>
  <c r="G32" i="2"/>
  <c r="G31" i="2"/>
  <c r="G30" i="2"/>
  <c r="D26" i="2"/>
  <c r="C26" i="2"/>
  <c r="B26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0" i="2" s="1"/>
  <c r="G16" i="2"/>
  <c r="E16" i="2"/>
  <c r="C3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38" i="1"/>
  <c r="AW141" i="1" s="1"/>
  <c r="AU138" i="1"/>
  <c r="BB137" i="1"/>
  <c r="AY136" i="1"/>
  <c r="BJ134" i="1"/>
  <c r="BI134" i="1"/>
  <c r="K134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34" i="1" l="1"/>
  <c r="S1" i="1" s="1"/>
  <c r="M134" i="1"/>
  <c r="U1" i="1" s="1"/>
</calcChain>
</file>

<file path=xl/sharedStrings.xml><?xml version="1.0" encoding="utf-8"?>
<sst xmlns="http://schemas.openxmlformats.org/spreadsheetml/2006/main" count="1062" uniqueCount="350">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</sst>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0" fillId="6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449478230183699E-2"/>
          <c:y val="0.100724409448819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5714032"/>
        <c:axId val="-1315712944"/>
      </c:lineChart>
      <c:catAx>
        <c:axId val="-131571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12944"/>
        <c:crosses val="autoZero"/>
        <c:auto val="1"/>
        <c:lblAlgn val="ctr"/>
        <c:lblOffset val="100"/>
        <c:noMultiLvlLbl val="0"/>
      </c:catAx>
      <c:valAx>
        <c:axId val="-13157129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1403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22 هفته گذشته (تومان)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weekly!$B$4:$B$25</c:f>
              <c:numCache>
                <c:formatCode>General</c:formatCode>
                <c:ptCount val="22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weekly!$H$4:$H$25</c:f>
              <c:numCache>
                <c:formatCode>General</c:formatCode>
                <c:ptCount val="22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10"/>
              <c:layout>
                <c:manualLayout>
                  <c:x val="-5.2139621201957034E-4"/>
                  <c:y val="-6.377744918954533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weekly!$J$4:$J$25</c:f>
              <c:numCache>
                <c:formatCode>General</c:formatCode>
                <c:ptCount val="22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5708592"/>
        <c:axId val="-1315717840"/>
      </c:lineChart>
      <c:catAx>
        <c:axId val="-131570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1315717840"/>
        <c:crosses val="autoZero"/>
        <c:auto val="1"/>
        <c:lblAlgn val="ctr"/>
        <c:lblOffset val="100"/>
        <c:noMultiLvlLbl val="0"/>
      </c:catAx>
      <c:valAx>
        <c:axId val="-1315717840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0859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</a:t>
            </a:r>
            <a:r>
              <a:rPr lang="en-US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22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 هفته گذشته(تومان)</a:t>
            </a:r>
          </a:p>
        </c:rich>
      </c:tx>
      <c:layout>
        <c:manualLayout>
          <c:xMode val="edge"/>
          <c:yMode val="edge"/>
          <c:x val="0.36083736827114798"/>
          <c:y val="3.0269307812152198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07035032754201E-2"/>
          <c:y val="8.3982491282736105E-2"/>
          <c:w val="0.96032469381942498"/>
          <c:h val="0.7437495363157500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weekly!$C$4:$C$25</c:f>
              <c:numCache>
                <c:formatCode>General</c:formatCode>
                <c:ptCount val="22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70E-43DD-A876-E3498ED2CF88}"/>
            </c:ext>
          </c:extLst>
        </c:ser>
        <c:ser>
          <c:idx val="1"/>
          <c:order val="1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marker>
            <c:symbol val="none"/>
          </c:marker>
          <c:dLbls>
            <c:spPr>
              <a:blipFill>
                <a:blip xmlns:r="http://schemas.openxmlformats.org/officeDocument/2006/relationships" r:embed="rId1"/>
                <a:tile tx="0" ty="0" sx="100000" sy="100000" flip="none" algn="tl"/>
              </a:blip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weekly!$I$4:$I$25</c:f>
              <c:numCache>
                <c:formatCode>General</c:formatCode>
                <c:ptCount val="22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70E-43DD-A876-E3498ED2CF88}"/>
            </c:ext>
          </c:extLst>
        </c:ser>
        <c:ser>
          <c:idx val="2"/>
          <c:order val="2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weekly!$K$4:$K$25</c:f>
              <c:numCache>
                <c:formatCode>General</c:formatCode>
                <c:ptCount val="22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70E-43DD-A876-E3498ED2C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5707504"/>
        <c:axId val="-1315706960"/>
      </c:lineChart>
      <c:catAx>
        <c:axId val="-131570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06960"/>
        <c:crosses val="autoZero"/>
        <c:auto val="1"/>
        <c:lblAlgn val="ctr"/>
        <c:lblOffset val="100"/>
        <c:noMultiLvlLbl val="0"/>
      </c:catAx>
      <c:valAx>
        <c:axId val="-1315706960"/>
        <c:scaling>
          <c:orientation val="minMax"/>
          <c:max val="34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07504"/>
        <c:crosses val="autoZero"/>
        <c:crossBetween val="between"/>
        <c:majorUnit val="2000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پنجم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3893246870969E-2"/>
          <c:y val="0.12340472755520999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weekly!$D$2:$D$25</c:f>
              <c:numCache>
                <c:formatCode>General</c:formatCode>
                <c:ptCount val="2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5710224"/>
        <c:axId val="-1315715120"/>
      </c:lineChart>
      <c:catAx>
        <c:axId val="-131571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15120"/>
        <c:crosses val="autoZero"/>
        <c:auto val="1"/>
        <c:lblAlgn val="ctr"/>
        <c:lblOffset val="100"/>
        <c:noMultiLvlLbl val="0"/>
      </c:catAx>
      <c:valAx>
        <c:axId val="-13157151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1022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5711312"/>
        <c:axId val="-1315710768"/>
      </c:lineChart>
      <c:catAx>
        <c:axId val="-131571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10768"/>
        <c:crosses val="autoZero"/>
        <c:auto val="1"/>
        <c:lblAlgn val="ctr"/>
        <c:lblOffset val="100"/>
        <c:noMultiLvlLbl val="0"/>
      </c:catAx>
      <c:valAx>
        <c:axId val="-13157107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113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پنجم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layout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weekly!$F$2:$F$25</c:f>
              <c:numCache>
                <c:formatCode>General</c:formatCode>
                <c:ptCount val="2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5708048"/>
        <c:axId val="-1315721104"/>
      </c:lineChart>
      <c:catAx>
        <c:axId val="-131570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21104"/>
        <c:crosses val="autoZero"/>
        <c:auto val="1"/>
        <c:lblAlgn val="ctr"/>
        <c:lblOffset val="100"/>
        <c:noMultiLvlLbl val="0"/>
      </c:catAx>
      <c:valAx>
        <c:axId val="-13157211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08048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بازارها(دوشنبه 29 شهریور سال 1400)</a:t>
            </a:r>
          </a:p>
        </c:rich>
      </c:tx>
      <c:layout>
        <c:manualLayout>
          <c:xMode val="edge"/>
          <c:yMode val="edge"/>
          <c:x val="5.7149046793760802E-2"/>
          <c:y val="3.17877891044612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change'!$F$73:$I$73</c:f>
              <c:numCache>
                <c:formatCode>General</c:formatCode>
                <c:ptCount val="4"/>
                <c:pt idx="0">
                  <c:v>0.14630577907827358</c:v>
                </c:pt>
                <c:pt idx="1">
                  <c:v>-0.76791808873720135</c:v>
                </c:pt>
                <c:pt idx="2">
                  <c:v>-0.48856459017896986</c:v>
                </c:pt>
                <c:pt idx="3">
                  <c:v>0.51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15706416"/>
        <c:axId val="-13157058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31570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05872"/>
        <c:crosses val="autoZero"/>
        <c:auto val="1"/>
        <c:lblAlgn val="ctr"/>
        <c:lblOffset val="100"/>
        <c:noMultiLvlLbl val="0"/>
      </c:catAx>
      <c:valAx>
        <c:axId val="-13157058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157064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283</xdr:row>
      <xdr:rowOff>102840</xdr:rowOff>
    </xdr:from>
    <xdr:to>
      <xdr:col>10</xdr:col>
      <xdr:colOff>770880</xdr:colOff>
      <xdr:row>313</xdr:row>
      <xdr:rowOff>102480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387927</xdr:colOff>
      <xdr:row>29</xdr:row>
      <xdr:rowOff>138544</xdr:rowOff>
    </xdr:from>
    <xdr:to>
      <xdr:col>24</xdr:col>
      <xdr:colOff>193963</xdr:colOff>
      <xdr:row>69</xdr:row>
      <xdr:rowOff>124691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374073</xdr:colOff>
      <xdr:row>71</xdr:row>
      <xdr:rowOff>113998</xdr:rowOff>
    </xdr:from>
    <xdr:to>
      <xdr:col>24</xdr:col>
      <xdr:colOff>166254</xdr:colOff>
      <xdr:row>110</xdr:row>
      <xdr:rowOff>124690</xdr:rowOff>
    </xdr:to>
    <xdr:graphicFrame macro="">
      <xdr:nvGraphicFramePr>
        <xdr:cNvPr id="4" name="Chart 5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654</xdr:colOff>
      <xdr:row>112</xdr:row>
      <xdr:rowOff>1996</xdr:rowOff>
    </xdr:from>
    <xdr:to>
      <xdr:col>15</xdr:col>
      <xdr:colOff>512617</xdr:colOff>
      <xdr:row>146</xdr:row>
      <xdr:rowOff>12436</xdr:rowOff>
    </xdr:to>
    <xdr:graphicFrame macro="">
      <xdr:nvGraphicFramePr>
        <xdr:cNvPr id="5" name="Chart 6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455062</xdr:colOff>
      <xdr:row>245</xdr:row>
      <xdr:rowOff>76200</xdr:rowOff>
    </xdr:from>
    <xdr:to>
      <xdr:col>11</xdr:col>
      <xdr:colOff>381000</xdr:colOff>
      <xdr:row>275</xdr:row>
      <xdr:rowOff>15872</xdr:rowOff>
    </xdr:to>
    <xdr:graphicFrame macro="">
      <xdr:nvGraphicFramePr>
        <xdr:cNvPr id="6" name="Chart 7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13855</xdr:colOff>
      <xdr:row>150</xdr:row>
      <xdr:rowOff>38214</xdr:rowOff>
    </xdr:from>
    <xdr:to>
      <xdr:col>15</xdr:col>
      <xdr:colOff>512618</xdr:colOff>
      <xdr:row>180</xdr:row>
      <xdr:rowOff>55418</xdr:rowOff>
    </xdr:to>
    <xdr:graphicFrame macro="">
      <xdr:nvGraphicFramePr>
        <xdr:cNvPr id="7" name="Chart 8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495150</xdr:colOff>
      <xdr:row>5</xdr:row>
      <xdr:rowOff>90</xdr:rowOff>
    </xdr:from>
    <xdr:to>
      <xdr:col>9</xdr:col>
      <xdr:colOff>532950</xdr:colOff>
      <xdr:row>22</xdr:row>
      <xdr:rowOff>45450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3"/>
  <sheetViews>
    <sheetView topLeftCell="B127" zoomScaleNormal="100" workbookViewId="0">
      <selection activeCell="F135" sqref="F135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L134/G134</f>
        <v>3163887.9082857207</v>
      </c>
      <c r="T1" s="4" t="s">
        <v>15</v>
      </c>
      <c r="U1" s="4">
        <f>M134/K134</f>
        <v>29566.96971598683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K134/K62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2" si="19">F98*G98</f>
        <v>92308365600</v>
      </c>
      <c r="M98" s="13">
        <f t="shared" ref="M98:M132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86" customFormat="1" ht="21" customHeight="1">
      <c r="A133" s="83"/>
      <c r="B133" s="94" t="s">
        <v>348</v>
      </c>
      <c r="C133" s="84">
        <v>29</v>
      </c>
      <c r="D133" s="85">
        <v>26376</v>
      </c>
      <c r="E133" s="84">
        <v>26232</v>
      </c>
      <c r="F133" s="84">
        <v>26276</v>
      </c>
      <c r="G133" s="84">
        <v>8995300</v>
      </c>
      <c r="H133" s="84">
        <v>31069</v>
      </c>
      <c r="I133" s="84">
        <v>31447</v>
      </c>
      <c r="J133" s="84">
        <v>31304</v>
      </c>
      <c r="K133" s="84">
        <v>356800</v>
      </c>
      <c r="L133" s="90"/>
      <c r="M133" s="90"/>
      <c r="N133" s="86">
        <v>26494</v>
      </c>
      <c r="O133" s="86">
        <v>31761</v>
      </c>
      <c r="P133" s="86">
        <v>26639</v>
      </c>
      <c r="Q133" s="86">
        <v>31380</v>
      </c>
      <c r="R133" s="84"/>
      <c r="S133" s="84"/>
      <c r="T133" s="84"/>
      <c r="U133" s="84"/>
      <c r="V133" s="86">
        <v>27400</v>
      </c>
      <c r="X133" s="86">
        <v>27380</v>
      </c>
      <c r="Y133" s="86">
        <v>32093</v>
      </c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  <c r="AL133" s="84"/>
      <c r="AM133" s="84"/>
      <c r="AN133" s="84"/>
      <c r="AO133" s="84"/>
      <c r="AP133" s="84"/>
      <c r="AQ133" s="84"/>
      <c r="AR133" s="84"/>
      <c r="AS133" s="85"/>
      <c r="AT133" s="85"/>
      <c r="AU133" s="85"/>
      <c r="AV133" s="85"/>
      <c r="AW133" s="85"/>
      <c r="AX133" s="85"/>
      <c r="AY133" s="84"/>
      <c r="AZ133" s="84"/>
      <c r="BA133" s="84"/>
      <c r="BB133" s="84"/>
      <c r="BC133" s="84"/>
      <c r="BE133" s="87"/>
      <c r="BF133" s="87"/>
      <c r="BG133" s="87"/>
      <c r="BH133" s="87"/>
    </row>
    <row r="134" spans="1:62" ht="18">
      <c r="A134" s="8"/>
      <c r="B134" s="9"/>
      <c r="C134" s="9"/>
      <c r="D134" s="27"/>
      <c r="E134" s="9"/>
      <c r="F134" s="9"/>
      <c r="G134" s="9">
        <f>SUM(G2:G133)/132</f>
        <v>6007666.6590909092</v>
      </c>
      <c r="H134" s="9"/>
      <c r="I134" s="9"/>
      <c r="J134" s="9"/>
      <c r="K134" s="9">
        <f>SUM(K2:K126)</f>
        <v>125564600</v>
      </c>
      <c r="L134" s="9">
        <f>SUM(L2:L132)</f>
        <v>19007583899709</v>
      </c>
      <c r="M134" s="10">
        <f>SUM(M2:M132)</f>
        <v>3712564725600</v>
      </c>
      <c r="N134" s="10"/>
      <c r="O134" s="10"/>
      <c r="P134" s="10"/>
      <c r="Q134" s="10"/>
      <c r="R134" s="10"/>
      <c r="S134" s="10"/>
      <c r="T134" s="10"/>
      <c r="U134" s="10"/>
      <c r="V134" s="60">
        <v>27410</v>
      </c>
      <c r="W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Y134" s="10"/>
      <c r="AZ134" s="10"/>
      <c r="BA134" s="10"/>
      <c r="BB134" s="10"/>
      <c r="BC134" s="10"/>
      <c r="BD134" s="10"/>
      <c r="BE134" s="11"/>
      <c r="BF134" s="11"/>
      <c r="BG134" s="11"/>
      <c r="BH134" s="11"/>
      <c r="BI134" t="e">
        <f>#REF!-N134</f>
        <v>#REF!</v>
      </c>
      <c r="BJ134" t="e">
        <f>(Y134-O134)/O134</f>
        <v>#DIV/0!</v>
      </c>
    </row>
    <row r="135" spans="1:62" ht="18">
      <c r="D135" s="27"/>
      <c r="V135" s="66">
        <v>27380</v>
      </c>
      <c r="Z135" s="26"/>
      <c r="AB135" s="26"/>
      <c r="AS135" s="26"/>
      <c r="AW135" s="31"/>
    </row>
    <row r="136" spans="1:62" ht="18">
      <c r="D136" s="27"/>
      <c r="V136">
        <v>27360</v>
      </c>
      <c r="Z136" s="26"/>
      <c r="AS136" s="27"/>
      <c r="AW136" s="31"/>
      <c r="AY136">
        <f>AY51-AY50</f>
        <v>35000</v>
      </c>
    </row>
    <row r="137" spans="1:62" ht="18">
      <c r="V137">
        <v>27370</v>
      </c>
      <c r="Z137" s="26"/>
      <c r="AS137" s="27">
        <v>10290000</v>
      </c>
      <c r="AW137" s="31"/>
      <c r="BB137">
        <f>AY60-AY59</f>
        <v>70000</v>
      </c>
    </row>
    <row r="138" spans="1:62" ht="18">
      <c r="G138">
        <f>(G133-G134)/G134</f>
        <v>0.49730344748541438</v>
      </c>
      <c r="V138" s="26"/>
      <c r="Z138" s="26"/>
      <c r="AS138" s="27"/>
      <c r="AU138">
        <f>AS137-AS49</f>
        <v>195000</v>
      </c>
      <c r="AW138" s="31">
        <f>AC52-AY51</f>
        <v>305000</v>
      </c>
    </row>
    <row r="139" spans="1:62" ht="18">
      <c r="V139" s="26"/>
      <c r="Z139" s="26"/>
      <c r="AW139" s="31"/>
    </row>
    <row r="140" spans="1:62" ht="17.25" customHeight="1">
      <c r="V140" s="26"/>
      <c r="Z140" s="26"/>
    </row>
    <row r="141" spans="1:62" ht="18">
      <c r="V141" s="26"/>
      <c r="Z141" s="26"/>
      <c r="AW141">
        <f>AW138/AY51</f>
        <v>2.9539951573849879E-2</v>
      </c>
    </row>
    <row r="142" spans="1:62" ht="18">
      <c r="V142" s="26"/>
    </row>
    <row r="143" spans="1:62" ht="18">
      <c r="V143" s="26"/>
    </row>
  </sheetData>
  <autoFilter ref="A1:BL138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121" zoomScale="55" zoomScaleNormal="55" workbookViewId="0">
      <selection activeCell="A132" sqref="A132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>
      <c r="B26">
        <f>(B2-B8)/B2</f>
        <v>0.15346494762288476</v>
      </c>
      <c r="C26">
        <f>(C2-C8)/C2</f>
        <v>0.1154959674639829</v>
      </c>
      <c r="D26">
        <f>SUM(D2:D16)/15</f>
        <v>29639479.933333334</v>
      </c>
    </row>
    <row r="30" spans="1:11">
      <c r="D30">
        <v>5375132</v>
      </c>
      <c r="E30">
        <f>(E17-D30)/D30</f>
        <v>4.5958809321644006E-2</v>
      </c>
      <c r="G30">
        <f t="shared" ref="G30:G38" si="0">B3-B2</f>
        <v>-554</v>
      </c>
    </row>
    <row r="31" spans="1:11">
      <c r="G31">
        <f t="shared" si="0"/>
        <v>-302</v>
      </c>
    </row>
    <row r="32" spans="1:11">
      <c r="C32">
        <f>(D30-E16)/E16</f>
        <v>0.17110375179746395</v>
      </c>
      <c r="G32">
        <f t="shared" si="0"/>
        <v>-511</v>
      </c>
    </row>
    <row r="33" spans="7:7">
      <c r="G33">
        <f t="shared" si="0"/>
        <v>-362</v>
      </c>
    </row>
    <row r="34" spans="7:7">
      <c r="G34">
        <f t="shared" si="0"/>
        <v>-1699</v>
      </c>
    </row>
    <row r="35" spans="7:7">
      <c r="G35">
        <f t="shared" si="0"/>
        <v>-381</v>
      </c>
    </row>
    <row r="36" spans="7:7">
      <c r="G36">
        <f t="shared" si="0"/>
        <v>1075</v>
      </c>
    </row>
    <row r="37" spans="7:7">
      <c r="G37">
        <f t="shared" si="0"/>
        <v>151</v>
      </c>
    </row>
    <row r="38" spans="7:7">
      <c r="G38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22"/>
  <sheetViews>
    <sheetView topLeftCell="A806" zoomScaleNormal="100" workbookViewId="0">
      <selection activeCell="C820" sqref="C820"/>
    </sheetView>
  </sheetViews>
  <sheetFormatPr defaultColWidth="8.5703125" defaultRowHeight="15"/>
  <cols>
    <col min="2" max="3" width="19.7109375" customWidth="1"/>
    <col min="4" max="4" width="15.855468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95" t="s">
        <v>227</v>
      </c>
      <c r="B1" s="95"/>
      <c r="C1" s="95"/>
      <c r="D1" s="95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95" t="s">
        <v>237</v>
      </c>
      <c r="B11" s="95"/>
      <c r="C11" s="95"/>
      <c r="D11" s="95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95" t="s">
        <v>239</v>
      </c>
      <c r="B21" s="95"/>
      <c r="C21" s="95"/>
      <c r="D21" s="95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95" t="s">
        <v>240</v>
      </c>
      <c r="B31" s="95"/>
      <c r="C31" s="95"/>
      <c r="D31" s="95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95" t="s">
        <v>241</v>
      </c>
      <c r="B41" s="95"/>
      <c r="C41" s="95"/>
      <c r="D41" s="95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95" t="s">
        <v>243</v>
      </c>
      <c r="B51" s="95"/>
      <c r="C51" s="95"/>
      <c r="D51" s="95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95" t="s">
        <v>244</v>
      </c>
      <c r="B61" s="95"/>
      <c r="C61" s="95"/>
      <c r="D61" s="95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95" t="s">
        <v>245</v>
      </c>
      <c r="B71" s="95"/>
      <c r="C71" s="95"/>
      <c r="D71" s="95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95" t="s">
        <v>246</v>
      </c>
      <c r="B81" s="95"/>
      <c r="C81" s="95"/>
      <c r="D81" s="95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95" t="s">
        <v>250</v>
      </c>
      <c r="B93" s="95"/>
      <c r="C93" s="95"/>
      <c r="D93" s="95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95" t="s">
        <v>251</v>
      </c>
      <c r="B103" s="95"/>
      <c r="C103" s="95"/>
      <c r="D103" s="95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95" t="s">
        <v>253</v>
      </c>
      <c r="B113" s="95"/>
      <c r="C113" s="95"/>
      <c r="D113" s="95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95" t="s">
        <v>254</v>
      </c>
      <c r="B123" s="95"/>
      <c r="C123" s="95"/>
      <c r="D123" s="95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95" t="s">
        <v>255</v>
      </c>
      <c r="B133" s="95"/>
      <c r="C133" s="95"/>
      <c r="D133" s="95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95" t="s">
        <v>256</v>
      </c>
      <c r="B143" s="95"/>
      <c r="C143" s="95"/>
      <c r="D143" s="95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95" t="s">
        <v>258</v>
      </c>
      <c r="B153" s="95"/>
      <c r="C153" s="95"/>
      <c r="D153" s="95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95" t="s">
        <v>259</v>
      </c>
      <c r="B163" s="95"/>
      <c r="C163" s="95"/>
      <c r="D163" s="95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95" t="s">
        <v>260</v>
      </c>
      <c r="B173" s="95"/>
      <c r="C173" s="95"/>
      <c r="D173" s="95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95" t="s">
        <v>261</v>
      </c>
      <c r="B183" s="95"/>
      <c r="C183" s="95"/>
      <c r="D183" s="95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95" t="s">
        <v>262</v>
      </c>
      <c r="B193" s="95"/>
      <c r="C193" s="95"/>
      <c r="D193" s="95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95" t="s">
        <v>263</v>
      </c>
      <c r="B203" s="95"/>
      <c r="C203" s="95"/>
      <c r="D203" s="95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95" t="s">
        <v>264</v>
      </c>
      <c r="B213" s="95"/>
      <c r="C213" s="95"/>
      <c r="D213" s="95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95" t="s">
        <v>265</v>
      </c>
      <c r="B223" s="95"/>
      <c r="C223" s="95"/>
      <c r="D223" s="95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95" t="s">
        <v>266</v>
      </c>
      <c r="B233" s="95"/>
      <c r="C233" s="95"/>
      <c r="D233" s="95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95" t="s">
        <v>267</v>
      </c>
      <c r="B243" s="95"/>
      <c r="C243" s="95"/>
      <c r="D243" s="95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95" t="s">
        <v>268</v>
      </c>
      <c r="B253" s="95"/>
      <c r="C253" s="95"/>
      <c r="D253" s="95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95" t="s">
        <v>269</v>
      </c>
      <c r="B263" s="95"/>
      <c r="C263" s="95"/>
      <c r="D263" s="95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95" t="s">
        <v>270</v>
      </c>
      <c r="B273" s="95"/>
      <c r="C273" s="95"/>
      <c r="D273" s="95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95" t="s">
        <v>271</v>
      </c>
      <c r="B283" s="95"/>
      <c r="C283" s="95"/>
      <c r="D283" s="95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95" t="s">
        <v>272</v>
      </c>
      <c r="B293" s="95"/>
      <c r="C293" s="95"/>
      <c r="D293" s="95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95" t="s">
        <v>273</v>
      </c>
      <c r="B303" s="95"/>
      <c r="C303" s="95"/>
      <c r="D303" s="95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95" t="s">
        <v>277</v>
      </c>
      <c r="B313" s="95"/>
      <c r="C313" s="95"/>
      <c r="D313" s="95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95" t="s">
        <v>281</v>
      </c>
      <c r="B324" s="95"/>
      <c r="C324" s="95"/>
      <c r="D324" s="95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95" t="s">
        <v>284</v>
      </c>
      <c r="B335" s="95"/>
      <c r="C335" s="95"/>
      <c r="D335" s="95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95" t="s">
        <v>285</v>
      </c>
      <c r="B346" s="95"/>
      <c r="C346" s="95"/>
      <c r="D346" s="95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95" t="s">
        <v>286</v>
      </c>
      <c r="B357" s="95"/>
      <c r="C357" s="95"/>
      <c r="D357" s="95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95" t="s">
        <v>287</v>
      </c>
      <c r="B368" s="95"/>
      <c r="C368" s="95"/>
      <c r="D368" s="95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95" t="s">
        <v>288</v>
      </c>
      <c r="B379" s="95"/>
      <c r="C379" s="95"/>
      <c r="D379" s="95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95" t="s">
        <v>289</v>
      </c>
      <c r="B390" s="95"/>
      <c r="C390" s="95"/>
      <c r="D390" s="95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95" t="s">
        <v>290</v>
      </c>
      <c r="B401" s="95"/>
      <c r="C401" s="95"/>
      <c r="D401" s="95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95" t="s">
        <v>291</v>
      </c>
      <c r="B412" s="95"/>
      <c r="C412" s="95"/>
      <c r="D412" s="95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95" t="s">
        <v>292</v>
      </c>
      <c r="B423" s="95"/>
      <c r="C423" s="95"/>
      <c r="D423" s="95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95" t="s">
        <v>296</v>
      </c>
      <c r="B434" s="95"/>
      <c r="C434" s="95"/>
      <c r="D434" s="95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95" t="s">
        <v>297</v>
      </c>
      <c r="B445" s="95"/>
      <c r="C445" s="95"/>
      <c r="D445" s="95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95" t="s">
        <v>298</v>
      </c>
      <c r="B456" s="95"/>
      <c r="C456" s="95"/>
      <c r="D456" s="95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95" t="s">
        <v>299</v>
      </c>
      <c r="B467" s="95"/>
      <c r="C467" s="95"/>
      <c r="D467" s="95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95" t="s">
        <v>300</v>
      </c>
      <c r="B478" s="95"/>
      <c r="C478" s="95"/>
      <c r="D478" s="95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95" t="s">
        <v>301</v>
      </c>
      <c r="B489" s="95"/>
      <c r="C489" s="95"/>
      <c r="D489" s="95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95" t="s">
        <v>304</v>
      </c>
      <c r="B500" s="95"/>
      <c r="C500" s="95"/>
      <c r="D500" s="95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95" t="s">
        <v>305</v>
      </c>
      <c r="B511" s="95"/>
      <c r="C511" s="95"/>
      <c r="D511" s="95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95" t="s">
        <v>306</v>
      </c>
      <c r="B522" s="95"/>
      <c r="C522" s="95"/>
      <c r="D522" s="95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95" t="s">
        <v>307</v>
      </c>
      <c r="B533" s="95"/>
      <c r="C533" s="95"/>
      <c r="D533" s="95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95" t="s">
        <v>308</v>
      </c>
      <c r="B544" s="95"/>
      <c r="C544" s="95"/>
      <c r="D544" s="95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95" t="s">
        <v>309</v>
      </c>
      <c r="B555" s="95"/>
      <c r="C555" s="95"/>
      <c r="D555" s="95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95" t="s">
        <v>309</v>
      </c>
      <c r="B567" s="95"/>
      <c r="C567" s="95"/>
      <c r="D567" s="95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95" t="s">
        <v>314</v>
      </c>
      <c r="B579" s="95"/>
      <c r="C579" s="95"/>
      <c r="D579" s="95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95" t="s">
        <v>315</v>
      </c>
      <c r="B590" s="95"/>
      <c r="C590" s="95"/>
      <c r="D590" s="95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95" t="s">
        <v>316</v>
      </c>
      <c r="B601" s="95"/>
      <c r="C601" s="95"/>
      <c r="D601" s="95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95" t="s">
        <v>317</v>
      </c>
      <c r="B612" s="95"/>
      <c r="C612" s="95"/>
      <c r="D612" s="95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95" t="s">
        <v>318</v>
      </c>
      <c r="B623" s="95"/>
      <c r="C623" s="95"/>
      <c r="D623" s="95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95" t="s">
        <v>319</v>
      </c>
      <c r="B635" s="95"/>
      <c r="C635" s="95"/>
      <c r="D635" s="95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95" t="s">
        <v>321</v>
      </c>
      <c r="B647" s="95"/>
      <c r="C647" s="95"/>
      <c r="D647" s="95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95" t="s">
        <v>322</v>
      </c>
      <c r="B658" s="95"/>
      <c r="C658" s="95"/>
      <c r="D658" s="95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95" t="s">
        <v>323</v>
      </c>
      <c r="B670" s="95"/>
      <c r="C670" s="95"/>
      <c r="D670" s="95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95" t="s">
        <v>324</v>
      </c>
      <c r="B681" s="95"/>
      <c r="C681" s="95"/>
      <c r="D681" s="95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95" t="s">
        <v>325</v>
      </c>
      <c r="B692" s="95"/>
      <c r="C692" s="95"/>
      <c r="D692" s="95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95" t="s">
        <v>326</v>
      </c>
      <c r="B703" s="95"/>
      <c r="C703" s="95"/>
      <c r="D703" s="95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95" t="s">
        <v>329</v>
      </c>
      <c r="B715" s="95"/>
      <c r="C715" s="95"/>
      <c r="D715" s="95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95" t="s">
        <v>330</v>
      </c>
      <c r="B726" s="95"/>
      <c r="C726" s="95"/>
      <c r="D726" s="95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95" t="s">
        <v>331</v>
      </c>
      <c r="B738" s="95"/>
      <c r="C738" s="95"/>
      <c r="D738" s="95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95" t="s">
        <v>332</v>
      </c>
      <c r="B749" s="95"/>
      <c r="C749" s="95"/>
      <c r="D749" s="95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95" t="s">
        <v>333</v>
      </c>
      <c r="B760" s="95"/>
      <c r="C760" s="95"/>
      <c r="D760" s="95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95" t="s">
        <v>341</v>
      </c>
      <c r="B772" s="95"/>
      <c r="C772" s="95"/>
      <c r="D772" s="95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95" t="s">
        <v>344</v>
      </c>
      <c r="B784" s="95"/>
      <c r="C784" s="95"/>
      <c r="D784" s="95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95" t="s">
        <v>346</v>
      </c>
      <c r="B796" s="95"/>
      <c r="C796" s="95"/>
      <c r="D796" s="95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95" t="s">
        <v>349</v>
      </c>
      <c r="B809" s="95"/>
      <c r="C809" s="95"/>
      <c r="D809" s="95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1" spans="1:5">
      <c r="D821">
        <v>3.673</v>
      </c>
    </row>
    <row r="822" spans="1:5">
      <c r="D822">
        <f>C817*D821</f>
        <v>27418.945</v>
      </c>
    </row>
  </sheetData>
  <mergeCells count="76">
    <mergeCell ref="A796:D796"/>
    <mergeCell ref="A749:D749"/>
    <mergeCell ref="A760:D760"/>
    <mergeCell ref="A772:D772"/>
    <mergeCell ref="A692:D692"/>
    <mergeCell ref="A703:D703"/>
    <mergeCell ref="A715:D715"/>
    <mergeCell ref="A726:D726"/>
    <mergeCell ref="A738:D738"/>
    <mergeCell ref="A784:D784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303:D303"/>
    <mergeCell ref="A313:D313"/>
    <mergeCell ref="A324:D324"/>
    <mergeCell ref="A335:D335"/>
    <mergeCell ref="A346:D346"/>
    <mergeCell ref="A253:D253"/>
    <mergeCell ref="A263:D263"/>
    <mergeCell ref="A273:D273"/>
    <mergeCell ref="A283:D28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809:D809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73"/>
  <sheetViews>
    <sheetView tabSelected="1" topLeftCell="A6" zoomScaleNormal="100" workbookViewId="0">
      <selection activeCell="H72" sqref="H72:H73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3" si="3">(C35-C34)*100/C34</f>
        <v>-1.0141987829614605</v>
      </c>
      <c r="G35">
        <f t="shared" ref="G35:G73" si="4">(D35-D34)*100/D34</f>
        <v>-9.5057034220532313E-2</v>
      </c>
      <c r="H35">
        <f t="shared" ref="H35:H73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9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9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9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9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9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9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2021-09-20T13:07:37Z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