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set'!$A$1:$BN$243</definedName>
    <definedName name="_xlnm._FilterDatabase" localSheetId="1" hidden="1">weekly!$A$1:$K$57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3" i="5" l="1"/>
  <c r="G163" i="5"/>
  <c r="F163" i="5"/>
  <c r="D2152" i="3"/>
  <c r="X243" i="1"/>
  <c r="D2149" i="3"/>
  <c r="W242" i="1"/>
  <c r="A47" i="2" l="1"/>
  <c r="B45" i="2"/>
  <c r="D2135" i="3"/>
  <c r="P242" i="1"/>
  <c r="H162" i="5" l="1"/>
  <c r="G162" i="5"/>
  <c r="F162" i="5"/>
  <c r="E249" i="1"/>
  <c r="F247" i="1"/>
  <c r="E246" i="1"/>
  <c r="H161" i="5" l="1"/>
  <c r="G161" i="5"/>
  <c r="F161" i="5"/>
  <c r="H160" i="5" l="1"/>
  <c r="G160" i="5"/>
  <c r="F160" i="5"/>
  <c r="D2084" i="3" l="1"/>
  <c r="X245" i="1"/>
  <c r="H159" i="5" l="1"/>
  <c r="G159" i="5"/>
  <c r="F159" i="5"/>
  <c r="H158" i="5" l="1"/>
  <c r="G158" i="5"/>
  <c r="F158" i="5"/>
  <c r="I45" i="2"/>
  <c r="C47" i="2"/>
  <c r="H46" i="2"/>
  <c r="B48" i="2"/>
  <c r="D2061" i="3"/>
  <c r="H157" i="5" l="1"/>
  <c r="G157" i="5"/>
  <c r="F157" i="5"/>
  <c r="H156" i="5" l="1"/>
  <c r="G156" i="5"/>
  <c r="F156" i="5"/>
  <c r="H155" i="5" l="1"/>
  <c r="G155" i="5"/>
  <c r="F155" i="5"/>
  <c r="V251" i="1"/>
  <c r="P244" i="1"/>
  <c r="H154" i="5" l="1"/>
  <c r="G154" i="5"/>
  <c r="F154" i="5"/>
  <c r="Y252" i="1"/>
  <c r="Y254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1" i="1" l="1"/>
  <c r="M216" i="1"/>
  <c r="L216" i="1"/>
  <c r="D1850" i="3" l="1"/>
  <c r="M215" i="1"/>
  <c r="L215" i="1"/>
  <c r="Y251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5" i="2" l="1"/>
  <c r="E47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7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8" i="1"/>
  <c r="N249" i="1"/>
  <c r="N250" i="1"/>
  <c r="N251" i="1"/>
  <c r="N252" i="1"/>
  <c r="N253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8" i="2" l="1"/>
  <c r="J47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6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7" i="2"/>
  <c r="G56" i="2"/>
  <c r="G55" i="2"/>
  <c r="G54" i="2"/>
  <c r="G53" i="2"/>
  <c r="G52" i="2"/>
  <c r="G51" i="2"/>
  <c r="G50" i="2"/>
  <c r="G49" i="2"/>
  <c r="C4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9" i="2" s="1"/>
  <c r="G16" i="2"/>
  <c r="E16" i="2"/>
  <c r="C5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1" i="1" l="1"/>
  <c r="S1" i="1" s="1"/>
  <c r="M241" i="1"/>
  <c r="U1" i="1" s="1"/>
</calcChain>
</file>

<file path=xl/sharedStrings.xml><?xml version="1.0" encoding="utf-8"?>
<sst xmlns="http://schemas.openxmlformats.org/spreadsheetml/2006/main" count="2156" uniqueCount="608">
  <si>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</si>
  <si>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</si>
  <si>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</si>
  <si>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</si>
  <si>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</si>
  <si>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</si>
  <si>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</si>
  <si>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</si>
  <si>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</si>
  <si>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</si>
  <si>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</si>
  <si>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</si>
  <si>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</si>
  <si>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</si>
  <si>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</si>
  <si>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</si>
  <si>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</si>
  <si>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</si>
  <si>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</si>
  <si>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</si>
  <si>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</si>
  <si>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</si>
  <si>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</si>
  <si>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</si>
  <si>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</si>
  <si>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</si>
  <si>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</si>
  <si>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</si>
  <si>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</si>
  <si>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</si>
  <si>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</si>
  <si>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</si>
  <si>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</si>
  <si>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</si>
  <si>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</si>
  <si>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</si>
  <si>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</si>
  <si>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</si>
  <si>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</si>
  <si>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</si>
  <si>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</si>
  <si>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</si>
  <si>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</si>
  <si>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</si>
  <si>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</si>
  <si>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</si>
  <si>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</si>
  <si>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</si>
  <si>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</si>
  <si>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</si>
  <si>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</si>
  <si>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</si>
  <si>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</si>
  <si>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</si>
  <si>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</si>
  <si>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</si>
  <si>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</si>
  <si>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</si>
  <si>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</si>
  <si>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</si>
  <si>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</si>
  <si>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</si>
  <si>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</si>
  <si>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</si>
  <si>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</si>
  <si>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</si>
  <si>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</si>
  <si>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</si>
  <si>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</si>
  <si>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</si>
  <si>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</si>
  <si>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</si>
  <si>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</si>
  <si>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</si>
  <si>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</si>
  <si>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</si>
  <si>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</si>
  <si>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</si>
  <si>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</si>
  <si>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</si>
  <si>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</si>
  <si>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</si>
  <si>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</si>
  <si>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</si>
  <si>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</si>
  <si>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</si>
  <si>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</si>
  <si>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</si>
  <si>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</si>
  <si>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</si>
  <si>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</si>
  <si>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</si>
  <si>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</si>
  <si>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</si>
  <si>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</si>
  <si>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</si>
  <si>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</si>
  <si>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</si>
  <si>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</si>
  <si>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</si>
  <si>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</si>
  <si>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</si>
  <si>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</si>
  <si>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</si>
  <si>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</si>
  <si>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</si>
  <si>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</si>
  <si>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</si>
  <si>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</si>
  <si>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</si>
  <si>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</si>
  <si>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</si>
  <si>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</si>
  <si>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</si>
  <si>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</si>
  <si>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</si>
  <si>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</si>
  <si>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</si>
  <si>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</si>
  <si>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</si>
  <si>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</si>
  <si>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</si>
  <si>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</si>
  <si>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</si>
  <si>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</si>
  <si>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</si>
  <si>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</si>
  <si>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</si>
  <si>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</si>
  <si>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</si>
  <si>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</si>
  <si>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</si>
  <si>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</si>
  <si>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</si>
  <si>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</si>
  <si>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</si>
  <si>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</si>
  <si>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</si>
  <si>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</si>
  <si>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</si>
  <si>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</si>
  <si>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</si>
  <si>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</si>
  <si>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</si>
  <si>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</si>
  <si>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</si>
  <si>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</si>
  <si>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</si>
  <si>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</si>
  <si>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</si>
  <si>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</si>
  <si>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</si>
  <si>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</si>
  <si>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</si>
  <si>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</si>
  <si>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</si>
  <si>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</si>
  <si>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</si>
  <si>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</si>
  <si>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</si>
  <si>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</si>
  <si>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</si>
  <si>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</si>
  <si>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</si>
  <si>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</si>
  <si>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</si>
  <si>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</si>
  <si>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</si>
  <si>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</si>
  <si>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</si>
  <si>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</si>
  <si>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</si>
  <si>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</si>
  <si>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</si>
  <si>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</si>
  <si>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</si>
  <si>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</si>
  <si>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</si>
  <si>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</si>
  <si>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</si>
  <si>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</si>
  <si>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</si>
  <si>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</si>
  <si>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</si>
  <si>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</si>
  <si>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</si>
  <si>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</si>
  <si>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</si>
  <si>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</si>
  <si>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</si>
  <si>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</si>
  <si>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</si>
  <si>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</si>
  <si>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</si>
  <si>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</si>
  <si>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</si>
  <si>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</si>
  <si>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</si>
  <si>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</si>
  <si>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</si>
  <si>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</si>
  <si>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</si>
  <si>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</si>
  <si>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</si>
  <si>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</si>
  <si>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</si>
  <si>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</si>
  <si>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</si>
  <si>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</si>
  <si>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</si>
  <si>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</si>
  <si>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</si>
  <si>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</si>
  <si>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</si>
  <si>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</si>
  <si>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</si>
  <si>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</si>
  <si>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</si>
  <si>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</si>
  <si>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</si>
  <si>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</si>
  <si>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</si>
  <si>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</si>
  <si>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</si>
  <si>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</si>
  <si>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</si>
  <si>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</si>
  <si>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</si>
  <si>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</si>
  <si>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</si>
  <si>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</si>
  <si>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</si>
  <si>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</si>
  <si>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</si>
  <si>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</si>
  <si>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</si>
  <si>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</si>
  <si>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</si>
  <si>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</si>
  <si>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</si>
  <si>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</si>
  <si>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</si>
  <si>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</si>
  <si>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</si>
  <si>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</si>
  <si>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</si>
  <si>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</si>
  <si>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</si>
  <si>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</si>
  <si>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</si>
  <si>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</si>
  <si>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</si>
  <si>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</si>
  <si>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</si>
  <si>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</si>
  <si>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</si>
  <si>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</si>
  <si>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</si>
  <si>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</si>
  <si>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</si>
  <si>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</si>
  <si>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</si>
  <si>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</si>
  <si>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</si>
  <si>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</si>
  <si>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</si>
  <si>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</si>
  <si>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</si>
  <si>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</si>
  <si>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</si>
  <si>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</si>
  <si>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</si>
  <si>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</si>
  <si>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</si>
  <si>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</si>
  <si>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</si>
  <si>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</si>
  <si>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</si>
  <si>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</si>
  <si>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</si>
  <si>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</si>
  <si>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</si>
  <si>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</si>
  <si>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</si>
  <si>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</si>
  <si>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</si>
  <si>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</si>
  <si>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</si>
  <si>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</si>
  <si>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</si>
  <si>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</si>
  <si>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</si>
  <si>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</si>
  <si>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</si>
  <si>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</si>
  <si>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</si>
  <si>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</si>
  <si>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</si>
  <si>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</si>
  <si>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</si>
  <si>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</si>
  <si>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</si>
  <si>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</si>
  <si>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</si>
  <si>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</si>
  <si>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</si>
  <si>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</si>
  <si>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</si>
  <si>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</si>
  <si>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</si>
  <si>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</si>
  <si>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</si>
  <si>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</si>
  <si>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</si>
  <si>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</si>
  <si>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</si>
  <si>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</si>
  <si>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</si>
  <si>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</si>
  <si>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</si>
  <si>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</si>
  <si>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</si>
  <si>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</si>
  <si>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</si>
  <si>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</si>
  <si>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</si>
  <si>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</si>
  <si>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</si>
  <si>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</si>
  <si>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</si>
  <si>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</si>
  <si>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</si>
  <si>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</si>
  <si>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</si>
  <si>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</si>
  <si>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</si>
  <si>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</si>
  <si>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</si>
  <si>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</si>
  <si>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</si>
  <si>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</si>
  <si>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</si>
  <si>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</si>
  <si>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</si>
  <si>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</si>
  <si>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</si>
  <si>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</si>
  <si>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</si>
  <si>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</si>
  <si>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</si>
  <si>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</si>
  <si>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</si>
  <si>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</si>
  <si>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</si>
  <si>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</si>
  <si>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</si>
  <si>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</si>
  <si>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</si>
  <si>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</si>
  <si>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</si>
  <si>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</si>
  <si>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</si>
  <si>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</si>
  <si>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</si>
  <si>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</si>
  <si>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</si>
  <si>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</si>
  <si>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</si>
  <si>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</si>
  <si>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</si>
  <si>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</si>
  <si>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</si>
  <si>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</si>
  <si>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</si>
  <si>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</si>
  <si>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</si>
  <si>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</si>
  <si>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</si>
  <si>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</si>
  <si>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</si>
  <si>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</si>
  <si>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</si>
  <si>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</si>
  <si>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</si>
  <si>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</si>
  <si>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</si>
  <si>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</si>
  <si>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</si>
  <si>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</si>
  <si>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</si>
  <si>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</si>
  <si>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</si>
  <si>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</si>
  <si>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</si>
  <si>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</si>
  <si>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</si>
  <si>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</si>
  <si>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</si>
  <si>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</si>
  <si>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</si>
  <si>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</si>
  <si>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</si>
  <si>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</si>
  <si>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</si>
  <si>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</si>
  <si>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</si>
  <si>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</si>
  <si>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</si>
  <si>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</si>
  <si>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</si>
  <si>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</si>
  <si>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</si>
  <si>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</si>
  <si>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</si>
  <si>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</si>
  <si>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</si>
  <si>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</si>
  <si>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</si>
  <si>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</si>
  <si>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</si>
  <si>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</si>
  <si>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</si>
  <si>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</si>
  <si>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</si>
  <si>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</si>
  <si>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</si>
  <si>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</si>
  <si>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</si>
  <si>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</si>
  <si>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</si>
  <si>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</si>
  <si>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</si>
  <si>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</si>
  <si>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</si>
  <si>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</si>
  <si>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</si>
  <si>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</si>
  <si>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</si>
  <si>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</si>
  <si>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</si>
  <si>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</si>
  <si>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</si>
  <si>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</si>
  <si>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</si>
  <si>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</si>
  <si>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</si>
  <si>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</si>
  <si>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</si>
  <si>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</si>
  <si>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</si>
  <si>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</si>
  <si>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</si>
  <si>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</si>
  <si>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</si>
  <si>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</si>
  <si>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</si>
  <si>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</si>
  <si>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</si>
  <si>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</si>
  <si>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</si>
  <si>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</si>
  <si>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</si>
  <si>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</si>
  <si>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</si>
  <si>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</si>
  <si>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</si>
  <si>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</si>
  <si>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</si>
  <si>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</si>
  <si>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</si>
  <si>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</si>
  <si>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</si>
  <si>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</si>
  <si>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</si>
  <si>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</si>
  <si>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</si>
  <si>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</si>
  <si>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</si>
  <si>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</si>
  <si>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</si>
  <si>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</si>
  <si>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</si>
  <si>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</si>
  <si>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</si>
  <si>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</si>
  <si>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</si>
  <si>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</si>
  <si>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</si>
  <si>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</si>
  <si>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</si>
  <si>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</si>
  <si>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</si>
  <si>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</si>
  <si>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</si>
  <si>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</si>
  <si>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</si>
  <si>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</si>
  <si>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</si>
  <si>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</si>
  <si>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</si>
  <si>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</si>
  <si>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</si>
  <si>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</si>
  <si>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</si>
  <si>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</si>
  <si>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</si>
  <si>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</si>
  <si>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</si>
  <si>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</si>
  <si>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</si>
  <si>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</si>
  <si>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</si>
  <si>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</si>
  <si>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</si>
  <si>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</si>
  <si>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</si>
  <si>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</si>
  <si>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</si>
  <si>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</si>
  <si>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</si>
  <si>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</si>
  <si>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</si>
  <si>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</si>
  <si>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</si>
  <si>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</si>
  <si>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</si>
  <si>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</si>
  <si>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</si>
  <si>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</si>
  <si>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</si>
  <si>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</si>
  <si>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</si>
  <si>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</si>
  <si>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</si>
  <si>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</si>
  <si>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</si>
  <si>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</si>
  <si>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</si>
  <si>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</si>
  <si>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</si>
  <si>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</si>
  <si>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</si>
  <si>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</si>
  <si>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</si>
  <si>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</si>
  <si>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</si>
  <si>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</si>
  <si>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</si>
  <si>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</si>
  <si>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</si>
  <si>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</si>
  <si>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</si>
  <si>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</si>
  <si>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</si>
  <si>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</si>
  <si>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</si>
  <si>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</si>
  <si>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</si>
  <si>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</si>
  <si>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</si>
  <si>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</si>
  <si>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</si>
  <si>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</si>
  <si>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</si>
  <si>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</si>
  <si>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</si>
  <si>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</si>
  <si>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</si>
  <si>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</si>
  <si>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</si>
  <si>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</si>
  <si>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</si>
  <si>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</si>
  <si>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</si>
  <si>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</si>
  <si>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</si>
  <si>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</si>
  <si>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</si>
  <si>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</si>
  <si>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</si>
  <si>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</si>
  <si>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</si>
  <si>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</si>
  <si>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</si>
  <si>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</si>
  <si>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</si>
  <si>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</si>
  <si>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</si>
  <si>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</si>
  <si>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</si>
  <si>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</si>
  <si>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</si>
  <si>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</si>
  <si>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</si>
  <si>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</si>
  <si>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</si>
  <si>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</si>
  <si>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</si>
  <si>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</si>
  <si>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</si>
  <si>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</si>
  <si>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</si>
  <si>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</si>
  <si>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</si>
  <si>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</si>
  <si>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</si>
  <si>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08بهمن1400</t>
  </si>
  <si>
    <t>روند روزانه بهای سکه و ارز ( شنبه 09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</si>
</sst>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611522656"/>
        <c:axId val="-611517760"/>
      </c:lineChart>
      <c:catAx>
        <c:axId val="-61152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11517760"/>
        <c:crosses val="autoZero"/>
        <c:auto val="1"/>
        <c:lblAlgn val="ctr"/>
        <c:lblOffset val="100"/>
        <c:noMultiLvlLbl val="0"/>
      </c:catAx>
      <c:valAx>
        <c:axId val="-6115177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115226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weekly!$B$27:$B$44</c15:sqref>
                  </c15:fullRef>
                </c:ext>
              </c:extLst>
              <c:f>weekly!$B$28:$B$44</c:f>
              <c:numCache>
                <c:formatCode>General</c:formatCode>
                <c:ptCount val="1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weekly!$H$27:$H$44</c15:sqref>
                  </c15:fullRef>
                </c:ext>
              </c:extLst>
              <c:f>weekly!$H$28:$H$44</c:f>
              <c:numCache>
                <c:formatCode>General</c:formatCode>
                <c:ptCount val="1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611527008"/>
        <c:axId val="-61151667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6115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11516672"/>
        <c:crosses val="autoZero"/>
        <c:auto val="1"/>
        <c:lblAlgn val="ctr"/>
        <c:lblOffset val="100"/>
        <c:noMultiLvlLbl val="0"/>
      </c:catAx>
      <c:valAx>
        <c:axId val="-61151667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115270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611516128"/>
        <c:axId val="-611515584"/>
      </c:lineChart>
      <c:catAx>
        <c:axId val="-61151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11515584"/>
        <c:crosses val="autoZero"/>
        <c:auto val="1"/>
        <c:lblAlgn val="ctr"/>
        <c:lblOffset val="100"/>
        <c:noMultiLvlLbl val="0"/>
      </c:catAx>
      <c:valAx>
        <c:axId val="-611515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115161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14619312"/>
        <c:axId val="-814616048"/>
      </c:lineChart>
      <c:catAx>
        <c:axId val="-81461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14616048"/>
        <c:crosses val="autoZero"/>
        <c:auto val="1"/>
        <c:lblAlgn val="ctr"/>
        <c:lblOffset val="100"/>
        <c:noMultiLvlLbl val="0"/>
      </c:catAx>
      <c:valAx>
        <c:axId val="-8146160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146193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24617888"/>
        <c:axId val="-524617344"/>
      </c:lineChart>
      <c:catAx>
        <c:axId val="-52461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4617344"/>
        <c:crosses val="autoZero"/>
        <c:auto val="1"/>
        <c:lblAlgn val="ctr"/>
        <c:lblOffset val="100"/>
        <c:noMultiLvlLbl val="0"/>
      </c:catAx>
      <c:valAx>
        <c:axId val="-5246173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46178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weekly!$C$27:$C$44</c15:sqref>
                  </c15:fullRef>
                </c:ext>
              </c:extLst>
              <c:f>weekly!$C$28:$C$44</c:f>
              <c:numCache>
                <c:formatCode>General</c:formatCode>
                <c:ptCount val="1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weekly!$I$27:$I$44</c15:sqref>
                  </c15:fullRef>
                </c:ext>
              </c:extLst>
              <c:f>weekly!$I$28:$I$44</c:f>
              <c:numCache>
                <c:formatCode>General</c:formatCode>
                <c:ptCount val="1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24620064"/>
        <c:axId val="-52461081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52462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4610816"/>
        <c:crosses val="autoZero"/>
        <c:auto val="1"/>
        <c:lblAlgn val="ctr"/>
        <c:lblOffset val="100"/>
        <c:noMultiLvlLbl val="0"/>
      </c:catAx>
      <c:valAx>
        <c:axId val="-52461081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46200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524618976"/>
        <c:axId val="-524615712"/>
      </c:barChart>
      <c:catAx>
        <c:axId val="-52461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4615712"/>
        <c:crosses val="autoZero"/>
        <c:auto val="1"/>
        <c:lblAlgn val="ctr"/>
        <c:lblOffset val="100"/>
        <c:noMultiLvlLbl val="0"/>
      </c:catAx>
      <c:valAx>
        <c:axId val="-524615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461897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امروز نسبت به چهارشبه هفته گذشته)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1"/>
          <c:order val="8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change'!$F$163:$I$163</c:f>
              <c:numCache>
                <c:formatCode>General</c:formatCode>
                <c:ptCount val="4"/>
                <c:pt idx="0">
                  <c:v>0.28419182948490229</c:v>
                </c:pt>
                <c:pt idx="1">
                  <c:v>-0.99364069952305245</c:v>
                </c:pt>
                <c:pt idx="2">
                  <c:v>-2.4598511555033293</c:v>
                </c:pt>
                <c:pt idx="3">
                  <c:v>2.41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24610272"/>
        <c:axId val="-52461843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</c:ext>
        </c:extLst>
      </c:barChart>
      <c:catAx>
        <c:axId val="-52461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4618432"/>
        <c:crosses val="autoZero"/>
        <c:auto val="1"/>
        <c:lblAlgn val="ctr"/>
        <c:lblOffset val="100"/>
        <c:noMultiLvlLbl val="0"/>
      </c:catAx>
      <c:valAx>
        <c:axId val="-524618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46102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599</xdr:row>
      <xdr:rowOff>102960</xdr:rowOff>
    </xdr:from>
    <xdr:to>
      <xdr:col>11</xdr:col>
      <xdr:colOff>279360</xdr:colOff>
      <xdr:row>629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179</xdr:row>
      <xdr:rowOff>27711</xdr:rowOff>
    </xdr:from>
    <xdr:to>
      <xdr:col>53</xdr:col>
      <xdr:colOff>335280</xdr:colOff>
      <xdr:row>284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315</xdr:row>
      <xdr:rowOff>0</xdr:rowOff>
    </xdr:from>
    <xdr:to>
      <xdr:col>82</xdr:col>
      <xdr:colOff>0</xdr:colOff>
      <xdr:row>391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634</xdr:row>
      <xdr:rowOff>0</xdr:rowOff>
    </xdr:from>
    <xdr:to>
      <xdr:col>13</xdr:col>
      <xdr:colOff>354240</xdr:colOff>
      <xdr:row>664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414</xdr:row>
      <xdr:rowOff>0</xdr:rowOff>
    </xdr:from>
    <xdr:to>
      <xdr:col>83</xdr:col>
      <xdr:colOff>533400</xdr:colOff>
      <xdr:row>513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62</xdr:row>
      <xdr:rowOff>76321</xdr:rowOff>
    </xdr:from>
    <xdr:to>
      <xdr:col>44</xdr:col>
      <xdr:colOff>533400</xdr:colOff>
      <xdr:row>161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56"/>
  <sheetViews>
    <sheetView topLeftCell="U1" zoomScaleNormal="100" workbookViewId="0">
      <pane ySplit="1" topLeftCell="A234" activePane="bottomLeft" state="frozen"/>
      <selection activeCell="B1" sqref="B1"/>
      <selection pane="bottomLeft" activeCell="Y241" sqref="Y241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L241/G241</f>
        <v>#DIV/0!</v>
      </c>
      <c r="T1" s="3" t="s">
        <v>15</v>
      </c>
      <c r="U1" s="3">
        <f>M241/K241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36" customFormat="1" ht="18">
      <c r="B240" s="131" t="s">
        <v>606</v>
      </c>
      <c r="C240" s="104">
        <v>8</v>
      </c>
      <c r="D240" s="137">
        <v>25019</v>
      </c>
      <c r="H240" s="136">
        <v>28546</v>
      </c>
      <c r="L240" s="208"/>
      <c r="M240" s="208"/>
      <c r="P240" s="136">
        <v>25269</v>
      </c>
      <c r="Q240" s="136">
        <v>28831</v>
      </c>
      <c r="V240" s="136">
        <v>28340</v>
      </c>
      <c r="X240" s="136">
        <v>28230</v>
      </c>
      <c r="Y240" s="136">
        <v>31767</v>
      </c>
      <c r="Z240" s="138"/>
      <c r="AB240" s="137"/>
      <c r="AS240" s="137"/>
      <c r="AW240" s="137"/>
      <c r="BI240" s="177"/>
      <c r="BO240" s="151"/>
      <c r="BP240" s="151"/>
      <c r="BQ240" s="151"/>
      <c r="BR240" s="151"/>
    </row>
    <row r="241" spans="4:49" ht="18">
      <c r="D241" s="26"/>
      <c r="K241">
        <f>SUM(K2:K216)</f>
        <v>210358000</v>
      </c>
      <c r="L241" s="142">
        <f>SUM(L2:L216)</f>
        <v>38488576407409</v>
      </c>
      <c r="M241" s="142">
        <f>SUM(M2:M216)</f>
        <v>6182194847600</v>
      </c>
      <c r="V241" s="152">
        <v>28330</v>
      </c>
      <c r="X241" s="144"/>
      <c r="Z241" s="25"/>
      <c r="AS241" s="26"/>
      <c r="AW241" s="30"/>
    </row>
    <row r="242" spans="4:49" ht="18">
      <c r="P242">
        <f>P239-N238</f>
        <v>83</v>
      </c>
      <c r="V242" s="152">
        <v>28320</v>
      </c>
      <c r="W242">
        <f>V240-X239</f>
        <v>380</v>
      </c>
      <c r="Z242" s="25"/>
      <c r="AS242" s="26"/>
      <c r="AW242" s="30"/>
    </row>
    <row r="243" spans="4:49" ht="18">
      <c r="V243" s="152"/>
      <c r="W243" s="152"/>
      <c r="X243">
        <f>X240-X239</f>
        <v>270</v>
      </c>
      <c r="Z243" s="25"/>
      <c r="AS243" s="26"/>
      <c r="AW243" s="30"/>
    </row>
    <row r="244" spans="4:49" ht="18">
      <c r="D244" s="93"/>
      <c r="P244">
        <f>P230-N229</f>
        <v>24</v>
      </c>
      <c r="W244" s="152"/>
      <c r="Z244" s="25"/>
      <c r="AW244" s="30"/>
    </row>
    <row r="245" spans="4:49" ht="17.25" customHeight="1">
      <c r="D245" s="93"/>
      <c r="P245" t="s">
        <v>523</v>
      </c>
      <c r="Q245" t="s">
        <v>524</v>
      </c>
      <c r="W245" s="152"/>
      <c r="X245">
        <f>X235-X234</f>
        <v>70</v>
      </c>
      <c r="Z245" s="25"/>
    </row>
    <row r="246" spans="4:49" ht="18">
      <c r="D246" s="93"/>
      <c r="E246">
        <f>(28300-25088)/25088</f>
        <v>0.12802933673469388</v>
      </c>
      <c r="O246" s="126" t="s">
        <v>503</v>
      </c>
      <c r="P246">
        <v>-178</v>
      </c>
      <c r="Q246">
        <v>-180</v>
      </c>
      <c r="V246" s="25"/>
      <c r="W246" s="152"/>
      <c r="Z246" s="25"/>
    </row>
    <row r="247" spans="4:49" ht="18">
      <c r="D247" s="93"/>
      <c r="F247">
        <f>(37881-36136)/37136</f>
        <v>4.6989444205084017E-2</v>
      </c>
      <c r="H247">
        <f>(27376-26532)/26532</f>
        <v>3.1810643750942259E-2</v>
      </c>
      <c r="O247" s="132" t="s">
        <v>505</v>
      </c>
      <c r="P247">
        <v>59</v>
      </c>
      <c r="Q247">
        <v>59</v>
      </c>
      <c r="V247" s="25"/>
      <c r="W247" s="152"/>
    </row>
    <row r="248" spans="4:49" ht="18">
      <c r="D248" s="93"/>
      <c r="N248">
        <f t="shared" ref="N248:N252" si="42">N199-N198</f>
        <v>-15</v>
      </c>
      <c r="O248" s="132" t="s">
        <v>507</v>
      </c>
      <c r="P248">
        <v>-17</v>
      </c>
      <c r="Q248">
        <v>-16</v>
      </c>
      <c r="V248" s="25"/>
      <c r="W248" s="152"/>
    </row>
    <row r="249" spans="4:49" ht="18">
      <c r="D249" s="107"/>
      <c r="E249">
        <f>(2499-2381)/2381</f>
        <v>4.9559008819823606E-2</v>
      </c>
      <c r="N249">
        <f t="shared" si="42"/>
        <v>-12</v>
      </c>
      <c r="O249" s="132" t="s">
        <v>509</v>
      </c>
      <c r="P249">
        <v>-163</v>
      </c>
      <c r="Q249">
        <v>-165</v>
      </c>
      <c r="W249" s="144"/>
    </row>
    <row r="250" spans="4:49" ht="18">
      <c r="D250" s="107"/>
      <c r="N250">
        <f t="shared" si="42"/>
        <v>-137</v>
      </c>
      <c r="O250" s="132" t="s">
        <v>511</v>
      </c>
      <c r="P250">
        <v>50</v>
      </c>
      <c r="Q250">
        <v>50</v>
      </c>
      <c r="W250" s="144"/>
      <c r="X250" s="109"/>
    </row>
    <row r="251" spans="4:49" ht="18">
      <c r="D251" s="113"/>
      <c r="N251">
        <f t="shared" si="42"/>
        <v>-138</v>
      </c>
      <c r="O251" s="145" t="s">
        <v>513</v>
      </c>
      <c r="P251">
        <v>-15</v>
      </c>
      <c r="Q251">
        <v>-15</v>
      </c>
      <c r="V251">
        <f>(3376-3251)/3251</f>
        <v>3.8449707782220857E-2</v>
      </c>
      <c r="W251" s="144"/>
      <c r="X251" s="109"/>
      <c r="Y251">
        <f>(W249-X215)/X215</f>
        <v>-1</v>
      </c>
    </row>
    <row r="252" spans="4:49" ht="18">
      <c r="D252" s="107"/>
      <c r="G252" s="9"/>
      <c r="N252">
        <f t="shared" si="42"/>
        <v>-43</v>
      </c>
      <c r="O252" s="145" t="s">
        <v>515</v>
      </c>
      <c r="P252">
        <v>-12</v>
      </c>
      <c r="Q252">
        <v>-12</v>
      </c>
      <c r="X252" s="109"/>
      <c r="Y252">
        <f>(43725-42669)/42669</f>
        <v>2.4748646558391339E-2</v>
      </c>
    </row>
    <row r="253" spans="4:49" ht="18">
      <c r="D253" s="103"/>
      <c r="G253" s="9"/>
      <c r="N253">
        <f>N241-N203</f>
        <v>-27379</v>
      </c>
      <c r="O253" s="148" t="s">
        <v>517</v>
      </c>
      <c r="P253">
        <v>-136</v>
      </c>
      <c r="Q253">
        <v>-137</v>
      </c>
      <c r="X253" s="109"/>
    </row>
    <row r="254" spans="4:49" ht="18">
      <c r="G254" s="9"/>
      <c r="O254" s="145" t="s">
        <v>519</v>
      </c>
      <c r="P254">
        <v>-137</v>
      </c>
      <c r="Q254">
        <v>-138</v>
      </c>
      <c r="X254" s="109"/>
      <c r="Y254">
        <f>(3365-3279)/3279</f>
        <v>2.6227508386703263E-2</v>
      </c>
    </row>
    <row r="255" spans="4:49" ht="18">
      <c r="G255" s="9"/>
      <c r="O255" s="131" t="s">
        <v>521</v>
      </c>
      <c r="P255">
        <v>-42</v>
      </c>
      <c r="Q255">
        <v>-43</v>
      </c>
      <c r="X255" s="109"/>
    </row>
    <row r="256" spans="4:49" ht="18">
      <c r="G256" s="9"/>
    </row>
  </sheetData>
  <autoFilter ref="A1:BN243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opLeftCell="R1" zoomScale="70" zoomScaleNormal="70" workbookViewId="0">
      <selection activeCell="A48" sqref="A4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>
      <c r="B45">
        <f>(B2-B8)/B2</f>
        <v>0.15346494762288476</v>
      </c>
      <c r="C45">
        <f>(C2-C8)/C2</f>
        <v>0.1154959674639829</v>
      </c>
      <c r="D45">
        <f>SUM(D2:D39)/38</f>
        <v>37702089.447368421</v>
      </c>
      <c r="I45">
        <f>I43-I42</f>
        <v>-332</v>
      </c>
    </row>
    <row r="46" spans="1:11">
      <c r="H46">
        <f>(H43-H42)/H42</f>
        <v>-1.9771428571428572E-2</v>
      </c>
    </row>
    <row r="47" spans="1:11">
      <c r="A47">
        <f>(B44-B43)</f>
        <v>-250</v>
      </c>
      <c r="C47">
        <f>(C43-C42)/C42</f>
        <v>-1.2137997059527473E-2</v>
      </c>
      <c r="E47">
        <f>(D39-D45)/D45</f>
        <v>0.21324840799221964</v>
      </c>
      <c r="J47">
        <f>(D36-D35)/D35</f>
        <v>-0.50773339408667473</v>
      </c>
    </row>
    <row r="48" spans="1:11">
      <c r="B48">
        <f>(B43-B42)/B42</f>
        <v>-1.4413787773398253E-2</v>
      </c>
      <c r="F48">
        <f>(F36-F35)/F35</f>
        <v>-0.62892307692307692</v>
      </c>
    </row>
    <row r="49" spans="3:10">
      <c r="D49">
        <v>5375132</v>
      </c>
      <c r="E49">
        <f>(E17-D49)/D49</f>
        <v>4.5958809321644006E-2</v>
      </c>
      <c r="G49">
        <f t="shared" ref="G49:G57" si="2">B3-B2</f>
        <v>-554</v>
      </c>
    </row>
    <row r="50" spans="3:10">
      <c r="G50">
        <f t="shared" si="2"/>
        <v>-302</v>
      </c>
    </row>
    <row r="51" spans="3:10">
      <c r="C51">
        <f>(D49-E16)/E16</f>
        <v>0.17110375179746395</v>
      </c>
      <c r="G51">
        <f t="shared" si="2"/>
        <v>-511</v>
      </c>
    </row>
    <row r="52" spans="3:10">
      <c r="G52">
        <f t="shared" si="2"/>
        <v>-362</v>
      </c>
    </row>
    <row r="53" spans="3:10">
      <c r="G53">
        <f t="shared" si="2"/>
        <v>-1699</v>
      </c>
    </row>
    <row r="54" spans="3:10">
      <c r="G54">
        <f t="shared" si="2"/>
        <v>-381</v>
      </c>
    </row>
    <row r="55" spans="3:10">
      <c r="G55">
        <f t="shared" si="2"/>
        <v>1075</v>
      </c>
    </row>
    <row r="56" spans="3:10">
      <c r="F56">
        <f>(F33-F32)/F32</f>
        <v>0.23948268173034043</v>
      </c>
      <c r="G56">
        <f t="shared" si="2"/>
        <v>151</v>
      </c>
      <c r="J56">
        <f>(F34-F35)/F34</f>
        <v>0.13877341459779063</v>
      </c>
    </row>
    <row r="57" spans="3:10">
      <c r="G57">
        <f t="shared" si="2"/>
        <v>1043</v>
      </c>
    </row>
  </sheetData>
  <autoFilter ref="A1:K5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2"/>
  <sheetViews>
    <sheetView topLeftCell="A2132" zoomScaleNormal="100" workbookViewId="0">
      <selection activeCell="B2149" sqref="B214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607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</sheetData>
  <mergeCells count="184"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1754:C17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3"/>
  <sheetViews>
    <sheetView tabSelected="1" zoomScale="85" zoomScaleNormal="85" workbookViewId="0">
      <selection activeCell="B4" sqref="B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3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>(D163-D162)*100/D162</f>
        <v>-0.99364069952305245</v>
      </c>
      <c r="H163">
        <f t="shared" si="12"/>
        <v>-2.4598511555033293</v>
      </c>
      <c r="I163">
        <v>2.41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2022-01-29T12:36:13Z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