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set'!$A$1:$BL$145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8" i="4" l="1"/>
  <c r="H79" i="4"/>
  <c r="G78" i="4"/>
  <c r="G79" i="4"/>
  <c r="F79" i="4"/>
  <c r="T145" i="1"/>
  <c r="M140" i="1" l="1"/>
  <c r="L140" i="1"/>
  <c r="F78" i="4" l="1"/>
  <c r="G141" i="1" l="1"/>
  <c r="G144" i="1" s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5" i="1"/>
  <c r="AW148" i="1" s="1"/>
  <c r="AU145" i="1"/>
  <c r="BB144" i="1"/>
  <c r="AY143" i="1"/>
  <c r="BJ141" i="1"/>
  <c r="BI141" i="1"/>
  <c r="K141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1" i="1" s="1"/>
  <c r="M141" i="1" l="1"/>
  <c r="U1" i="1" s="1"/>
  <c r="S1" i="1"/>
</calcChain>
</file>

<file path=xl/sharedStrings.xml><?xml version="1.0" encoding="utf-8"?>
<sst xmlns="http://schemas.openxmlformats.org/spreadsheetml/2006/main" count="1159" uniqueCount="387">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</sst>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3822096"/>
        <c:axId val="1963822640"/>
      </c:lineChart>
      <c:catAx>
        <c:axId val="196382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63822640"/>
        <c:crosses val="autoZero"/>
        <c:auto val="1"/>
        <c:lblAlgn val="ctr"/>
        <c:lblOffset val="100"/>
        <c:noMultiLvlLbl val="0"/>
      </c:catAx>
      <c:valAx>
        <c:axId val="19638226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638220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3821552"/>
        <c:axId val="1963823184"/>
      </c:lineChart>
      <c:catAx>
        <c:axId val="196382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1963823184"/>
        <c:crosses val="autoZero"/>
        <c:auto val="1"/>
        <c:lblAlgn val="ctr"/>
        <c:lblOffset val="100"/>
        <c:noMultiLvlLbl val="0"/>
      </c:catAx>
      <c:valAx>
        <c:axId val="1963823184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6382155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3820464"/>
        <c:axId val="1963821008"/>
      </c:lineChart>
      <c:catAx>
        <c:axId val="196382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63821008"/>
        <c:crosses val="autoZero"/>
        <c:auto val="1"/>
        <c:lblAlgn val="ctr"/>
        <c:lblOffset val="100"/>
        <c:noMultiLvlLbl val="0"/>
      </c:catAx>
      <c:valAx>
        <c:axId val="1963821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6382046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5376032"/>
        <c:axId val="1915382560"/>
      </c:lineChart>
      <c:catAx>
        <c:axId val="19153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82560"/>
        <c:crosses val="autoZero"/>
        <c:auto val="1"/>
        <c:lblAlgn val="ctr"/>
        <c:lblOffset val="100"/>
        <c:noMultiLvlLbl val="0"/>
      </c:catAx>
      <c:valAx>
        <c:axId val="1915382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760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5377120"/>
        <c:axId val="1915378752"/>
      </c:lineChart>
      <c:catAx>
        <c:axId val="191537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78752"/>
        <c:crosses val="autoZero"/>
        <c:auto val="1"/>
        <c:lblAlgn val="ctr"/>
        <c:lblOffset val="100"/>
        <c:noMultiLvlLbl val="0"/>
      </c:catAx>
      <c:valAx>
        <c:axId val="1915378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7712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5383104"/>
        <c:axId val="1915382016"/>
      </c:barChart>
      <c:catAx>
        <c:axId val="191538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382016"/>
        <c:crosses val="autoZero"/>
        <c:auto val="1"/>
        <c:lblAlgn val="ctr"/>
        <c:lblOffset val="100"/>
        <c:noMultiLvlLbl val="0"/>
      </c:catAx>
      <c:valAx>
        <c:axId val="191538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38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07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9"/>
          <c:order val="9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change'!$F$79:$I$79</c:f>
              <c:numCache>
                <c:formatCode>General</c:formatCode>
                <c:ptCount val="4"/>
                <c:pt idx="0">
                  <c:v>1.4336917562724014</c:v>
                </c:pt>
                <c:pt idx="1">
                  <c:v>0.62656641604010022</c:v>
                </c:pt>
                <c:pt idx="2">
                  <c:v>0.78451882845188281</c:v>
                </c:pt>
                <c:pt idx="3">
                  <c:v>0.81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15378208"/>
        <c:axId val="19153776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91537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77664"/>
        <c:crosses val="autoZero"/>
        <c:auto val="1"/>
        <c:lblAlgn val="ctr"/>
        <c:lblOffset val="100"/>
        <c:noMultiLvlLbl val="0"/>
      </c:catAx>
      <c:valAx>
        <c:axId val="1915377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153782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58"/>
  <sheetViews>
    <sheetView tabSelected="1" topLeftCell="B142" zoomScaleNormal="100" workbookViewId="0">
      <selection activeCell="H149" sqref="H149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L141/G141</f>
        <v>3410313.0221006642</v>
      </c>
      <c r="T1" s="4" t="s">
        <v>15</v>
      </c>
      <c r="U1" s="4">
        <f>M141/K141</f>
        <v>31021.09639818866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K141/K62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0" si="19">F98*G98</f>
        <v>92308365600</v>
      </c>
      <c r="M98" s="13">
        <f t="shared" ref="M98:M140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378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379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381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86" customFormat="1" ht="21" customHeight="1">
      <c r="A140" s="83"/>
      <c r="B140" s="94" t="s">
        <v>385</v>
      </c>
      <c r="C140" s="84">
        <v>7</v>
      </c>
      <c r="D140" s="85">
        <v>27419</v>
      </c>
      <c r="E140" s="84">
        <v>27633</v>
      </c>
      <c r="F140" s="84">
        <v>27449</v>
      </c>
      <c r="G140" s="84">
        <v>9393600</v>
      </c>
      <c r="H140" s="84">
        <v>31900</v>
      </c>
      <c r="I140" s="84">
        <v>32220</v>
      </c>
      <c r="J140" s="84">
        <v>31790</v>
      </c>
      <c r="K140" s="84">
        <v>863400</v>
      </c>
      <c r="L140" s="106">
        <f t="shared" si="19"/>
        <v>257844926400</v>
      </c>
      <c r="M140" s="106">
        <f t="shared" si="20"/>
        <v>27447486000</v>
      </c>
      <c r="N140" s="86">
        <v>27909</v>
      </c>
      <c r="O140" s="86">
        <v>32543</v>
      </c>
      <c r="P140" s="86">
        <v>27693</v>
      </c>
      <c r="Q140" s="86">
        <v>32219</v>
      </c>
      <c r="R140" s="84"/>
      <c r="S140" s="84"/>
      <c r="T140" s="84"/>
      <c r="U140" s="84"/>
      <c r="V140" s="86">
        <v>28180</v>
      </c>
      <c r="X140" s="86">
        <v>28300</v>
      </c>
      <c r="Y140" s="86">
        <v>32854</v>
      </c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5"/>
      <c r="AT140" s="85"/>
      <c r="AU140" s="85"/>
      <c r="AV140" s="85"/>
      <c r="AW140" s="85"/>
      <c r="AX140" s="85"/>
      <c r="AY140" s="84"/>
      <c r="AZ140" s="84"/>
      <c r="BA140" s="84"/>
      <c r="BB140" s="84"/>
      <c r="BC140" s="84"/>
      <c r="BE140" s="87"/>
      <c r="BF140" s="87"/>
      <c r="BG140" s="87"/>
      <c r="BH140" s="87"/>
    </row>
    <row r="141" spans="1:62" ht="18">
      <c r="A141" s="8"/>
      <c r="B141" s="9"/>
      <c r="C141" s="9"/>
      <c r="D141" s="27"/>
      <c r="E141" s="9"/>
      <c r="F141" s="9"/>
      <c r="G141" s="9">
        <f>SUM(G2:G139)/138</f>
        <v>6125809.4130434785</v>
      </c>
      <c r="H141" s="9"/>
      <c r="I141" s="9"/>
      <c r="J141" s="9"/>
      <c r="K141" s="9">
        <f>SUM(K2:K126)</f>
        <v>125564600</v>
      </c>
      <c r="L141" s="9">
        <f>SUM(L2:L140)</f>
        <v>20890927612209</v>
      </c>
      <c r="M141" s="10">
        <f>SUM(M2:M140)</f>
        <v>3895151560800</v>
      </c>
      <c r="N141" s="10"/>
      <c r="O141" s="10"/>
      <c r="P141" s="10"/>
      <c r="Q141" s="10"/>
      <c r="R141" s="10"/>
      <c r="S141" s="10"/>
      <c r="T141" s="10"/>
      <c r="U141" s="10"/>
      <c r="V141" s="60">
        <v>28170</v>
      </c>
      <c r="W141" s="10"/>
      <c r="X141">
        <v>28300</v>
      </c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Y141" s="10"/>
      <c r="AZ141" s="10"/>
      <c r="BA141" s="10"/>
      <c r="BB141" s="10"/>
      <c r="BC141" s="10"/>
      <c r="BD141" s="10"/>
      <c r="BE141" s="11"/>
      <c r="BF141" s="11"/>
      <c r="BG141" s="11"/>
      <c r="BH141" s="11"/>
      <c r="BI141" t="e">
        <f>#REF!-N141</f>
        <v>#REF!</v>
      </c>
      <c r="BJ141" t="e">
        <f>(Y141-O141)/O141</f>
        <v>#DIV/0!</v>
      </c>
    </row>
    <row r="142" spans="1:62" ht="18">
      <c r="D142" s="27"/>
      <c r="V142" s="66"/>
      <c r="Z142" s="26"/>
      <c r="AB142" s="26"/>
      <c r="AS142" s="26"/>
      <c r="AW142" s="31"/>
    </row>
    <row r="143" spans="1:62" ht="18">
      <c r="D143" s="27"/>
      <c r="Z143" s="26"/>
      <c r="AS143" s="27"/>
      <c r="AW143" s="31"/>
      <c r="AY143">
        <f>AY51-AY50</f>
        <v>35000</v>
      </c>
    </row>
    <row r="144" spans="1:62" ht="18">
      <c r="G144">
        <f>(G140-G141)/G141</f>
        <v>0.53344633608719949</v>
      </c>
      <c r="Z144" s="26"/>
      <c r="AS144" s="27">
        <v>10290000</v>
      </c>
      <c r="AW144" s="31"/>
      <c r="BB144">
        <f>AY60-AY59</f>
        <v>70000</v>
      </c>
    </row>
    <row r="145" spans="6:49" ht="18">
      <c r="F145" s="1"/>
      <c r="T145">
        <f>V137-X140</f>
        <v>-620</v>
      </c>
      <c r="V145" s="26"/>
      <c r="Z145" s="26"/>
      <c r="AS145" s="27"/>
      <c r="AU145">
        <f>AS144-AS49</f>
        <v>195000</v>
      </c>
      <c r="AW145" s="31">
        <f>AC52-AY51</f>
        <v>305000</v>
      </c>
    </row>
    <row r="146" spans="6:49" ht="18">
      <c r="F146" s="1"/>
      <c r="V146" s="26"/>
      <c r="Z146" s="26"/>
      <c r="AW146" s="31"/>
    </row>
    <row r="147" spans="6:49" ht="17.25" customHeight="1">
      <c r="F147" s="1"/>
      <c r="V147" s="26"/>
      <c r="Z147" s="26"/>
    </row>
    <row r="148" spans="6:49" ht="18">
      <c r="F148" s="1"/>
      <c r="V148" s="26"/>
      <c r="Z148" s="26"/>
      <c r="AW148">
        <f>AW145/AY51</f>
        <v>2.9539951573849879E-2</v>
      </c>
    </row>
    <row r="149" spans="6:49" ht="18">
      <c r="V149" s="26"/>
    </row>
    <row r="150" spans="6:49" ht="18">
      <c r="V150" s="26"/>
    </row>
    <row r="154" spans="6:49" ht="18">
      <c r="G154" s="90">
        <v>8861800</v>
      </c>
    </row>
    <row r="155" spans="6:49" ht="18">
      <c r="G155" s="90">
        <v>8230700</v>
      </c>
    </row>
    <row r="156" spans="6:49" ht="18">
      <c r="G156" s="90">
        <v>8995300</v>
      </c>
    </row>
    <row r="157" spans="6:49" ht="18">
      <c r="G157" s="90">
        <v>10062100</v>
      </c>
    </row>
    <row r="158" spans="6:49" ht="18">
      <c r="G158" s="90">
        <v>8462400</v>
      </c>
    </row>
  </sheetData>
  <autoFilter ref="A1:BL14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4"/>
  <sheetViews>
    <sheetView topLeftCell="A885" zoomScaleNormal="100" workbookViewId="0">
      <selection activeCell="E896" sqref="E89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4" t="s">
        <v>227</v>
      </c>
      <c r="B1" s="114"/>
      <c r="C1" s="114"/>
      <c r="D1" s="114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4" t="s">
        <v>237</v>
      </c>
      <c r="B11" s="114"/>
      <c r="C11" s="114"/>
      <c r="D11" s="114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14" t="s">
        <v>239</v>
      </c>
      <c r="B21" s="114"/>
      <c r="C21" s="114"/>
      <c r="D21" s="114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14" t="s">
        <v>240</v>
      </c>
      <c r="B31" s="114"/>
      <c r="C31" s="114"/>
      <c r="D31" s="114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14" t="s">
        <v>241</v>
      </c>
      <c r="B41" s="114"/>
      <c r="C41" s="114"/>
      <c r="D41" s="114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14" t="s">
        <v>243</v>
      </c>
      <c r="B51" s="114"/>
      <c r="C51" s="114"/>
      <c r="D51" s="114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14" t="s">
        <v>244</v>
      </c>
      <c r="B61" s="114"/>
      <c r="C61" s="114"/>
      <c r="D61" s="114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14" t="s">
        <v>245</v>
      </c>
      <c r="B71" s="114"/>
      <c r="C71" s="114"/>
      <c r="D71" s="114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14" t="s">
        <v>246</v>
      </c>
      <c r="B81" s="114"/>
      <c r="C81" s="114"/>
      <c r="D81" s="114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14" t="s">
        <v>250</v>
      </c>
      <c r="B93" s="114"/>
      <c r="C93" s="114"/>
      <c r="D93" s="114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14" t="s">
        <v>251</v>
      </c>
      <c r="B103" s="114"/>
      <c r="C103" s="114"/>
      <c r="D103" s="114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14" t="s">
        <v>253</v>
      </c>
      <c r="B113" s="114"/>
      <c r="C113" s="114"/>
      <c r="D113" s="114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4" t="s">
        <v>254</v>
      </c>
      <c r="B123" s="114"/>
      <c r="C123" s="114"/>
      <c r="D123" s="114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14" t="s">
        <v>255</v>
      </c>
      <c r="B133" s="114"/>
      <c r="C133" s="114"/>
      <c r="D133" s="114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14" t="s">
        <v>256</v>
      </c>
      <c r="B143" s="114"/>
      <c r="C143" s="114"/>
      <c r="D143" s="114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14" t="s">
        <v>258</v>
      </c>
      <c r="B153" s="114"/>
      <c r="C153" s="114"/>
      <c r="D153" s="114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14" t="s">
        <v>259</v>
      </c>
      <c r="B163" s="114"/>
      <c r="C163" s="114"/>
      <c r="D163" s="114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14" t="s">
        <v>260</v>
      </c>
      <c r="B173" s="114"/>
      <c r="C173" s="114"/>
      <c r="D173" s="114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4" t="s">
        <v>261</v>
      </c>
      <c r="B183" s="114"/>
      <c r="C183" s="114"/>
      <c r="D183" s="114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14" t="s">
        <v>262</v>
      </c>
      <c r="B193" s="114"/>
      <c r="C193" s="114"/>
      <c r="D193" s="114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14" t="s">
        <v>263</v>
      </c>
      <c r="B203" s="114"/>
      <c r="C203" s="114"/>
      <c r="D203" s="114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14" t="s">
        <v>264</v>
      </c>
      <c r="B213" s="114"/>
      <c r="C213" s="114"/>
      <c r="D213" s="114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14" t="s">
        <v>265</v>
      </c>
      <c r="B223" s="114"/>
      <c r="C223" s="114"/>
      <c r="D223" s="114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14" t="s">
        <v>266</v>
      </c>
      <c r="B233" s="114"/>
      <c r="C233" s="114"/>
      <c r="D233" s="114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14" t="s">
        <v>267</v>
      </c>
      <c r="B243" s="114"/>
      <c r="C243" s="114"/>
      <c r="D243" s="114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4" t="s">
        <v>268</v>
      </c>
      <c r="B253" s="114"/>
      <c r="C253" s="114"/>
      <c r="D253" s="114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14" t="s">
        <v>269</v>
      </c>
      <c r="B263" s="114"/>
      <c r="C263" s="114"/>
      <c r="D263" s="114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14" t="s">
        <v>270</v>
      </c>
      <c r="B273" s="114"/>
      <c r="C273" s="114"/>
      <c r="D273" s="114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14" t="s">
        <v>271</v>
      </c>
      <c r="B283" s="114"/>
      <c r="C283" s="114"/>
      <c r="D283" s="114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14" t="s">
        <v>272</v>
      </c>
      <c r="B293" s="114"/>
      <c r="C293" s="114"/>
      <c r="D293" s="114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4" t="s">
        <v>273</v>
      </c>
      <c r="B303" s="114"/>
      <c r="C303" s="114"/>
      <c r="D303" s="114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14" t="s">
        <v>277</v>
      </c>
      <c r="B313" s="114"/>
      <c r="C313" s="114"/>
      <c r="D313" s="114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14" t="s">
        <v>281</v>
      </c>
      <c r="B324" s="114"/>
      <c r="C324" s="114"/>
      <c r="D324" s="114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14" t="s">
        <v>284</v>
      </c>
      <c r="B335" s="114"/>
      <c r="C335" s="114"/>
      <c r="D335" s="114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14" t="s">
        <v>285</v>
      </c>
      <c r="B346" s="114"/>
      <c r="C346" s="114"/>
      <c r="D346" s="114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14" t="s">
        <v>286</v>
      </c>
      <c r="B357" s="114"/>
      <c r="C357" s="114"/>
      <c r="D357" s="114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14" t="s">
        <v>287</v>
      </c>
      <c r="B368" s="114"/>
      <c r="C368" s="114"/>
      <c r="D368" s="114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14" t="s">
        <v>288</v>
      </c>
      <c r="B379" s="114"/>
      <c r="C379" s="114"/>
      <c r="D379" s="114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14" t="s">
        <v>289</v>
      </c>
      <c r="B390" s="114"/>
      <c r="C390" s="114"/>
      <c r="D390" s="114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14" t="s">
        <v>290</v>
      </c>
      <c r="B401" s="114"/>
      <c r="C401" s="114"/>
      <c r="D401" s="114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14" t="s">
        <v>291</v>
      </c>
      <c r="B412" s="114"/>
      <c r="C412" s="114"/>
      <c r="D412" s="114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14" t="s">
        <v>292</v>
      </c>
      <c r="B423" s="114"/>
      <c r="C423" s="114"/>
      <c r="D423" s="114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14" t="s">
        <v>296</v>
      </c>
      <c r="B434" s="114"/>
      <c r="C434" s="114"/>
      <c r="D434" s="114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14" t="s">
        <v>297</v>
      </c>
      <c r="B445" s="114"/>
      <c r="C445" s="114"/>
      <c r="D445" s="114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14" t="s">
        <v>298</v>
      </c>
      <c r="B456" s="114"/>
      <c r="C456" s="114"/>
      <c r="D456" s="114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14" t="s">
        <v>299</v>
      </c>
      <c r="B467" s="114"/>
      <c r="C467" s="114"/>
      <c r="D467" s="114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14" t="s">
        <v>300</v>
      </c>
      <c r="B478" s="114"/>
      <c r="C478" s="114"/>
      <c r="D478" s="114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14" t="s">
        <v>301</v>
      </c>
      <c r="B489" s="114"/>
      <c r="C489" s="114"/>
      <c r="D489" s="114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14" t="s">
        <v>304</v>
      </c>
      <c r="B500" s="114"/>
      <c r="C500" s="114"/>
      <c r="D500" s="114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14" t="s">
        <v>305</v>
      </c>
      <c r="B511" s="114"/>
      <c r="C511" s="114"/>
      <c r="D511" s="114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14" t="s">
        <v>306</v>
      </c>
      <c r="B522" s="114"/>
      <c r="C522" s="114"/>
      <c r="D522" s="114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14" t="s">
        <v>307</v>
      </c>
      <c r="B533" s="114"/>
      <c r="C533" s="114"/>
      <c r="D533" s="114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14" t="s">
        <v>308</v>
      </c>
      <c r="B544" s="114"/>
      <c r="C544" s="114"/>
      <c r="D544" s="114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14" t="s">
        <v>309</v>
      </c>
      <c r="B555" s="114"/>
      <c r="C555" s="114"/>
      <c r="D555" s="114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14" t="s">
        <v>309</v>
      </c>
      <c r="B567" s="114"/>
      <c r="C567" s="114"/>
      <c r="D567" s="114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14" t="s">
        <v>314</v>
      </c>
      <c r="B579" s="114"/>
      <c r="C579" s="114"/>
      <c r="D579" s="114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14" t="s">
        <v>315</v>
      </c>
      <c r="B590" s="114"/>
      <c r="C590" s="114"/>
      <c r="D590" s="114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14" t="s">
        <v>316</v>
      </c>
      <c r="B601" s="114"/>
      <c r="C601" s="114"/>
      <c r="D601" s="114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14" t="s">
        <v>317</v>
      </c>
      <c r="B612" s="114"/>
      <c r="C612" s="114"/>
      <c r="D612" s="114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14" t="s">
        <v>318</v>
      </c>
      <c r="B623" s="114"/>
      <c r="C623" s="114"/>
      <c r="D623" s="114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14" t="s">
        <v>319</v>
      </c>
      <c r="B635" s="114"/>
      <c r="C635" s="114"/>
      <c r="D635" s="114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14" t="s">
        <v>321</v>
      </c>
      <c r="B647" s="114"/>
      <c r="C647" s="114"/>
      <c r="D647" s="114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14" t="s">
        <v>322</v>
      </c>
      <c r="B658" s="114"/>
      <c r="C658" s="114"/>
      <c r="D658" s="114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14" t="s">
        <v>323</v>
      </c>
      <c r="B670" s="114"/>
      <c r="C670" s="114"/>
      <c r="D670" s="114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14" t="s">
        <v>324</v>
      </c>
      <c r="B681" s="114"/>
      <c r="C681" s="114"/>
      <c r="D681" s="114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14" t="s">
        <v>325</v>
      </c>
      <c r="B692" s="114"/>
      <c r="C692" s="114"/>
      <c r="D692" s="114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14" t="s">
        <v>326</v>
      </c>
      <c r="B703" s="114"/>
      <c r="C703" s="114"/>
      <c r="D703" s="114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14" t="s">
        <v>329</v>
      </c>
      <c r="B715" s="114"/>
      <c r="C715" s="114"/>
      <c r="D715" s="114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14" t="s">
        <v>330</v>
      </c>
      <c r="B726" s="114"/>
      <c r="C726" s="114"/>
      <c r="D726" s="114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14" t="s">
        <v>331</v>
      </c>
      <c r="B738" s="114"/>
      <c r="C738" s="114"/>
      <c r="D738" s="114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14" t="s">
        <v>332</v>
      </c>
      <c r="B749" s="114"/>
      <c r="C749" s="114"/>
      <c r="D749" s="114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14" t="s">
        <v>333</v>
      </c>
      <c r="B760" s="114"/>
      <c r="C760" s="114"/>
      <c r="D760" s="114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14" t="s">
        <v>341</v>
      </c>
      <c r="B772" s="114"/>
      <c r="C772" s="114"/>
      <c r="D772" s="114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14" t="s">
        <v>344</v>
      </c>
      <c r="B784" s="114"/>
      <c r="C784" s="114"/>
      <c r="D784" s="114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4" t="s">
        <v>346</v>
      </c>
      <c r="B796" s="114"/>
      <c r="C796" s="114"/>
      <c r="D796" s="114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4" t="s">
        <v>349</v>
      </c>
      <c r="B809" s="114"/>
      <c r="C809" s="114"/>
      <c r="D809" s="114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4" t="s">
        <v>351</v>
      </c>
      <c r="B820" s="114"/>
      <c r="C820" s="114"/>
      <c r="D820" s="114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14" t="s">
        <v>353</v>
      </c>
      <c r="B831" s="114"/>
      <c r="C831" s="114"/>
      <c r="D831" s="114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14" t="s">
        <v>355</v>
      </c>
      <c r="B842" s="114"/>
      <c r="C842" s="114"/>
      <c r="D842" s="114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4" t="s">
        <v>376</v>
      </c>
      <c r="B854" s="114"/>
      <c r="C854" s="114"/>
      <c r="D854" s="114"/>
    </row>
    <row r="855" spans="1:7">
      <c r="A855" s="11" t="s">
        <v>228</v>
      </c>
      <c r="B855" s="11" t="s">
        <v>229</v>
      </c>
      <c r="C855" s="11" t="s">
        <v>230</v>
      </c>
      <c r="D855" s="11" t="s">
        <v>377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  <row r="865" spans="1:7">
      <c r="A865" s="114" t="s">
        <v>380</v>
      </c>
      <c r="B865" s="114"/>
      <c r="C865" s="114"/>
      <c r="D865" s="114"/>
    </row>
    <row r="866" spans="1:7">
      <c r="A866" s="11" t="s">
        <v>228</v>
      </c>
      <c r="B866" s="11" t="s">
        <v>229</v>
      </c>
      <c r="C866" s="11" t="s">
        <v>230</v>
      </c>
      <c r="D866" s="11" t="s">
        <v>231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232</v>
      </c>
      <c r="B868" s="11">
        <v>27470</v>
      </c>
      <c r="C868" s="11">
        <v>7550</v>
      </c>
      <c r="D868" s="1">
        <v>11760000</v>
      </c>
    </row>
    <row r="869" spans="1:7">
      <c r="A869" s="70" t="s">
        <v>233</v>
      </c>
      <c r="B869" s="11">
        <v>27620</v>
      </c>
      <c r="C869" s="11">
        <v>7560</v>
      </c>
      <c r="D869" s="1">
        <v>11760000</v>
      </c>
    </row>
    <row r="870" spans="1:7">
      <c r="A870" s="68" t="s">
        <v>234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235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4" t="s">
        <v>384</v>
      </c>
      <c r="B876" s="114"/>
      <c r="C876" s="114"/>
      <c r="D876" s="114"/>
      <c r="G876">
        <v>11888000</v>
      </c>
    </row>
    <row r="877" spans="1:7">
      <c r="A877" s="11" t="s">
        <v>228</v>
      </c>
      <c r="B877" s="11" t="s">
        <v>229</v>
      </c>
      <c r="C877" s="11" t="s">
        <v>230</v>
      </c>
      <c r="D877" s="11" t="s">
        <v>231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382</v>
      </c>
      <c r="G878">
        <v>11970000</v>
      </c>
    </row>
    <row r="879" spans="1:7">
      <c r="A879" s="69" t="s">
        <v>232</v>
      </c>
      <c r="B879" s="11">
        <v>27850</v>
      </c>
      <c r="C879" s="11">
        <v>7620</v>
      </c>
      <c r="D879" s="11"/>
      <c r="E879">
        <v>11820000</v>
      </c>
      <c r="F879" t="s">
        <v>383</v>
      </c>
      <c r="G879">
        <v>11965000</v>
      </c>
    </row>
    <row r="880" spans="1:7">
      <c r="A880" s="70" t="s">
        <v>233</v>
      </c>
      <c r="B880" s="11">
        <v>27900</v>
      </c>
      <c r="C880" s="11">
        <v>7620</v>
      </c>
      <c r="D880" s="11"/>
      <c r="E880">
        <v>11790000</v>
      </c>
      <c r="F880" t="s">
        <v>342</v>
      </c>
      <c r="G880">
        <v>11960000</v>
      </c>
    </row>
    <row r="881" spans="1:4">
      <c r="A881" s="68" t="s">
        <v>234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235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4" t="s">
        <v>386</v>
      </c>
      <c r="B888" s="114"/>
      <c r="C888" s="114"/>
      <c r="D888" s="114"/>
    </row>
    <row r="889" spans="1:4">
      <c r="A889" s="11" t="s">
        <v>228</v>
      </c>
      <c r="B889" s="11" t="s">
        <v>229</v>
      </c>
      <c r="C889" s="11" t="s">
        <v>230</v>
      </c>
      <c r="D889" s="11" t="s">
        <v>231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232</v>
      </c>
      <c r="B891" s="11">
        <v>28160</v>
      </c>
      <c r="C891" s="11">
        <v>7690</v>
      </c>
      <c r="D891" s="11">
        <v>11990000</v>
      </c>
    </row>
    <row r="892" spans="1:4">
      <c r="A892" s="70" t="s">
        <v>233</v>
      </c>
      <c r="B892" s="11">
        <v>28230</v>
      </c>
      <c r="C892" s="11">
        <v>7710</v>
      </c>
      <c r="D892" s="11">
        <v>12040000</v>
      </c>
    </row>
    <row r="893" spans="1:4">
      <c r="A893" s="68" t="s">
        <v>234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235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3:4">
      <c r="C899" s="1"/>
      <c r="D899" s="1"/>
    </row>
    <row r="900" spans="3:4">
      <c r="C900" s="1"/>
      <c r="D900" s="1"/>
    </row>
    <row r="901" spans="3:4">
      <c r="C901" s="1"/>
      <c r="D901" s="1"/>
    </row>
    <row r="902" spans="3:4">
      <c r="C902" s="1"/>
      <c r="D902" s="1"/>
    </row>
    <row r="903" spans="3:4">
      <c r="C903" s="1"/>
      <c r="D903" s="1"/>
    </row>
    <row r="904" spans="3:4">
      <c r="C904" s="1"/>
      <c r="D904" s="1"/>
    </row>
  </sheetData>
  <mergeCells count="83">
    <mergeCell ref="A303:D303"/>
    <mergeCell ref="A313:D313"/>
    <mergeCell ref="A324:D324"/>
    <mergeCell ref="A253:D253"/>
    <mergeCell ref="A263:D263"/>
    <mergeCell ref="A273:D273"/>
    <mergeCell ref="A283:D283"/>
    <mergeCell ref="A293:D293"/>
    <mergeCell ref="A203:D203"/>
    <mergeCell ref="A213:D213"/>
    <mergeCell ref="A223:D223"/>
    <mergeCell ref="A233:D233"/>
    <mergeCell ref="A243:D243"/>
    <mergeCell ref="A335:D335"/>
    <mergeCell ref="A346:D346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888:D888"/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876:D876"/>
    <mergeCell ref="A865:D865"/>
    <mergeCell ref="A854:D85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5" t="s">
        <v>367</v>
      </c>
      <c r="B1" s="115"/>
      <c r="C1" s="115"/>
    </row>
    <row r="2" spans="1:6" ht="24.95" customHeight="1">
      <c r="A2" s="103"/>
      <c r="B2" s="103" t="s">
        <v>357</v>
      </c>
      <c r="C2" s="103" t="s">
        <v>358</v>
      </c>
    </row>
    <row r="3" spans="1:6" ht="24.95" customHeight="1">
      <c r="A3" s="103" t="s">
        <v>359</v>
      </c>
      <c r="B3" s="103">
        <v>10250000</v>
      </c>
      <c r="C3" s="103">
        <v>11920000</v>
      </c>
      <c r="D3" s="102" t="s">
        <v>368</v>
      </c>
      <c r="E3">
        <f>100*(C3-B3)/B3</f>
        <v>16.292682926829269</v>
      </c>
      <c r="F3">
        <v>16</v>
      </c>
    </row>
    <row r="4" spans="1:6" ht="24.95" customHeight="1">
      <c r="A4" s="103" t="s">
        <v>360</v>
      </c>
      <c r="B4" s="103">
        <v>1018000</v>
      </c>
      <c r="C4" s="103">
        <v>1140000</v>
      </c>
      <c r="D4" s="102" t="s">
        <v>369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361</v>
      </c>
      <c r="B5" s="103">
        <v>23930</v>
      </c>
      <c r="C5" s="103">
        <v>27520</v>
      </c>
      <c r="D5" s="102" t="s">
        <v>370</v>
      </c>
      <c r="E5" s="1">
        <f t="shared" si="0"/>
        <v>15.002089427496866</v>
      </c>
      <c r="F5">
        <v>15</v>
      </c>
    </row>
    <row r="6" spans="1:6" ht="24.95" customHeight="1">
      <c r="A6" s="103" t="s">
        <v>362</v>
      </c>
      <c r="B6" s="103">
        <v>28324</v>
      </c>
      <c r="C6" s="103">
        <v>32347</v>
      </c>
      <c r="D6" s="102" t="s">
        <v>371</v>
      </c>
      <c r="E6" s="1">
        <f t="shared" si="0"/>
        <v>14.203502330179353</v>
      </c>
      <c r="F6">
        <v>14</v>
      </c>
    </row>
    <row r="7" spans="1:6" ht="24.95" customHeight="1">
      <c r="A7" s="103" t="s">
        <v>363</v>
      </c>
      <c r="B7" s="103">
        <v>23779</v>
      </c>
      <c r="C7" s="103">
        <v>26523</v>
      </c>
      <c r="D7" s="102" t="s">
        <v>372</v>
      </c>
      <c r="E7" s="1">
        <f t="shared" si="0"/>
        <v>11.539593759199294</v>
      </c>
      <c r="F7">
        <v>12</v>
      </c>
    </row>
    <row r="8" spans="1:6" ht="24.95" customHeight="1">
      <c r="A8" s="103" t="s">
        <v>364</v>
      </c>
      <c r="B8" s="103">
        <v>28081</v>
      </c>
      <c r="C8" s="103">
        <v>31394</v>
      </c>
      <c r="D8" s="102" t="s">
        <v>373</v>
      </c>
      <c r="E8" s="1">
        <f t="shared" si="0"/>
        <v>11.7980128912788</v>
      </c>
      <c r="F8">
        <v>12</v>
      </c>
    </row>
    <row r="9" spans="1:6" ht="24.95" customHeight="1">
      <c r="A9" s="103" t="s">
        <v>365</v>
      </c>
      <c r="B9" s="103">
        <v>23364</v>
      </c>
      <c r="C9" s="103">
        <v>26260</v>
      </c>
      <c r="D9" s="102" t="s">
        <v>374</v>
      </c>
      <c r="E9" s="1">
        <f t="shared" si="0"/>
        <v>12.395137818866633</v>
      </c>
      <c r="F9">
        <v>12</v>
      </c>
    </row>
    <row r="10" spans="1:6" ht="24.95" customHeight="1">
      <c r="A10" s="103" t="s">
        <v>366</v>
      </c>
      <c r="B10" s="103">
        <v>27693</v>
      </c>
      <c r="C10" s="103">
        <v>31147</v>
      </c>
      <c r="D10" s="102" t="s">
        <v>375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9"/>
  <sheetViews>
    <sheetView topLeftCell="C1" zoomScaleNormal="100" workbookViewId="0">
      <selection activeCell="N79" sqref="N79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9" si="3">(C35-C34)*100/C34</f>
        <v>-1.0141987829614605</v>
      </c>
      <c r="G35">
        <f t="shared" ref="G35:G79" si="4">(D35-D34)*100/D34</f>
        <v>-9.5057034220532313E-2</v>
      </c>
      <c r="H35">
        <f t="shared" ref="H35:H79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13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13">
      <c r="B79">
        <v>14000707</v>
      </c>
      <c r="C79" s="88">
        <v>28300</v>
      </c>
      <c r="D79">
        <v>12045000</v>
      </c>
      <c r="E79">
        <v>1156200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0.78451882845188281</v>
      </c>
      <c r="I79">
        <v>0.81</v>
      </c>
      <c r="J79">
        <v>1.43</v>
      </c>
      <c r="K79">
        <v>0.63</v>
      </c>
      <c r="L79">
        <v>0.78</v>
      </c>
      <c r="M79">
        <v>0.81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2021-09-29T13:25:06Z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