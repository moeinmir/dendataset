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set'!$A$1:$BN$253</definedName>
    <definedName name="_xlnm._FilterDatabase" localSheetId="1" hidden="1">weekly!$A$1:$K$58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252" i="1" l="1"/>
  <c r="H172" i="5" l="1"/>
  <c r="G172" i="5"/>
  <c r="F172" i="5"/>
  <c r="D2261" i="3" l="1"/>
  <c r="H171" i="5" l="1"/>
  <c r="G171" i="5"/>
  <c r="F171" i="5"/>
  <c r="X256" i="1" l="1"/>
  <c r="H170" i="5" l="1"/>
  <c r="G170" i="5"/>
  <c r="F170" i="5"/>
  <c r="V262" i="1"/>
  <c r="H169" i="5" l="1"/>
  <c r="G169" i="5"/>
  <c r="F169" i="5"/>
  <c r="D2226" i="3" l="1"/>
  <c r="D2222" i="3"/>
  <c r="W257" i="1" l="1"/>
  <c r="H168" i="5" l="1"/>
  <c r="G168" i="5"/>
  <c r="F168" i="5"/>
  <c r="H2223" i="3" l="1"/>
  <c r="H167" i="5" l="1"/>
  <c r="G167" i="5"/>
  <c r="F167" i="5"/>
  <c r="D2185" i="3" l="1"/>
  <c r="H166" i="5" l="1"/>
  <c r="G166" i="5"/>
  <c r="F166" i="5"/>
  <c r="N254" i="1" l="1"/>
  <c r="N252" i="1"/>
  <c r="D252" i="1"/>
  <c r="D2177" i="3" l="1"/>
  <c r="H165" i="5" l="1"/>
  <c r="G165" i="5"/>
  <c r="F165" i="5"/>
  <c r="Y256" i="1"/>
  <c r="O253" i="1"/>
  <c r="E253" i="1"/>
  <c r="H164" i="5" l="1"/>
  <c r="G164" i="5"/>
  <c r="F164" i="5"/>
  <c r="W261" i="1"/>
  <c r="W262" i="1"/>
  <c r="D2162" i="3"/>
  <c r="H163" i="5" l="1"/>
  <c r="G163" i="5"/>
  <c r="F163" i="5"/>
  <c r="D2152" i="3"/>
  <c r="D2149" i="3"/>
  <c r="A48" i="2" l="1"/>
  <c r="B46" i="2"/>
  <c r="D2135" i="3"/>
  <c r="H162" i="5" l="1"/>
  <c r="G162" i="5"/>
  <c r="F162" i="5"/>
  <c r="E259" i="1"/>
  <c r="F257" i="1"/>
  <c r="E256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6" i="2"/>
  <c r="C48" i="2"/>
  <c r="H47" i="2"/>
  <c r="B49" i="2"/>
  <c r="D2061" i="3"/>
  <c r="H157" i="5" l="1"/>
  <c r="G157" i="5"/>
  <c r="F157" i="5"/>
  <c r="H156" i="5" l="1"/>
  <c r="G156" i="5"/>
  <c r="F156" i="5"/>
  <c r="H155" i="5" l="1"/>
  <c r="G155" i="5"/>
  <c r="F155" i="5"/>
  <c r="P254" i="1"/>
  <c r="H154" i="5" l="1"/>
  <c r="G154" i="5"/>
  <c r="F154" i="5"/>
  <c r="Y262" i="1"/>
  <c r="Y264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51" i="1" l="1"/>
  <c r="M216" i="1"/>
  <c r="L216" i="1"/>
  <c r="D1850" i="3" l="1"/>
  <c r="M215" i="1"/>
  <c r="L215" i="1"/>
  <c r="Y261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6" i="2" l="1"/>
  <c r="E48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57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58" i="1"/>
  <c r="N259" i="1"/>
  <c r="N260" i="1"/>
  <c r="N261" i="1"/>
  <c r="N262" i="1"/>
  <c r="N263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9" i="2" l="1"/>
  <c r="J48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7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8" i="2"/>
  <c r="G57" i="2"/>
  <c r="G56" i="2"/>
  <c r="G55" i="2"/>
  <c r="G54" i="2"/>
  <c r="G53" i="2"/>
  <c r="G52" i="2"/>
  <c r="G51" i="2"/>
  <c r="G50" i="2"/>
  <c r="C4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0" i="2" s="1"/>
  <c r="G16" i="2"/>
  <c r="E16" i="2"/>
  <c r="C5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51" i="1" l="1"/>
  <c r="S1" i="1" s="1"/>
  <c r="M251" i="1"/>
  <c r="U1" i="1" s="1"/>
</calcChain>
</file>

<file path=xl/sharedStrings.xml><?xml version="1.0" encoding="utf-8"?>
<sst xmlns="http://schemas.openxmlformats.org/spreadsheetml/2006/main" count="2248" uniqueCount="630">
  <si>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</si>
  <si>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</si>
  <si>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</si>
  <si>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</si>
  <si>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</si>
  <si>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</si>
  <si>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</si>
  <si>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</si>
  <si>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</si>
  <si>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</si>
  <si>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</si>
  <si>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</si>
  <si>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</si>
  <si>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</si>
  <si>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</si>
  <si>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</si>
  <si>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</si>
  <si>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</si>
  <si>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</si>
  <si>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</si>
  <si>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</si>
  <si>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</si>
  <si>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</si>
  <si>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</si>
  <si>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</si>
  <si>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</si>
  <si>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</si>
  <si>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</si>
  <si>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</si>
  <si>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</si>
  <si>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</si>
  <si>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</si>
  <si>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</si>
  <si>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</si>
  <si>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</si>
  <si>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</si>
  <si>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</si>
  <si>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</si>
  <si>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</si>
  <si>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</si>
  <si>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</si>
  <si>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</si>
  <si>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</si>
  <si>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</si>
  <si>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</si>
  <si>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</si>
  <si>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</si>
  <si>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</si>
  <si>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</si>
  <si>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</si>
  <si>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</si>
  <si>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</si>
  <si>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</si>
  <si>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</si>
  <si>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</si>
  <si>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</si>
  <si>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</si>
  <si>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</si>
  <si>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</si>
  <si>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</si>
  <si>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</si>
  <si>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</si>
  <si>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</si>
  <si>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</si>
  <si>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</si>
  <si>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</si>
  <si>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</si>
  <si>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</si>
  <si>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</si>
  <si>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</si>
  <si>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</si>
  <si>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</si>
  <si>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</si>
  <si>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</si>
  <si>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</si>
  <si>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</si>
  <si>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</si>
  <si>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</si>
  <si>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</si>
  <si>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</si>
  <si>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</si>
  <si>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</si>
  <si>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</si>
  <si>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</si>
  <si>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</si>
  <si>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</si>
  <si>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</si>
  <si>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</si>
  <si>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</si>
  <si>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</si>
  <si>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</si>
  <si>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</si>
  <si>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</si>
  <si>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</si>
  <si>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</si>
  <si>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</si>
  <si>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</si>
  <si>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</si>
  <si>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</si>
  <si>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</si>
  <si>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</si>
  <si>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</si>
  <si>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</si>
  <si>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</si>
  <si>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</si>
  <si>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</si>
  <si>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</si>
  <si>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</si>
  <si>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</si>
  <si>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</si>
  <si>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</si>
  <si>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</si>
  <si>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</si>
  <si>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</si>
  <si>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</si>
  <si>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</si>
  <si>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</si>
  <si>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</si>
  <si>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</si>
  <si>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</si>
  <si>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</si>
  <si>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</si>
  <si>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</si>
  <si>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</si>
  <si>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</si>
  <si>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</si>
  <si>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</si>
  <si>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</si>
  <si>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</si>
  <si>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</si>
  <si>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</si>
  <si>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</si>
  <si>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</si>
  <si>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</si>
  <si>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</si>
  <si>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</si>
  <si>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</si>
  <si>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</si>
  <si>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</si>
  <si>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</si>
  <si>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</si>
  <si>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</si>
  <si>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</si>
  <si>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</si>
  <si>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</si>
  <si>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</si>
  <si>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</si>
  <si>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</si>
  <si>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</si>
  <si>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</si>
  <si>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</si>
  <si>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</si>
  <si>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</si>
  <si>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</si>
  <si>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</si>
  <si>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</si>
  <si>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</si>
  <si>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</si>
  <si>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</si>
  <si>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</si>
  <si>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</si>
  <si>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</si>
  <si>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</si>
  <si>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</si>
  <si>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</si>
  <si>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</si>
  <si>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</si>
  <si>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</si>
  <si>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</si>
  <si>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</si>
  <si>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</si>
  <si>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</si>
  <si>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</si>
  <si>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</si>
  <si>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</si>
  <si>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</si>
  <si>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</si>
  <si>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</si>
  <si>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</si>
  <si>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</si>
  <si>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</si>
  <si>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</si>
  <si>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</si>
  <si>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</si>
  <si>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</si>
  <si>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</si>
  <si>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</si>
  <si>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</si>
  <si>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</si>
  <si>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</si>
  <si>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</si>
  <si>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</si>
  <si>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</si>
  <si>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</si>
  <si>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</si>
  <si>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</si>
  <si>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</si>
  <si>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</si>
  <si>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</si>
  <si>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</si>
  <si>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</si>
  <si>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</si>
  <si>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</si>
  <si>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</si>
  <si>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</si>
  <si>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</si>
  <si>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</si>
  <si>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</si>
  <si>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</si>
  <si>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</si>
  <si>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</si>
  <si>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</si>
  <si>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</si>
  <si>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</si>
  <si>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</si>
  <si>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</si>
  <si>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</si>
  <si>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</si>
  <si>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</si>
  <si>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</si>
  <si>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</si>
  <si>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</si>
  <si>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</si>
  <si>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</si>
  <si>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</si>
  <si>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</si>
  <si>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</si>
  <si>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</si>
  <si>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</si>
  <si>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</si>
  <si>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</si>
  <si>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</si>
  <si>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</si>
  <si>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</si>
  <si>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</si>
  <si>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</si>
  <si>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</si>
  <si>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</si>
  <si>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</si>
  <si>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</si>
  <si>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</si>
  <si>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</si>
  <si>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</si>
  <si>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</si>
  <si>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</si>
  <si>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</si>
  <si>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</si>
  <si>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</si>
  <si>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</si>
  <si>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</si>
  <si>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</si>
  <si>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</si>
  <si>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</si>
  <si>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</si>
  <si>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</si>
  <si>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</si>
  <si>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</si>
  <si>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</si>
  <si>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</si>
  <si>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</si>
  <si>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</si>
  <si>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</si>
  <si>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</si>
  <si>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</si>
  <si>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</si>
  <si>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</si>
  <si>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</si>
  <si>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</si>
  <si>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</si>
  <si>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</si>
  <si>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</si>
  <si>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</si>
  <si>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</si>
  <si>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</si>
  <si>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</si>
  <si>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</si>
  <si>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</si>
  <si>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</si>
  <si>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</si>
  <si>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</si>
  <si>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</si>
  <si>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</si>
  <si>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</si>
  <si>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</si>
  <si>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</si>
  <si>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</si>
  <si>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</si>
  <si>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</si>
  <si>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</si>
  <si>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</si>
  <si>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</si>
  <si>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</si>
  <si>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</si>
  <si>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</si>
  <si>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</si>
  <si>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</si>
  <si>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</si>
  <si>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</si>
  <si>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</si>
  <si>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</si>
  <si>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</si>
  <si>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</si>
  <si>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</si>
  <si>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</si>
  <si>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</si>
  <si>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</si>
  <si>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</si>
  <si>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</si>
  <si>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</si>
  <si>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</si>
  <si>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</si>
  <si>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</si>
  <si>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</si>
  <si>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</si>
  <si>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</si>
  <si>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</si>
  <si>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</si>
  <si>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</si>
  <si>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</si>
  <si>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</si>
  <si>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</si>
  <si>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</si>
  <si>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</si>
  <si>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</si>
  <si>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</si>
  <si>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</si>
  <si>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</si>
  <si>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</si>
  <si>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</si>
  <si>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</si>
  <si>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</si>
  <si>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</si>
  <si>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</si>
  <si>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</si>
  <si>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</si>
  <si>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</si>
  <si>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</si>
  <si>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</si>
  <si>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</si>
  <si>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</si>
  <si>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</si>
  <si>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</si>
  <si>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</si>
  <si>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</si>
  <si>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</si>
  <si>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</si>
  <si>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</si>
  <si>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</si>
  <si>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</si>
  <si>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</si>
  <si>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</si>
  <si>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</si>
  <si>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</si>
  <si>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</si>
  <si>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</si>
  <si>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</si>
  <si>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</si>
  <si>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</si>
  <si>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</si>
  <si>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</si>
  <si>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</si>
  <si>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</si>
  <si>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</si>
  <si>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</si>
  <si>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</si>
  <si>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</si>
  <si>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</si>
  <si>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</si>
  <si>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</si>
  <si>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</si>
  <si>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</si>
  <si>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</si>
  <si>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</si>
  <si>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</si>
  <si>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</si>
  <si>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</si>
  <si>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</si>
  <si>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</si>
  <si>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</si>
  <si>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</si>
  <si>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</si>
  <si>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</si>
  <si>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</si>
  <si>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</si>
  <si>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</si>
  <si>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</si>
  <si>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</si>
  <si>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</si>
  <si>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</si>
  <si>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</si>
  <si>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</si>
  <si>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</si>
  <si>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</si>
  <si>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</si>
  <si>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</si>
  <si>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</si>
  <si>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</si>
  <si>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</si>
  <si>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</si>
  <si>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</si>
  <si>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</si>
  <si>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</si>
  <si>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</si>
  <si>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</si>
  <si>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</si>
  <si>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</si>
  <si>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</si>
  <si>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</si>
  <si>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</si>
  <si>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</si>
  <si>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</si>
  <si>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</si>
  <si>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</si>
  <si>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</si>
  <si>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</si>
  <si>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</si>
  <si>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</si>
  <si>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</si>
  <si>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</si>
  <si>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</si>
  <si>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</si>
  <si>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</si>
  <si>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</si>
  <si>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</si>
  <si>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</si>
  <si>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</si>
  <si>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</si>
  <si>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</si>
  <si>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</si>
  <si>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</si>
  <si>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</si>
  <si>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</si>
  <si>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</si>
  <si>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</si>
  <si>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</si>
  <si>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</si>
  <si>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</si>
  <si>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</si>
  <si>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</si>
  <si>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</si>
  <si>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</si>
  <si>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</si>
  <si>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</si>
  <si>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</si>
  <si>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</si>
  <si>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</si>
  <si>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</si>
  <si>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</si>
  <si>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</si>
  <si>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</si>
  <si>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</si>
  <si>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</si>
  <si>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</si>
  <si>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</si>
  <si>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</si>
  <si>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</si>
  <si>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</si>
  <si>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</si>
  <si>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</si>
  <si>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</si>
  <si>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</si>
  <si>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</si>
  <si>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</si>
  <si>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</si>
  <si>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</si>
  <si>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</si>
  <si>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</si>
  <si>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</si>
  <si>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</si>
  <si>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</si>
  <si>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</si>
  <si>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</si>
  <si>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</si>
  <si>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</si>
  <si>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</si>
  <si>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</si>
  <si>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</si>
  <si>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</si>
  <si>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</si>
  <si>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</si>
  <si>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</si>
  <si>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</si>
  <si>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</si>
  <si>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</si>
  <si>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</si>
  <si>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</si>
  <si>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</si>
  <si>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</si>
  <si>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</si>
  <si>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</si>
  <si>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</si>
  <si>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</si>
  <si>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</si>
  <si>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</si>
  <si>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</si>
  <si>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</si>
  <si>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</si>
  <si>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</si>
  <si>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</si>
  <si>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</si>
  <si>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</si>
  <si>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</si>
  <si>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</si>
  <si>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</si>
  <si>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</si>
  <si>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</si>
  <si>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</si>
  <si>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</si>
  <si>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</si>
  <si>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</si>
  <si>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</si>
  <si>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</si>
  <si>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</si>
  <si>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</si>
  <si>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</si>
  <si>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</si>
  <si>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</si>
  <si>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</si>
  <si>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</si>
  <si>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</si>
  <si>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</si>
  <si>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</si>
  <si>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</si>
  <si>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</si>
  <si>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</si>
  <si>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</si>
  <si>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</si>
  <si>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</si>
  <si>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</si>
  <si>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</si>
  <si>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</si>
  <si>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</si>
  <si>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</si>
  <si>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</si>
  <si>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</si>
  <si>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</si>
  <si>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</si>
  <si>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</si>
  <si>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</si>
  <si>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</si>
  <si>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</si>
  <si>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</si>
  <si>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</si>
  <si>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</si>
  <si>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</si>
  <si>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</si>
  <si>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</si>
  <si>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</si>
  <si>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</si>
  <si>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</si>
  <si>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</si>
  <si>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</si>
  <si>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</si>
  <si>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</si>
  <si>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</si>
  <si>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</si>
  <si>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</si>
  <si>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</si>
  <si>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</si>
  <si>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</si>
  <si>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</si>
  <si>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</si>
  <si>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</si>
  <si>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</si>
  <si>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</si>
  <si>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</si>
  <si>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</si>
  <si>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</si>
  <si>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</si>
  <si>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</si>
  <si>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</si>
  <si>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</si>
  <si>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</si>
  <si>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</si>
  <si>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</si>
  <si>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</si>
  <si>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</si>
  <si>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</si>
  <si>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</si>
  <si>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</si>
  <si>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</si>
  <si>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</si>
  <si>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</si>
  <si>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</si>
  <si>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</si>
  <si>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</si>
  <si>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</si>
  <si>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</si>
  <si>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</si>
  <si>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</si>
  <si>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</si>
  <si>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</si>
  <si>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</si>
  <si>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</si>
  <si>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</si>
  <si>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</si>
  <si>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</si>
  <si>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</si>
  <si>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</si>
  <si>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</si>
  <si>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</si>
  <si>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</si>
  <si>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</si>
  <si>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</si>
  <si>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</si>
  <si>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</si>
  <si>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</si>
  <si>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</si>
  <si>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</si>
  <si>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</si>
  <si>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</si>
  <si>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</si>
  <si>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</si>
  <si>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</si>
  <si>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</si>
  <si>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</si>
  <si>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</si>
  <si>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</si>
  <si>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</si>
  <si>
    <t>16بهمن1400</t>
  </si>
  <si>
    <t>روند روزانه بهای سکه و ارز ( شنبه 16 بهمن 1400)</t>
  </si>
  <si>
    <t>17بهمن1400</t>
  </si>
  <si>
    <t>روند روزانه بهای سکه و ارز ( یکشنبه 17 بهمن 1400)</t>
  </si>
  <si>
    <t>18بهمن1400</t>
  </si>
  <si>
    <t>روند روزانه بهای سکه و ارز ( دوشنبه 18 بهمن 1400)</t>
  </si>
  <si>
    <t>13 52</t>
  </si>
  <si>
    <t>19بهمن1400</t>
  </si>
  <si>
    <t>روند روزانه بهای سکه و ارز ( سه‌شنبه 19 بهمن 1400)</t>
  </si>
  <si>
    <t>20بهمن1400</t>
  </si>
  <si>
    <t>روند روزانه بهای سکه و ارز ( چهارشنبه 20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</si>
</sst>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14161648"/>
        <c:axId val="-1014160016"/>
      </c:lineChart>
      <c:catAx>
        <c:axId val="-101416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14160016"/>
        <c:crosses val="autoZero"/>
        <c:auto val="1"/>
        <c:lblAlgn val="ctr"/>
        <c:lblOffset val="100"/>
        <c:noMultiLvlLbl val="0"/>
      </c:catAx>
      <c:valAx>
        <c:axId val="-10141600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1416164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weekly!$B$27:$B$45</c15:sqref>
                  </c15:fullRef>
                </c:ext>
              </c:extLst>
              <c:f>weekly!$B$28:$B$45</c:f>
              <c:numCache>
                <c:formatCode>General</c:formatCode>
                <c:ptCount val="1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39B-42FE-890C-FBBD5EA1085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weekly!$H$27:$H$45</c15:sqref>
                  </c15:fullRef>
                </c:ext>
              </c:extLst>
              <c:f>weekly!$H$28:$H$45</c:f>
              <c:numCache>
                <c:formatCode>General</c:formatCode>
                <c:ptCount val="1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14160560"/>
        <c:axId val="-101415947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01416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14159472"/>
        <c:crosses val="autoZero"/>
        <c:auto val="1"/>
        <c:lblAlgn val="ctr"/>
        <c:lblOffset val="100"/>
        <c:noMultiLvlLbl val="0"/>
      </c:catAx>
      <c:valAx>
        <c:axId val="-101415947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141605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930128832"/>
        <c:axId val="-930128288"/>
      </c:lineChart>
      <c:catAx>
        <c:axId val="-93012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30128288"/>
        <c:crosses val="autoZero"/>
        <c:auto val="1"/>
        <c:lblAlgn val="ctr"/>
        <c:lblOffset val="100"/>
        <c:noMultiLvlLbl val="0"/>
      </c:catAx>
      <c:valAx>
        <c:axId val="-9301282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301288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930132640"/>
        <c:axId val="-930127744"/>
      </c:lineChart>
      <c:catAx>
        <c:axId val="-93013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30127744"/>
        <c:crosses val="autoZero"/>
        <c:auto val="1"/>
        <c:lblAlgn val="ctr"/>
        <c:lblOffset val="100"/>
        <c:noMultiLvlLbl val="0"/>
      </c:catAx>
      <c:valAx>
        <c:axId val="-9301277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3013264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930126112"/>
        <c:axId val="-930127200"/>
      </c:lineChart>
      <c:catAx>
        <c:axId val="-93012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30127200"/>
        <c:crosses val="autoZero"/>
        <c:auto val="1"/>
        <c:lblAlgn val="ctr"/>
        <c:lblOffset val="100"/>
        <c:noMultiLvlLbl val="0"/>
      </c:catAx>
      <c:valAx>
        <c:axId val="-9301272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301261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weekly!$C$27:$C$45</c15:sqref>
                  </c15:fullRef>
                </c:ext>
              </c:extLst>
              <c:f>weekly!$C$28:$C$45</c:f>
              <c:numCache>
                <c:formatCode>General</c:formatCode>
                <c:ptCount val="1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weekly!$I$27:$I$45</c15:sqref>
                  </c15:fullRef>
                </c:ext>
              </c:extLst>
              <c:f>weekly!$I$28:$I$45</c:f>
              <c:numCache>
                <c:formatCode>General</c:formatCode>
                <c:ptCount val="1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930129920"/>
        <c:axId val="-93012665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93012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30126656"/>
        <c:crosses val="autoZero"/>
        <c:auto val="1"/>
        <c:lblAlgn val="ctr"/>
        <c:lblOffset val="100"/>
        <c:noMultiLvlLbl val="0"/>
      </c:catAx>
      <c:valAx>
        <c:axId val="-93012665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301299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930125568"/>
        <c:axId val="-930129376"/>
      </c:barChart>
      <c:catAx>
        <c:axId val="-93012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30129376"/>
        <c:crosses val="autoZero"/>
        <c:auto val="1"/>
        <c:lblAlgn val="ctr"/>
        <c:lblOffset val="100"/>
        <c:noMultiLvlLbl val="0"/>
      </c:catAx>
      <c:valAx>
        <c:axId val="-9301293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301255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چهارشنبه 20 بهمن 1400 )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90"/>
          <c:order val="9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change'!$F$172:$I$172</c:f>
              <c:numCache>
                <c:formatCode>General</c:formatCode>
                <c:ptCount val="4"/>
                <c:pt idx="0">
                  <c:v>1.1428571428571428</c:v>
                </c:pt>
                <c:pt idx="1">
                  <c:v>-8.4889643463497449E-2</c:v>
                </c:pt>
                <c:pt idx="2">
                  <c:v>-0.51626226122870422</c:v>
                </c:pt>
                <c:pt idx="3">
                  <c:v>0.24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930132096"/>
        <c:axId val="-93013155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  <c15:filteredBarSeries>
              <c15:ser>
                <c:idx val="85"/>
                <c:order val="8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change'!$F$167:$I$167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-0.97157250809643758</c:v>
                      </c:pt>
                      <c:pt idx="1">
                        <c:v>-0.49019607843137253</c:v>
                      </c:pt>
                      <c:pt idx="2">
                        <c:v>-0.79664914586070956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25-4A13-98D8-CAB9E1153C64}"/>
                  </c:ext>
                </c:extLst>
              </c15:ser>
            </c15:filteredBarSeries>
            <c15:filteredBarSeries>
              <c15:ser>
                <c:idx val="86"/>
                <c:order val="8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change'!$F$168:$I$168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-2.3255813953488373</c:v>
                      </c:pt>
                      <c:pt idx="1">
                        <c:v>-2.4220032840722494</c:v>
                      </c:pt>
                      <c:pt idx="2">
                        <c:v>-0.93550790628363278</c:v>
                      </c:pt>
                      <c:pt idx="3">
                        <c:v>0.25</c:v>
                      </c:pt>
                    </c:numCache>
                  </c:numRef>
                </c:val>
              </c15:ser>
            </c15:filteredBarSeries>
            <c15:filteredBarSeries>
              <c15:ser>
                <c:idx val="87"/>
                <c:order val="8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change'!$F$169:$I$169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-0.85565476190476186</c:v>
                      </c:pt>
                      <c:pt idx="1">
                        <c:v>0.79932688262515772</c:v>
                      </c:pt>
                      <c:pt idx="2">
                        <c:v>-2.6073875981948853</c:v>
                      </c:pt>
                      <c:pt idx="3">
                        <c:v>-1.72</c:v>
                      </c:pt>
                    </c:numCache>
                  </c:numRef>
                </c:val>
              </c15:ser>
            </c15:filteredBarSeries>
            <c15:filteredBarSeries>
              <c15:ser>
                <c:idx val="88"/>
                <c:order val="8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change'!$F$170:$I$170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0.41275797373358347</c:v>
                      </c:pt>
                      <c:pt idx="1">
                        <c:v>-0.62604340567612693</c:v>
                      </c:pt>
                      <c:pt idx="2">
                        <c:v>1.2270465076368628</c:v>
                      </c:pt>
                      <c:pt idx="3">
                        <c:v>-0.59</c:v>
                      </c:pt>
                    </c:numCache>
                  </c:numRef>
                </c:val>
              </c15:ser>
            </c15:filteredBarSeries>
            <c15:filteredBarSeries>
              <c15:ser>
                <c:idx val="89"/>
                <c:order val="8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change'!$F$171:$I$171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-1.905829596412556</c:v>
                      </c:pt>
                      <c:pt idx="1">
                        <c:v>-1.0499790004199916</c:v>
                      </c:pt>
                      <c:pt idx="2">
                        <c:v>-1.4834279901669916</c:v>
                      </c:pt>
                      <c:pt idx="3">
                        <c:v>0.53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93013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30131552"/>
        <c:crosses val="autoZero"/>
        <c:auto val="1"/>
        <c:lblAlgn val="ctr"/>
        <c:lblOffset val="100"/>
        <c:noMultiLvlLbl val="0"/>
      </c:catAx>
      <c:valAx>
        <c:axId val="-9301315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9301320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600</xdr:row>
      <xdr:rowOff>102960</xdr:rowOff>
    </xdr:from>
    <xdr:to>
      <xdr:col>11</xdr:col>
      <xdr:colOff>279360</xdr:colOff>
      <xdr:row>630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180</xdr:row>
      <xdr:rowOff>27711</xdr:rowOff>
    </xdr:from>
    <xdr:to>
      <xdr:col>53</xdr:col>
      <xdr:colOff>335280</xdr:colOff>
      <xdr:row>285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316</xdr:row>
      <xdr:rowOff>0</xdr:rowOff>
    </xdr:from>
    <xdr:to>
      <xdr:col>82</xdr:col>
      <xdr:colOff>0</xdr:colOff>
      <xdr:row>392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635</xdr:row>
      <xdr:rowOff>0</xdr:rowOff>
    </xdr:from>
    <xdr:to>
      <xdr:col>13</xdr:col>
      <xdr:colOff>354240</xdr:colOff>
      <xdr:row>665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415</xdr:row>
      <xdr:rowOff>0</xdr:rowOff>
    </xdr:from>
    <xdr:to>
      <xdr:col>83</xdr:col>
      <xdr:colOff>533400</xdr:colOff>
      <xdr:row>514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63</xdr:row>
      <xdr:rowOff>76321</xdr:rowOff>
    </xdr:from>
    <xdr:to>
      <xdr:col>44</xdr:col>
      <xdr:colOff>533400</xdr:colOff>
      <xdr:row>162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685345</xdr:colOff>
      <xdr:row>2</xdr:row>
      <xdr:rowOff>80863</xdr:rowOff>
    </xdr:from>
    <xdr:to>
      <xdr:col>7</xdr:col>
      <xdr:colOff>954081</xdr:colOff>
      <xdr:row>31</xdr:row>
      <xdr:rowOff>134471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66"/>
  <sheetViews>
    <sheetView tabSelected="1" topLeftCell="P1" zoomScaleNormal="100" workbookViewId="0">
      <pane ySplit="1" topLeftCell="A241" activePane="bottomLeft" state="frozen"/>
      <selection activeCell="B1" sqref="B1"/>
      <selection pane="bottomLeft" activeCell="R250" sqref="R250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L251/G251</f>
        <v>#DIV/0!</v>
      </c>
      <c r="T1" s="3" t="s">
        <v>15</v>
      </c>
      <c r="U1" s="3">
        <f>M251/K251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52" customFormat="1" ht="18">
      <c r="B245" s="153" t="s">
        <v>616</v>
      </c>
      <c r="C245" s="121">
        <v>14</v>
      </c>
      <c r="D245" s="154">
        <v>25090</v>
      </c>
      <c r="E245" s="152">
        <v>25125</v>
      </c>
      <c r="F245" s="152">
        <v>25079</v>
      </c>
      <c r="H245" s="152">
        <v>28460</v>
      </c>
      <c r="I245" s="152">
        <v>28482</v>
      </c>
      <c r="J245" s="152">
        <v>28573</v>
      </c>
      <c r="L245" s="201"/>
      <c r="M245" s="201"/>
      <c r="N245" s="152">
        <v>25376</v>
      </c>
      <c r="O245" s="152">
        <v>28767</v>
      </c>
      <c r="P245" s="152">
        <v>25341</v>
      </c>
      <c r="Q245" s="152">
        <v>28745</v>
      </c>
      <c r="V245" s="152">
        <v>27530</v>
      </c>
      <c r="X245" s="152">
        <v>27550</v>
      </c>
      <c r="Y245" s="152">
        <v>31141</v>
      </c>
      <c r="Z245" s="155"/>
      <c r="AB245" s="154"/>
      <c r="AS245" s="154"/>
      <c r="AW245" s="154"/>
      <c r="BI245" s="178"/>
      <c r="BO245" s="156"/>
      <c r="BP245" s="156"/>
      <c r="BQ245" s="156"/>
      <c r="BR245" s="156"/>
    </row>
    <row r="246" spans="2:70" s="144" customFormat="1" ht="18">
      <c r="B246" s="145" t="s">
        <v>619</v>
      </c>
      <c r="C246" s="108">
        <v>16</v>
      </c>
      <c r="D246" s="146">
        <v>24987</v>
      </c>
      <c r="E246" s="144">
        <v>24810</v>
      </c>
      <c r="F246" s="144">
        <v>24981</v>
      </c>
      <c r="H246" s="144">
        <v>28482</v>
      </c>
      <c r="I246" s="144">
        <v>28540</v>
      </c>
      <c r="J246" s="144">
        <v>28636</v>
      </c>
      <c r="L246" s="142"/>
      <c r="M246" s="142"/>
      <c r="N246" s="144">
        <v>25058</v>
      </c>
      <c r="O246" s="144">
        <v>28825</v>
      </c>
      <c r="P246" s="144">
        <v>25237</v>
      </c>
      <c r="Q246" s="144">
        <v>28767</v>
      </c>
      <c r="V246" s="144">
        <v>27080</v>
      </c>
      <c r="X246" s="144">
        <v>26880</v>
      </c>
      <c r="Y246" s="144">
        <v>30785</v>
      </c>
      <c r="Z246" s="147"/>
      <c r="AB246" s="146"/>
      <c r="AS246" s="146"/>
      <c r="AW246" s="146"/>
      <c r="BI246" s="207"/>
      <c r="BO246" s="150"/>
      <c r="BP246" s="150"/>
      <c r="BQ246" s="150"/>
      <c r="BR246" s="150"/>
    </row>
    <row r="247" spans="2:70" s="144" customFormat="1" ht="18">
      <c r="B247" s="145" t="s">
        <v>621</v>
      </c>
      <c r="C247" s="108">
        <v>17</v>
      </c>
      <c r="D247" s="146">
        <v>24624</v>
      </c>
      <c r="E247" s="144">
        <v>24286</v>
      </c>
      <c r="F247" s="144">
        <v>24319</v>
      </c>
      <c r="H247" s="144">
        <v>28540</v>
      </c>
      <c r="I247" s="144">
        <v>28064</v>
      </c>
      <c r="J247" s="144">
        <v>28240</v>
      </c>
      <c r="L247" s="142"/>
      <c r="M247" s="142"/>
      <c r="N247" s="144">
        <v>24529</v>
      </c>
      <c r="O247" s="144">
        <v>28344</v>
      </c>
      <c r="P247" s="144">
        <v>24870</v>
      </c>
      <c r="Q247" s="144">
        <v>28825</v>
      </c>
      <c r="V247" s="144">
        <v>26250</v>
      </c>
      <c r="X247" s="144">
        <v>26650</v>
      </c>
      <c r="Y247" s="144">
        <v>29950</v>
      </c>
      <c r="Z247" s="147"/>
      <c r="AB247" s="146"/>
      <c r="AS247" s="146"/>
      <c r="AW247" s="146"/>
      <c r="BI247" s="207"/>
      <c r="BO247" s="150"/>
      <c r="BP247" s="150"/>
      <c r="BQ247" s="150"/>
      <c r="BR247" s="150"/>
    </row>
    <row r="248" spans="2:70" s="144" customFormat="1" ht="18">
      <c r="B248" s="145" t="s">
        <v>623</v>
      </c>
      <c r="C248" s="108">
        <v>18</v>
      </c>
      <c r="D248" s="146">
        <v>24300</v>
      </c>
      <c r="E248" s="144">
        <v>24503</v>
      </c>
      <c r="F248" s="144">
        <v>24406</v>
      </c>
      <c r="H248" s="144">
        <v>28064</v>
      </c>
      <c r="I248" s="144">
        <v>28700</v>
      </c>
      <c r="J248" s="144">
        <v>28395</v>
      </c>
      <c r="L248" s="142"/>
      <c r="M248" s="142"/>
      <c r="N248" s="144">
        <v>24748</v>
      </c>
      <c r="O248" s="144">
        <v>28987</v>
      </c>
      <c r="P248" s="144">
        <v>24543</v>
      </c>
      <c r="Q248" s="144">
        <v>28344</v>
      </c>
      <c r="V248" s="144">
        <v>26980</v>
      </c>
      <c r="X248" s="144">
        <v>26760</v>
      </c>
      <c r="Y248" s="144">
        <v>30729</v>
      </c>
      <c r="Z248" s="147"/>
      <c r="AB248" s="146"/>
      <c r="AS248" s="146"/>
      <c r="AW248" s="146"/>
      <c r="BI248" s="207"/>
      <c r="BO248" s="150"/>
      <c r="BP248" s="150"/>
      <c r="BQ248" s="150"/>
      <c r="BR248" s="150"/>
    </row>
    <row r="249" spans="2:70" s="144" customFormat="1" ht="18">
      <c r="B249" s="145" t="s">
        <v>626</v>
      </c>
      <c r="C249" s="108">
        <v>19</v>
      </c>
      <c r="D249" s="146">
        <v>24357</v>
      </c>
      <c r="E249" s="144">
        <v>24292</v>
      </c>
      <c r="F249" s="144">
        <v>24242</v>
      </c>
      <c r="H249" s="144">
        <v>28700</v>
      </c>
      <c r="I249" s="144">
        <v>28250</v>
      </c>
      <c r="J249" s="144">
        <v>28107</v>
      </c>
      <c r="L249" s="142"/>
      <c r="M249" s="142"/>
      <c r="N249" s="144">
        <v>24535</v>
      </c>
      <c r="O249" s="144">
        <v>28532</v>
      </c>
      <c r="P249" s="144">
        <v>24601</v>
      </c>
      <c r="Q249" s="144">
        <v>28987</v>
      </c>
      <c r="V249" s="144">
        <v>26480</v>
      </c>
      <c r="X249" s="144">
        <v>26250</v>
      </c>
      <c r="Y249" s="144">
        <v>30168</v>
      </c>
      <c r="Z249" s="147"/>
      <c r="AB249" s="146"/>
      <c r="AS249" s="146"/>
      <c r="AW249" s="146"/>
      <c r="BI249" s="207"/>
      <c r="BO249" s="150"/>
      <c r="BP249" s="150"/>
      <c r="BQ249" s="150"/>
      <c r="BR249" s="150"/>
    </row>
    <row r="250" spans="2:70" s="136" customFormat="1" ht="18">
      <c r="B250" s="131" t="s">
        <v>628</v>
      </c>
      <c r="C250" s="104">
        <v>20</v>
      </c>
      <c r="D250" s="137">
        <v>24292</v>
      </c>
      <c r="E250" s="136">
        <v>24600</v>
      </c>
      <c r="F250" s="136">
        <v>24583</v>
      </c>
      <c r="H250" s="136">
        <v>28250</v>
      </c>
      <c r="I250" s="136">
        <v>28450</v>
      </c>
      <c r="J250" s="136">
        <v>28405</v>
      </c>
      <c r="L250" s="208"/>
      <c r="M250" s="208"/>
      <c r="N250" s="136">
        <v>24846</v>
      </c>
      <c r="O250" s="136">
        <v>28734</v>
      </c>
      <c r="P250" s="136">
        <v>24535</v>
      </c>
      <c r="Q250" s="136">
        <v>28532</v>
      </c>
      <c r="V250" s="136">
        <v>26630</v>
      </c>
      <c r="X250" s="136">
        <v>26550</v>
      </c>
      <c r="Y250" s="136">
        <v>30320</v>
      </c>
      <c r="Z250" s="138"/>
      <c r="AB250" s="137"/>
      <c r="AS250" s="137"/>
      <c r="AW250" s="137"/>
      <c r="BI250" s="177"/>
      <c r="BO250" s="151"/>
      <c r="BP250" s="151"/>
      <c r="BQ250" s="151"/>
      <c r="BR250" s="151"/>
    </row>
    <row r="251" spans="2:70" ht="18">
      <c r="D251" s="26"/>
      <c r="K251">
        <f>SUM(K2:K216)</f>
        <v>210358000</v>
      </c>
      <c r="L251" s="142">
        <f>SUM(L2:L216)</f>
        <v>38488576407409</v>
      </c>
      <c r="M251" s="142">
        <f>SUM(M2:M216)</f>
        <v>6182194847600</v>
      </c>
      <c r="V251" s="144"/>
      <c r="Z251" s="25"/>
      <c r="AS251" s="26"/>
      <c r="AW251" s="30"/>
    </row>
    <row r="252" spans="2:70" ht="18">
      <c r="D252">
        <f>D243-F242</f>
        <v>65</v>
      </c>
      <c r="N252">
        <f>(38955-36945)/36945</f>
        <v>5.4405196914332113E-2</v>
      </c>
      <c r="V252" s="152"/>
      <c r="X252">
        <f>(X250-X249)</f>
        <v>300</v>
      </c>
      <c r="Z252" s="25"/>
      <c r="AS252" s="26"/>
      <c r="AW252" s="30"/>
    </row>
    <row r="253" spans="2:70" ht="18">
      <c r="E253">
        <f>D242-F241</f>
        <v>101</v>
      </c>
      <c r="O253">
        <f>P242-N241</f>
        <v>249</v>
      </c>
      <c r="V253" s="152"/>
      <c r="W253" s="152"/>
      <c r="Z253" s="25"/>
      <c r="AS253" s="26"/>
      <c r="AW253" s="30"/>
    </row>
    <row r="254" spans="2:70" ht="18">
      <c r="D254" s="93"/>
      <c r="N254">
        <f>(2785-2525)/2525</f>
        <v>0.10297029702970296</v>
      </c>
      <c r="P254">
        <f>P230-N229</f>
        <v>24</v>
      </c>
      <c r="V254" s="152"/>
      <c r="W254" s="152"/>
      <c r="Z254" s="25"/>
      <c r="AW254" s="30"/>
    </row>
    <row r="255" spans="2:70" ht="17.25" customHeight="1">
      <c r="D255" s="93"/>
      <c r="P255" t="s">
        <v>523</v>
      </c>
      <c r="Q255" t="s">
        <v>524</v>
      </c>
      <c r="V255" s="152"/>
      <c r="W255" s="152"/>
      <c r="Z255" s="25"/>
    </row>
    <row r="256" spans="2:70" ht="18">
      <c r="D256" s="93"/>
      <c r="E256">
        <f>(28300-25088)/25088</f>
        <v>0.12802933673469388</v>
      </c>
      <c r="O256" s="126" t="s">
        <v>503</v>
      </c>
      <c r="P256">
        <v>-178</v>
      </c>
      <c r="Q256">
        <v>-180</v>
      </c>
      <c r="V256" s="25"/>
      <c r="W256" s="152"/>
      <c r="X256">
        <f>Y248-Y247</f>
        <v>779</v>
      </c>
      <c r="Y256">
        <f>(2631-2489)/2489</f>
        <v>5.7051024507834475E-2</v>
      </c>
      <c r="Z256" s="25"/>
    </row>
    <row r="257" spans="4:25" ht="18">
      <c r="D257" s="93"/>
      <c r="F257">
        <f>(37881-36136)/37136</f>
        <v>4.6989444205084017E-2</v>
      </c>
      <c r="H257">
        <f>(27376-26532)/26532</f>
        <v>3.1810643750942259E-2</v>
      </c>
      <c r="O257" s="132" t="s">
        <v>505</v>
      </c>
      <c r="P257">
        <v>59</v>
      </c>
      <c r="Q257">
        <v>59</v>
      </c>
      <c r="V257" s="25">
        <v>26850</v>
      </c>
      <c r="W257" s="152">
        <f>(X246-X245)/X245</f>
        <v>-2.4319419237749548E-2</v>
      </c>
    </row>
    <row r="258" spans="4:25" ht="18">
      <c r="D258" s="93"/>
      <c r="N258">
        <f t="shared" ref="N258:N262" si="42">N199-N198</f>
        <v>-15</v>
      </c>
      <c r="O258" s="132" t="s">
        <v>507</v>
      </c>
      <c r="P258">
        <v>-17</v>
      </c>
      <c r="Q258">
        <v>-16</v>
      </c>
      <c r="V258" s="25">
        <v>26820</v>
      </c>
      <c r="W258" s="152"/>
    </row>
    <row r="259" spans="4:25" ht="18">
      <c r="D259" s="107"/>
      <c r="E259">
        <f>(2499-2381)/2381</f>
        <v>4.9559008819823606E-2</v>
      </c>
      <c r="N259">
        <f t="shared" si="42"/>
        <v>-12</v>
      </c>
      <c r="O259" s="132" t="s">
        <v>509</v>
      </c>
      <c r="P259">
        <v>-163</v>
      </c>
      <c r="Q259">
        <v>-165</v>
      </c>
      <c r="V259" s="26">
        <v>26780</v>
      </c>
      <c r="W259" s="144"/>
    </row>
    <row r="260" spans="4:25" ht="18">
      <c r="D260" s="107"/>
      <c r="N260">
        <f t="shared" si="42"/>
        <v>-137</v>
      </c>
      <c r="O260" s="132" t="s">
        <v>511</v>
      </c>
      <c r="P260">
        <v>50</v>
      </c>
      <c r="Q260">
        <v>50</v>
      </c>
      <c r="V260" s="26">
        <v>26760</v>
      </c>
      <c r="W260" s="144"/>
      <c r="X260" s="109"/>
    </row>
    <row r="261" spans="4:25" ht="18">
      <c r="D261" s="113"/>
      <c r="N261">
        <f t="shared" si="42"/>
        <v>-138</v>
      </c>
      <c r="O261" s="145" t="s">
        <v>513</v>
      </c>
      <c r="P261">
        <v>-15</v>
      </c>
      <c r="Q261">
        <v>-15</v>
      </c>
      <c r="W261" s="144">
        <f>(2628-2533)/2533</f>
        <v>3.750493485984998E-2</v>
      </c>
      <c r="X261" s="109"/>
      <c r="Y261">
        <f>(W259-X215)/X215</f>
        <v>-1</v>
      </c>
    </row>
    <row r="262" spans="4:25" ht="18">
      <c r="D262" s="107"/>
      <c r="G262" s="9"/>
      <c r="N262">
        <f t="shared" si="42"/>
        <v>-43</v>
      </c>
      <c r="O262" s="145" t="s">
        <v>515</v>
      </c>
      <c r="P262">
        <v>-12</v>
      </c>
      <c r="Q262">
        <v>-12</v>
      </c>
      <c r="V262">
        <f>V260-X247</f>
        <v>110</v>
      </c>
      <c r="W262">
        <f>(38576-37406)/37406</f>
        <v>3.1278404534031974E-2</v>
      </c>
      <c r="X262" s="109"/>
      <c r="Y262">
        <f>(43725-42669)/42669</f>
        <v>2.4748646558391339E-2</v>
      </c>
    </row>
    <row r="263" spans="4:25" ht="18">
      <c r="D263" s="103"/>
      <c r="G263" s="9"/>
      <c r="N263">
        <f>N251-N203</f>
        <v>-27379</v>
      </c>
      <c r="O263" s="148" t="s">
        <v>517</v>
      </c>
      <c r="P263">
        <v>-136</v>
      </c>
      <c r="Q263">
        <v>-137</v>
      </c>
      <c r="X263" s="109"/>
    </row>
    <row r="264" spans="4:25" ht="18">
      <c r="G264" s="9"/>
      <c r="O264" s="145" t="s">
        <v>519</v>
      </c>
      <c r="P264">
        <v>-137</v>
      </c>
      <c r="Q264">
        <v>-138</v>
      </c>
      <c r="X264" s="109"/>
      <c r="Y264">
        <f>(3365-3279)/3279</f>
        <v>2.6227508386703263E-2</v>
      </c>
    </row>
    <row r="265" spans="4:25" ht="18">
      <c r="G265" s="9"/>
      <c r="O265" s="131" t="s">
        <v>521</v>
      </c>
      <c r="P265">
        <v>-42</v>
      </c>
      <c r="Q265">
        <v>-43</v>
      </c>
      <c r="X265" s="109"/>
    </row>
    <row r="266" spans="4:25" ht="18">
      <c r="G266" s="9"/>
    </row>
  </sheetData>
  <autoFilter ref="A1:BN253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8"/>
  <sheetViews>
    <sheetView topLeftCell="A149" zoomScale="40" zoomScaleNormal="40" workbookViewId="0">
      <selection activeCell="C176" sqref="C176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>
      <c r="A46" s="67"/>
      <c r="B46">
        <f>(B2-B8)/B2</f>
        <v>0.15346494762288476</v>
      </c>
      <c r="C46">
        <f>(C2-C8)/C2</f>
        <v>0.1154959674639829</v>
      </c>
      <c r="D46">
        <f>SUM(D2:D39)/38</f>
        <v>37702089.447368421</v>
      </c>
      <c r="I46">
        <f>I43-I42</f>
        <v>-332</v>
      </c>
    </row>
    <row r="47" spans="1:11">
      <c r="H47">
        <f>(H43-H42)/H42</f>
        <v>-1.9771428571428572E-2</v>
      </c>
    </row>
    <row r="48" spans="1:11">
      <c r="A48">
        <f>(B44-B43)</f>
        <v>-250</v>
      </c>
      <c r="C48">
        <f>(C43-C42)/C42</f>
        <v>-1.2137997059527473E-2</v>
      </c>
      <c r="E48">
        <f>(D39-D46)/D46</f>
        <v>0.21324840799221964</v>
      </c>
      <c r="J48">
        <f>(D36-D35)/D35</f>
        <v>-0.50773339408667473</v>
      </c>
    </row>
    <row r="49" spans="2:10">
      <c r="B49">
        <f>(B43-B42)/B42</f>
        <v>-1.4413787773398253E-2</v>
      </c>
      <c r="F49">
        <f>(F36-F35)/F35</f>
        <v>-0.62892307692307692</v>
      </c>
    </row>
    <row r="50" spans="2:10">
      <c r="D50">
        <v>5375132</v>
      </c>
      <c r="E50">
        <f>(E17-D50)/D50</f>
        <v>4.5958809321644006E-2</v>
      </c>
      <c r="G50">
        <f t="shared" ref="G50:G58" si="2">B3-B2</f>
        <v>-554</v>
      </c>
    </row>
    <row r="51" spans="2:10">
      <c r="G51">
        <f t="shared" si="2"/>
        <v>-302</v>
      </c>
    </row>
    <row r="52" spans="2:10">
      <c r="C52">
        <f>(D50-E16)/E16</f>
        <v>0.17110375179746395</v>
      </c>
      <c r="G52">
        <f t="shared" si="2"/>
        <v>-511</v>
      </c>
    </row>
    <row r="53" spans="2:10">
      <c r="G53">
        <f t="shared" si="2"/>
        <v>-362</v>
      </c>
    </row>
    <row r="54" spans="2:10">
      <c r="G54">
        <f t="shared" si="2"/>
        <v>-1699</v>
      </c>
    </row>
    <row r="55" spans="2:10">
      <c r="G55">
        <f t="shared" si="2"/>
        <v>-381</v>
      </c>
    </row>
    <row r="56" spans="2:10">
      <c r="G56">
        <f t="shared" si="2"/>
        <v>1075</v>
      </c>
    </row>
    <row r="57" spans="2:10">
      <c r="F57">
        <f>(F33-F32)/F32</f>
        <v>0.23948268173034043</v>
      </c>
      <c r="G57">
        <f t="shared" si="2"/>
        <v>151</v>
      </c>
      <c r="J57">
        <f>(F34-F35)/F34</f>
        <v>0.13877341459779063</v>
      </c>
    </row>
    <row r="58" spans="2:10">
      <c r="G58">
        <f t="shared" si="2"/>
        <v>1043</v>
      </c>
    </row>
  </sheetData>
  <autoFilter ref="A1:K58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75"/>
  <sheetViews>
    <sheetView topLeftCell="A2260" zoomScaleNormal="100" workbookViewId="0">
      <selection activeCell="D2276" sqref="D227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3" t="s">
        <v>615</v>
      </c>
      <c r="B2193" s="213"/>
      <c r="C2193" s="213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3" t="s">
        <v>617</v>
      </c>
      <c r="B2205" s="213"/>
      <c r="C2205" s="213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8">
      <c r="A2209" s="71" t="s">
        <v>252</v>
      </c>
      <c r="C2209" s="79"/>
    </row>
    <row r="2210" spans="1:8">
      <c r="A2210" s="69" t="s">
        <v>253</v>
      </c>
      <c r="C2210" s="79"/>
    </row>
    <row r="2211" spans="1:8">
      <c r="A2211" s="77">
        <v>0.625</v>
      </c>
      <c r="C2211" s="79"/>
    </row>
    <row r="2212" spans="1:8">
      <c r="A2212" s="70" t="s">
        <v>254</v>
      </c>
      <c r="B2212" s="212"/>
      <c r="C2212" s="79"/>
    </row>
    <row r="2213" spans="1:8">
      <c r="A2213" s="80">
        <v>0.70833333333333337</v>
      </c>
      <c r="B2213" s="79"/>
      <c r="C2213" s="79"/>
    </row>
    <row r="2218" spans="1:8">
      <c r="A2218" s="213" t="s">
        <v>620</v>
      </c>
      <c r="B2218" s="213"/>
      <c r="C2218" s="213"/>
    </row>
    <row r="2219" spans="1:8">
      <c r="A2219" s="79" t="s">
        <v>247</v>
      </c>
      <c r="B2219" s="79" t="s">
        <v>250</v>
      </c>
      <c r="C2219" s="79" t="s">
        <v>249</v>
      </c>
    </row>
    <row r="2220" spans="1:8">
      <c r="A2220" s="69">
        <v>0.45833333333333298</v>
      </c>
      <c r="B2220">
        <v>12055000</v>
      </c>
      <c r="C2220" s="79">
        <v>7470</v>
      </c>
    </row>
    <row r="2221" spans="1:8">
      <c r="A2221" s="70" t="s">
        <v>251</v>
      </c>
      <c r="B2221">
        <v>12070000</v>
      </c>
      <c r="C2221" s="79">
        <v>7350</v>
      </c>
    </row>
    <row r="2222" spans="1:8">
      <c r="A2222" s="71" t="s">
        <v>252</v>
      </c>
      <c r="B2222">
        <v>11990000</v>
      </c>
      <c r="C2222" s="79">
        <v>7300</v>
      </c>
      <c r="D2222">
        <f>B2220-D2207</f>
        <v>-195000</v>
      </c>
    </row>
    <row r="2223" spans="1:8">
      <c r="A2223" s="69" t="s">
        <v>253</v>
      </c>
      <c r="B2223">
        <v>11995000</v>
      </c>
      <c r="C2223" s="79">
        <v>7310</v>
      </c>
      <c r="H2223">
        <f>D2207-D2221</f>
        <v>12250000</v>
      </c>
    </row>
    <row r="2224" spans="1:8">
      <c r="A2224" s="77">
        <v>0.625</v>
      </c>
      <c r="B2224">
        <v>11940000</v>
      </c>
      <c r="C2224" s="79">
        <v>7300</v>
      </c>
    </row>
    <row r="2225" spans="1:4">
      <c r="A2225" s="70" t="s">
        <v>254</v>
      </c>
      <c r="B2225" s="212">
        <v>11930000</v>
      </c>
      <c r="C2225" s="79">
        <v>7290</v>
      </c>
    </row>
    <row r="2226" spans="1:4">
      <c r="A2226" s="80">
        <v>0.70833333333333337</v>
      </c>
      <c r="B2226" s="79">
        <v>11885000</v>
      </c>
      <c r="C2226" s="79">
        <v>7280</v>
      </c>
      <c r="D2226">
        <f>(B2226-D2207)/D2207</f>
        <v>-2.9795918367346939E-2</v>
      </c>
    </row>
    <row r="2230" spans="1:4">
      <c r="A2230" s="213" t="s">
        <v>622</v>
      </c>
      <c r="B2230" s="213"/>
      <c r="C2230" s="213"/>
    </row>
    <row r="2231" spans="1:4">
      <c r="A2231" s="79" t="s">
        <v>247</v>
      </c>
      <c r="B2231" s="79" t="s">
        <v>250</v>
      </c>
      <c r="C2231" s="79" t="s">
        <v>249</v>
      </c>
    </row>
    <row r="2232" spans="1:4">
      <c r="A2232" s="69">
        <v>0.45833333333333298</v>
      </c>
      <c r="B2232">
        <v>11865000</v>
      </c>
      <c r="C2232" s="79">
        <v>7140</v>
      </c>
    </row>
    <row r="2233" spans="1:4">
      <c r="A2233" s="70" t="s">
        <v>251</v>
      </c>
      <c r="B2233">
        <v>11870000</v>
      </c>
      <c r="C2233" s="79">
        <v>7180</v>
      </c>
    </row>
    <row r="2234" spans="1:4">
      <c r="A2234" s="71" t="s">
        <v>252</v>
      </c>
      <c r="B2234">
        <v>11940000</v>
      </c>
      <c r="C2234" s="79">
        <v>7250</v>
      </c>
    </row>
    <row r="2235" spans="1:4">
      <c r="A2235" s="69" t="s">
        <v>253</v>
      </c>
      <c r="B2235">
        <v>11945000</v>
      </c>
      <c r="C2235" s="79">
        <v>7260</v>
      </c>
    </row>
    <row r="2236" spans="1:4">
      <c r="A2236" s="77">
        <v>0.625</v>
      </c>
      <c r="B2236">
        <v>11950000</v>
      </c>
      <c r="C2236" s="79">
        <v>7270</v>
      </c>
    </row>
    <row r="2237" spans="1:4">
      <c r="A2237" s="70" t="s">
        <v>254</v>
      </c>
      <c r="B2237" s="212">
        <v>11955000</v>
      </c>
      <c r="C2237" s="79">
        <v>7280</v>
      </c>
    </row>
    <row r="2238" spans="1:4">
      <c r="A2238" s="80">
        <v>0.70833333333333337</v>
      </c>
      <c r="B2238" s="79">
        <v>11980000</v>
      </c>
      <c r="C2238" s="79">
        <v>7290</v>
      </c>
    </row>
    <row r="2243" spans="1:5">
      <c r="A2243" s="213" t="s">
        <v>624</v>
      </c>
      <c r="B2243" s="213"/>
      <c r="C2243" s="213"/>
    </row>
    <row r="2244" spans="1:5">
      <c r="A2244" s="79" t="s">
        <v>247</v>
      </c>
      <c r="B2244" s="79" t="s">
        <v>250</v>
      </c>
      <c r="C2244" s="79" t="s">
        <v>249</v>
      </c>
    </row>
    <row r="2245" spans="1:5">
      <c r="A2245" s="69">
        <v>0.45833333333333298</v>
      </c>
      <c r="B2245">
        <v>11980000</v>
      </c>
      <c r="C2245" s="79">
        <v>7340</v>
      </c>
      <c r="D2245">
        <v>11980000</v>
      </c>
    </row>
    <row r="2246" spans="1:5">
      <c r="A2246" s="70" t="s">
        <v>251</v>
      </c>
      <c r="B2246">
        <v>12010000</v>
      </c>
      <c r="C2246" s="79">
        <v>7310</v>
      </c>
    </row>
    <row r="2247" spans="1:5">
      <c r="A2247" s="71" t="s">
        <v>252</v>
      </c>
      <c r="B2247">
        <v>11960000</v>
      </c>
      <c r="C2247" s="79">
        <v>7280</v>
      </c>
    </row>
    <row r="2248" spans="1:5">
      <c r="A2248" s="69" t="s">
        <v>253</v>
      </c>
      <c r="B2248">
        <v>11935000</v>
      </c>
      <c r="C2248" s="79">
        <v>7270</v>
      </c>
    </row>
    <row r="2249" spans="1:5">
      <c r="A2249" s="77">
        <v>0.625</v>
      </c>
      <c r="B2249">
        <v>11915000</v>
      </c>
      <c r="C2249" s="79">
        <v>7280</v>
      </c>
    </row>
    <row r="2250" spans="1:5">
      <c r="A2250" s="70" t="s">
        <v>254</v>
      </c>
      <c r="B2250" s="212">
        <v>11905000</v>
      </c>
      <c r="C2250" s="79">
        <v>7290</v>
      </c>
    </row>
    <row r="2251" spans="1:5">
      <c r="A2251" s="80">
        <v>0.70833333333333337</v>
      </c>
      <c r="B2251" s="79">
        <v>11905000</v>
      </c>
      <c r="C2251" s="79">
        <v>7280</v>
      </c>
      <c r="D2251">
        <v>11915000</v>
      </c>
      <c r="E2251" t="s">
        <v>625</v>
      </c>
    </row>
    <row r="2255" spans="1:5">
      <c r="A2255" s="213" t="s">
        <v>627</v>
      </c>
      <c r="B2255" s="213"/>
      <c r="C2255" s="213"/>
    </row>
    <row r="2256" spans="1:5">
      <c r="A2256" s="79" t="s">
        <v>247</v>
      </c>
      <c r="B2256" s="79" t="s">
        <v>250</v>
      </c>
      <c r="C2256" s="79" t="s">
        <v>249</v>
      </c>
    </row>
    <row r="2257" spans="1:4">
      <c r="A2257" s="69">
        <v>0.45833333333333298</v>
      </c>
      <c r="B2257">
        <v>11845000</v>
      </c>
      <c r="C2257" s="79">
        <v>7220</v>
      </c>
    </row>
    <row r="2258" spans="1:4">
      <c r="A2258" s="70" t="s">
        <v>251</v>
      </c>
      <c r="B2258">
        <v>11855000</v>
      </c>
      <c r="C2258" s="79">
        <v>7180</v>
      </c>
    </row>
    <row r="2259" spans="1:4">
      <c r="A2259" s="71" t="s">
        <v>252</v>
      </c>
      <c r="B2259">
        <v>11770000</v>
      </c>
      <c r="C2259" s="79">
        <v>7160</v>
      </c>
    </row>
    <row r="2260" spans="1:4">
      <c r="A2260" s="69" t="s">
        <v>253</v>
      </c>
      <c r="B2260">
        <v>11775000</v>
      </c>
      <c r="C2260" s="79">
        <v>7150</v>
      </c>
    </row>
    <row r="2261" spans="1:4">
      <c r="A2261" s="77">
        <v>0.625</v>
      </c>
      <c r="B2261">
        <v>11775000</v>
      </c>
      <c r="C2261" s="79">
        <v>7160</v>
      </c>
      <c r="D2261">
        <f>B2263-B2251</f>
        <v>-125000</v>
      </c>
    </row>
    <row r="2262" spans="1:4">
      <c r="A2262" s="70" t="s">
        <v>254</v>
      </c>
      <c r="B2262">
        <v>11775000</v>
      </c>
      <c r="C2262" s="79">
        <v>7160</v>
      </c>
    </row>
    <row r="2263" spans="1:4">
      <c r="A2263" s="80">
        <v>0.70833333333333337</v>
      </c>
      <c r="B2263" s="79">
        <v>11780000</v>
      </c>
      <c r="C2263" s="79">
        <v>7160</v>
      </c>
    </row>
    <row r="2267" spans="1:4">
      <c r="A2267" s="213" t="s">
        <v>629</v>
      </c>
      <c r="B2267" s="213"/>
      <c r="C2267" s="213"/>
    </row>
    <row r="2268" spans="1:4">
      <c r="A2268" s="79" t="s">
        <v>247</v>
      </c>
      <c r="B2268" s="79" t="s">
        <v>250</v>
      </c>
      <c r="C2268" s="79" t="s">
        <v>249</v>
      </c>
    </row>
    <row r="2269" spans="1:4">
      <c r="A2269" s="69">
        <v>0.45833333333333298</v>
      </c>
      <c r="B2269">
        <v>11810000</v>
      </c>
      <c r="C2269" s="79">
        <v>7250</v>
      </c>
    </row>
    <row r="2270" spans="1:4">
      <c r="A2270" s="70" t="s">
        <v>251</v>
      </c>
      <c r="B2270">
        <v>11775000</v>
      </c>
      <c r="C2270" s="79">
        <v>7210</v>
      </c>
    </row>
    <row r="2271" spans="1:4">
      <c r="A2271" s="71" t="s">
        <v>252</v>
      </c>
      <c r="B2271">
        <v>11785000</v>
      </c>
      <c r="C2271" s="79">
        <v>7200</v>
      </c>
    </row>
    <row r="2272" spans="1:4">
      <c r="A2272" s="69" t="s">
        <v>253</v>
      </c>
      <c r="B2272">
        <v>11770000</v>
      </c>
      <c r="C2272" s="79">
        <v>7200</v>
      </c>
    </row>
    <row r="2273" spans="1:3">
      <c r="A2273" s="77">
        <v>0.625</v>
      </c>
      <c r="B2273">
        <v>11770000</v>
      </c>
      <c r="C2273" s="79">
        <v>7210</v>
      </c>
    </row>
    <row r="2274" spans="1:3">
      <c r="A2274" s="70" t="s">
        <v>254</v>
      </c>
      <c r="B2274">
        <v>11770000</v>
      </c>
      <c r="C2274" s="79">
        <v>7220</v>
      </c>
    </row>
    <row r="2275" spans="1:3">
      <c r="A2275" s="80">
        <v>0.70833333333333337</v>
      </c>
      <c r="B2275">
        <v>11770000</v>
      </c>
      <c r="C2275" s="79">
        <v>7220</v>
      </c>
    </row>
  </sheetData>
  <mergeCells count="194">
    <mergeCell ref="A2243:C2243"/>
    <mergeCell ref="A2205:C2205"/>
    <mergeCell ref="A2180:C2180"/>
    <mergeCell ref="A2167:C2167"/>
    <mergeCell ref="A2154:C21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428:D1428"/>
    <mergeCell ref="A1703:C1703"/>
    <mergeCell ref="A1716:C1716"/>
    <mergeCell ref="A1729:C1729"/>
    <mergeCell ref="A1742:C1742"/>
    <mergeCell ref="A1754:C1754"/>
    <mergeCell ref="A1246:D1246"/>
    <mergeCell ref="A1392:D1392"/>
    <mergeCell ref="A1380:D1380"/>
    <mergeCell ref="A1355:D1355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2267:C2267"/>
    <mergeCell ref="A2255:C2255"/>
    <mergeCell ref="A2230:C2230"/>
    <mergeCell ref="A2218:C2218"/>
    <mergeCell ref="A2193:C2193"/>
    <mergeCell ref="A2141:C2141"/>
    <mergeCell ref="A1197:D1197"/>
    <mergeCell ref="A1916:C1916"/>
    <mergeCell ref="A1903:C1903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72"/>
  <sheetViews>
    <sheetView zoomScale="85" zoomScaleNormal="85" workbookViewId="0">
      <selection activeCell="A12" sqref="A12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7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72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72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  <row r="168" spans="2:9">
      <c r="B168">
        <v>14001116</v>
      </c>
      <c r="C168">
        <v>26880</v>
      </c>
      <c r="D168">
        <v>11885000</v>
      </c>
      <c r="E168">
        <v>1196600</v>
      </c>
      <c r="F168">
        <f t="shared" si="6"/>
        <v>-2.3255813953488373</v>
      </c>
      <c r="G168">
        <f t="shared" si="13"/>
        <v>-2.4220032840722494</v>
      </c>
      <c r="H168">
        <f t="shared" si="12"/>
        <v>-0.93550790628363278</v>
      </c>
      <c r="I168">
        <v>0.25</v>
      </c>
    </row>
    <row r="169" spans="2:9">
      <c r="B169">
        <v>14001117</v>
      </c>
      <c r="C169">
        <v>26650</v>
      </c>
      <c r="D169">
        <v>11980000</v>
      </c>
      <c r="E169">
        <v>1165400</v>
      </c>
      <c r="F169">
        <f t="shared" si="6"/>
        <v>-0.85565476190476186</v>
      </c>
      <c r="G169">
        <f t="shared" si="13"/>
        <v>0.79932688262515772</v>
      </c>
      <c r="H169">
        <f t="shared" si="12"/>
        <v>-2.6073875981948853</v>
      </c>
      <c r="I169">
        <v>-1.72</v>
      </c>
    </row>
    <row r="170" spans="2:9">
      <c r="B170">
        <v>14001118</v>
      </c>
      <c r="C170">
        <v>26760</v>
      </c>
      <c r="D170">
        <v>11905000</v>
      </c>
      <c r="E170">
        <v>1179700</v>
      </c>
      <c r="F170">
        <f t="shared" si="6"/>
        <v>0.41275797373358347</v>
      </c>
      <c r="G170">
        <f t="shared" si="13"/>
        <v>-0.62604340567612693</v>
      </c>
      <c r="H170">
        <f t="shared" si="12"/>
        <v>1.2270465076368628</v>
      </c>
      <c r="I170">
        <v>-0.59</v>
      </c>
    </row>
    <row r="171" spans="2:9">
      <c r="B171">
        <v>14001119</v>
      </c>
      <c r="C171">
        <v>26250</v>
      </c>
      <c r="D171">
        <v>11780000</v>
      </c>
      <c r="E171">
        <v>1162200</v>
      </c>
      <c r="F171">
        <f t="shared" si="6"/>
        <v>-1.905829596412556</v>
      </c>
      <c r="G171">
        <f t="shared" si="13"/>
        <v>-1.0499790004199916</v>
      </c>
      <c r="H171">
        <f t="shared" si="12"/>
        <v>-1.4834279901669916</v>
      </c>
      <c r="I171">
        <v>0.53</v>
      </c>
    </row>
    <row r="172" spans="2:9">
      <c r="B172">
        <v>14001120</v>
      </c>
      <c r="C172">
        <v>26550</v>
      </c>
      <c r="D172">
        <v>11770000</v>
      </c>
      <c r="E172">
        <v>1156200</v>
      </c>
      <c r="F172">
        <f t="shared" si="6"/>
        <v>1.1428571428571428</v>
      </c>
      <c r="G172">
        <f t="shared" si="13"/>
        <v>-8.4889643463497449E-2</v>
      </c>
      <c r="H172">
        <f t="shared" si="12"/>
        <v>-0.51626226122870422</v>
      </c>
      <c r="I172">
        <v>0.24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2022-02-09T13:44:28Z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