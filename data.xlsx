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 firstSheet="1" activeTab="2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set'!$A$1:$BN$255</definedName>
    <definedName name="_xlnm._FilterDatabase" localSheetId="1" hidden="1">weekly!$A$1:$K$59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295" i="3" l="1"/>
  <c r="W256" i="1"/>
  <c r="H173" i="5" l="1"/>
  <c r="G173" i="5"/>
  <c r="F173" i="5"/>
  <c r="H172" i="5" l="1"/>
  <c r="G172" i="5"/>
  <c r="F172" i="5"/>
  <c r="D2261" i="3" l="1"/>
  <c r="H171" i="5" l="1"/>
  <c r="G171" i="5"/>
  <c r="F171" i="5"/>
  <c r="X258" i="1" l="1"/>
  <c r="H170" i="5" l="1"/>
  <c r="G170" i="5"/>
  <c r="F170" i="5"/>
  <c r="H169" i="5" l="1"/>
  <c r="G169" i="5"/>
  <c r="F169" i="5"/>
  <c r="D2226" i="3" l="1"/>
  <c r="D2222" i="3"/>
  <c r="W259" i="1" l="1"/>
  <c r="H168" i="5" l="1"/>
  <c r="G168" i="5"/>
  <c r="F168" i="5"/>
  <c r="H2223" i="3" l="1"/>
  <c r="H167" i="5" l="1"/>
  <c r="G167" i="5"/>
  <c r="F167" i="5"/>
  <c r="D2185" i="3" l="1"/>
  <c r="H166" i="5" l="1"/>
  <c r="G166" i="5"/>
  <c r="F166" i="5"/>
  <c r="N256" i="1" l="1"/>
  <c r="N254" i="1"/>
  <c r="D254" i="1"/>
  <c r="D2177" i="3" l="1"/>
  <c r="H165" i="5" l="1"/>
  <c r="G165" i="5"/>
  <c r="F165" i="5"/>
  <c r="Y258" i="1"/>
  <c r="O255" i="1"/>
  <c r="E255" i="1"/>
  <c r="H164" i="5" l="1"/>
  <c r="G164" i="5"/>
  <c r="F164" i="5"/>
  <c r="W263" i="1"/>
  <c r="W264" i="1"/>
  <c r="D2162" i="3"/>
  <c r="H163" i="5" l="1"/>
  <c r="G163" i="5"/>
  <c r="F163" i="5"/>
  <c r="D2152" i="3"/>
  <c r="D2149" i="3"/>
  <c r="A49" i="2" l="1"/>
  <c r="B47" i="2"/>
  <c r="D2135" i="3"/>
  <c r="H162" i="5" l="1"/>
  <c r="G162" i="5"/>
  <c r="F162" i="5"/>
  <c r="E261" i="1"/>
  <c r="F259" i="1"/>
  <c r="E258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7" i="2"/>
  <c r="C49" i="2"/>
  <c r="H48" i="2"/>
  <c r="B50" i="2"/>
  <c r="D2061" i="3"/>
  <c r="H157" i="5" l="1"/>
  <c r="G157" i="5"/>
  <c r="F157" i="5"/>
  <c r="H156" i="5" l="1"/>
  <c r="G156" i="5"/>
  <c r="F156" i="5"/>
  <c r="H155" i="5" l="1"/>
  <c r="G155" i="5"/>
  <c r="F155" i="5"/>
  <c r="P256" i="1"/>
  <c r="H154" i="5" l="1"/>
  <c r="G154" i="5"/>
  <c r="F154" i="5"/>
  <c r="Y264" i="1"/>
  <c r="Y266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53" i="1" l="1"/>
  <c r="M216" i="1"/>
  <c r="L216" i="1"/>
  <c r="D1850" i="3" l="1"/>
  <c r="M215" i="1"/>
  <c r="L215" i="1"/>
  <c r="Y263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7" i="2" l="1"/>
  <c r="E49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59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60" i="1"/>
  <c r="N261" i="1"/>
  <c r="N262" i="1"/>
  <c r="N263" i="1"/>
  <c r="N264" i="1"/>
  <c r="N265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50" i="2" l="1"/>
  <c r="J49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8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8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9" i="2"/>
  <c r="G58" i="2"/>
  <c r="G57" i="2"/>
  <c r="G56" i="2"/>
  <c r="G55" i="2"/>
  <c r="G54" i="2"/>
  <c r="G53" i="2"/>
  <c r="G52" i="2"/>
  <c r="G51" i="2"/>
  <c r="C47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51" i="2" s="1"/>
  <c r="G16" i="2"/>
  <c r="E16" i="2"/>
  <c r="C53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53" i="1" l="1"/>
  <c r="S1" i="1" s="1"/>
  <c r="M253" i="1"/>
  <c r="U1" i="1" s="1"/>
</calcChain>
</file>

<file path=xl/sharedStrings.xml><?xml version="1.0" encoding="utf-8"?>
<sst xmlns="http://schemas.openxmlformats.org/spreadsheetml/2006/main" count="2268" uniqueCount="636">
  <si>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</si>
  <si>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</si>
  <si>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</si>
  <si>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</si>
  <si>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</si>
  <si>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</si>
  <si>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</si>
  <si>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</si>
  <si>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</si>
  <si>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</si>
  <si>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</si>
  <si>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</si>
  <si>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</si>
  <si>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</si>
  <si>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</si>
  <si>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</si>
  <si>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</si>
  <si>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</si>
  <si>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</si>
  <si>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</si>
  <si>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</si>
  <si>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</si>
  <si>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</si>
  <si>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</si>
  <si>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</si>
  <si>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</si>
  <si>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</si>
  <si>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</si>
  <si>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</si>
  <si>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</si>
  <si>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</si>
  <si>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</si>
  <si>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</si>
  <si>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</si>
  <si>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</si>
  <si>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</si>
  <si>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</si>
  <si>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</si>
  <si>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</si>
  <si>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</si>
  <si>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</si>
  <si>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</si>
  <si>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</si>
  <si>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</si>
  <si>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</si>
  <si>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</si>
  <si>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</si>
  <si>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</si>
  <si>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</si>
  <si>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</si>
  <si>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</si>
  <si>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</si>
  <si>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</si>
  <si>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</si>
  <si>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</si>
  <si>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</si>
  <si>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</si>
  <si>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</si>
  <si>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</si>
  <si>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</si>
  <si>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</si>
  <si>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</si>
  <si>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</si>
  <si>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</si>
  <si>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</si>
  <si>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</si>
  <si>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</si>
  <si>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</si>
  <si>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</si>
  <si>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</si>
  <si>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</si>
  <si>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</si>
  <si>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</si>
  <si>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</si>
  <si>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</si>
  <si>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</si>
  <si>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</si>
  <si>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</si>
  <si>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</si>
  <si>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</si>
  <si>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</si>
  <si>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</si>
  <si>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</si>
  <si>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</si>
  <si>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</si>
  <si>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</si>
  <si>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</si>
  <si>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</si>
  <si>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</si>
  <si>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</si>
  <si>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</si>
  <si>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</si>
  <si>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</si>
  <si>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</si>
  <si>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</si>
  <si>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</si>
  <si>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</si>
  <si>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</si>
  <si>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</si>
  <si>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</si>
  <si>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</si>
  <si>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</si>
  <si>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</si>
  <si>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</si>
  <si>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</si>
  <si>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</si>
  <si>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</si>
  <si>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</si>
  <si>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</si>
  <si>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</si>
  <si>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</si>
  <si>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</si>
  <si>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</si>
  <si>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</si>
  <si>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</si>
  <si>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</si>
  <si>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</si>
  <si>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</si>
  <si>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</si>
  <si>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</si>
  <si>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</si>
  <si>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</si>
  <si>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</si>
  <si>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</si>
  <si>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</si>
  <si>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</si>
  <si>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</si>
  <si>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</si>
  <si>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</si>
  <si>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</si>
  <si>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</si>
  <si>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</si>
  <si>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</si>
  <si>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</si>
  <si>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</si>
  <si>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</si>
  <si>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</si>
  <si>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</si>
  <si>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</si>
  <si>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</si>
  <si>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</si>
  <si>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</si>
  <si>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</si>
  <si>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</si>
  <si>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</si>
  <si>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</si>
  <si>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</si>
  <si>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</si>
  <si>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</si>
  <si>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</si>
  <si>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</si>
  <si>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</si>
  <si>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</si>
  <si>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</si>
  <si>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</si>
  <si>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</si>
  <si>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</si>
  <si>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</si>
  <si>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</si>
  <si>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</si>
  <si>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</si>
  <si>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</si>
  <si>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</si>
  <si>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</si>
  <si>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</si>
  <si>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</si>
  <si>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</si>
  <si>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</si>
  <si>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</si>
  <si>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</si>
  <si>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</si>
  <si>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</si>
  <si>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</si>
  <si>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</si>
  <si>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</si>
  <si>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</si>
  <si>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</si>
  <si>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</si>
  <si>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</si>
  <si>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</si>
  <si>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</si>
  <si>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</si>
  <si>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</si>
  <si>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</si>
  <si>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</si>
  <si>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</si>
  <si>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</si>
  <si>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</si>
  <si>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</si>
  <si>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</si>
  <si>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</si>
  <si>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</si>
  <si>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</si>
  <si>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</si>
  <si>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</si>
  <si>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</si>
  <si>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</si>
  <si>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</si>
  <si>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</si>
  <si>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</si>
  <si>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</si>
  <si>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</si>
  <si>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</si>
  <si>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</si>
  <si>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</si>
  <si>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</si>
  <si>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</si>
  <si>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</si>
  <si>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</si>
  <si>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</si>
  <si>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</si>
  <si>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</si>
  <si>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</si>
  <si>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</si>
  <si>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</si>
  <si>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</si>
  <si>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</si>
  <si>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</si>
  <si>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</si>
  <si>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</si>
  <si>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</si>
  <si>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</si>
  <si>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</si>
  <si>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</si>
  <si>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</si>
  <si>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</si>
  <si>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</si>
  <si>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</si>
  <si>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</si>
  <si>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</si>
  <si>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</si>
  <si>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</si>
  <si>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</si>
  <si>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</si>
  <si>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</si>
  <si>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</si>
  <si>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</si>
  <si>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</si>
  <si>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</si>
  <si>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</si>
  <si>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</si>
  <si>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</si>
  <si>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</si>
  <si>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</si>
  <si>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</si>
  <si>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</si>
  <si>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</si>
  <si>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</si>
  <si>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</si>
  <si>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</si>
  <si>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</si>
  <si>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</si>
  <si>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</si>
  <si>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</si>
  <si>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</si>
  <si>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</si>
  <si>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</si>
  <si>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</si>
  <si>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</si>
  <si>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</si>
  <si>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</si>
  <si>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</si>
  <si>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</si>
  <si>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</si>
  <si>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</si>
  <si>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</si>
  <si>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</si>
  <si>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</si>
  <si>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</si>
  <si>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</si>
  <si>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</si>
  <si>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</si>
  <si>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</si>
  <si>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</si>
  <si>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</si>
  <si>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</si>
  <si>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</si>
  <si>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</si>
  <si>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</si>
  <si>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</si>
  <si>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</si>
  <si>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</si>
  <si>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</si>
  <si>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</si>
  <si>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</si>
  <si>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</si>
  <si>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</si>
  <si>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</si>
  <si>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</si>
  <si>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</si>
  <si>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</si>
  <si>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</si>
  <si>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</si>
  <si>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</si>
  <si>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</si>
  <si>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</si>
  <si>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</si>
  <si>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</si>
  <si>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</si>
  <si>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</si>
  <si>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</si>
  <si>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</si>
  <si>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</si>
  <si>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</si>
  <si>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</si>
  <si>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</si>
  <si>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</si>
  <si>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</si>
  <si>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</si>
  <si>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</si>
  <si>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</si>
  <si>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</si>
  <si>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</si>
  <si>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</si>
  <si>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</si>
  <si>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</si>
  <si>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</si>
  <si>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</si>
  <si>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</si>
  <si>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</si>
  <si>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</si>
  <si>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</si>
  <si>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</si>
  <si>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</si>
  <si>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</si>
  <si>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</si>
  <si>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</si>
  <si>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</si>
  <si>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</si>
  <si>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</si>
  <si>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</si>
  <si>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</si>
  <si>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</si>
  <si>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</si>
  <si>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</si>
  <si>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</si>
  <si>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</si>
  <si>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</si>
  <si>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</si>
  <si>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</si>
  <si>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</si>
  <si>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</si>
  <si>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</si>
  <si>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</si>
  <si>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</si>
  <si>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</si>
  <si>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</si>
  <si>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</si>
  <si>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</si>
  <si>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</si>
  <si>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</si>
  <si>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</si>
  <si>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</si>
  <si>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</si>
  <si>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</si>
  <si>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</si>
  <si>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</si>
  <si>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</si>
  <si>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</si>
  <si>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</si>
  <si>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</si>
  <si>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</si>
  <si>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</si>
  <si>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</si>
  <si>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</si>
  <si>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</si>
  <si>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</si>
  <si>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</si>
  <si>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</si>
  <si>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</si>
  <si>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</si>
  <si>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</si>
  <si>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</si>
  <si>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</si>
  <si>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</si>
  <si>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</si>
  <si>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</si>
  <si>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</si>
  <si>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</si>
  <si>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</si>
  <si>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</si>
  <si>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</si>
  <si>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</si>
  <si>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</si>
  <si>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</si>
  <si>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</si>
  <si>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</si>
  <si>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</si>
  <si>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</si>
  <si>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</si>
  <si>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</si>
  <si>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</si>
  <si>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</si>
  <si>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</si>
  <si>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</si>
  <si>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</si>
  <si>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</si>
  <si>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</si>
  <si>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</si>
  <si>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</si>
  <si>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</si>
  <si>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</si>
  <si>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</si>
  <si>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</si>
  <si>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</si>
  <si>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</si>
  <si>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</si>
  <si>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</si>
  <si>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</si>
  <si>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</si>
  <si>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</si>
  <si>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</si>
  <si>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</si>
  <si>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</si>
  <si>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</si>
  <si>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</si>
  <si>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</si>
  <si>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</si>
  <si>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</si>
  <si>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</si>
  <si>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</si>
  <si>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</si>
  <si>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</si>
  <si>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</si>
  <si>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</si>
  <si>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</si>
  <si>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</si>
  <si>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</si>
  <si>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</si>
  <si>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</si>
  <si>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</si>
  <si>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</si>
  <si>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</si>
  <si>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</si>
  <si>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</si>
  <si>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</si>
  <si>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</si>
  <si>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</si>
  <si>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</si>
  <si>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</si>
  <si>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</si>
  <si>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</si>
  <si>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</si>
  <si>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</si>
  <si>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</si>
  <si>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</si>
  <si>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</si>
  <si>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</si>
  <si>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</si>
  <si>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</si>
  <si>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</si>
  <si>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</si>
  <si>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</si>
  <si>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</si>
  <si>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</si>
  <si>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</si>
  <si>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</si>
  <si>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</si>
  <si>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</si>
  <si>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</si>
  <si>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</si>
  <si>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</si>
  <si>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</si>
  <si>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</si>
  <si>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</si>
  <si>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</si>
  <si>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</si>
  <si>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</si>
  <si>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</si>
  <si>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</si>
  <si>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</si>
  <si>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</si>
  <si>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</si>
  <si>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</si>
  <si>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</si>
  <si>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</si>
  <si>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</si>
  <si>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</si>
  <si>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</si>
  <si>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</si>
  <si>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</si>
  <si>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</si>
  <si>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</si>
  <si>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</si>
  <si>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</si>
  <si>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</si>
  <si>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</si>
  <si>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</si>
  <si>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</si>
  <si>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</si>
  <si>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</si>
  <si>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</si>
  <si>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</si>
  <si>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</si>
  <si>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</si>
  <si>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</si>
  <si>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</si>
  <si>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</si>
  <si>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</si>
  <si>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</si>
  <si>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</si>
  <si>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</si>
  <si>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</si>
  <si>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</si>
  <si>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</si>
  <si>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</si>
  <si>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</si>
  <si>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</si>
  <si>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</si>
  <si>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</si>
  <si>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</si>
  <si>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</si>
  <si>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</si>
  <si>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</si>
  <si>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</si>
  <si>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</si>
  <si>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</si>
  <si>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</si>
  <si>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</si>
  <si>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</si>
  <si>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</si>
  <si>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</si>
  <si>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</si>
  <si>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</si>
  <si>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</si>
  <si>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</si>
  <si>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</si>
  <si>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</si>
  <si>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</si>
  <si>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</si>
  <si>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</si>
  <si>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</si>
  <si>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</si>
  <si>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</si>
  <si>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</si>
  <si>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</si>
  <si>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</si>
  <si>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</si>
  <si>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</si>
  <si>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</si>
  <si>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</si>
  <si>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</si>
  <si>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</si>
  <si>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</si>
  <si>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</si>
  <si>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</si>
  <si>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</si>
  <si>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</si>
  <si>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</si>
  <si>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</si>
  <si>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</si>
  <si>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</si>
  <si>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</si>
  <si>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</si>
  <si>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</si>
  <si>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</si>
  <si>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</si>
  <si>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</si>
  <si>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</si>
  <si>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</si>
  <si>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</si>
  <si>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</si>
  <si>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</si>
  <si>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</si>
  <si>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</si>
  <si>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</si>
  <si>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</si>
  <si>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</si>
  <si>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</si>
  <si>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</si>
  <si>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</si>
  <si>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</si>
  <si>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</si>
  <si>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</si>
  <si>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</si>
  <si>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</si>
  <si>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</si>
  <si>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</si>
  <si>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</si>
  <si>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</si>
  <si>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</si>
  <si>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</si>
  <si>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</si>
  <si>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</si>
  <si>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</si>
  <si>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</si>
  <si>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</si>
  <si>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</si>
  <si>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</si>
  <si>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</si>
  <si>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</si>
  <si>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</si>
  <si>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</si>
  <si>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</si>
  <si>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</si>
  <si>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</si>
  <si>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</si>
  <si>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</si>
  <si>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</si>
  <si>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</si>
  <si>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</si>
  <si>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</si>
  <si>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</si>
  <si>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</si>
  <si>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</si>
  <si>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</si>
  <si>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</si>
  <si>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</si>
  <si>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</si>
  <si>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</si>
  <si>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</si>
  <si>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</si>
  <si>
    <t>12بهمن1400</t>
  </si>
  <si>
    <t>روند روزانه بهای سکه و ارز ( سه‌شنبه 12 بهمن 1400)</t>
  </si>
  <si>
    <t>13بهمن1400</t>
  </si>
  <si>
    <t>روند روزانه بهای سکه و ارز ( چهارشنبه 13 بهمن 1400)</t>
  </si>
  <si>
    <t>14بهمن1400</t>
  </si>
  <si>
    <t>روند روزانه بهای سکه و ارز ( پنج‌شنبه 15 بهمن 1400)</t>
  </si>
  <si>
    <t>هفته 45 سال</t>
  </si>
  <si>
    <t>16بهمن1400</t>
  </si>
  <si>
    <t>روند روزانه بهای سکه و ارز ( شنبه 16 بهمن 1400)</t>
  </si>
  <si>
    <t>17بهمن1400</t>
  </si>
  <si>
    <t>روند روزانه بهای سکه و ارز ( یکشنبه 17 بهمن 1400)</t>
  </si>
  <si>
    <t>18بهمن1400</t>
  </si>
  <si>
    <t>روند روزانه بهای سکه و ارز ( دوشنبه 18 بهمن 1400)</t>
  </si>
  <si>
    <t>13 52</t>
  </si>
  <si>
    <t>19بهمن1400</t>
  </si>
  <si>
    <t>روند روزانه بهای سکه و ارز ( سه‌شنبه 19 بهمن 1400)</t>
  </si>
  <si>
    <t>20بهمن1400</t>
  </si>
  <si>
    <t>روند روزانه بهای سکه و ارز ( چهارشنبه 20 بهمن 1400)</t>
  </si>
  <si>
    <t>21بهمن1400</t>
  </si>
  <si>
    <t>روند روزانه بهای سکه و ارز ( پنج‌شنبه 21 بهمن 1400)</t>
  </si>
  <si>
    <t>13 17</t>
  </si>
  <si>
    <t>هفته 46 سال</t>
  </si>
  <si>
    <t>22بهمن1400</t>
  </si>
  <si>
    <t>روند روزانه بهای سکه و ارز ( شنبه 23 بهمن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</si>
</sst>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27090672"/>
        <c:axId val="-1227104816"/>
      </c:lineChart>
      <c:catAx>
        <c:axId val="-122709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27104816"/>
        <c:crosses val="autoZero"/>
        <c:auto val="1"/>
        <c:lblAlgn val="ctr"/>
        <c:lblOffset val="100"/>
        <c:noMultiLvlLbl val="0"/>
      </c:catAx>
      <c:valAx>
        <c:axId val="-12271048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2709067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19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weekly!$B$27:$B$46</c15:sqref>
                  </c15:fullRef>
                </c:ext>
              </c:extLst>
              <c:f>weekly!$B$28:$B$46</c:f>
              <c:numCache>
                <c:formatCode>General</c:formatCode>
                <c:ptCount val="19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  <c:pt idx="17">
                  <c:v>24969</c:v>
                </c:pt>
                <c:pt idx="18">
                  <c:v>24587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7"/>
              <c:layout>
                <c:manualLayout>
                  <c:x val="0"/>
                  <c:y val="-1.6937912650025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39B-42FE-890C-FBBD5EA1085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weekly!$H$27:$H$46</c15:sqref>
                  </c15:fullRef>
                </c:ext>
              </c:extLst>
              <c:f>weekly!$H$28:$H$46</c:f>
              <c:numCache>
                <c:formatCode>General</c:formatCode>
                <c:ptCount val="19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  <c:pt idx="17">
                  <c:v>25191</c:v>
                </c:pt>
                <c:pt idx="18">
                  <c:v>24838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27099376"/>
        <c:axId val="-122710100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weekly!$A$27:$A$46</c15:sqref>
                        </c15:fullRef>
                        <c15:formulaRef>
                          <c15:sqref>weekly!$A$28:$A$46</c15:sqref>
                        </c15:formulaRef>
                      </c:ext>
                    </c:extLst>
                    <c:strCache>
                      <c:ptCount val="19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  <c:pt idx="18">
                        <c:v>هفته 46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22709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27101008"/>
        <c:crosses val="autoZero"/>
        <c:auto val="1"/>
        <c:lblAlgn val="ctr"/>
        <c:lblOffset val="100"/>
        <c:noMultiLvlLbl val="0"/>
      </c:catAx>
      <c:valAx>
        <c:axId val="-122710100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2709937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27092304"/>
        <c:axId val="-1227103184"/>
      </c:lineChart>
      <c:catAx>
        <c:axId val="-122709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27103184"/>
        <c:crosses val="autoZero"/>
        <c:auto val="1"/>
        <c:lblAlgn val="ctr"/>
        <c:lblOffset val="100"/>
        <c:noMultiLvlLbl val="0"/>
      </c:catAx>
      <c:valAx>
        <c:axId val="-12271031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270923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27100464"/>
        <c:axId val="-1227098288"/>
      </c:lineChart>
      <c:catAx>
        <c:axId val="-1227100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27098288"/>
        <c:crosses val="autoZero"/>
        <c:auto val="1"/>
        <c:lblAlgn val="ctr"/>
        <c:lblOffset val="100"/>
        <c:noMultiLvlLbl val="0"/>
      </c:catAx>
      <c:valAx>
        <c:axId val="-12270982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2710046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27097744"/>
        <c:axId val="-1227097200"/>
      </c:lineChart>
      <c:catAx>
        <c:axId val="-1227097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27097200"/>
        <c:crosses val="autoZero"/>
        <c:auto val="1"/>
        <c:lblAlgn val="ctr"/>
        <c:lblOffset val="100"/>
        <c:noMultiLvlLbl val="0"/>
      </c:catAx>
      <c:valAx>
        <c:axId val="-12270972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270977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19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18"/>
              <c:layout>
                <c:manualLayout>
                  <c:x val="-1.0828370330265296E-3"/>
                  <c:y val="2.49159834522661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weekly!$C$27:$C$46</c15:sqref>
                  </c15:fullRef>
                </c:ext>
              </c:extLst>
              <c:f>weekly!$C$28:$C$46</c:f>
              <c:numCache>
                <c:formatCode>General</c:formatCode>
                <c:ptCount val="19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  <c:pt idx="17">
                  <c:v>28422</c:v>
                </c:pt>
                <c:pt idx="18">
                  <c:v>28403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weekly!$A$27:$A$46</c15:sqref>
                  </c15:fullRef>
                </c:ext>
              </c:extLst>
              <c:f>weekly!$A$28:$A$46</c:f>
              <c:strCache>
                <c:ptCount val="1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weekly!$I$27:$I$46</c15:sqref>
                  </c15:fullRef>
                </c:ext>
              </c:extLst>
              <c:f>weekly!$I$28:$I$46</c:f>
              <c:numCache>
                <c:formatCode>General</c:formatCode>
                <c:ptCount val="19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  <c:pt idx="17">
                  <c:v>28608</c:v>
                </c:pt>
                <c:pt idx="18">
                  <c:v>28710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227094480"/>
        <c:axId val="-135057947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weekly!$A$27:$A$46</c15:sqref>
                        </c15:fullRef>
                        <c15:formulaRef>
                          <c15:sqref>weekly!$A$28:$A$46</c15:sqref>
                        </c15:formulaRef>
                      </c:ext>
                    </c:extLst>
                    <c:strCache>
                      <c:ptCount val="19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  <c:pt idx="18">
                        <c:v>هفته 46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12270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50579472"/>
        <c:crosses val="autoZero"/>
        <c:auto val="1"/>
        <c:lblAlgn val="ctr"/>
        <c:lblOffset val="100"/>
        <c:noMultiLvlLbl val="0"/>
      </c:catAx>
      <c:valAx>
        <c:axId val="-1350579472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2270944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350580560"/>
        <c:axId val="-1350576752"/>
      </c:barChart>
      <c:catAx>
        <c:axId val="-135058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50576752"/>
        <c:crosses val="autoZero"/>
        <c:auto val="1"/>
        <c:lblAlgn val="ctr"/>
        <c:lblOffset val="100"/>
        <c:noMultiLvlLbl val="0"/>
      </c:catAx>
      <c:valAx>
        <c:axId val="-13505767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5058056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امروز نسبت به چهارشنبه هفته گذشته)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91"/>
          <c:order val="9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change'!$F$173:$I$173</c:f>
              <c:numCache>
                <c:formatCode>General</c:formatCode>
                <c:ptCount val="4"/>
                <c:pt idx="0">
                  <c:v>0.4519774011299435</c:v>
                </c:pt>
                <c:pt idx="1">
                  <c:v>2.3364485981308412</c:v>
                </c:pt>
                <c:pt idx="2">
                  <c:v>3.8920601971977167</c:v>
                </c:pt>
                <c:pt idx="3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350575664"/>
        <c:axId val="-135057512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25-4A13-98D8-CAB9E1153C64}"/>
                  </c:ext>
                </c:extLst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25-4A13-98D8-CAB9E1153C64}"/>
                  </c:ext>
                </c:extLst>
              </c15:ser>
            </c15:filteredBarSeries>
            <c15:filteredBarSeries>
              <c15:ser>
                <c:idx val="83"/>
                <c:order val="8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change'!$F$165:$I$165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-0.53342816500711232</c:v>
                      </c:pt>
                      <c:pt idx="1">
                        <c:v>-1.0113268608414239</c:v>
                      </c:pt>
                      <c:pt idx="2">
                        <c:v>0.18800065391531798</c:v>
                      </c:pt>
                      <c:pt idx="3">
                        <c:v>0.78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25-4A13-98D8-CAB9E1153C64}"/>
                  </c:ext>
                </c:extLst>
              </c15:ser>
            </c15:filteredBarSeries>
            <c15:filteredBarSeries>
              <c15:ser>
                <c:idx val="84"/>
                <c:order val="8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change'!$F$166:$I$166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-0.64354665713264214</c:v>
                      </c:pt>
                      <c:pt idx="1">
                        <c:v>4.0866366979975477E-2</c:v>
                      </c:pt>
                      <c:pt idx="2">
                        <c:v>-0.66084686301705153</c:v>
                      </c:pt>
                      <c:pt idx="3">
                        <c:v>0.52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25-4A13-98D8-CAB9E1153C64}"/>
                  </c:ext>
                </c:extLst>
              </c15:ser>
            </c15:filteredBarSeries>
            <c15:filteredBarSeries>
              <c15:ser>
                <c:idx val="85"/>
                <c:order val="8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change'!$F$167:$I$167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-0.97157250809643758</c:v>
                      </c:pt>
                      <c:pt idx="1">
                        <c:v>-0.49019607843137253</c:v>
                      </c:pt>
                      <c:pt idx="2">
                        <c:v>-0.79664914586070956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25-4A13-98D8-CAB9E1153C64}"/>
                  </c:ext>
                </c:extLst>
              </c15:ser>
            </c15:filteredBarSeries>
            <c15:filteredBarSeries>
              <c15:ser>
                <c:idx val="86"/>
                <c:order val="8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change'!$F$168:$I$168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-2.3255813953488373</c:v>
                      </c:pt>
                      <c:pt idx="1">
                        <c:v>-2.4220032840722494</c:v>
                      </c:pt>
                      <c:pt idx="2">
                        <c:v>-0.93550790628363278</c:v>
                      </c:pt>
                      <c:pt idx="3">
                        <c:v>0.25</c:v>
                      </c:pt>
                    </c:numCache>
                  </c:numRef>
                </c:val>
              </c15:ser>
            </c15:filteredBarSeries>
            <c15:filteredBarSeries>
              <c15:ser>
                <c:idx val="87"/>
                <c:order val="8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change'!$F$169:$I$169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-0.85565476190476186</c:v>
                      </c:pt>
                      <c:pt idx="1">
                        <c:v>0.79932688262515772</c:v>
                      </c:pt>
                      <c:pt idx="2">
                        <c:v>-2.6073875981948853</c:v>
                      </c:pt>
                      <c:pt idx="3">
                        <c:v>-1.72</c:v>
                      </c:pt>
                    </c:numCache>
                  </c:numRef>
                </c:val>
              </c15:ser>
            </c15:filteredBarSeries>
            <c15:filteredBarSeries>
              <c15:ser>
                <c:idx val="88"/>
                <c:order val="8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change'!$F$170:$I$170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0.41275797373358347</c:v>
                      </c:pt>
                      <c:pt idx="1">
                        <c:v>-0.62604340567612693</c:v>
                      </c:pt>
                      <c:pt idx="2">
                        <c:v>1.2270465076368628</c:v>
                      </c:pt>
                      <c:pt idx="3">
                        <c:v>-0.59</c:v>
                      </c:pt>
                    </c:numCache>
                  </c:numRef>
                </c:val>
              </c15:ser>
            </c15:filteredBarSeries>
            <c15:filteredBarSeries>
              <c15:ser>
                <c:idx val="89"/>
                <c:order val="8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change'!$F$171:$I$171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-1.905829596412556</c:v>
                      </c:pt>
                      <c:pt idx="1">
                        <c:v>-1.0499790004199916</c:v>
                      </c:pt>
                      <c:pt idx="2">
                        <c:v>-1.4834279901669916</c:v>
                      </c:pt>
                      <c:pt idx="3">
                        <c:v>0.53</c:v>
                      </c:pt>
                    </c:numCache>
                  </c:numRef>
                </c:val>
              </c15:ser>
            </c15:filteredBarSeries>
            <c15:filteredBarSeries>
              <c15:ser>
                <c:idx val="90"/>
                <c:order val="9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change'!$F$172:$I$172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1.1428571428571428</c:v>
                      </c:pt>
                      <c:pt idx="1">
                        <c:v>-8.4889643463497449E-2</c:v>
                      </c:pt>
                      <c:pt idx="2">
                        <c:v>-0.51626226122870422</c:v>
                      </c:pt>
                      <c:pt idx="3">
                        <c:v>0.24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35057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50575120"/>
        <c:crosses val="autoZero"/>
        <c:auto val="1"/>
        <c:lblAlgn val="ctr"/>
        <c:lblOffset val="100"/>
        <c:noMultiLvlLbl val="0"/>
      </c:catAx>
      <c:valAx>
        <c:axId val="-13505751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5057566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601</xdr:row>
      <xdr:rowOff>102960</xdr:rowOff>
    </xdr:from>
    <xdr:to>
      <xdr:col>11</xdr:col>
      <xdr:colOff>279360</xdr:colOff>
      <xdr:row>631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181</xdr:row>
      <xdr:rowOff>27711</xdr:rowOff>
    </xdr:from>
    <xdr:to>
      <xdr:col>53</xdr:col>
      <xdr:colOff>335280</xdr:colOff>
      <xdr:row>286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317</xdr:row>
      <xdr:rowOff>0</xdr:rowOff>
    </xdr:from>
    <xdr:to>
      <xdr:col>82</xdr:col>
      <xdr:colOff>0</xdr:colOff>
      <xdr:row>393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636</xdr:row>
      <xdr:rowOff>0</xdr:rowOff>
    </xdr:from>
    <xdr:to>
      <xdr:col>13</xdr:col>
      <xdr:colOff>354240</xdr:colOff>
      <xdr:row>666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416</xdr:row>
      <xdr:rowOff>0</xdr:rowOff>
    </xdr:from>
    <xdr:to>
      <xdr:col>83</xdr:col>
      <xdr:colOff>533400</xdr:colOff>
      <xdr:row>515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64</xdr:row>
      <xdr:rowOff>76321</xdr:rowOff>
    </xdr:from>
    <xdr:to>
      <xdr:col>44</xdr:col>
      <xdr:colOff>533400</xdr:colOff>
      <xdr:row>163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685345</xdr:colOff>
      <xdr:row>2</xdr:row>
      <xdr:rowOff>80863</xdr:rowOff>
    </xdr:from>
    <xdr:to>
      <xdr:col>7</xdr:col>
      <xdr:colOff>954081</xdr:colOff>
      <xdr:row>31</xdr:row>
      <xdr:rowOff>134471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68"/>
  <sheetViews>
    <sheetView topLeftCell="U1" zoomScaleNormal="100" workbookViewId="0">
      <pane ySplit="1" topLeftCell="A244" activePane="bottomLeft" state="frozen"/>
      <selection activeCell="B1" sqref="B1"/>
      <selection pane="bottomLeft" activeCell="X252" sqref="X252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L253/G253</f>
        <v>#DIV/0!</v>
      </c>
      <c r="T1" s="3" t="s">
        <v>15</v>
      </c>
      <c r="U1" s="3">
        <f>M253/K253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52" customFormat="1" ht="18">
      <c r="B242" s="153" t="s">
        <v>611</v>
      </c>
      <c r="C242" s="121">
        <v>11</v>
      </c>
      <c r="D242" s="154">
        <v>25053</v>
      </c>
      <c r="E242" s="152">
        <v>24808</v>
      </c>
      <c r="F242" s="152">
        <v>24968</v>
      </c>
      <c r="H242" s="152">
        <v>28390</v>
      </c>
      <c r="I242" s="152">
        <v>28299</v>
      </c>
      <c r="J242" s="152">
        <v>28325</v>
      </c>
      <c r="L242" s="201"/>
      <c r="M242" s="201"/>
      <c r="N242" s="152">
        <v>25056</v>
      </c>
      <c r="O242" s="152">
        <v>28582</v>
      </c>
      <c r="P242" s="152">
        <v>25303</v>
      </c>
      <c r="Q242" s="152">
        <v>28674</v>
      </c>
      <c r="V242" s="152">
        <v>28100</v>
      </c>
      <c r="X242" s="152">
        <v>27970</v>
      </c>
      <c r="Y242" s="152">
        <v>31197</v>
      </c>
      <c r="Z242" s="155"/>
      <c r="AB242" s="154"/>
      <c r="AS242" s="154"/>
      <c r="AW242" s="154"/>
      <c r="BI242" s="178"/>
      <c r="BO242" s="156"/>
      <c r="BP242" s="156"/>
      <c r="BQ242" s="156"/>
      <c r="BR242" s="156"/>
    </row>
    <row r="243" spans="2:70" s="152" customFormat="1" ht="18">
      <c r="B243" s="153" t="s">
        <v>612</v>
      </c>
      <c r="C243" s="121">
        <v>12</v>
      </c>
      <c r="D243" s="154">
        <v>25033</v>
      </c>
      <c r="E243" s="152">
        <v>24897</v>
      </c>
      <c r="F243" s="152">
        <v>24869</v>
      </c>
      <c r="H243" s="152">
        <v>28299</v>
      </c>
      <c r="I243" s="152">
        <v>28216</v>
      </c>
      <c r="J243" s="152">
        <v>28225</v>
      </c>
      <c r="L243" s="201"/>
      <c r="M243" s="201"/>
      <c r="N243" s="152">
        <v>25145</v>
      </c>
      <c r="O243" s="152">
        <v>28498</v>
      </c>
      <c r="P243" s="152">
        <v>25283</v>
      </c>
      <c r="Q243" s="152">
        <v>28582</v>
      </c>
      <c r="V243" s="152">
        <v>27900</v>
      </c>
      <c r="X243" s="152">
        <v>27790</v>
      </c>
      <c r="Y243" s="152">
        <v>31197</v>
      </c>
      <c r="Z243" s="155"/>
      <c r="AB243" s="154"/>
      <c r="AS243" s="154"/>
      <c r="AW243" s="154"/>
      <c r="BI243" s="178"/>
      <c r="BO243" s="156"/>
      <c r="BP243" s="156"/>
      <c r="BQ243" s="156"/>
      <c r="BR243" s="156"/>
    </row>
    <row r="244" spans="2:70" s="152" customFormat="1" ht="18">
      <c r="B244" s="153" t="s">
        <v>614</v>
      </c>
      <c r="C244" s="121">
        <v>13</v>
      </c>
      <c r="D244" s="154">
        <v>24900</v>
      </c>
      <c r="E244" s="152">
        <v>25058</v>
      </c>
      <c r="F244" s="152">
        <v>24961</v>
      </c>
      <c r="H244" s="152">
        <v>28216</v>
      </c>
      <c r="I244" s="152">
        <v>28460</v>
      </c>
      <c r="J244" s="152">
        <v>28637</v>
      </c>
      <c r="L244" s="201"/>
      <c r="M244" s="201"/>
      <c r="N244" s="152">
        <v>25309</v>
      </c>
      <c r="O244" s="152">
        <v>28745</v>
      </c>
      <c r="P244" s="152">
        <v>25149</v>
      </c>
      <c r="Q244" s="152">
        <v>28498</v>
      </c>
      <c r="V244" s="152">
        <v>27680</v>
      </c>
      <c r="X244" s="152">
        <v>27520</v>
      </c>
      <c r="Y244" s="152">
        <v>31141</v>
      </c>
      <c r="Z244" s="155"/>
      <c r="AB244" s="154"/>
      <c r="AS244" s="154"/>
      <c r="AW244" s="154"/>
      <c r="BI244" s="178"/>
      <c r="BO244" s="156"/>
      <c r="BP244" s="156"/>
      <c r="BQ244" s="156"/>
      <c r="BR244" s="156"/>
    </row>
    <row r="245" spans="2:70" s="152" customFormat="1" ht="18">
      <c r="B245" s="153" t="s">
        <v>616</v>
      </c>
      <c r="C245" s="121">
        <v>14</v>
      </c>
      <c r="D245" s="154">
        <v>25090</v>
      </c>
      <c r="E245" s="152">
        <v>25125</v>
      </c>
      <c r="F245" s="152">
        <v>25079</v>
      </c>
      <c r="H245" s="152">
        <v>28460</v>
      </c>
      <c r="I245" s="152">
        <v>28482</v>
      </c>
      <c r="J245" s="152">
        <v>28573</v>
      </c>
      <c r="L245" s="201"/>
      <c r="M245" s="201"/>
      <c r="N245" s="152">
        <v>25376</v>
      </c>
      <c r="O245" s="152">
        <v>28767</v>
      </c>
      <c r="P245" s="152">
        <v>25341</v>
      </c>
      <c r="Q245" s="152">
        <v>28745</v>
      </c>
      <c r="V245" s="152">
        <v>27530</v>
      </c>
      <c r="X245" s="152">
        <v>27550</v>
      </c>
      <c r="Y245" s="152">
        <v>31141</v>
      </c>
      <c r="Z245" s="155"/>
      <c r="AB245" s="154"/>
      <c r="AS245" s="154"/>
      <c r="AW245" s="154"/>
      <c r="BI245" s="178"/>
      <c r="BO245" s="156"/>
      <c r="BP245" s="156"/>
      <c r="BQ245" s="156"/>
      <c r="BR245" s="156"/>
    </row>
    <row r="246" spans="2:70" s="144" customFormat="1" ht="18">
      <c r="B246" s="145" t="s">
        <v>619</v>
      </c>
      <c r="C246" s="108">
        <v>16</v>
      </c>
      <c r="D246" s="146">
        <v>24987</v>
      </c>
      <c r="E246" s="144">
        <v>24810</v>
      </c>
      <c r="F246" s="144">
        <v>24981</v>
      </c>
      <c r="H246" s="144">
        <v>28482</v>
      </c>
      <c r="I246" s="144">
        <v>28540</v>
      </c>
      <c r="J246" s="144">
        <v>28636</v>
      </c>
      <c r="L246" s="142"/>
      <c r="M246" s="142"/>
      <c r="N246" s="144">
        <v>25058</v>
      </c>
      <c r="O246" s="144">
        <v>28825</v>
      </c>
      <c r="P246" s="144">
        <v>25237</v>
      </c>
      <c r="Q246" s="144">
        <v>28767</v>
      </c>
      <c r="V246" s="144">
        <v>27080</v>
      </c>
      <c r="X246" s="144">
        <v>26880</v>
      </c>
      <c r="Y246" s="144">
        <v>30785</v>
      </c>
      <c r="Z246" s="147"/>
      <c r="AB246" s="146"/>
      <c r="AS246" s="146"/>
      <c r="AW246" s="146"/>
      <c r="BI246" s="207"/>
      <c r="BO246" s="150"/>
      <c r="BP246" s="150"/>
      <c r="BQ246" s="150"/>
      <c r="BR246" s="150"/>
    </row>
    <row r="247" spans="2:70" s="144" customFormat="1" ht="18">
      <c r="B247" s="145" t="s">
        <v>621</v>
      </c>
      <c r="C247" s="108">
        <v>17</v>
      </c>
      <c r="D247" s="146">
        <v>24624</v>
      </c>
      <c r="E247" s="144">
        <v>24286</v>
      </c>
      <c r="F247" s="144">
        <v>24319</v>
      </c>
      <c r="H247" s="144">
        <v>28540</v>
      </c>
      <c r="I247" s="144">
        <v>28064</v>
      </c>
      <c r="J247" s="144">
        <v>28240</v>
      </c>
      <c r="L247" s="142"/>
      <c r="M247" s="142"/>
      <c r="N247" s="144">
        <v>24529</v>
      </c>
      <c r="O247" s="144">
        <v>28344</v>
      </c>
      <c r="P247" s="144">
        <v>24870</v>
      </c>
      <c r="Q247" s="144">
        <v>28825</v>
      </c>
      <c r="V247" s="144">
        <v>26250</v>
      </c>
      <c r="X247" s="144">
        <v>26650</v>
      </c>
      <c r="Y247" s="144">
        <v>29950</v>
      </c>
      <c r="Z247" s="147"/>
      <c r="AB247" s="146"/>
      <c r="AS247" s="146"/>
      <c r="AW247" s="146"/>
      <c r="BI247" s="207"/>
      <c r="BO247" s="150"/>
      <c r="BP247" s="150"/>
      <c r="BQ247" s="150"/>
      <c r="BR247" s="150"/>
    </row>
    <row r="248" spans="2:70" s="144" customFormat="1" ht="18">
      <c r="B248" s="145" t="s">
        <v>623</v>
      </c>
      <c r="C248" s="108">
        <v>18</v>
      </c>
      <c r="D248" s="146">
        <v>24300</v>
      </c>
      <c r="E248" s="144">
        <v>24503</v>
      </c>
      <c r="F248" s="144">
        <v>24406</v>
      </c>
      <c r="H248" s="144">
        <v>28064</v>
      </c>
      <c r="I248" s="144">
        <v>28700</v>
      </c>
      <c r="J248" s="144">
        <v>28395</v>
      </c>
      <c r="L248" s="142"/>
      <c r="M248" s="142"/>
      <c r="N248" s="144">
        <v>24748</v>
      </c>
      <c r="O248" s="144">
        <v>28987</v>
      </c>
      <c r="P248" s="144">
        <v>24543</v>
      </c>
      <c r="Q248" s="144">
        <v>28344</v>
      </c>
      <c r="V248" s="144">
        <v>26980</v>
      </c>
      <c r="X248" s="144">
        <v>26760</v>
      </c>
      <c r="Y248" s="144">
        <v>30729</v>
      </c>
      <c r="Z248" s="147"/>
      <c r="AB248" s="146"/>
      <c r="AS248" s="146"/>
      <c r="AW248" s="146"/>
      <c r="BI248" s="207"/>
      <c r="BO248" s="150"/>
      <c r="BP248" s="150"/>
      <c r="BQ248" s="150"/>
      <c r="BR248" s="150"/>
    </row>
    <row r="249" spans="2:70" s="144" customFormat="1" ht="18">
      <c r="B249" s="145" t="s">
        <v>626</v>
      </c>
      <c r="C249" s="108">
        <v>19</v>
      </c>
      <c r="D249" s="146">
        <v>24357</v>
      </c>
      <c r="E249" s="144">
        <v>24292</v>
      </c>
      <c r="F249" s="144">
        <v>24242</v>
      </c>
      <c r="H249" s="144">
        <v>28700</v>
      </c>
      <c r="I249" s="144">
        <v>28250</v>
      </c>
      <c r="J249" s="144">
        <v>28107</v>
      </c>
      <c r="L249" s="142"/>
      <c r="M249" s="142"/>
      <c r="N249" s="144">
        <v>24535</v>
      </c>
      <c r="O249" s="144">
        <v>28532</v>
      </c>
      <c r="P249" s="144">
        <v>24601</v>
      </c>
      <c r="Q249" s="144">
        <v>28987</v>
      </c>
      <c r="V249" s="144">
        <v>26480</v>
      </c>
      <c r="X249" s="144">
        <v>26250</v>
      </c>
      <c r="Y249" s="144">
        <v>30168</v>
      </c>
      <c r="Z249" s="147"/>
      <c r="AB249" s="146"/>
      <c r="AS249" s="146"/>
      <c r="AW249" s="146"/>
      <c r="BI249" s="207"/>
      <c r="BO249" s="150"/>
      <c r="BP249" s="150"/>
      <c r="BQ249" s="150"/>
      <c r="BR249" s="150"/>
    </row>
    <row r="250" spans="2:70" s="202" customFormat="1" ht="18">
      <c r="B250" s="148" t="s">
        <v>628</v>
      </c>
      <c r="C250" s="114">
        <v>20</v>
      </c>
      <c r="D250" s="203">
        <v>24292</v>
      </c>
      <c r="E250" s="202">
        <v>24600</v>
      </c>
      <c r="F250" s="202">
        <v>24583</v>
      </c>
      <c r="H250" s="202">
        <v>28250</v>
      </c>
      <c r="I250" s="202">
        <v>28450</v>
      </c>
      <c r="J250" s="202">
        <v>28405</v>
      </c>
      <c r="L250" s="149"/>
      <c r="M250" s="149"/>
      <c r="N250" s="202">
        <v>24846</v>
      </c>
      <c r="O250" s="202">
        <v>28734</v>
      </c>
      <c r="P250" s="202">
        <v>24535</v>
      </c>
      <c r="Q250" s="202">
        <v>28532</v>
      </c>
      <c r="V250" s="202">
        <v>26630</v>
      </c>
      <c r="X250" s="202">
        <v>26550</v>
      </c>
      <c r="Y250" s="202">
        <v>30320</v>
      </c>
      <c r="Z250" s="204"/>
      <c r="AB250" s="203"/>
      <c r="AS250" s="203"/>
      <c r="AW250" s="203"/>
      <c r="BI250" s="205"/>
      <c r="BO250" s="206"/>
      <c r="BP250" s="206"/>
      <c r="BQ250" s="206"/>
      <c r="BR250" s="206"/>
    </row>
    <row r="251" spans="2:70" s="144" customFormat="1" ht="18">
      <c r="B251" s="145" t="s">
        <v>630</v>
      </c>
      <c r="C251" s="108">
        <v>21</v>
      </c>
      <c r="D251" s="146">
        <v>24700</v>
      </c>
      <c r="E251" s="144">
        <v>25061</v>
      </c>
      <c r="F251" s="144">
        <v>24991</v>
      </c>
      <c r="H251" s="144">
        <v>28450</v>
      </c>
      <c r="I251" s="144">
        <v>28554</v>
      </c>
      <c r="J251" s="144">
        <v>28634</v>
      </c>
      <c r="L251" s="142"/>
      <c r="M251" s="142"/>
      <c r="N251" s="144">
        <v>25311</v>
      </c>
      <c r="O251" s="144">
        <v>28840</v>
      </c>
      <c r="P251" s="144">
        <v>24947</v>
      </c>
      <c r="Q251" s="144">
        <v>28734</v>
      </c>
      <c r="V251" s="144">
        <v>26500</v>
      </c>
      <c r="X251" s="144">
        <v>26440</v>
      </c>
      <c r="Y251" s="144">
        <v>30269</v>
      </c>
      <c r="Z251" s="147"/>
      <c r="AB251" s="146"/>
      <c r="AS251" s="146"/>
      <c r="AW251" s="146"/>
      <c r="BI251" s="207"/>
      <c r="BO251" s="150"/>
      <c r="BP251" s="150"/>
      <c r="BQ251" s="150"/>
      <c r="BR251" s="150"/>
    </row>
    <row r="252" spans="2:70" s="136" customFormat="1" ht="18">
      <c r="B252" s="131" t="s">
        <v>634</v>
      </c>
      <c r="C252" s="104">
        <v>23</v>
      </c>
      <c r="D252" s="137">
        <v>25121</v>
      </c>
      <c r="H252" s="136">
        <v>28554</v>
      </c>
      <c r="L252" s="208"/>
      <c r="M252" s="208"/>
      <c r="P252" s="136">
        <v>25372</v>
      </c>
      <c r="Q252" s="136">
        <v>28840</v>
      </c>
      <c r="V252" s="136">
        <v>26750</v>
      </c>
      <c r="X252" s="136">
        <v>26670</v>
      </c>
      <c r="Y252" s="136">
        <v>30379</v>
      </c>
      <c r="Z252" s="138"/>
      <c r="AB252" s="137"/>
      <c r="AS252" s="137"/>
      <c r="AW252" s="137"/>
      <c r="BI252" s="177"/>
      <c r="BO252" s="151"/>
      <c r="BP252" s="151"/>
      <c r="BQ252" s="151"/>
      <c r="BR252" s="151"/>
    </row>
    <row r="253" spans="2:70" ht="18">
      <c r="D253" s="26"/>
      <c r="K253">
        <f>SUM(K2:K216)</f>
        <v>210358000</v>
      </c>
      <c r="L253" s="142">
        <f>SUM(L2:L216)</f>
        <v>38488576407409</v>
      </c>
      <c r="M253" s="142">
        <f>SUM(M2:M216)</f>
        <v>6182194847600</v>
      </c>
      <c r="V253" s="144">
        <v>26730</v>
      </c>
      <c r="Z253" s="25"/>
      <c r="AS253" s="26"/>
      <c r="AW253" s="30"/>
    </row>
    <row r="254" spans="2:70" ht="18">
      <c r="D254">
        <f>D243-F242</f>
        <v>65</v>
      </c>
      <c r="N254">
        <f>(38955-36945)/36945</f>
        <v>5.4405196914332113E-2</v>
      </c>
      <c r="V254" s="152">
        <v>26720</v>
      </c>
      <c r="Z254" s="25"/>
      <c r="AS254" s="26"/>
      <c r="AW254" s="30"/>
    </row>
    <row r="255" spans="2:70" ht="18">
      <c r="E255">
        <f>D242-F241</f>
        <v>101</v>
      </c>
      <c r="O255">
        <f>P242-N241</f>
        <v>249</v>
      </c>
      <c r="V255" s="152">
        <v>26700</v>
      </c>
      <c r="W255" s="152"/>
      <c r="Z255" s="25"/>
      <c r="AS255" s="26"/>
      <c r="AW255" s="30"/>
    </row>
    <row r="256" spans="2:70" ht="18">
      <c r="D256" s="93"/>
      <c r="N256">
        <f>(2785-2525)/2525</f>
        <v>0.10297029702970296</v>
      </c>
      <c r="P256">
        <f>P230-N229</f>
        <v>24</v>
      </c>
      <c r="V256" s="152">
        <v>26680</v>
      </c>
      <c r="W256" s="152">
        <f>V252-X251</f>
        <v>310</v>
      </c>
      <c r="Z256" s="25"/>
      <c r="AW256" s="30"/>
    </row>
    <row r="257" spans="4:26" ht="17.25" customHeight="1">
      <c r="D257" s="93"/>
      <c r="P257" t="s">
        <v>523</v>
      </c>
      <c r="Q257" t="s">
        <v>524</v>
      </c>
      <c r="V257" s="152">
        <v>26670</v>
      </c>
      <c r="W257" s="152"/>
      <c r="Z257" s="25"/>
    </row>
    <row r="258" spans="4:26" ht="18">
      <c r="D258" s="93"/>
      <c r="E258">
        <f>(28300-25088)/25088</f>
        <v>0.12802933673469388</v>
      </c>
      <c r="O258" s="126" t="s">
        <v>503</v>
      </c>
      <c r="P258">
        <v>-178</v>
      </c>
      <c r="Q258">
        <v>-180</v>
      </c>
      <c r="V258" s="25"/>
      <c r="W258" s="152"/>
      <c r="X258">
        <f>Y248-Y247</f>
        <v>779</v>
      </c>
      <c r="Y258">
        <f>(2631-2489)/2489</f>
        <v>5.7051024507834475E-2</v>
      </c>
      <c r="Z258" s="25"/>
    </row>
    <row r="259" spans="4:26" ht="18">
      <c r="D259" s="93"/>
      <c r="F259">
        <f>(37881-36136)/37136</f>
        <v>4.6989444205084017E-2</v>
      </c>
      <c r="H259">
        <f>(27376-26532)/26532</f>
        <v>3.1810643750942259E-2</v>
      </c>
      <c r="O259" s="132" t="s">
        <v>505</v>
      </c>
      <c r="P259">
        <v>59</v>
      </c>
      <c r="Q259">
        <v>59</v>
      </c>
      <c r="V259" s="25"/>
      <c r="W259" s="152">
        <f>(X246-X245)/X245</f>
        <v>-2.4319419237749548E-2</v>
      </c>
    </row>
    <row r="260" spans="4:26" ht="18">
      <c r="D260" s="93"/>
      <c r="N260">
        <f t="shared" ref="N260:N264" si="42">N199-N198</f>
        <v>-15</v>
      </c>
      <c r="O260" s="132" t="s">
        <v>507</v>
      </c>
      <c r="P260">
        <v>-17</v>
      </c>
      <c r="Q260">
        <v>-16</v>
      </c>
      <c r="V260" s="25"/>
      <c r="W260" s="152"/>
    </row>
    <row r="261" spans="4:26" ht="18">
      <c r="D261" s="107"/>
      <c r="E261">
        <f>(2499-2381)/2381</f>
        <v>4.9559008819823606E-2</v>
      </c>
      <c r="N261">
        <f t="shared" si="42"/>
        <v>-12</v>
      </c>
      <c r="O261" s="132" t="s">
        <v>509</v>
      </c>
      <c r="P261">
        <v>-163</v>
      </c>
      <c r="Q261">
        <v>-165</v>
      </c>
      <c r="V261" s="26"/>
      <c r="W261" s="144"/>
    </row>
    <row r="262" spans="4:26" ht="18">
      <c r="D262" s="107"/>
      <c r="N262">
        <f t="shared" si="42"/>
        <v>-137</v>
      </c>
      <c r="O262" s="132" t="s">
        <v>511</v>
      </c>
      <c r="P262">
        <v>50</v>
      </c>
      <c r="Q262">
        <v>50</v>
      </c>
      <c r="V262" s="26"/>
      <c r="W262" s="144"/>
      <c r="X262" s="109"/>
    </row>
    <row r="263" spans="4:26" ht="18">
      <c r="D263" s="113"/>
      <c r="N263">
        <f t="shared" si="42"/>
        <v>-138</v>
      </c>
      <c r="O263" s="145" t="s">
        <v>513</v>
      </c>
      <c r="P263">
        <v>-15</v>
      </c>
      <c r="Q263">
        <v>-15</v>
      </c>
      <c r="W263" s="144">
        <f>(2628-2533)/2533</f>
        <v>3.750493485984998E-2</v>
      </c>
      <c r="X263" s="109"/>
      <c r="Y263">
        <f>(W261-X215)/X215</f>
        <v>-1</v>
      </c>
    </row>
    <row r="264" spans="4:26" ht="18">
      <c r="D264" s="107"/>
      <c r="G264" s="9"/>
      <c r="N264">
        <f t="shared" si="42"/>
        <v>-43</v>
      </c>
      <c r="O264" s="145" t="s">
        <v>515</v>
      </c>
      <c r="P264">
        <v>-12</v>
      </c>
      <c r="Q264">
        <v>-12</v>
      </c>
      <c r="W264">
        <f>(38576-37406)/37406</f>
        <v>3.1278404534031974E-2</v>
      </c>
      <c r="X264" s="109"/>
      <c r="Y264">
        <f>(43725-42669)/42669</f>
        <v>2.4748646558391339E-2</v>
      </c>
    </row>
    <row r="265" spans="4:26" ht="18">
      <c r="D265" s="103"/>
      <c r="G265" s="9"/>
      <c r="N265">
        <f>N253-N203</f>
        <v>-27379</v>
      </c>
      <c r="O265" s="148" t="s">
        <v>517</v>
      </c>
      <c r="P265">
        <v>-136</v>
      </c>
      <c r="Q265">
        <v>-137</v>
      </c>
      <c r="X265" s="109"/>
    </row>
    <row r="266" spans="4:26" ht="18">
      <c r="G266" s="9"/>
      <c r="O266" s="145" t="s">
        <v>519</v>
      </c>
      <c r="P266">
        <v>-137</v>
      </c>
      <c r="Q266">
        <v>-138</v>
      </c>
      <c r="X266" s="109"/>
      <c r="Y266">
        <f>(3365-3279)/3279</f>
        <v>2.6227508386703263E-2</v>
      </c>
    </row>
    <row r="267" spans="4:26" ht="18">
      <c r="G267" s="9"/>
      <c r="O267" s="131" t="s">
        <v>521</v>
      </c>
      <c r="P267">
        <v>-42</v>
      </c>
      <c r="Q267">
        <v>-43</v>
      </c>
      <c r="X267" s="109"/>
    </row>
    <row r="268" spans="4:26" ht="18">
      <c r="G268" s="9"/>
    </row>
  </sheetData>
  <autoFilter ref="A1:BN255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9"/>
  <sheetViews>
    <sheetView topLeftCell="A28" zoomScale="85" zoomScaleNormal="85" workbookViewId="0">
      <selection activeCell="A47" sqref="A47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 s="67" customFormat="1" ht="13.9" customHeight="1">
      <c r="A45" s="67" t="s">
        <v>618</v>
      </c>
      <c r="B45" s="67">
        <v>24969</v>
      </c>
      <c r="C45" s="67">
        <v>28422</v>
      </c>
      <c r="D45" s="101"/>
      <c r="F45" s="101"/>
      <c r="H45" s="67">
        <v>25191</v>
      </c>
      <c r="I45" s="67">
        <v>28608</v>
      </c>
      <c r="J45" s="67">
        <v>27863</v>
      </c>
      <c r="K45" s="67">
        <v>31273</v>
      </c>
    </row>
    <row r="46" spans="1:11" s="67" customFormat="1" ht="13.9" customHeight="1">
      <c r="A46" s="67" t="s">
        <v>633</v>
      </c>
      <c r="B46" s="67">
        <v>24587</v>
      </c>
      <c r="C46" s="67">
        <v>28403</v>
      </c>
      <c r="D46" s="101"/>
      <c r="F46" s="101"/>
      <c r="H46" s="67">
        <v>24838</v>
      </c>
      <c r="I46" s="67">
        <v>28710</v>
      </c>
      <c r="J46" s="67">
        <v>26588</v>
      </c>
      <c r="K46" s="67">
        <v>30370</v>
      </c>
    </row>
    <row r="47" spans="1:11">
      <c r="A47" s="67"/>
      <c r="B47">
        <f>(B2-B8)/B2</f>
        <v>0.15346494762288476</v>
      </c>
      <c r="C47">
        <f>(C2-C8)/C2</f>
        <v>0.1154959674639829</v>
      </c>
      <c r="D47">
        <f>SUM(D2:D39)/38</f>
        <v>37702089.447368421</v>
      </c>
      <c r="I47">
        <f>I43-I42</f>
        <v>-332</v>
      </c>
    </row>
    <row r="48" spans="1:11">
      <c r="H48">
        <f>(H43-H42)/H42</f>
        <v>-1.9771428571428572E-2</v>
      </c>
    </row>
    <row r="49" spans="1:10">
      <c r="A49">
        <f>(B44-B43)</f>
        <v>-250</v>
      </c>
      <c r="C49">
        <f>(C43-C42)/C42</f>
        <v>-1.2137997059527473E-2</v>
      </c>
      <c r="E49">
        <f>(D39-D47)/D47</f>
        <v>0.21324840799221964</v>
      </c>
      <c r="J49">
        <f>(D36-D35)/D35</f>
        <v>-0.50773339408667473</v>
      </c>
    </row>
    <row r="50" spans="1:10">
      <c r="B50">
        <f>(B43-B42)/B42</f>
        <v>-1.4413787773398253E-2</v>
      </c>
      <c r="F50">
        <f>(F36-F35)/F35</f>
        <v>-0.62892307692307692</v>
      </c>
    </row>
    <row r="51" spans="1:10">
      <c r="D51">
        <v>5375132</v>
      </c>
      <c r="E51">
        <f>(E17-D51)/D51</f>
        <v>4.5958809321644006E-2</v>
      </c>
      <c r="G51">
        <f t="shared" ref="G51:G59" si="2">B3-B2</f>
        <v>-554</v>
      </c>
    </row>
    <row r="52" spans="1:10">
      <c r="G52">
        <f t="shared" si="2"/>
        <v>-302</v>
      </c>
    </row>
    <row r="53" spans="1:10">
      <c r="C53">
        <f>(D51-E16)/E16</f>
        <v>0.17110375179746395</v>
      </c>
      <c r="G53">
        <f t="shared" si="2"/>
        <v>-511</v>
      </c>
    </row>
    <row r="54" spans="1:10">
      <c r="G54">
        <f t="shared" si="2"/>
        <v>-362</v>
      </c>
    </row>
    <row r="55" spans="1:10">
      <c r="G55">
        <f t="shared" si="2"/>
        <v>-1699</v>
      </c>
    </row>
    <row r="56" spans="1:10">
      <c r="G56">
        <f t="shared" si="2"/>
        <v>-381</v>
      </c>
    </row>
    <row r="57" spans="1:10">
      <c r="G57">
        <f t="shared" si="2"/>
        <v>1075</v>
      </c>
    </row>
    <row r="58" spans="1:10">
      <c r="F58">
        <f>(F33-F32)/F32</f>
        <v>0.23948268173034043</v>
      </c>
      <c r="G58">
        <f t="shared" si="2"/>
        <v>151</v>
      </c>
      <c r="J58">
        <f>(F34-F35)/F34</f>
        <v>0.13877341459779063</v>
      </c>
    </row>
    <row r="59" spans="1:10">
      <c r="G59">
        <f t="shared" si="2"/>
        <v>1043</v>
      </c>
    </row>
  </sheetData>
  <autoFilter ref="A1:K59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99"/>
  <sheetViews>
    <sheetView tabSelected="1" topLeftCell="A2287" zoomScaleNormal="100" workbookViewId="0">
      <selection activeCell="B2304" sqref="B2304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606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3" t="s">
        <v>608</v>
      </c>
      <c r="B2154" s="213"/>
      <c r="C2154" s="213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3" t="s">
        <v>609</v>
      </c>
      <c r="B2167" s="213"/>
      <c r="C2167" s="213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1:4">
      <c r="D2177">
        <f>B2175-B2162</f>
        <v>-125000</v>
      </c>
    </row>
    <row r="2180" spans="1:4">
      <c r="A2180" s="213" t="s">
        <v>613</v>
      </c>
      <c r="B2180" s="213"/>
      <c r="C2180" s="213"/>
    </row>
    <row r="2181" spans="1:4">
      <c r="A2181" s="79" t="s">
        <v>247</v>
      </c>
      <c r="B2181" s="79" t="s">
        <v>250</v>
      </c>
      <c r="C2181" s="79" t="s">
        <v>249</v>
      </c>
    </row>
    <row r="2182" spans="1:4">
      <c r="A2182" s="69">
        <v>0.45833333333333298</v>
      </c>
      <c r="B2182" s="79">
        <v>12280000</v>
      </c>
      <c r="C2182" s="79">
        <v>7620</v>
      </c>
    </row>
    <row r="2183" spans="1:4">
      <c r="A2183" s="70" t="s">
        <v>251</v>
      </c>
      <c r="B2183" s="79">
        <v>12265000</v>
      </c>
      <c r="C2183" s="79">
        <v>7600</v>
      </c>
    </row>
    <row r="2184" spans="1:4">
      <c r="A2184" s="71" t="s">
        <v>252</v>
      </c>
      <c r="B2184" s="79">
        <v>12245000</v>
      </c>
      <c r="C2184" s="79">
        <v>7570</v>
      </c>
    </row>
    <row r="2185" spans="1:4">
      <c r="A2185" s="69" t="s">
        <v>253</v>
      </c>
      <c r="B2185" s="212">
        <v>12230000</v>
      </c>
      <c r="C2185" s="79">
        <v>7550</v>
      </c>
      <c r="D2185">
        <f>B2182-B2175</f>
        <v>45000</v>
      </c>
    </row>
    <row r="2186" spans="1:4">
      <c r="A2186" s="77">
        <v>0.625</v>
      </c>
      <c r="B2186" s="212">
        <v>12235000</v>
      </c>
      <c r="C2186" s="79">
        <v>7550</v>
      </c>
    </row>
    <row r="2187" spans="1:4">
      <c r="A2187" s="70" t="s">
        <v>254</v>
      </c>
      <c r="B2187" s="212">
        <v>12250000</v>
      </c>
      <c r="C2187" s="79">
        <v>7560</v>
      </c>
    </row>
    <row r="2188" spans="1:4">
      <c r="A2188" s="80">
        <v>0.70833333333333337</v>
      </c>
      <c r="B2188" s="79">
        <v>12240000</v>
      </c>
      <c r="C2188" s="79">
        <v>7560</v>
      </c>
    </row>
    <row r="2193" spans="1:4">
      <c r="A2193" s="213" t="s">
        <v>615</v>
      </c>
      <c r="B2193" s="213"/>
      <c r="C2193" s="213"/>
    </row>
    <row r="2194" spans="1:4">
      <c r="A2194" s="79" t="s">
        <v>247</v>
      </c>
      <c r="B2194" s="79" t="s">
        <v>250</v>
      </c>
      <c r="C2194" s="79" t="s">
        <v>249</v>
      </c>
    </row>
    <row r="2195" spans="1:4">
      <c r="A2195" s="69">
        <v>0.45833333333333298</v>
      </c>
      <c r="B2195">
        <v>12180000</v>
      </c>
      <c r="C2195" s="79">
        <v>7540</v>
      </c>
    </row>
    <row r="2196" spans="1:4">
      <c r="A2196" s="70" t="s">
        <v>251</v>
      </c>
      <c r="B2196">
        <v>12185000</v>
      </c>
      <c r="C2196" s="79">
        <v>7510</v>
      </c>
    </row>
    <row r="2197" spans="1:4">
      <c r="A2197" s="71" t="s">
        <v>252</v>
      </c>
      <c r="B2197">
        <v>12185000</v>
      </c>
      <c r="C2197" s="79">
        <v>7500</v>
      </c>
    </row>
    <row r="2198" spans="1:4">
      <c r="A2198" s="69" t="s">
        <v>253</v>
      </c>
      <c r="B2198">
        <v>12195000</v>
      </c>
      <c r="C2198" s="79">
        <v>7490</v>
      </c>
    </row>
    <row r="2199" spans="1:4">
      <c r="A2199" s="77">
        <v>0.625</v>
      </c>
      <c r="B2199">
        <v>12210000</v>
      </c>
      <c r="C2199" s="79">
        <v>7480</v>
      </c>
    </row>
    <row r="2200" spans="1:4">
      <c r="A2200" s="70" t="s">
        <v>254</v>
      </c>
      <c r="B2200" s="212">
        <v>12200000</v>
      </c>
      <c r="C2200" s="79">
        <v>7470</v>
      </c>
    </row>
    <row r="2201" spans="1:4">
      <c r="A2201" s="80">
        <v>0.70833333333333337</v>
      </c>
      <c r="B2201" s="79">
        <v>12180000</v>
      </c>
      <c r="C2201" s="79">
        <v>7470</v>
      </c>
    </row>
    <row r="2205" spans="1:4">
      <c r="A2205" s="213" t="s">
        <v>617</v>
      </c>
      <c r="B2205" s="213"/>
      <c r="C2205" s="213"/>
    </row>
    <row r="2206" spans="1:4">
      <c r="A2206" s="79" t="s">
        <v>247</v>
      </c>
      <c r="B2206" s="79" t="s">
        <v>250</v>
      </c>
      <c r="C2206" s="79" t="s">
        <v>249</v>
      </c>
    </row>
    <row r="2207" spans="1:4">
      <c r="A2207" s="69">
        <v>0.45833333333333298</v>
      </c>
      <c r="C2207" s="79"/>
      <c r="D2207">
        <v>12250000</v>
      </c>
    </row>
    <row r="2208" spans="1:4">
      <c r="A2208" s="70" t="s">
        <v>251</v>
      </c>
      <c r="C2208" s="79"/>
    </row>
    <row r="2209" spans="1:8">
      <c r="A2209" s="71" t="s">
        <v>252</v>
      </c>
      <c r="C2209" s="79"/>
    </row>
    <row r="2210" spans="1:8">
      <c r="A2210" s="69" t="s">
        <v>253</v>
      </c>
      <c r="C2210" s="79"/>
    </row>
    <row r="2211" spans="1:8">
      <c r="A2211" s="77">
        <v>0.625</v>
      </c>
      <c r="C2211" s="79"/>
    </row>
    <row r="2212" spans="1:8">
      <c r="A2212" s="70" t="s">
        <v>254</v>
      </c>
      <c r="B2212" s="212"/>
      <c r="C2212" s="79"/>
    </row>
    <row r="2213" spans="1:8">
      <c r="A2213" s="80">
        <v>0.70833333333333337</v>
      </c>
      <c r="B2213" s="79"/>
      <c r="C2213" s="79"/>
    </row>
    <row r="2218" spans="1:8">
      <c r="A2218" s="213" t="s">
        <v>620</v>
      </c>
      <c r="B2218" s="213"/>
      <c r="C2218" s="213"/>
    </row>
    <row r="2219" spans="1:8">
      <c r="A2219" s="79" t="s">
        <v>247</v>
      </c>
      <c r="B2219" s="79" t="s">
        <v>250</v>
      </c>
      <c r="C2219" s="79" t="s">
        <v>249</v>
      </c>
    </row>
    <row r="2220" spans="1:8">
      <c r="A2220" s="69">
        <v>0.45833333333333298</v>
      </c>
      <c r="B2220">
        <v>12055000</v>
      </c>
      <c r="C2220" s="79">
        <v>7470</v>
      </c>
    </row>
    <row r="2221" spans="1:8">
      <c r="A2221" s="70" t="s">
        <v>251</v>
      </c>
      <c r="B2221">
        <v>12070000</v>
      </c>
      <c r="C2221" s="79">
        <v>7350</v>
      </c>
    </row>
    <row r="2222" spans="1:8">
      <c r="A2222" s="71" t="s">
        <v>252</v>
      </c>
      <c r="B2222">
        <v>11990000</v>
      </c>
      <c r="C2222" s="79">
        <v>7300</v>
      </c>
      <c r="D2222">
        <f>B2220-D2207</f>
        <v>-195000</v>
      </c>
    </row>
    <row r="2223" spans="1:8">
      <c r="A2223" s="69" t="s">
        <v>253</v>
      </c>
      <c r="B2223">
        <v>11995000</v>
      </c>
      <c r="C2223" s="79">
        <v>7310</v>
      </c>
      <c r="H2223">
        <f>D2207-D2221</f>
        <v>12250000</v>
      </c>
    </row>
    <row r="2224" spans="1:8">
      <c r="A2224" s="77">
        <v>0.625</v>
      </c>
      <c r="B2224">
        <v>11940000</v>
      </c>
      <c r="C2224" s="79">
        <v>7300</v>
      </c>
    </row>
    <row r="2225" spans="1:4">
      <c r="A2225" s="70" t="s">
        <v>254</v>
      </c>
      <c r="B2225" s="212">
        <v>11930000</v>
      </c>
      <c r="C2225" s="79">
        <v>7290</v>
      </c>
    </row>
    <row r="2226" spans="1:4">
      <c r="A2226" s="80">
        <v>0.70833333333333337</v>
      </c>
      <c r="B2226" s="79">
        <v>11885000</v>
      </c>
      <c r="C2226" s="79">
        <v>7280</v>
      </c>
      <c r="D2226">
        <f>(B2226-D2207)/D2207</f>
        <v>-2.9795918367346939E-2</v>
      </c>
    </row>
    <row r="2230" spans="1:4">
      <c r="A2230" s="213" t="s">
        <v>622</v>
      </c>
      <c r="B2230" s="213"/>
      <c r="C2230" s="213"/>
    </row>
    <row r="2231" spans="1:4">
      <c r="A2231" s="79" t="s">
        <v>247</v>
      </c>
      <c r="B2231" s="79" t="s">
        <v>250</v>
      </c>
      <c r="C2231" s="79" t="s">
        <v>249</v>
      </c>
    </row>
    <row r="2232" spans="1:4">
      <c r="A2232" s="69">
        <v>0.45833333333333298</v>
      </c>
      <c r="B2232">
        <v>11865000</v>
      </c>
      <c r="C2232" s="79">
        <v>7140</v>
      </c>
    </row>
    <row r="2233" spans="1:4">
      <c r="A2233" s="70" t="s">
        <v>251</v>
      </c>
      <c r="B2233">
        <v>11870000</v>
      </c>
      <c r="C2233" s="79">
        <v>7180</v>
      </c>
    </row>
    <row r="2234" spans="1:4">
      <c r="A2234" s="71" t="s">
        <v>252</v>
      </c>
      <c r="B2234">
        <v>11940000</v>
      </c>
      <c r="C2234" s="79">
        <v>7250</v>
      </c>
    </row>
    <row r="2235" spans="1:4">
      <c r="A2235" s="69" t="s">
        <v>253</v>
      </c>
      <c r="B2235">
        <v>11945000</v>
      </c>
      <c r="C2235" s="79">
        <v>7260</v>
      </c>
    </row>
    <row r="2236" spans="1:4">
      <c r="A2236" s="77">
        <v>0.625</v>
      </c>
      <c r="B2236">
        <v>11950000</v>
      </c>
      <c r="C2236" s="79">
        <v>7270</v>
      </c>
    </row>
    <row r="2237" spans="1:4">
      <c r="A2237" s="70" t="s">
        <v>254</v>
      </c>
      <c r="B2237" s="212">
        <v>11955000</v>
      </c>
      <c r="C2237" s="79">
        <v>7280</v>
      </c>
    </row>
    <row r="2238" spans="1:4">
      <c r="A2238" s="80">
        <v>0.70833333333333337</v>
      </c>
      <c r="B2238" s="79">
        <v>11980000</v>
      </c>
      <c r="C2238" s="79">
        <v>7290</v>
      </c>
    </row>
    <row r="2243" spans="1:5">
      <c r="A2243" s="213" t="s">
        <v>624</v>
      </c>
      <c r="B2243" s="213"/>
      <c r="C2243" s="213"/>
    </row>
    <row r="2244" spans="1:5">
      <c r="A2244" s="79" t="s">
        <v>247</v>
      </c>
      <c r="B2244" s="79" t="s">
        <v>250</v>
      </c>
      <c r="C2244" s="79" t="s">
        <v>249</v>
      </c>
    </row>
    <row r="2245" spans="1:5">
      <c r="A2245" s="69">
        <v>0.45833333333333298</v>
      </c>
      <c r="B2245">
        <v>11980000</v>
      </c>
      <c r="C2245" s="79">
        <v>7340</v>
      </c>
      <c r="D2245">
        <v>11980000</v>
      </c>
    </row>
    <row r="2246" spans="1:5">
      <c r="A2246" s="70" t="s">
        <v>251</v>
      </c>
      <c r="B2246">
        <v>12010000</v>
      </c>
      <c r="C2246" s="79">
        <v>7310</v>
      </c>
    </row>
    <row r="2247" spans="1:5">
      <c r="A2247" s="71" t="s">
        <v>252</v>
      </c>
      <c r="B2247">
        <v>11960000</v>
      </c>
      <c r="C2247" s="79">
        <v>7280</v>
      </c>
    </row>
    <row r="2248" spans="1:5">
      <c r="A2248" s="69" t="s">
        <v>253</v>
      </c>
      <c r="B2248">
        <v>11935000</v>
      </c>
      <c r="C2248" s="79">
        <v>7270</v>
      </c>
    </row>
    <row r="2249" spans="1:5">
      <c r="A2249" s="77">
        <v>0.625</v>
      </c>
      <c r="B2249">
        <v>11915000</v>
      </c>
      <c r="C2249" s="79">
        <v>7280</v>
      </c>
    </row>
    <row r="2250" spans="1:5">
      <c r="A2250" s="70" t="s">
        <v>254</v>
      </c>
      <c r="B2250" s="212">
        <v>11905000</v>
      </c>
      <c r="C2250" s="79">
        <v>7290</v>
      </c>
    </row>
    <row r="2251" spans="1:5">
      <c r="A2251" s="80">
        <v>0.70833333333333337</v>
      </c>
      <c r="B2251" s="79">
        <v>11905000</v>
      </c>
      <c r="C2251" s="79">
        <v>7280</v>
      </c>
      <c r="D2251">
        <v>11915000</v>
      </c>
      <c r="E2251" t="s">
        <v>625</v>
      </c>
    </row>
    <row r="2255" spans="1:5">
      <c r="A2255" s="213" t="s">
        <v>627</v>
      </c>
      <c r="B2255" s="213"/>
      <c r="C2255" s="213"/>
    </row>
    <row r="2256" spans="1:5">
      <c r="A2256" s="79" t="s">
        <v>247</v>
      </c>
      <c r="B2256" s="79" t="s">
        <v>250</v>
      </c>
      <c r="C2256" s="79" t="s">
        <v>249</v>
      </c>
    </row>
    <row r="2257" spans="1:4">
      <c r="A2257" s="69">
        <v>0.45833333333333298</v>
      </c>
      <c r="B2257">
        <v>11845000</v>
      </c>
      <c r="C2257" s="79">
        <v>7220</v>
      </c>
    </row>
    <row r="2258" spans="1:4">
      <c r="A2258" s="70" t="s">
        <v>251</v>
      </c>
      <c r="B2258">
        <v>11855000</v>
      </c>
      <c r="C2258" s="79">
        <v>7180</v>
      </c>
    </row>
    <row r="2259" spans="1:4">
      <c r="A2259" s="71" t="s">
        <v>252</v>
      </c>
      <c r="B2259">
        <v>11770000</v>
      </c>
      <c r="C2259" s="79">
        <v>7160</v>
      </c>
    </row>
    <row r="2260" spans="1:4">
      <c r="A2260" s="69" t="s">
        <v>253</v>
      </c>
      <c r="B2260">
        <v>11775000</v>
      </c>
      <c r="C2260" s="79">
        <v>7150</v>
      </c>
    </row>
    <row r="2261" spans="1:4">
      <c r="A2261" s="77">
        <v>0.625</v>
      </c>
      <c r="B2261">
        <v>11775000</v>
      </c>
      <c r="C2261" s="79">
        <v>7160</v>
      </c>
      <c r="D2261">
        <f>B2263-B2251</f>
        <v>-125000</v>
      </c>
    </row>
    <row r="2262" spans="1:4">
      <c r="A2262" s="70" t="s">
        <v>254</v>
      </c>
      <c r="B2262">
        <v>11775000</v>
      </c>
      <c r="C2262" s="79">
        <v>7160</v>
      </c>
    </row>
    <row r="2263" spans="1:4">
      <c r="A2263" s="80">
        <v>0.70833333333333337</v>
      </c>
      <c r="B2263" s="79">
        <v>11780000</v>
      </c>
      <c r="C2263" s="79">
        <v>7160</v>
      </c>
    </row>
    <row r="2267" spans="1:4">
      <c r="A2267" s="213" t="s">
        <v>629</v>
      </c>
      <c r="B2267" s="213"/>
      <c r="C2267" s="213"/>
    </row>
    <row r="2268" spans="1:4">
      <c r="A2268" s="79" t="s">
        <v>247</v>
      </c>
      <c r="B2268" s="79" t="s">
        <v>250</v>
      </c>
      <c r="C2268" s="79" t="s">
        <v>249</v>
      </c>
    </row>
    <row r="2269" spans="1:4">
      <c r="A2269" s="69">
        <v>0.45833333333333298</v>
      </c>
      <c r="B2269">
        <v>11810000</v>
      </c>
      <c r="C2269" s="79">
        <v>7250</v>
      </c>
    </row>
    <row r="2270" spans="1:4">
      <c r="A2270" s="70" t="s">
        <v>251</v>
      </c>
      <c r="B2270">
        <v>11775000</v>
      </c>
      <c r="C2270" s="79">
        <v>7210</v>
      </c>
    </row>
    <row r="2271" spans="1:4">
      <c r="A2271" s="71" t="s">
        <v>252</v>
      </c>
      <c r="B2271">
        <v>11785000</v>
      </c>
      <c r="C2271" s="79">
        <v>7200</v>
      </c>
    </row>
    <row r="2272" spans="1:4">
      <c r="A2272" s="69" t="s">
        <v>253</v>
      </c>
      <c r="B2272">
        <v>11770000</v>
      </c>
      <c r="C2272" s="79">
        <v>7200</v>
      </c>
    </row>
    <row r="2273" spans="1:5">
      <c r="A2273" s="77">
        <v>0.625</v>
      </c>
      <c r="B2273">
        <v>11770000</v>
      </c>
      <c r="C2273" s="79">
        <v>7210</v>
      </c>
    </row>
    <row r="2274" spans="1:5">
      <c r="A2274" s="70" t="s">
        <v>254</v>
      </c>
      <c r="B2274">
        <v>11770000</v>
      </c>
      <c r="C2274" s="79">
        <v>7220</v>
      </c>
    </row>
    <row r="2275" spans="1:5">
      <c r="A2275" s="80">
        <v>0.70833333333333337</v>
      </c>
      <c r="B2275">
        <v>11770000</v>
      </c>
      <c r="C2275" s="79">
        <v>7220</v>
      </c>
    </row>
    <row r="2279" spans="1:5">
      <c r="A2279" s="213" t="s">
        <v>631</v>
      </c>
      <c r="B2279" s="213"/>
      <c r="C2279" s="213"/>
    </row>
    <row r="2280" spans="1:5">
      <c r="A2280" s="79" t="s">
        <v>247</v>
      </c>
      <c r="B2280" s="79" t="s">
        <v>250</v>
      </c>
      <c r="C2280" s="79" t="s">
        <v>249</v>
      </c>
    </row>
    <row r="2281" spans="1:5">
      <c r="A2281" s="69">
        <v>0.45833333333333298</v>
      </c>
      <c r="C2281" s="79"/>
      <c r="D2281">
        <v>11750000</v>
      </c>
      <c r="E2281" t="s">
        <v>632</v>
      </c>
    </row>
    <row r="2282" spans="1:5">
      <c r="A2282" s="70" t="s">
        <v>251</v>
      </c>
      <c r="C2282" s="79"/>
    </row>
    <row r="2283" spans="1:5">
      <c r="A2283" s="71" t="s">
        <v>252</v>
      </c>
      <c r="C2283" s="79"/>
    </row>
    <row r="2284" spans="1:5">
      <c r="A2284" s="69" t="s">
        <v>253</v>
      </c>
      <c r="C2284" s="79"/>
    </row>
    <row r="2285" spans="1:5">
      <c r="A2285" s="77">
        <v>0.625</v>
      </c>
      <c r="C2285" s="79"/>
    </row>
    <row r="2286" spans="1:5">
      <c r="A2286" s="70" t="s">
        <v>254</v>
      </c>
      <c r="C2286" s="79"/>
    </row>
    <row r="2287" spans="1:5">
      <c r="A2287" s="80">
        <v>0.70833333333333337</v>
      </c>
      <c r="C2287" s="79"/>
    </row>
    <row r="2291" spans="1:4">
      <c r="A2291" s="213" t="s">
        <v>635</v>
      </c>
      <c r="B2291" s="213"/>
      <c r="C2291" s="213"/>
    </row>
    <row r="2292" spans="1:4">
      <c r="A2292" s="79" t="s">
        <v>247</v>
      </c>
      <c r="B2292" s="79" t="s">
        <v>250</v>
      </c>
      <c r="C2292" s="79" t="s">
        <v>249</v>
      </c>
    </row>
    <row r="2293" spans="1:4">
      <c r="A2293" s="69">
        <v>0.45833333333333298</v>
      </c>
      <c r="B2293">
        <v>11970000</v>
      </c>
      <c r="C2293" s="79">
        <v>7250</v>
      </c>
    </row>
    <row r="2294" spans="1:4">
      <c r="A2294" s="70" t="s">
        <v>251</v>
      </c>
      <c r="B2294">
        <v>12025000</v>
      </c>
      <c r="C2294" s="79">
        <v>7230</v>
      </c>
    </row>
    <row r="2295" spans="1:4">
      <c r="A2295" s="71" t="s">
        <v>252</v>
      </c>
      <c r="B2295">
        <v>12040000</v>
      </c>
      <c r="C2295" s="79">
        <v>7220</v>
      </c>
      <c r="D2295">
        <f>B2293-D2281</f>
        <v>220000</v>
      </c>
    </row>
    <row r="2296" spans="1:4">
      <c r="A2296" s="69" t="s">
        <v>253</v>
      </c>
      <c r="B2296">
        <v>12060000</v>
      </c>
      <c r="C2296" s="79">
        <v>7220</v>
      </c>
    </row>
    <row r="2297" spans="1:4">
      <c r="A2297" s="77">
        <v>0.625</v>
      </c>
      <c r="B2297">
        <v>12050000</v>
      </c>
      <c r="C2297" s="79">
        <v>7220</v>
      </c>
    </row>
    <row r="2298" spans="1:4">
      <c r="A2298" s="70" t="s">
        <v>254</v>
      </c>
      <c r="B2298">
        <v>12060000</v>
      </c>
      <c r="C2298" s="79">
        <v>7220</v>
      </c>
    </row>
    <row r="2299" spans="1:4">
      <c r="A2299" s="80">
        <v>0.70833333333333337</v>
      </c>
      <c r="B2299">
        <v>12045000</v>
      </c>
      <c r="C2299" s="79">
        <v>7230</v>
      </c>
    </row>
  </sheetData>
  <mergeCells count="196">
    <mergeCell ref="A1343:D1343"/>
    <mergeCell ref="A1330:D1330"/>
    <mergeCell ref="A1306:D1306"/>
    <mergeCell ref="A1282:D1282"/>
    <mergeCell ref="A1270:D1270"/>
    <mergeCell ref="A1258:D1258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888:D888"/>
    <mergeCell ref="A901:D901"/>
    <mergeCell ref="A913:D913"/>
    <mergeCell ref="A925:D925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  <mergeCell ref="A1185:D1185"/>
    <mergeCell ref="A1000:D1000"/>
    <mergeCell ref="A987:D987"/>
    <mergeCell ref="A1012:D1012"/>
    <mergeCell ref="A961:D961"/>
    <mergeCell ref="A1428:D1428"/>
    <mergeCell ref="A1294:D1294"/>
    <mergeCell ref="A1197:D1197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246:D1246"/>
    <mergeCell ref="A1392:D1392"/>
    <mergeCell ref="A1380:D1380"/>
    <mergeCell ref="A1355:D1355"/>
    <mergeCell ref="A1576:D1576"/>
    <mergeCell ref="A1502:D1502"/>
    <mergeCell ref="A1490:D1490"/>
    <mergeCell ref="A1477:D1477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716:C1716"/>
    <mergeCell ref="A1729:C1729"/>
    <mergeCell ref="A1742:C1742"/>
    <mergeCell ref="A1754:C1754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916:C1916"/>
    <mergeCell ref="A1903:C1903"/>
    <mergeCell ref="A2291:C2291"/>
    <mergeCell ref="A2243:C2243"/>
    <mergeCell ref="A2205:C2205"/>
    <mergeCell ref="A2180:C2180"/>
    <mergeCell ref="A2167:C2167"/>
    <mergeCell ref="A2154:C2154"/>
    <mergeCell ref="A2129:C2129"/>
    <mergeCell ref="A2117:C2117"/>
    <mergeCell ref="A2081:C2081"/>
    <mergeCell ref="A2279:C2279"/>
    <mergeCell ref="A2267:C2267"/>
    <mergeCell ref="A2255:C2255"/>
    <mergeCell ref="A2230:C2230"/>
    <mergeCell ref="A2218:C2218"/>
    <mergeCell ref="A2193:C2193"/>
    <mergeCell ref="A2141:C2141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73"/>
  <sheetViews>
    <sheetView zoomScale="85" zoomScaleNormal="85" workbookViewId="0">
      <selection activeCell="A18" sqref="A18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73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73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ref="G162:G173" si="13"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 t="shared" si="13"/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 t="shared" si="13"/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 t="shared" si="13"/>
        <v>-1.0113268608414239</v>
      </c>
      <c r="H165">
        <f t="shared" si="12"/>
        <v>0.18800065391531798</v>
      </c>
      <c r="I165">
        <v>0.78</v>
      </c>
    </row>
    <row r="166" spans="2:9">
      <c r="B166">
        <v>14001112</v>
      </c>
      <c r="C166">
        <v>27790</v>
      </c>
      <c r="D166">
        <v>12240000</v>
      </c>
      <c r="E166">
        <v>1217600</v>
      </c>
      <c r="F166">
        <f t="shared" si="6"/>
        <v>-0.64354665713264214</v>
      </c>
      <c r="G166">
        <f t="shared" si="13"/>
        <v>4.0866366979975477E-2</v>
      </c>
      <c r="H166">
        <f t="shared" si="12"/>
        <v>-0.66084686301705153</v>
      </c>
      <c r="I166">
        <v>0.52</v>
      </c>
    </row>
    <row r="167" spans="2:9">
      <c r="B167">
        <v>14001113</v>
      </c>
      <c r="C167">
        <v>27520</v>
      </c>
      <c r="D167">
        <v>12180000</v>
      </c>
      <c r="E167">
        <v>1207900</v>
      </c>
      <c r="F167">
        <f t="shared" si="6"/>
        <v>-0.97157250809643758</v>
      </c>
      <c r="G167">
        <f t="shared" si="13"/>
        <v>-0.49019607843137253</v>
      </c>
      <c r="H167">
        <f t="shared" si="12"/>
        <v>-0.79664914586070956</v>
      </c>
      <c r="I167">
        <v>0</v>
      </c>
    </row>
    <row r="168" spans="2:9">
      <c r="B168">
        <v>14001116</v>
      </c>
      <c r="C168">
        <v>26880</v>
      </c>
      <c r="D168">
        <v>11885000</v>
      </c>
      <c r="E168">
        <v>1196600</v>
      </c>
      <c r="F168">
        <f t="shared" si="6"/>
        <v>-2.3255813953488373</v>
      </c>
      <c r="G168">
        <f t="shared" si="13"/>
        <v>-2.4220032840722494</v>
      </c>
      <c r="H168">
        <f t="shared" si="12"/>
        <v>-0.93550790628363278</v>
      </c>
      <c r="I168">
        <v>0.25</v>
      </c>
    </row>
    <row r="169" spans="2:9">
      <c r="B169">
        <v>14001117</v>
      </c>
      <c r="C169">
        <v>26650</v>
      </c>
      <c r="D169">
        <v>11980000</v>
      </c>
      <c r="E169">
        <v>1165400</v>
      </c>
      <c r="F169">
        <f t="shared" si="6"/>
        <v>-0.85565476190476186</v>
      </c>
      <c r="G169">
        <f t="shared" si="13"/>
        <v>0.79932688262515772</v>
      </c>
      <c r="H169">
        <f t="shared" si="12"/>
        <v>-2.6073875981948853</v>
      </c>
      <c r="I169">
        <v>-1.72</v>
      </c>
    </row>
    <row r="170" spans="2:9">
      <c r="B170">
        <v>14001118</v>
      </c>
      <c r="C170">
        <v>26760</v>
      </c>
      <c r="D170">
        <v>11905000</v>
      </c>
      <c r="E170">
        <v>1179700</v>
      </c>
      <c r="F170">
        <f t="shared" si="6"/>
        <v>0.41275797373358347</v>
      </c>
      <c r="G170">
        <f t="shared" si="13"/>
        <v>-0.62604340567612693</v>
      </c>
      <c r="H170">
        <f t="shared" si="12"/>
        <v>1.2270465076368628</v>
      </c>
      <c r="I170">
        <v>-0.59</v>
      </c>
    </row>
    <row r="171" spans="2:9">
      <c r="B171">
        <v>14001119</v>
      </c>
      <c r="C171">
        <v>26250</v>
      </c>
      <c r="D171">
        <v>11780000</v>
      </c>
      <c r="E171">
        <v>1162200</v>
      </c>
      <c r="F171">
        <f t="shared" si="6"/>
        <v>-1.905829596412556</v>
      </c>
      <c r="G171">
        <f t="shared" si="13"/>
        <v>-1.0499790004199916</v>
      </c>
      <c r="H171">
        <f t="shared" si="12"/>
        <v>-1.4834279901669916</v>
      </c>
      <c r="I171">
        <v>0.53</v>
      </c>
    </row>
    <row r="172" spans="2:9">
      <c r="B172">
        <v>14001120</v>
      </c>
      <c r="C172">
        <v>26550</v>
      </c>
      <c r="D172">
        <v>11770000</v>
      </c>
      <c r="E172">
        <v>1156200</v>
      </c>
      <c r="F172">
        <f t="shared" si="6"/>
        <v>1.1428571428571428</v>
      </c>
      <c r="G172">
        <f t="shared" si="13"/>
        <v>-8.4889643463497449E-2</v>
      </c>
      <c r="H172">
        <f t="shared" si="12"/>
        <v>-0.51626226122870422</v>
      </c>
      <c r="I172">
        <v>0.24</v>
      </c>
    </row>
    <row r="173" spans="2:9">
      <c r="B173">
        <v>14001123</v>
      </c>
      <c r="C173">
        <v>26670</v>
      </c>
      <c r="D173">
        <v>12045000</v>
      </c>
      <c r="E173">
        <v>1201200</v>
      </c>
      <c r="F173">
        <f t="shared" si="6"/>
        <v>0.4519774011299435</v>
      </c>
      <c r="G173">
        <f t="shared" si="13"/>
        <v>2.3364485981308412</v>
      </c>
      <c r="H173">
        <f t="shared" si="12"/>
        <v>3.8920601971977167</v>
      </c>
      <c r="I173">
        <v>0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2022-02-12T13:26:16Z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