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set'!$A$1:$BL$159</definedName>
  </definedName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G155" i="1"/>
  <c r="F159" i="1" s="1"/>
  <c r="M149" i="1" l="1"/>
  <c r="L149" i="1"/>
  <c r="G159" i="1" l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2" i="4"/>
  <c r="B20" i="4"/>
  <c r="B19" i="4"/>
  <c r="B18" i="4"/>
  <c r="B17" i="4"/>
  <c r="B16" i="4"/>
  <c r="B15" i="4"/>
  <c r="B14" i="4"/>
  <c r="B13" i="4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K51" i="3"/>
  <c r="J51" i="3"/>
  <c r="G42" i="2"/>
  <c r="G41" i="2"/>
  <c r="G40" i="2"/>
  <c r="G39" i="2"/>
  <c r="G38" i="2"/>
  <c r="G37" i="2"/>
  <c r="G36" i="2"/>
  <c r="G35" i="2"/>
  <c r="G34" i="2"/>
  <c r="D30" i="2"/>
  <c r="C30" i="2"/>
  <c r="B30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34" i="2" s="1"/>
  <c r="G16" i="2"/>
  <c r="E16" i="2"/>
  <c r="C36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G173" i="1"/>
  <c r="AW159" i="1"/>
  <c r="AW162" i="1" s="1"/>
  <c r="AU159" i="1"/>
  <c r="T159" i="1"/>
  <c r="BB158" i="1"/>
  <c r="AY157" i="1"/>
  <c r="BJ155" i="1"/>
  <c r="BI155" i="1"/>
  <c r="K155" i="1"/>
  <c r="BK62" i="1" s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BJ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M155" i="1" l="1"/>
  <c r="U1" i="1" s="1"/>
  <c r="L155" i="1"/>
  <c r="S1" i="1" s="1"/>
</calcChain>
</file>

<file path=xl/sharedStrings.xml><?xml version="1.0" encoding="utf-8"?>
<sst xmlns="http://schemas.openxmlformats.org/spreadsheetml/2006/main" count="1302" uniqueCount="418">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</sst>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1" fillId="8" borderId="0" xfId="0" applyFont="1" applyFill="1"/>
    <xf numFmtId="0" fontId="1" fillId="8" borderId="2" xfId="0" applyFont="1" applyFill="1" applyBorder="1"/>
    <xf numFmtId="0" fontId="1" fillId="8" borderId="0" xfId="0" applyFont="1" applyFill="1" applyBorder="1"/>
    <xf numFmtId="0" fontId="0" fillId="8" borderId="0" xfId="0" applyFill="1"/>
    <xf numFmtId="0" fontId="0" fillId="8" borderId="2" xfId="0" applyFill="1" applyBorder="1"/>
    <xf numFmtId="0" fontId="0" fillId="3" borderId="0" xfId="0" applyFill="1" applyBorder="1"/>
    <xf numFmtId="0" fontId="0" fillId="8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9" borderId="0" xfId="0" applyFont="1" applyFill="1"/>
    <xf numFmtId="0" fontId="0" fillId="3" borderId="0" xfId="0" applyFont="1" applyFill="1" applyBorder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2" xfId="0" applyFont="1" applyFill="1" applyBorder="1"/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36560"/>
        <c:axId val="124749072"/>
      </c:lineChart>
      <c:catAx>
        <c:axId val="12473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9072"/>
        <c:crosses val="autoZero"/>
        <c:auto val="1"/>
        <c:lblAlgn val="ctr"/>
        <c:lblOffset val="100"/>
        <c:noMultiLvlLbl val="0"/>
      </c:catAx>
      <c:valAx>
        <c:axId val="124749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656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501776303505676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4A6B-4C9B-BEA2-8EBE6A749D67}"/>
              </c:ext>
            </c:extLst>
          </c:dPt>
          <c:dLbls>
            <c:dLbl>
              <c:idx val="22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weekly!$B$4:$B$29</c:f>
              <c:numCache>
                <c:formatCode>General</c:formatCode>
                <c:ptCount val="26"/>
                <c:pt idx="0">
                  <c:v>23964</c:v>
                </c:pt>
                <c:pt idx="1">
                  <c:v>23453</c:v>
                </c:pt>
                <c:pt idx="2">
                  <c:v>23091</c:v>
                </c:pt>
                <c:pt idx="3">
                  <c:v>21392</c:v>
                </c:pt>
                <c:pt idx="4">
                  <c:v>21011</c:v>
                </c:pt>
                <c:pt idx="5">
                  <c:v>22086</c:v>
                </c:pt>
                <c:pt idx="6">
                  <c:v>22237</c:v>
                </c:pt>
                <c:pt idx="7">
                  <c:v>23280</c:v>
                </c:pt>
                <c:pt idx="8">
                  <c:v>23346</c:v>
                </c:pt>
                <c:pt idx="9">
                  <c:v>23325</c:v>
                </c:pt>
                <c:pt idx="10">
                  <c:v>24201</c:v>
                </c:pt>
                <c:pt idx="11">
                  <c:v>24530</c:v>
                </c:pt>
                <c:pt idx="12">
                  <c:v>24274</c:v>
                </c:pt>
                <c:pt idx="13">
                  <c:v>23991</c:v>
                </c:pt>
                <c:pt idx="14">
                  <c:v>24264</c:v>
                </c:pt>
                <c:pt idx="15">
                  <c:v>25025</c:v>
                </c:pt>
                <c:pt idx="16">
                  <c:v>25211</c:v>
                </c:pt>
                <c:pt idx="17">
                  <c:v>25698</c:v>
                </c:pt>
                <c:pt idx="18">
                  <c:v>26705</c:v>
                </c:pt>
                <c:pt idx="19">
                  <c:v>26615</c:v>
                </c:pt>
                <c:pt idx="20">
                  <c:v>26459</c:v>
                </c:pt>
                <c:pt idx="21">
                  <c:v>26454</c:v>
                </c:pt>
                <c:pt idx="22">
                  <c:v>26352</c:v>
                </c:pt>
                <c:pt idx="23">
                  <c:v>27044</c:v>
                </c:pt>
                <c:pt idx="24">
                  <c:v>27336</c:v>
                </c:pt>
                <c:pt idx="25">
                  <c:v>26563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3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4-4A6B-4C9B-BEA2-8EBE6A749D67}"/>
              </c:ext>
            </c:extLst>
          </c:dPt>
          <c:dLbls>
            <c:dLbl>
              <c:idx val="22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weekly!$H$4:$H$29</c:f>
              <c:numCache>
                <c:formatCode>General</c:formatCode>
                <c:ptCount val="26"/>
                <c:pt idx="0">
                  <c:v>24185</c:v>
                </c:pt>
                <c:pt idx="1">
                  <c:v>23589</c:v>
                </c:pt>
                <c:pt idx="2">
                  <c:v>23301</c:v>
                </c:pt>
                <c:pt idx="3">
                  <c:v>21597</c:v>
                </c:pt>
                <c:pt idx="4">
                  <c:v>21575</c:v>
                </c:pt>
                <c:pt idx="5">
                  <c:v>22343</c:v>
                </c:pt>
                <c:pt idx="6">
                  <c:v>22472</c:v>
                </c:pt>
                <c:pt idx="7">
                  <c:v>23429</c:v>
                </c:pt>
                <c:pt idx="8">
                  <c:v>23574</c:v>
                </c:pt>
                <c:pt idx="9">
                  <c:v>23554</c:v>
                </c:pt>
                <c:pt idx="10">
                  <c:v>24574</c:v>
                </c:pt>
                <c:pt idx="11">
                  <c:v>24711</c:v>
                </c:pt>
                <c:pt idx="12">
                  <c:v>24537</c:v>
                </c:pt>
                <c:pt idx="13">
                  <c:v>24207</c:v>
                </c:pt>
                <c:pt idx="14">
                  <c:v>24566</c:v>
                </c:pt>
                <c:pt idx="15">
                  <c:v>25236</c:v>
                </c:pt>
                <c:pt idx="16">
                  <c:v>25459</c:v>
                </c:pt>
                <c:pt idx="17">
                  <c:v>25963</c:v>
                </c:pt>
                <c:pt idx="18">
                  <c:v>27079</c:v>
                </c:pt>
                <c:pt idx="19">
                  <c:v>26810</c:v>
                </c:pt>
                <c:pt idx="20">
                  <c:v>26742</c:v>
                </c:pt>
                <c:pt idx="21">
                  <c:v>26771</c:v>
                </c:pt>
                <c:pt idx="22">
                  <c:v>26613</c:v>
                </c:pt>
                <c:pt idx="23">
                  <c:v>27477</c:v>
                </c:pt>
                <c:pt idx="24">
                  <c:v>27595</c:v>
                </c:pt>
                <c:pt idx="25">
                  <c:v>26765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ser>
          <c:idx val="2"/>
          <c:order val="2"/>
          <c:tx>
            <c:strRef>
              <c:f>weekly!$J$1</c:f>
              <c:strCache>
                <c:ptCount val="1"/>
                <c:pt idx="0">
                  <c:v>متوسط قیمت دلار آزاد</c:v>
                </c:pt>
              </c:strCache>
            </c:strRef>
          </c:tx>
          <c:spPr>
            <a:ln w="127000">
              <a:solidFill>
                <a:srgbClr val="4472C4"/>
              </a:solidFill>
              <a:prstDash val="dash"/>
              <a:round/>
            </a:ln>
          </c:spPr>
          <c:marker>
            <c:symbol val="none"/>
          </c:marker>
          <c:dPt>
            <c:idx val="22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6-4A6B-4C9B-BEA2-8EBE6A749D67}"/>
              </c:ext>
            </c:extLst>
          </c:dPt>
          <c:dPt>
            <c:idx val="23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7-4A6B-4C9B-BEA2-8EBE6A749D67}"/>
              </c:ext>
            </c:extLst>
          </c:dPt>
          <c:dLbls>
            <c:dLbl>
              <c:idx val="22"/>
              <c:layout>
                <c:manualLayout>
                  <c:x val="-3.7028751109488812E-2"/>
                  <c:y val="-2.017232615877856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3855060810920783E-2"/>
                  <c:y val="1.0862021777803843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0"/>
                  <c:y val="-9.3103043809747085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8335-4297-AE12-FD7A52582D17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layout>
                <c:manualLayout>
                  <c:x val="0"/>
                  <c:y val="1.63087940324910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weekly!$A$4:$A$29</c:f>
              <c:strCache>
                <c:ptCount val="26"/>
                <c:pt idx="0">
                  <c:v>هفته 4 سال</c:v>
                </c:pt>
                <c:pt idx="1">
                  <c:v>هفته 5 سال</c:v>
                </c:pt>
                <c:pt idx="2">
                  <c:v>هفته 6 سال</c:v>
                </c:pt>
                <c:pt idx="3">
                  <c:v>هفته 7 سال</c:v>
                </c:pt>
                <c:pt idx="4">
                  <c:v>هفته 8 سال</c:v>
                </c:pt>
                <c:pt idx="5">
                  <c:v>هفته 9 سال</c:v>
                </c:pt>
                <c:pt idx="6">
                  <c:v>هفته 10 سال</c:v>
                </c:pt>
                <c:pt idx="7">
                  <c:v>هفته 11 سال</c:v>
                </c:pt>
                <c:pt idx="8">
                  <c:v>هفته 12 سال</c:v>
                </c:pt>
                <c:pt idx="9">
                  <c:v>هفته 13 سال</c:v>
                </c:pt>
                <c:pt idx="10">
                  <c:v>هفته 14 سال</c:v>
                </c:pt>
                <c:pt idx="11">
                  <c:v>هفته 15 سال</c:v>
                </c:pt>
                <c:pt idx="12">
                  <c:v>هفته 16 سال</c:v>
                </c:pt>
                <c:pt idx="13">
                  <c:v>هفته 17 سال</c:v>
                </c:pt>
                <c:pt idx="14">
                  <c:v>هفته 18 سال</c:v>
                </c:pt>
                <c:pt idx="15">
                  <c:v>هفته 19 سال</c:v>
                </c:pt>
                <c:pt idx="16">
                  <c:v>هفته 20 سال</c:v>
                </c:pt>
                <c:pt idx="17">
                  <c:v>هفته 21 سال</c:v>
                </c:pt>
                <c:pt idx="18">
                  <c:v>هفته 22 سال</c:v>
                </c:pt>
                <c:pt idx="19">
                  <c:v>هفته 23 سال</c:v>
                </c:pt>
                <c:pt idx="20">
                  <c:v>هفته 24 سال</c:v>
                </c:pt>
                <c:pt idx="21">
                  <c:v>هفته 25 سال</c:v>
                </c:pt>
                <c:pt idx="22">
                  <c:v>هفته 26 سال</c:v>
                </c:pt>
                <c:pt idx="23">
                  <c:v>هفته 27 سال</c:v>
                </c:pt>
                <c:pt idx="24">
                  <c:v>هفته 28 سال</c:v>
                </c:pt>
                <c:pt idx="25">
                  <c:v>هفته 29 سال</c:v>
                </c:pt>
              </c:strCache>
            </c:strRef>
          </c:cat>
          <c:val>
            <c:numRef>
              <c:f>weekly!$J$4:$J$29</c:f>
              <c:numCache>
                <c:formatCode>General</c:formatCode>
                <c:ptCount val="26"/>
                <c:pt idx="0">
                  <c:v>24910</c:v>
                </c:pt>
                <c:pt idx="1">
                  <c:v>24175</c:v>
                </c:pt>
                <c:pt idx="2">
                  <c:v>23685</c:v>
                </c:pt>
                <c:pt idx="3">
                  <c:v>21726</c:v>
                </c:pt>
                <c:pt idx="4">
                  <c:v>21968</c:v>
                </c:pt>
                <c:pt idx="5">
                  <c:v>22943</c:v>
                </c:pt>
                <c:pt idx="6">
                  <c:v>23087</c:v>
                </c:pt>
                <c:pt idx="7">
                  <c:v>23985</c:v>
                </c:pt>
                <c:pt idx="8">
                  <c:v>24015</c:v>
                </c:pt>
                <c:pt idx="9">
                  <c:v>24003</c:v>
                </c:pt>
                <c:pt idx="10">
                  <c:v>24863</c:v>
                </c:pt>
                <c:pt idx="11">
                  <c:v>25053</c:v>
                </c:pt>
                <c:pt idx="12">
                  <c:v>24775</c:v>
                </c:pt>
                <c:pt idx="13">
                  <c:v>24560</c:v>
                </c:pt>
                <c:pt idx="14">
                  <c:v>25130</c:v>
                </c:pt>
                <c:pt idx="15">
                  <c:v>25644</c:v>
                </c:pt>
                <c:pt idx="16">
                  <c:v>25928</c:v>
                </c:pt>
                <c:pt idx="17">
                  <c:v>26620</c:v>
                </c:pt>
                <c:pt idx="18">
                  <c:v>27648</c:v>
                </c:pt>
                <c:pt idx="19">
                  <c:v>27427</c:v>
                </c:pt>
                <c:pt idx="20">
                  <c:v>27287</c:v>
                </c:pt>
                <c:pt idx="21">
                  <c:v>27390</c:v>
                </c:pt>
                <c:pt idx="22">
                  <c:v>27443</c:v>
                </c:pt>
                <c:pt idx="23">
                  <c:v>27956</c:v>
                </c:pt>
                <c:pt idx="24">
                  <c:v>28052</c:v>
                </c:pt>
                <c:pt idx="25">
                  <c:v>27350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45264"/>
        <c:axId val="124746896"/>
      </c:lineChart>
      <c:catAx>
        <c:axId val="12474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6896"/>
        <c:crosses val="autoZero"/>
        <c:auto val="1"/>
        <c:lblAlgn val="ctr"/>
        <c:lblOffset val="100"/>
        <c:noMultiLvlLbl val="0"/>
      </c:catAx>
      <c:valAx>
        <c:axId val="124746896"/>
        <c:scaling>
          <c:orientation val="minMax"/>
          <c:max val="28500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526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 بیستم و نهم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5401540154015402E-3"/>
                  <c:y val="-4.50223816594469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weekly!$D$2:$D$29</c:f>
              <c:numCache>
                <c:formatCode>General</c:formatCode>
                <c:ptCount val="28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44720"/>
        <c:axId val="124733840"/>
      </c:lineChart>
      <c:catAx>
        <c:axId val="12474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3840"/>
        <c:crosses val="autoZero"/>
        <c:auto val="1"/>
        <c:lblAlgn val="ctr"/>
        <c:lblOffset val="100"/>
        <c:noMultiLvlLbl val="0"/>
      </c:catAx>
      <c:valAx>
        <c:axId val="1247338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47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34384"/>
        <c:axId val="124734928"/>
      </c:lineChart>
      <c:catAx>
        <c:axId val="124734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4928"/>
        <c:crosses val="autoZero"/>
        <c:auto val="1"/>
        <c:lblAlgn val="ctr"/>
        <c:lblOffset val="100"/>
        <c:noMultiLvlLbl val="0"/>
      </c:catAx>
      <c:valAx>
        <c:axId val="1247349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4384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بیستم و نهم 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5"/>
              <c:layout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7"/>
              <c:layout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weekly!$A$2:$A$29</c:f>
              <c:strCache>
                <c:ptCount val="28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</c:strCache>
            </c:strRef>
          </c:cat>
          <c:val>
            <c:numRef>
              <c:f>weekly!$F$2:$F$29</c:f>
              <c:numCache>
                <c:formatCode>General</c:formatCode>
                <c:ptCount val="28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35472"/>
        <c:axId val="124736016"/>
      </c:lineChart>
      <c:catAx>
        <c:axId val="124735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6016"/>
        <c:crosses val="autoZero"/>
        <c:auto val="1"/>
        <c:lblAlgn val="ctr"/>
        <c:lblOffset val="100"/>
        <c:noMultiLvlLbl val="0"/>
      </c:catAx>
      <c:valAx>
        <c:axId val="1247360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547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متشکل، سنا و آزاد در 26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3.2360347265139193E-2"/>
                  <c:y val="-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1.8669431114503442E-2"/>
                  <c:y val="2.3590863834276679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A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weekly!$C$4:$C$29</c15:sqref>
                  </c15:fullRef>
                </c:ext>
              </c:extLst>
              <c:f>weekly!$C$6:$C$29</c:f>
              <c:numCache>
                <c:formatCode>General</c:formatCode>
                <c:ptCount val="24"/>
                <c:pt idx="0">
                  <c:v>27709</c:v>
                </c:pt>
                <c:pt idx="1">
                  <c:v>26056</c:v>
                </c:pt>
                <c:pt idx="2">
                  <c:v>25663</c:v>
                </c:pt>
                <c:pt idx="3">
                  <c:v>26443</c:v>
                </c:pt>
                <c:pt idx="4">
                  <c:v>27160</c:v>
                </c:pt>
                <c:pt idx="5">
                  <c:v>28146</c:v>
                </c:pt>
                <c:pt idx="6">
                  <c:v>28503</c:v>
                </c:pt>
                <c:pt idx="7">
                  <c:v>28179</c:v>
                </c:pt>
                <c:pt idx="8">
                  <c:v>28643</c:v>
                </c:pt>
                <c:pt idx="9">
                  <c:v>29419</c:v>
                </c:pt>
                <c:pt idx="10">
                  <c:v>29064</c:v>
                </c:pt>
                <c:pt idx="11">
                  <c:v>28534</c:v>
                </c:pt>
                <c:pt idx="12">
                  <c:v>28463</c:v>
                </c:pt>
                <c:pt idx="13">
                  <c:v>29286</c:v>
                </c:pt>
                <c:pt idx="14">
                  <c:v>29542</c:v>
                </c:pt>
                <c:pt idx="15">
                  <c:v>30113</c:v>
                </c:pt>
                <c:pt idx="16">
                  <c:v>31498</c:v>
                </c:pt>
                <c:pt idx="17">
                  <c:v>31196</c:v>
                </c:pt>
                <c:pt idx="18">
                  <c:v>31125</c:v>
                </c:pt>
                <c:pt idx="19">
                  <c:v>31241</c:v>
                </c:pt>
                <c:pt idx="20">
                  <c:v>31168</c:v>
                </c:pt>
                <c:pt idx="21">
                  <c:v>31502</c:v>
                </c:pt>
                <c:pt idx="22">
                  <c:v>31709</c:v>
                </c:pt>
                <c:pt idx="23">
                  <c:v>30553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1"/>
          <c:order val="1"/>
          <c:tx>
            <c:strRef>
              <c:f>weekly!$K$1</c:f>
              <c:strCache>
                <c:ptCount val="1"/>
                <c:pt idx="0">
                  <c:v>متوسط قیمت یورو آزاد</c:v>
                </c:pt>
              </c:strCache>
            </c:strRef>
          </c:tx>
          <c:spPr>
            <a:ln w="127080">
              <a:solidFill>
                <a:srgbClr val="A5A5A5"/>
              </a:solidFill>
              <a:prstDash val="sysDot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2652243085597334E-2"/>
                  <c:y val="-2.1624958514753888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0162985603663561E-2"/>
                  <c:y val="-1.6906785747898494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weekly!$K$4:$K$29</c15:sqref>
                  </c15:fullRef>
                </c:ext>
              </c:extLst>
              <c:f>weekly!$K$6:$K$29</c:f>
              <c:numCache>
                <c:formatCode>General</c:formatCode>
                <c:ptCount val="24"/>
                <c:pt idx="0">
                  <c:v>28702</c:v>
                </c:pt>
                <c:pt idx="1">
                  <c:v>26548</c:v>
                </c:pt>
                <c:pt idx="2">
                  <c:v>26757</c:v>
                </c:pt>
                <c:pt idx="3">
                  <c:v>27886</c:v>
                </c:pt>
                <c:pt idx="4">
                  <c:v>28162</c:v>
                </c:pt>
                <c:pt idx="5">
                  <c:v>29322</c:v>
                </c:pt>
                <c:pt idx="6">
                  <c:v>29211</c:v>
                </c:pt>
                <c:pt idx="7">
                  <c:v>29004</c:v>
                </c:pt>
                <c:pt idx="8">
                  <c:v>29561</c:v>
                </c:pt>
                <c:pt idx="9">
                  <c:v>29729</c:v>
                </c:pt>
                <c:pt idx="10">
                  <c:v>29367</c:v>
                </c:pt>
                <c:pt idx="11">
                  <c:v>28996</c:v>
                </c:pt>
                <c:pt idx="12">
                  <c:v>29540</c:v>
                </c:pt>
                <c:pt idx="13">
                  <c:v>30411</c:v>
                </c:pt>
                <c:pt idx="14">
                  <c:v>30417</c:v>
                </c:pt>
                <c:pt idx="15">
                  <c:v>31126</c:v>
                </c:pt>
                <c:pt idx="16">
                  <c:v>32496</c:v>
                </c:pt>
                <c:pt idx="17">
                  <c:v>32582</c:v>
                </c:pt>
                <c:pt idx="18">
                  <c:v>32374</c:v>
                </c:pt>
                <c:pt idx="19">
                  <c:v>32329</c:v>
                </c:pt>
                <c:pt idx="20">
                  <c:v>32192</c:v>
                </c:pt>
                <c:pt idx="21">
                  <c:v>32547</c:v>
                </c:pt>
                <c:pt idx="22">
                  <c:v>32567</c:v>
                </c:pt>
                <c:pt idx="23">
                  <c:v>31679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0"/>
            <c:bubble3D val="0"/>
          </c:dPt>
          <c:dPt>
            <c:idx val="21"/>
            <c:bubble3D val="0"/>
          </c:dPt>
          <c:dLbls>
            <c:dLbl>
              <c:idx val="20"/>
              <c:layout>
                <c:manualLayout>
                  <c:x val="-2.5390426315724482E-2"/>
                  <c:y val="-2.8702217665037007E-2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6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1905465841017199E-2"/>
                  <c:y val="-8.6499834059015554E-3"/>
                </c:manualLayout>
              </c:layout>
              <c:spPr>
                <a:ln w="127000" cmpd="sng">
                  <a:solidFill>
                    <a:srgbClr val="4472C4">
                      <a:alpha val="56000"/>
                    </a:srgbClr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0BBE-4E44-BDAC-CC9F5E863344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4CD4-41C5-AD33-00815CF1F5D5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FD7-48DC-98FC-C2CFB14183FF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 cmpd="sng">
                <a:solidFill>
                  <a:srgbClr val="4472C4">
                    <a:alpha val="56000"/>
                  </a:srgbClr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weekly!$A$4:$A$29</c15:sqref>
                  </c15:fullRef>
                </c:ext>
              </c:extLst>
              <c:f>weekly!$A$6:$A$29</c:f>
              <c:strCache>
                <c:ptCount val="24"/>
                <c:pt idx="0">
                  <c:v>هفته 6 سال</c:v>
                </c:pt>
                <c:pt idx="1">
                  <c:v>هفته 7 سال</c:v>
                </c:pt>
                <c:pt idx="2">
                  <c:v>هفته 8 سال</c:v>
                </c:pt>
                <c:pt idx="3">
                  <c:v>هفته 9 سال</c:v>
                </c:pt>
                <c:pt idx="4">
                  <c:v>هفته 10 سال</c:v>
                </c:pt>
                <c:pt idx="5">
                  <c:v>هفته 11 سال</c:v>
                </c:pt>
                <c:pt idx="6">
                  <c:v>هفته 12 سال</c:v>
                </c:pt>
                <c:pt idx="7">
                  <c:v>هفته 13 سال</c:v>
                </c:pt>
                <c:pt idx="8">
                  <c:v>هفته 14 سال</c:v>
                </c:pt>
                <c:pt idx="9">
                  <c:v>هفته 15 سال</c:v>
                </c:pt>
                <c:pt idx="10">
                  <c:v>هفته 16 سال</c:v>
                </c:pt>
                <c:pt idx="11">
                  <c:v>هفته 17 سال</c:v>
                </c:pt>
                <c:pt idx="12">
                  <c:v>هفته 18 سال</c:v>
                </c:pt>
                <c:pt idx="13">
                  <c:v>هفته 19 سال</c:v>
                </c:pt>
                <c:pt idx="14">
                  <c:v>هفته 20 سال</c:v>
                </c:pt>
                <c:pt idx="15">
                  <c:v>هفته 21 سال</c:v>
                </c:pt>
                <c:pt idx="16">
                  <c:v>هفته 22 سال</c:v>
                </c:pt>
                <c:pt idx="17">
                  <c:v>هفته 23 سال</c:v>
                </c:pt>
                <c:pt idx="18">
                  <c:v>هفته 24 سال</c:v>
                </c:pt>
                <c:pt idx="19">
                  <c:v>هفته 25 سال</c:v>
                </c:pt>
                <c:pt idx="20">
                  <c:v>هفته 26 سال</c:v>
                </c:pt>
                <c:pt idx="21">
                  <c:v>هفته 27 سال</c:v>
                </c:pt>
                <c:pt idx="22">
                  <c:v>هفته 28 سال</c:v>
                </c:pt>
                <c:pt idx="23">
                  <c:v>هفته 29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weekly!$I$4:$I$29</c15:sqref>
                  </c15:fullRef>
                </c:ext>
              </c:extLst>
              <c:f>weekly!$I$6:$I$29</c:f>
              <c:numCache>
                <c:formatCode>General</c:formatCode>
                <c:ptCount val="24"/>
                <c:pt idx="0">
                  <c:v>27942</c:v>
                </c:pt>
                <c:pt idx="1">
                  <c:v>26241</c:v>
                </c:pt>
                <c:pt idx="2">
                  <c:v>25653</c:v>
                </c:pt>
                <c:pt idx="3">
                  <c:v>26751</c:v>
                </c:pt>
                <c:pt idx="4">
                  <c:v>27401</c:v>
                </c:pt>
                <c:pt idx="5">
                  <c:v>28409</c:v>
                </c:pt>
                <c:pt idx="6">
                  <c:v>28777</c:v>
                </c:pt>
                <c:pt idx="7">
                  <c:v>28505</c:v>
                </c:pt>
                <c:pt idx="8">
                  <c:v>29122</c:v>
                </c:pt>
                <c:pt idx="9">
                  <c:v>29654</c:v>
                </c:pt>
                <c:pt idx="10">
                  <c:v>29336</c:v>
                </c:pt>
                <c:pt idx="11">
                  <c:v>28822</c:v>
                </c:pt>
                <c:pt idx="12">
                  <c:v>28734</c:v>
                </c:pt>
                <c:pt idx="13">
                  <c:v>29694</c:v>
                </c:pt>
                <c:pt idx="14">
                  <c:v>29973</c:v>
                </c:pt>
                <c:pt idx="15">
                  <c:v>30500</c:v>
                </c:pt>
                <c:pt idx="16">
                  <c:v>31815</c:v>
                </c:pt>
                <c:pt idx="17">
                  <c:v>31388</c:v>
                </c:pt>
                <c:pt idx="18">
                  <c:v>31482</c:v>
                </c:pt>
                <c:pt idx="19">
                  <c:v>31595</c:v>
                </c:pt>
                <c:pt idx="20">
                  <c:v>31493</c:v>
                </c:pt>
                <c:pt idx="21">
                  <c:v>32099</c:v>
                </c:pt>
                <c:pt idx="22">
                  <c:v>31880</c:v>
                </c:pt>
                <c:pt idx="23">
                  <c:v>30811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124737104"/>
        <c:axId val="124738192"/>
      </c:lineChart>
      <c:catAx>
        <c:axId val="12473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8192"/>
        <c:crosses val="autoZero"/>
        <c:auto val="1"/>
        <c:lblAlgn val="ctr"/>
        <c:lblOffset val="100"/>
        <c:noMultiLvlLbl val="0"/>
      </c:catAx>
      <c:valAx>
        <c:axId val="124738192"/>
        <c:scaling>
          <c:orientation val="minMax"/>
          <c:max val="33000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710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layout/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739280"/>
        <c:axId val="124739824"/>
      </c:barChart>
      <c:catAx>
        <c:axId val="12473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9824"/>
        <c:crosses val="autoZero"/>
        <c:auto val="1"/>
        <c:lblAlgn val="ctr"/>
        <c:lblOffset val="100"/>
        <c:noMultiLvlLbl val="0"/>
      </c:catAx>
      <c:valAx>
        <c:axId val="1247398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layout/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392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دوشنبه (26 مهر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9"/>
          <c:order val="9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change'!$F$91:$I$91</c:f>
              <c:numCache>
                <c:formatCode>General</c:formatCode>
                <c:ptCount val="4"/>
                <c:pt idx="0">
                  <c:v>-0.25782688766114181</c:v>
                </c:pt>
                <c:pt idx="1">
                  <c:v>-0.72402044293015333</c:v>
                </c:pt>
                <c:pt idx="2">
                  <c:v>-0.68187778651980069</c:v>
                </c:pt>
                <c:pt idx="3">
                  <c:v>0.06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4740368"/>
        <c:axId val="12474091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2474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0912"/>
        <c:crosses val="autoZero"/>
        <c:auto val="1"/>
        <c:lblAlgn val="ctr"/>
        <c:lblOffset val="100"/>
        <c:noMultiLvlLbl val="0"/>
      </c:catAx>
      <c:valAx>
        <c:axId val="124740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1247403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584</xdr:row>
      <xdr:rowOff>102960</xdr:rowOff>
    </xdr:from>
    <xdr:to>
      <xdr:col>11</xdr:col>
      <xdr:colOff>279360</xdr:colOff>
      <xdr:row>614</xdr:row>
      <xdr:rowOff>102240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1531079</xdr:colOff>
      <xdr:row>226</xdr:row>
      <xdr:rowOff>27711</xdr:rowOff>
    </xdr:from>
    <xdr:to>
      <xdr:col>87</xdr:col>
      <xdr:colOff>249380</xdr:colOff>
      <xdr:row>403</xdr:row>
      <xdr:rowOff>75961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457200</xdr:colOff>
      <xdr:row>413</xdr:row>
      <xdr:rowOff>76200</xdr:rowOff>
    </xdr:from>
    <xdr:to>
      <xdr:col>83</xdr:col>
      <xdr:colOff>152400</xdr:colOff>
      <xdr:row>490</xdr:row>
      <xdr:rowOff>75960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619</xdr:row>
      <xdr:rowOff>0</xdr:rowOff>
    </xdr:from>
    <xdr:to>
      <xdr:col>13</xdr:col>
      <xdr:colOff>354240</xdr:colOff>
      <xdr:row>649</xdr:row>
      <xdr:rowOff>53640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171360</xdr:colOff>
      <xdr:row>516</xdr:row>
      <xdr:rowOff>0</xdr:rowOff>
    </xdr:from>
    <xdr:to>
      <xdr:col>83</xdr:col>
      <xdr:colOff>381000</xdr:colOff>
      <xdr:row>615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47</xdr:row>
      <xdr:rowOff>76320</xdr:rowOff>
    </xdr:from>
    <xdr:to>
      <xdr:col>83</xdr:col>
      <xdr:colOff>152400</xdr:colOff>
      <xdr:row>217</xdr:row>
      <xdr:rowOff>3166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189360</xdr:colOff>
      <xdr:row>4</xdr:row>
      <xdr:rowOff>183600</xdr:rowOff>
    </xdr:from>
    <xdr:to>
      <xdr:col>17</xdr:col>
      <xdr:colOff>497160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181080</xdr:colOff>
      <xdr:row>0</xdr:row>
      <xdr:rowOff>114480</xdr:rowOff>
    </xdr:from>
    <xdr:to>
      <xdr:col>7</xdr:col>
      <xdr:colOff>494640</xdr:colOff>
      <xdr:row>25</xdr:row>
      <xdr:rowOff>104400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73"/>
  <sheetViews>
    <sheetView topLeftCell="B7" zoomScaleNormal="100" workbookViewId="0">
      <selection activeCell="B43" sqref="B43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L155/G155</f>
        <v>3581474.6721000345</v>
      </c>
      <c r="T1" s="3" t="s">
        <v>15</v>
      </c>
      <c r="U1" s="3">
        <f>M155/K155</f>
        <v>32160.155188643934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</row>
    <row r="2" spans="1:65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5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5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4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</row>
    <row r="13" spans="1:65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4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</row>
    <row r="14" spans="1:65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4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</row>
    <row r="15" spans="1:65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4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</row>
    <row r="16" spans="1:65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4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</row>
    <row r="17" spans="1:65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4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</row>
    <row r="18" spans="1:65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</row>
    <row r="19" spans="1:65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</row>
    <row r="20" spans="1:65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</row>
    <row r="21" spans="1:65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</row>
    <row r="22" spans="1:65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</row>
    <row r="23" spans="1:65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</row>
    <row r="24" spans="1:65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23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</row>
    <row r="25" spans="1:65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23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</row>
    <row r="26" spans="1:65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23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</row>
    <row r="27" spans="1:65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23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</row>
    <row r="28" spans="1:65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23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</row>
    <row r="29" spans="1:65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23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</row>
    <row r="30" spans="1:65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28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</row>
    <row r="31" spans="1:65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28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</row>
    <row r="32" spans="1:65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28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</row>
    <row r="33" spans="1:65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28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</row>
    <row r="34" spans="1:65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8">F34*G34</f>
        <v>99936563800</v>
      </c>
      <c r="M34" s="17">
        <f t="shared" ref="M34:M65" si="9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28">
        <f t="shared" ref="BI34:BI54" si="10">X34-N34</f>
        <v>414</v>
      </c>
      <c r="BJ34" s="28">
        <f t="shared" ref="BJ34:BJ65" si="11">(Y34-O34)/O34</f>
        <v>-5.6385129880230211E-3</v>
      </c>
      <c r="BK34" s="28">
        <f t="shared" ref="BK34:BK61" si="12">K35/K34</f>
        <v>7.9474358974358976</v>
      </c>
      <c r="BL34" s="28">
        <f t="shared" ref="BL34:BL69" si="13">(Y34-O34)/O34</f>
        <v>-5.6385129880230211E-3</v>
      </c>
      <c r="BM34" s="28">
        <f t="shared" ref="BM34:BM65" si="14">(X34-D34)/D34</f>
        <v>3.1361612603356327E-2</v>
      </c>
    </row>
    <row r="35" spans="1:65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8"/>
        <v>228276501400</v>
      </c>
      <c r="M35" s="17">
        <f t="shared" si="9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34">
        <f t="shared" si="10"/>
        <v>752</v>
      </c>
      <c r="BJ35" s="34">
        <f t="shared" si="11"/>
        <v>5.3257745129351643E-2</v>
      </c>
      <c r="BK35" s="34">
        <f t="shared" si="12"/>
        <v>1.6778512663332796</v>
      </c>
      <c r="BL35" s="34">
        <f t="shared" si="13"/>
        <v>5.3257745129351643E-2</v>
      </c>
      <c r="BM35" s="34">
        <f t="shared" si="14"/>
        <v>5.0932041685013946E-2</v>
      </c>
    </row>
    <row r="36" spans="1:65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8"/>
        <v>188026209000</v>
      </c>
      <c r="M36" s="17">
        <f t="shared" si="9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34">
        <f t="shared" si="10"/>
        <v>434</v>
      </c>
      <c r="BJ36" s="34">
        <f t="shared" si="11"/>
        <v>3.2792079207920793E-2</v>
      </c>
      <c r="BK36" s="34">
        <f t="shared" si="12"/>
        <v>1.9736563791943083</v>
      </c>
      <c r="BL36" s="34">
        <f t="shared" si="13"/>
        <v>3.2792079207920793E-2</v>
      </c>
      <c r="BM36" s="34">
        <f t="shared" si="14"/>
        <v>3.7201877025784917E-2</v>
      </c>
    </row>
    <row r="37" spans="1:65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8"/>
        <v>184332592500</v>
      </c>
      <c r="M37" s="17">
        <f t="shared" si="9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34">
        <f t="shared" si="10"/>
        <v>208</v>
      </c>
      <c r="BJ37" s="34">
        <f t="shared" si="11"/>
        <v>5.292938818814099E-2</v>
      </c>
      <c r="BK37" s="34">
        <f t="shared" si="12"/>
        <v>1.6885717069368666</v>
      </c>
      <c r="BL37" s="34">
        <f t="shared" si="13"/>
        <v>5.292938818814099E-2</v>
      </c>
      <c r="BM37" s="34">
        <f t="shared" si="14"/>
        <v>4.660045836516425E-2</v>
      </c>
    </row>
    <row r="38" spans="1:65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8"/>
        <v>90016369300</v>
      </c>
      <c r="M38" s="17">
        <f t="shared" si="9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34">
        <f t="shared" si="10"/>
        <v>388</v>
      </c>
      <c r="BJ38" s="34">
        <f t="shared" si="11"/>
        <v>4.1247714808043873E-2</v>
      </c>
      <c r="BK38" s="34">
        <f t="shared" si="12"/>
        <v>0.74653088307417126</v>
      </c>
      <c r="BL38" s="34">
        <f t="shared" si="13"/>
        <v>4.1247714808043873E-2</v>
      </c>
      <c r="BM38" s="34">
        <f t="shared" si="14"/>
        <v>3.2269893656032271E-2</v>
      </c>
    </row>
    <row r="39" spans="1:65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8"/>
        <v>98570761800</v>
      </c>
      <c r="M39" s="17">
        <f t="shared" si="9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34">
        <f t="shared" si="10"/>
        <v>184</v>
      </c>
      <c r="BJ39" s="34">
        <f t="shared" si="11"/>
        <v>3.5491241431835491E-2</v>
      </c>
      <c r="BK39" s="34">
        <f t="shared" si="12"/>
        <v>1.1472736406847779</v>
      </c>
      <c r="BL39" s="34">
        <f t="shared" si="13"/>
        <v>3.5491241431835491E-2</v>
      </c>
      <c r="BM39" s="34">
        <f t="shared" si="14"/>
        <v>3.0200265799000963E-2</v>
      </c>
    </row>
    <row r="40" spans="1:65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8"/>
        <v>112956976000</v>
      </c>
      <c r="M40" s="17">
        <f t="shared" si="9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23">
        <f t="shared" si="10"/>
        <v>552</v>
      </c>
      <c r="BJ40" s="23">
        <f t="shared" si="11"/>
        <v>4.4714828897338403E-2</v>
      </c>
      <c r="BK40" s="23">
        <f t="shared" si="12"/>
        <v>0.87021692266235517</v>
      </c>
      <c r="BL40" s="23">
        <f t="shared" si="13"/>
        <v>4.4714828897338403E-2</v>
      </c>
      <c r="BM40" s="23">
        <f t="shared" si="14"/>
        <v>3.7372593431483581E-2</v>
      </c>
    </row>
    <row r="41" spans="1:65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8"/>
        <v>146140919000</v>
      </c>
      <c r="M41" s="17">
        <f t="shared" si="9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23">
        <f t="shared" si="10"/>
        <v>807</v>
      </c>
      <c r="BJ41" s="23">
        <f t="shared" si="11"/>
        <v>5.6398478972930238E-2</v>
      </c>
      <c r="BK41" s="23">
        <f t="shared" si="12"/>
        <v>1.2627830462550804</v>
      </c>
      <c r="BL41" s="23">
        <f t="shared" si="13"/>
        <v>5.6398478972930238E-2</v>
      </c>
      <c r="BM41" s="23">
        <f t="shared" si="14"/>
        <v>4.6139995498537027E-2</v>
      </c>
    </row>
    <row r="42" spans="1:65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8"/>
        <v>94660711500</v>
      </c>
      <c r="M42" s="17">
        <f t="shared" si="9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23">
        <f t="shared" si="10"/>
        <v>630</v>
      </c>
      <c r="BJ42" s="23">
        <f t="shared" si="11"/>
        <v>6.3093391837197865E-2</v>
      </c>
      <c r="BK42" s="23">
        <f t="shared" si="12"/>
        <v>0.9125183913683178</v>
      </c>
      <c r="BL42" s="23">
        <f t="shared" si="13"/>
        <v>6.3093391837197865E-2</v>
      </c>
      <c r="BM42" s="23">
        <f t="shared" si="14"/>
        <v>2.4709628234449974E-2</v>
      </c>
    </row>
    <row r="43" spans="1:65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8"/>
        <v>115815078600</v>
      </c>
      <c r="M43" s="17">
        <f t="shared" si="9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23">
        <f t="shared" si="10"/>
        <v>545</v>
      </c>
      <c r="BJ43" s="23">
        <f t="shared" si="11"/>
        <v>2.9095066007817687E-2</v>
      </c>
      <c r="BK43" s="23">
        <f t="shared" si="12"/>
        <v>0.44763184413839435</v>
      </c>
      <c r="BL43" s="23">
        <f t="shared" si="13"/>
        <v>2.9095066007817687E-2</v>
      </c>
      <c r="BM43" s="23">
        <f t="shared" si="14"/>
        <v>4.1844961938651414E-2</v>
      </c>
    </row>
    <row r="44" spans="1:65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8"/>
        <v>84187811700</v>
      </c>
      <c r="M44" s="17">
        <f t="shared" si="9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23">
        <f t="shared" si="10"/>
        <v>426</v>
      </c>
      <c r="BJ44" s="23">
        <f t="shared" si="11"/>
        <v>3.0301905009469346E-2</v>
      </c>
      <c r="BK44" s="23">
        <f t="shared" si="12"/>
        <v>0.3594476962329281</v>
      </c>
      <c r="BL44" s="23">
        <f t="shared" si="13"/>
        <v>3.0301905009469346E-2</v>
      </c>
      <c r="BM44" s="23">
        <f t="shared" si="14"/>
        <v>2.2023244245466467E-2</v>
      </c>
    </row>
    <row r="45" spans="1:65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8"/>
        <v>131139423800</v>
      </c>
      <c r="M45" s="17">
        <f t="shared" si="9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23">
        <f t="shared" si="10"/>
        <v>644</v>
      </c>
      <c r="BJ45" s="23">
        <f t="shared" si="11"/>
        <v>3.1772328989028792E-2</v>
      </c>
      <c r="BK45" s="23">
        <f t="shared" si="12"/>
        <v>0.97620041753653441</v>
      </c>
      <c r="BL45" s="23">
        <f t="shared" si="13"/>
        <v>3.1772328989028792E-2</v>
      </c>
      <c r="BM45" s="23">
        <f t="shared" si="14"/>
        <v>3.4451659451659448E-2</v>
      </c>
    </row>
    <row r="46" spans="1:65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8"/>
        <v>134661530500</v>
      </c>
      <c r="M46" s="37">
        <f t="shared" si="9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39">
        <f t="shared" si="10"/>
        <v>508</v>
      </c>
      <c r="BJ46" s="39">
        <f t="shared" si="11"/>
        <v>1.9754619148470022E-2</v>
      </c>
      <c r="BK46" s="39">
        <f t="shared" si="12"/>
        <v>1.3083832335329342</v>
      </c>
      <c r="BL46" s="39">
        <f t="shared" si="13"/>
        <v>1.9754619148470022E-2</v>
      </c>
      <c r="BM46" s="39">
        <f t="shared" si="14"/>
        <v>3.6231884057971016E-2</v>
      </c>
    </row>
    <row r="47" spans="1:65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8"/>
        <v>163131091200</v>
      </c>
      <c r="M47" s="37">
        <f t="shared" si="9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39">
        <f t="shared" si="10"/>
        <v>512</v>
      </c>
      <c r="BJ47" s="39">
        <f t="shared" si="11"/>
        <v>2.377202300282041E-2</v>
      </c>
      <c r="BK47" s="39">
        <f t="shared" si="12"/>
        <v>1.0933311539718862</v>
      </c>
      <c r="BL47" s="39">
        <f t="shared" si="13"/>
        <v>2.377202300282041E-2</v>
      </c>
      <c r="BM47" s="39">
        <f t="shared" si="14"/>
        <v>3.3689622513868221E-2</v>
      </c>
    </row>
    <row r="48" spans="1:65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8"/>
        <v>195647008000</v>
      </c>
      <c r="M48" s="37">
        <f t="shared" si="9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39">
        <f t="shared" si="10"/>
        <v>787</v>
      </c>
      <c r="BJ48" s="39">
        <f t="shared" si="11"/>
        <v>3.4446152719818435E-2</v>
      </c>
      <c r="BK48" s="39">
        <f t="shared" si="12"/>
        <v>1.1163103602930184</v>
      </c>
      <c r="BL48" s="39">
        <f t="shared" si="13"/>
        <v>3.4446152719818435E-2</v>
      </c>
      <c r="BM48" s="39">
        <f t="shared" si="14"/>
        <v>4.1601220661490822E-2</v>
      </c>
    </row>
    <row r="49" spans="1:65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8"/>
        <v>170682120000</v>
      </c>
      <c r="M49" s="37">
        <f t="shared" si="9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39">
        <f t="shared" si="10"/>
        <v>547</v>
      </c>
      <c r="BJ49" s="39">
        <f t="shared" si="11"/>
        <v>2.3426650098676997E-2</v>
      </c>
      <c r="BK49" s="39">
        <f t="shared" si="12"/>
        <v>0.88536226061336543</v>
      </c>
      <c r="BL49" s="39">
        <f t="shared" si="13"/>
        <v>2.3426650098676997E-2</v>
      </c>
      <c r="BM49" s="39">
        <f t="shared" si="14"/>
        <v>3.6582615363796291E-2</v>
      </c>
    </row>
    <row r="50" spans="1:65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8"/>
        <v>224641944000</v>
      </c>
      <c r="M50" s="37">
        <f t="shared" si="9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39">
        <f t="shared" si="10"/>
        <v>807</v>
      </c>
      <c r="BJ50" s="39">
        <f t="shared" si="11"/>
        <v>3.330182505635134E-2</v>
      </c>
      <c r="BK50" s="39">
        <f t="shared" si="12"/>
        <v>0.62895174708818635</v>
      </c>
      <c r="BL50" s="39">
        <f t="shared" si="13"/>
        <v>3.330182505635134E-2</v>
      </c>
      <c r="BM50" s="39">
        <f t="shared" si="14"/>
        <v>4.8256649892163911E-2</v>
      </c>
    </row>
    <row r="51" spans="1:65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8"/>
        <v>145968986800</v>
      </c>
      <c r="M51" s="37">
        <f t="shared" si="9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39">
        <f t="shared" si="10"/>
        <v>527</v>
      </c>
      <c r="BJ51" s="39">
        <f t="shared" si="11"/>
        <v>3.1777737425095334E-2</v>
      </c>
      <c r="BK51" s="39">
        <f t="shared" si="12"/>
        <v>2.7195767195767195</v>
      </c>
      <c r="BL51" s="39">
        <f t="shared" si="13"/>
        <v>3.1777737425095334E-2</v>
      </c>
      <c r="BM51" s="39">
        <f t="shared" si="14"/>
        <v>3.9659421913511093E-2</v>
      </c>
    </row>
    <row r="52" spans="1:65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8"/>
        <v>241617762100</v>
      </c>
      <c r="M52" s="9">
        <f t="shared" si="9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28">
        <f t="shared" si="10"/>
        <v>489</v>
      </c>
      <c r="BJ52" s="28">
        <f t="shared" si="11"/>
        <v>3.1826209819851639E-2</v>
      </c>
      <c r="BK52" s="28">
        <f t="shared" si="12"/>
        <v>0.59789529536611252</v>
      </c>
      <c r="BL52" s="28">
        <f t="shared" si="13"/>
        <v>3.1826209819851639E-2</v>
      </c>
      <c r="BM52" s="28">
        <f t="shared" si="14"/>
        <v>4.2074576861158244E-2</v>
      </c>
    </row>
    <row r="53" spans="1:65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8"/>
        <v>170596629000</v>
      </c>
      <c r="M53" s="9">
        <f t="shared" si="9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28">
        <f t="shared" si="10"/>
        <v>981</v>
      </c>
      <c r="BJ53" s="28">
        <f t="shared" si="11"/>
        <v>6.2190987427602769E-2</v>
      </c>
      <c r="BK53" s="28">
        <f t="shared" si="12"/>
        <v>0.59784055613074993</v>
      </c>
      <c r="BL53" s="28">
        <f t="shared" si="13"/>
        <v>6.2190987427602769E-2</v>
      </c>
      <c r="BM53" s="28">
        <f t="shared" si="14"/>
        <v>1.6349794067479304E-2</v>
      </c>
    </row>
    <row r="54" spans="1:65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8"/>
        <v>144517830400</v>
      </c>
      <c r="M54" s="21">
        <f t="shared" si="9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23">
        <f t="shared" si="10"/>
        <v>346</v>
      </c>
      <c r="BJ54" s="23">
        <f t="shared" si="11"/>
        <v>3.0363083020737491E-2</v>
      </c>
      <c r="BK54" s="23">
        <f t="shared" si="12"/>
        <v>1.6110836219693221</v>
      </c>
      <c r="BL54" s="23">
        <f t="shared" si="13"/>
        <v>3.0363083020737491E-2</v>
      </c>
      <c r="BM54" s="23">
        <f t="shared" si="14"/>
        <v>2.2913256955810146E-2</v>
      </c>
    </row>
    <row r="55" spans="1:65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8"/>
        <v>173237616800</v>
      </c>
      <c r="M55" s="9">
        <f t="shared" si="9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J55" s="28">
        <f t="shared" si="11"/>
        <v>2.9669635968296276E-2</v>
      </c>
      <c r="BK55" s="28">
        <f t="shared" si="12"/>
        <v>1.6933353808353808</v>
      </c>
      <c r="BL55" s="28">
        <f t="shared" si="13"/>
        <v>2.9669635968296276E-2</v>
      </c>
      <c r="BM55" s="28">
        <f t="shared" si="14"/>
        <v>2.8963741686333404E-2</v>
      </c>
    </row>
    <row r="56" spans="1:65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8"/>
        <v>160058868300</v>
      </c>
      <c r="M56" s="9">
        <f t="shared" si="9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J56" s="28">
        <f t="shared" si="11"/>
        <v>2.4687004055722096E-2</v>
      </c>
      <c r="BK56" s="28">
        <f t="shared" si="12"/>
        <v>0.2930987575949941</v>
      </c>
      <c r="BL56" s="28">
        <f t="shared" si="13"/>
        <v>2.4687004055722096E-2</v>
      </c>
      <c r="BM56" s="28">
        <f t="shared" si="14"/>
        <v>3.3635187580853813E-2</v>
      </c>
    </row>
    <row r="57" spans="1:65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8"/>
        <v>123449895100</v>
      </c>
      <c r="M57" s="9">
        <f t="shared" si="9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J57" s="28">
        <f t="shared" si="11"/>
        <v>1.4285216542977597E-2</v>
      </c>
      <c r="BK57" s="28">
        <f t="shared" si="12"/>
        <v>0.93440594059405946</v>
      </c>
      <c r="BL57" s="28">
        <f t="shared" si="13"/>
        <v>1.4285216542977597E-2</v>
      </c>
      <c r="BM57" s="28">
        <f t="shared" si="14"/>
        <v>2.8795924534818461E-2</v>
      </c>
    </row>
    <row r="58" spans="1:65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8"/>
        <v>168092112400</v>
      </c>
      <c r="M58" s="32">
        <f t="shared" si="9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J58" s="34">
        <f t="shared" si="11"/>
        <v>1.5034453956984757E-2</v>
      </c>
      <c r="BK58" s="34">
        <f t="shared" si="12"/>
        <v>0.74238410596026494</v>
      </c>
      <c r="BL58" s="34">
        <f t="shared" si="13"/>
        <v>1.5034453956984757E-2</v>
      </c>
      <c r="BM58" s="34">
        <f t="shared" si="14"/>
        <v>2.671690357938003E-2</v>
      </c>
    </row>
    <row r="59" spans="1:65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8"/>
        <v>134588505200</v>
      </c>
      <c r="M59" s="32">
        <f t="shared" si="9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J59" s="34">
        <f t="shared" si="11"/>
        <v>1.5932227025519455E-2</v>
      </c>
      <c r="BK59" s="34">
        <f t="shared" si="12"/>
        <v>0.91882247992863519</v>
      </c>
      <c r="BL59" s="34">
        <f t="shared" si="13"/>
        <v>1.5932227025519455E-2</v>
      </c>
      <c r="BM59" s="34">
        <f t="shared" si="14"/>
        <v>2.4057635404605687E-2</v>
      </c>
    </row>
    <row r="60" spans="1:65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8"/>
        <v>209969931600</v>
      </c>
      <c r="M60" s="32">
        <f t="shared" si="9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J60" s="34">
        <f t="shared" si="11"/>
        <v>1.994153267905617E-2</v>
      </c>
      <c r="BK60" s="34">
        <f t="shared" si="12"/>
        <v>0.3446601941747573</v>
      </c>
      <c r="BL60" s="34">
        <f t="shared" si="13"/>
        <v>1.994153267905617E-2</v>
      </c>
      <c r="BM60" s="34">
        <f t="shared" si="14"/>
        <v>3.2539072508326931E-2</v>
      </c>
    </row>
    <row r="61" spans="1:65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8"/>
        <v>99561013200</v>
      </c>
      <c r="M61" s="32">
        <f t="shared" si="9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J61" s="34">
        <f t="shared" si="11"/>
        <v>9.4623061781261876E-3</v>
      </c>
      <c r="BK61" s="34">
        <f t="shared" si="12"/>
        <v>12.219718309859156</v>
      </c>
      <c r="BL61" s="34">
        <f t="shared" si="13"/>
        <v>9.4623061781261876E-3</v>
      </c>
      <c r="BM61" s="34">
        <f t="shared" si="14"/>
        <v>2.8253424657534245E-2</v>
      </c>
    </row>
    <row r="62" spans="1:65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8"/>
        <v>107593507600</v>
      </c>
      <c r="M62" s="9">
        <f t="shared" si="9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J62" s="28">
        <f t="shared" si="11"/>
        <v>1.6382373845060413E-2</v>
      </c>
      <c r="BK62" s="28">
        <f>K155/K62</f>
        <v>144.72637159981559</v>
      </c>
      <c r="BL62" s="28">
        <f t="shared" si="13"/>
        <v>1.6382373845060413E-2</v>
      </c>
      <c r="BM62" s="28">
        <f t="shared" si="14"/>
        <v>2.3155161220515041E-2</v>
      </c>
    </row>
    <row r="63" spans="1:65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8"/>
        <v>204279672000</v>
      </c>
      <c r="M63" s="9">
        <f t="shared" si="9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J63" s="28">
        <f t="shared" si="11"/>
        <v>8.4291187739463595E-3</v>
      </c>
      <c r="BL63" s="28">
        <f t="shared" si="13"/>
        <v>8.4291187739463595E-3</v>
      </c>
      <c r="BM63" s="28">
        <f t="shared" si="14"/>
        <v>2.9020348587619128E-2</v>
      </c>
    </row>
    <row r="64" spans="1:65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8"/>
        <v>136724924700</v>
      </c>
      <c r="M64" s="9">
        <f t="shared" si="9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J64" s="28">
        <f t="shared" si="11"/>
        <v>2.4972702617026523E-2</v>
      </c>
      <c r="BL64" s="28">
        <f t="shared" si="13"/>
        <v>2.4972702617026523E-2</v>
      </c>
      <c r="BM64" s="28">
        <f t="shared" si="14"/>
        <v>2.4806135127029689E-2</v>
      </c>
    </row>
    <row r="65" spans="1:65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8"/>
        <v>171765860400</v>
      </c>
      <c r="M65" s="9">
        <f t="shared" si="9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J65" s="28">
        <f t="shared" si="11"/>
        <v>2.6497085320614733E-2</v>
      </c>
      <c r="BL65" s="28">
        <f t="shared" si="13"/>
        <v>2.6497085320614733E-2</v>
      </c>
      <c r="BM65" s="28">
        <f t="shared" si="14"/>
        <v>3.0344591119492541E-2</v>
      </c>
    </row>
    <row r="66" spans="1:65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5">F66*G66</f>
        <v>207179407500</v>
      </c>
      <c r="M66" s="9">
        <f t="shared" ref="M66:M97" si="16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J66" s="28">
        <f t="shared" ref="BJ66:BJ76" si="17">(Y66-O66)/O66</f>
        <v>1.5780469922843279E-2</v>
      </c>
      <c r="BL66" s="28">
        <f t="shared" si="13"/>
        <v>1.5780469922843279E-2</v>
      </c>
      <c r="BM66" s="28">
        <f t="shared" ref="BM66:BM81" si="18">(X66-D66)/D66</f>
        <v>3.1046869654464591E-2</v>
      </c>
    </row>
    <row r="67" spans="1:65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5"/>
        <v>169137870000</v>
      </c>
      <c r="M67" s="9">
        <f t="shared" si="16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J67" s="28">
        <f t="shared" si="17"/>
        <v>1.3209902225920533E-2</v>
      </c>
      <c r="BL67" s="28">
        <f t="shared" si="13"/>
        <v>1.3209902225920533E-2</v>
      </c>
      <c r="BM67" s="28">
        <f t="shared" si="18"/>
        <v>3.9105191256830603E-2</v>
      </c>
    </row>
    <row r="68" spans="1:65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5"/>
        <v>90551202100</v>
      </c>
      <c r="M68" s="32">
        <f t="shared" si="16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J68" s="34">
        <f t="shared" si="17"/>
        <v>2.0969624102691042E-2</v>
      </c>
      <c r="BL68" s="34">
        <f t="shared" si="13"/>
        <v>2.0969624102691042E-2</v>
      </c>
      <c r="BM68" s="34">
        <f t="shared" si="18"/>
        <v>6.2370062370062374E-3</v>
      </c>
    </row>
    <row r="69" spans="1:65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5"/>
        <v>98062494600</v>
      </c>
      <c r="M69" s="32">
        <f t="shared" si="16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J69" s="34">
        <f t="shared" si="17"/>
        <v>8.953715069680122E-3</v>
      </c>
      <c r="BL69" s="34">
        <f t="shared" si="13"/>
        <v>8.953715069680122E-3</v>
      </c>
      <c r="BM69" s="34">
        <f t="shared" si="18"/>
        <v>1.5050453223875491E-2</v>
      </c>
    </row>
    <row r="70" spans="1:65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5"/>
        <v>98453559600</v>
      </c>
      <c r="M70" s="32">
        <f t="shared" si="16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J70" s="34">
        <f t="shared" si="17"/>
        <v>8.6535379794166877E-3</v>
      </c>
      <c r="BM70" s="34">
        <f t="shared" si="18"/>
        <v>2.6553987387928447E-2</v>
      </c>
    </row>
    <row r="71" spans="1:65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5"/>
        <v>156673599000</v>
      </c>
      <c r="M71" s="32">
        <f t="shared" si="16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J71" s="34">
        <f t="shared" si="17"/>
        <v>9.962465359385414E-3</v>
      </c>
      <c r="BM71" s="34">
        <f t="shared" si="18"/>
        <v>3.0769885517300082E-2</v>
      </c>
    </row>
    <row r="72" spans="1:65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5"/>
        <v>137749722900</v>
      </c>
      <c r="M72" s="32">
        <f t="shared" si="16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J72" s="34">
        <f t="shared" si="17"/>
        <v>2.6355153500961608E-2</v>
      </c>
      <c r="BM72" s="34">
        <f t="shared" si="18"/>
        <v>2.1202759321173135E-2</v>
      </c>
    </row>
    <row r="73" spans="1:65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5"/>
        <v>69480671200</v>
      </c>
      <c r="M73" s="32">
        <f t="shared" si="16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J73" s="34">
        <f t="shared" si="17"/>
        <v>1.4811157738829919E-2</v>
      </c>
      <c r="BM73" s="34">
        <f t="shared" si="18"/>
        <v>2.0840393087089123E-2</v>
      </c>
    </row>
    <row r="74" spans="1:65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5"/>
        <v>192127774500</v>
      </c>
      <c r="M74" s="9">
        <f t="shared" si="16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J74" s="28">
        <f t="shared" si="17"/>
        <v>3.2049706883841754E-2</v>
      </c>
      <c r="BM74" s="28">
        <f t="shared" si="18"/>
        <v>3.0037494207355606E-2</v>
      </c>
    </row>
    <row r="75" spans="1:65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5"/>
        <v>146286278600</v>
      </c>
      <c r="M75" s="9">
        <f t="shared" si="16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J75" s="28">
        <f t="shared" si="17"/>
        <v>2.1276595744680851E-2</v>
      </c>
      <c r="BM75" s="28">
        <f t="shared" si="18"/>
        <v>2.4134312696747113E-2</v>
      </c>
    </row>
    <row r="76" spans="1:65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5"/>
        <v>158219322900</v>
      </c>
      <c r="M76" s="9">
        <f t="shared" si="16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J76" s="28">
        <f t="shared" si="17"/>
        <v>1.9152036638678788E-2</v>
      </c>
      <c r="BM76" s="28">
        <f t="shared" si="18"/>
        <v>3.5059827629487075E-2</v>
      </c>
    </row>
    <row r="77" spans="1:65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5"/>
        <v>116670975200</v>
      </c>
      <c r="M77" s="9">
        <f t="shared" si="16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M77" s="28">
        <f t="shared" si="18"/>
        <v>3.1143572278527758E-2</v>
      </c>
    </row>
    <row r="78" spans="1:65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5"/>
        <v>121124707800</v>
      </c>
      <c r="M78" s="9">
        <f t="shared" si="16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M78" s="28">
        <f t="shared" si="18"/>
        <v>3.008315669329855E-2</v>
      </c>
    </row>
    <row r="79" spans="1:65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5"/>
        <v>81103056300</v>
      </c>
      <c r="M79" s="9">
        <f t="shared" si="16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M79" s="28">
        <f t="shared" si="18"/>
        <v>1.8148013419021058E-2</v>
      </c>
    </row>
    <row r="80" spans="1:65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5"/>
        <v>98864028900</v>
      </c>
      <c r="M80" s="32">
        <f t="shared" si="16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M80" s="34">
        <f t="shared" si="18"/>
        <v>1.5234563920683539E-2</v>
      </c>
    </row>
    <row r="81" spans="1:65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5"/>
        <v>116578394000</v>
      </c>
      <c r="M81" s="32">
        <f t="shared" si="16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M81" s="34">
        <f t="shared" si="18"/>
        <v>1.6552280985062576E-2</v>
      </c>
    </row>
    <row r="82" spans="1:65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5"/>
        <v>50686928000</v>
      </c>
      <c r="M82" s="32">
        <f t="shared" si="16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</row>
    <row r="83" spans="1:65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5"/>
        <v>146548297100</v>
      </c>
      <c r="M83" s="32">
        <f t="shared" si="16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</row>
    <row r="84" spans="1:65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5"/>
        <v>129069256400</v>
      </c>
      <c r="M84" s="32">
        <f t="shared" si="16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</row>
    <row r="85" spans="1:65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5"/>
        <v>153509496000</v>
      </c>
      <c r="M85" s="9">
        <f t="shared" si="16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</row>
    <row r="86" spans="1:65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5"/>
        <v>131318287200</v>
      </c>
      <c r="M86" s="21">
        <f t="shared" si="16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</row>
    <row r="87" spans="1:65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5"/>
        <v>128816847000</v>
      </c>
      <c r="M87" s="9">
        <f t="shared" si="16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</row>
    <row r="88" spans="1:65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5"/>
        <v>62114144100</v>
      </c>
      <c r="M88" s="9">
        <f t="shared" si="16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</row>
    <row r="89" spans="1:65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5"/>
        <v>81295333000</v>
      </c>
      <c r="M89" s="9">
        <f t="shared" si="16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</row>
    <row r="90" spans="1:65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5"/>
        <v>150278360400</v>
      </c>
      <c r="M90" s="12">
        <f t="shared" si="16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</row>
    <row r="91" spans="1:65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5"/>
        <v>138626774000</v>
      </c>
      <c r="M91" s="12">
        <f t="shared" si="16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</row>
    <row r="92" spans="1:65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5"/>
        <v>115736048000</v>
      </c>
      <c r="M92" s="12">
        <f t="shared" si="16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</row>
    <row r="93" spans="1:65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5"/>
        <v>189431312000</v>
      </c>
      <c r="M93" s="12">
        <f t="shared" si="16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</row>
    <row r="94" spans="1:65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5"/>
        <v>219900892400</v>
      </c>
      <c r="M94" s="12">
        <f t="shared" si="16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</row>
    <row r="95" spans="1:65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5"/>
        <v>191656501200</v>
      </c>
      <c r="M95" s="12">
        <f t="shared" si="16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</row>
    <row r="96" spans="1:65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5"/>
        <v>175612053600</v>
      </c>
      <c r="M96" s="12">
        <f t="shared" si="16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</row>
    <row r="97" spans="1:6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5"/>
        <v>154492022100</v>
      </c>
      <c r="M97" s="12">
        <f t="shared" si="16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</row>
    <row r="98" spans="1:6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19">F98*G98</f>
        <v>92308365600</v>
      </c>
      <c r="M98" s="12">
        <f t="shared" ref="M98:M129" si="2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</row>
    <row r="99" spans="1:6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19"/>
        <v>161276681600</v>
      </c>
      <c r="M99" s="12">
        <f t="shared" si="2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</row>
    <row r="100" spans="1:6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19"/>
        <v>108209461200</v>
      </c>
      <c r="M100" s="12">
        <f t="shared" si="2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</row>
    <row r="101" spans="1:6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19"/>
        <v>173032177800</v>
      </c>
      <c r="M101" s="12">
        <f t="shared" si="2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</row>
    <row r="102" spans="1:6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19"/>
        <v>160986243600</v>
      </c>
      <c r="M102" s="12">
        <f t="shared" si="2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</row>
    <row r="103" spans="1:6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19"/>
        <v>192982692300</v>
      </c>
      <c r="M103" s="12">
        <f t="shared" si="2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</row>
    <row r="104" spans="1:6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19"/>
        <v>222103640000</v>
      </c>
      <c r="M104" s="12">
        <f t="shared" si="2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</row>
    <row r="105" spans="1:6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19"/>
        <v>252384066300</v>
      </c>
      <c r="M105" s="9">
        <f t="shared" si="2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</row>
    <row r="106" spans="1:6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19"/>
        <v>202671530200</v>
      </c>
      <c r="M106" s="12">
        <f t="shared" si="2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</row>
    <row r="107" spans="1:6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19"/>
        <v>198832945200</v>
      </c>
      <c r="M107" s="32">
        <f t="shared" si="2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</row>
    <row r="108" spans="1:6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19"/>
        <v>220643213500</v>
      </c>
      <c r="M108" s="9">
        <f t="shared" si="2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</row>
    <row r="109" spans="1:6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19"/>
        <v>251052283000</v>
      </c>
      <c r="M109" s="9">
        <f t="shared" si="2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</row>
    <row r="110" spans="1:6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19"/>
        <v>251071692400</v>
      </c>
      <c r="M110" s="9">
        <f t="shared" si="2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</row>
    <row r="111" spans="1:6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19"/>
        <v>276275204800</v>
      </c>
      <c r="M111" s="9">
        <f t="shared" si="2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</row>
    <row r="112" spans="1:60" s="45" customFormat="1" ht="21" customHeight="1">
      <c r="A112" s="42"/>
      <c r="B112" s="43" t="s">
        <v>176</v>
      </c>
      <c r="C112" s="43">
        <v>4</v>
      </c>
      <c r="D112" s="44">
        <v>27030</v>
      </c>
      <c r="E112" s="43">
        <v>27490</v>
      </c>
      <c r="F112" s="43">
        <v>27299</v>
      </c>
      <c r="G112" s="43">
        <v>3900800</v>
      </c>
      <c r="H112" s="43">
        <v>31739</v>
      </c>
      <c r="I112" s="43">
        <v>31798</v>
      </c>
      <c r="J112" s="43">
        <v>31665</v>
      </c>
      <c r="K112" s="43">
        <v>1037800</v>
      </c>
      <c r="L112" s="43">
        <f t="shared" si="19"/>
        <v>106487939200</v>
      </c>
      <c r="M112" s="43">
        <f t="shared" si="20"/>
        <v>32861937000</v>
      </c>
      <c r="N112" s="45">
        <v>27765</v>
      </c>
      <c r="O112" s="45">
        <v>32116</v>
      </c>
      <c r="P112" s="43">
        <v>27300</v>
      </c>
      <c r="Q112" s="45">
        <v>32056</v>
      </c>
      <c r="R112" s="43"/>
      <c r="S112" s="43"/>
      <c r="T112" s="43"/>
      <c r="U112" s="43"/>
      <c r="X112" s="45">
        <v>27920</v>
      </c>
      <c r="Y112" s="45">
        <v>32700</v>
      </c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4"/>
      <c r="AT112" s="44"/>
      <c r="AU112" s="44"/>
      <c r="AV112" s="44"/>
      <c r="AW112" s="44"/>
      <c r="AX112" s="44"/>
      <c r="AY112" s="43"/>
      <c r="AZ112" s="43"/>
      <c r="BA112" s="43"/>
      <c r="BB112" s="43"/>
      <c r="BC112" s="43"/>
      <c r="BE112" s="46"/>
      <c r="BF112" s="46"/>
      <c r="BG112" s="46"/>
      <c r="BH112" s="46"/>
    </row>
    <row r="113" spans="1:6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19"/>
        <v>157059448800</v>
      </c>
      <c r="M113" s="12">
        <f t="shared" si="2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</row>
    <row r="114" spans="1:6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19"/>
        <v>143042812000</v>
      </c>
      <c r="M114" s="12">
        <f t="shared" si="2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</row>
    <row r="115" spans="1:6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19"/>
        <v>139347162000</v>
      </c>
      <c r="M115" s="12">
        <f t="shared" si="2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7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</row>
    <row r="116" spans="1:6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19"/>
        <v>215028928500</v>
      </c>
      <c r="M116" s="12">
        <f t="shared" si="2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7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</row>
    <row r="117" spans="1:6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19"/>
        <v>186347507500</v>
      </c>
      <c r="M117" s="12">
        <f t="shared" si="2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7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</row>
    <row r="118" spans="1:60" s="45" customFormat="1" ht="21" customHeight="1">
      <c r="A118" s="42"/>
      <c r="B118" s="43" t="s">
        <v>182</v>
      </c>
      <c r="C118" s="43">
        <v>11</v>
      </c>
      <c r="D118" s="44">
        <v>26261</v>
      </c>
      <c r="E118" s="43">
        <v>26408</v>
      </c>
      <c r="F118" s="43">
        <v>26353</v>
      </c>
      <c r="G118" s="43">
        <v>5094700</v>
      </c>
      <c r="H118" s="43">
        <v>30797</v>
      </c>
      <c r="I118" s="43">
        <v>31052</v>
      </c>
      <c r="J118" s="43">
        <v>30846</v>
      </c>
      <c r="K118" s="43">
        <v>577000</v>
      </c>
      <c r="L118" s="43">
        <f t="shared" si="19"/>
        <v>134260629100</v>
      </c>
      <c r="M118" s="43">
        <f t="shared" si="20"/>
        <v>17798142000</v>
      </c>
      <c r="N118" s="45">
        <v>26672</v>
      </c>
      <c r="O118" s="45">
        <v>31362</v>
      </c>
      <c r="P118" s="43">
        <v>26523</v>
      </c>
      <c r="Q118" s="45">
        <v>31105</v>
      </c>
      <c r="R118" s="43"/>
      <c r="S118" s="43"/>
      <c r="T118" s="43"/>
      <c r="U118" s="43"/>
      <c r="V118" s="48"/>
      <c r="X118" s="45">
        <v>27190</v>
      </c>
      <c r="Y118" s="45">
        <v>32300</v>
      </c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4"/>
      <c r="AT118" s="44"/>
      <c r="AU118" s="44"/>
      <c r="AV118" s="44"/>
      <c r="AW118" s="44"/>
      <c r="AX118" s="44"/>
      <c r="AY118" s="43"/>
      <c r="AZ118" s="43"/>
      <c r="BA118" s="43"/>
      <c r="BB118" s="43"/>
      <c r="BC118" s="43"/>
      <c r="BE118" s="46"/>
      <c r="BF118" s="46"/>
      <c r="BG118" s="46"/>
      <c r="BH118" s="46"/>
    </row>
    <row r="119" spans="1:6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19"/>
        <v>160013174400</v>
      </c>
      <c r="M119" s="9">
        <f t="shared" si="2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9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</row>
    <row r="120" spans="1:60" s="53" customFormat="1" ht="21" customHeight="1">
      <c r="A120" s="50"/>
      <c r="B120" s="51" t="s">
        <v>184</v>
      </c>
      <c r="C120" s="51">
        <v>14</v>
      </c>
      <c r="D120" s="52">
        <v>26441</v>
      </c>
      <c r="E120" s="51">
        <v>26423</v>
      </c>
      <c r="F120" s="51">
        <v>26453</v>
      </c>
      <c r="G120" s="51">
        <v>6934900</v>
      </c>
      <c r="H120" s="51">
        <v>31300</v>
      </c>
      <c r="I120" s="51">
        <v>31047</v>
      </c>
      <c r="J120" s="51">
        <v>31045</v>
      </c>
      <c r="K120" s="51">
        <v>1267000</v>
      </c>
      <c r="L120" s="51">
        <f t="shared" si="19"/>
        <v>183448909700</v>
      </c>
      <c r="M120" s="51">
        <f t="shared" si="20"/>
        <v>39334015000</v>
      </c>
      <c r="N120" s="53">
        <v>26687</v>
      </c>
      <c r="O120" s="53">
        <v>31358</v>
      </c>
      <c r="P120" s="51">
        <v>26705</v>
      </c>
      <c r="Q120" s="53">
        <v>31613</v>
      </c>
      <c r="R120" s="51"/>
      <c r="S120" s="51"/>
      <c r="T120" s="51"/>
      <c r="U120" s="51"/>
      <c r="V120" s="54">
        <v>27170</v>
      </c>
      <c r="X120" s="53">
        <v>27190</v>
      </c>
      <c r="Y120" s="53">
        <v>32356</v>
      </c>
      <c r="Z120" s="51"/>
      <c r="AA120" s="51"/>
      <c r="AB120" s="51"/>
      <c r="AC120" s="51"/>
      <c r="AD120" s="51"/>
      <c r="AE120" s="51"/>
      <c r="AF120" s="51"/>
      <c r="AG120" s="51"/>
      <c r="AH120" s="51"/>
      <c r="AI120" s="51"/>
      <c r="AJ120" s="51"/>
      <c r="AK120" s="51"/>
      <c r="AL120" s="51"/>
      <c r="AM120" s="51"/>
      <c r="AN120" s="51"/>
      <c r="AO120" s="51"/>
      <c r="AP120" s="51"/>
      <c r="AQ120" s="51"/>
      <c r="AR120" s="51"/>
      <c r="AS120" s="52"/>
      <c r="AT120" s="52"/>
      <c r="AU120" s="52"/>
      <c r="AV120" s="52"/>
      <c r="AW120" s="52"/>
      <c r="AX120" s="52"/>
      <c r="AY120" s="51"/>
      <c r="AZ120" s="51"/>
      <c r="BA120" s="51"/>
      <c r="BB120" s="51"/>
      <c r="BC120" s="51"/>
      <c r="BE120" s="55"/>
      <c r="BF120" s="55"/>
      <c r="BG120" s="55"/>
      <c r="BH120" s="55"/>
    </row>
    <row r="121" spans="1:60" s="59" customFormat="1" ht="21" customHeight="1">
      <c r="A121" s="56"/>
      <c r="B121" s="57" t="s">
        <v>185</v>
      </c>
      <c r="C121" s="57">
        <v>15</v>
      </c>
      <c r="D121" s="58">
        <v>26450</v>
      </c>
      <c r="E121" s="57">
        <v>26328</v>
      </c>
      <c r="F121" s="57">
        <v>26359</v>
      </c>
      <c r="G121" s="57">
        <v>5658100</v>
      </c>
      <c r="H121" s="57">
        <v>30950</v>
      </c>
      <c r="I121" s="57">
        <v>31104</v>
      </c>
      <c r="J121" s="57">
        <v>31137</v>
      </c>
      <c r="K121" s="57">
        <v>702100</v>
      </c>
      <c r="L121" s="57">
        <f t="shared" si="19"/>
        <v>149141857900</v>
      </c>
      <c r="M121" s="57">
        <f t="shared" si="20"/>
        <v>21861287700</v>
      </c>
      <c r="N121" s="59">
        <v>26591</v>
      </c>
      <c r="O121" s="59">
        <v>31415</v>
      </c>
      <c r="P121" s="57">
        <v>26714</v>
      </c>
      <c r="Q121" s="59">
        <v>31259</v>
      </c>
      <c r="R121" s="57"/>
      <c r="S121" s="57"/>
      <c r="T121" s="57"/>
      <c r="U121" s="57"/>
      <c r="V121" s="60">
        <v>27070</v>
      </c>
      <c r="X121" s="59">
        <v>27010</v>
      </c>
      <c r="Y121" s="59">
        <v>32081</v>
      </c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8"/>
      <c r="AT121" s="58"/>
      <c r="AU121" s="58"/>
      <c r="AV121" s="58"/>
      <c r="AW121" s="58"/>
      <c r="AX121" s="58"/>
      <c r="AY121" s="57"/>
      <c r="AZ121" s="57"/>
      <c r="BA121" s="57"/>
      <c r="BB121" s="57"/>
      <c r="BC121" s="57"/>
      <c r="BE121" s="61"/>
      <c r="BF121" s="61"/>
      <c r="BG121" s="61"/>
      <c r="BH121" s="61"/>
    </row>
    <row r="122" spans="1:60" s="59" customFormat="1" ht="21" customHeight="1">
      <c r="A122" s="56"/>
      <c r="B122" s="57" t="s">
        <v>186</v>
      </c>
      <c r="C122" s="57">
        <v>16</v>
      </c>
      <c r="D122" s="58">
        <v>26570</v>
      </c>
      <c r="E122" s="57">
        <v>26360</v>
      </c>
      <c r="F122" s="57">
        <v>26384</v>
      </c>
      <c r="G122" s="57">
        <v>7781600</v>
      </c>
      <c r="H122" s="57">
        <v>31212</v>
      </c>
      <c r="I122" s="57">
        <v>31350</v>
      </c>
      <c r="J122" s="57">
        <v>31111</v>
      </c>
      <c r="K122" s="57">
        <v>1167200</v>
      </c>
      <c r="L122" s="57">
        <f t="shared" si="19"/>
        <v>205309734400</v>
      </c>
      <c r="M122" s="57">
        <f t="shared" si="20"/>
        <v>36312759200</v>
      </c>
      <c r="N122" s="59">
        <v>26623</v>
      </c>
      <c r="O122" s="59">
        <v>31663</v>
      </c>
      <c r="P122" s="57">
        <v>26836</v>
      </c>
      <c r="Q122" s="59">
        <v>31525</v>
      </c>
      <c r="R122" s="57"/>
      <c r="S122" s="57"/>
      <c r="T122" s="57"/>
      <c r="U122" s="57"/>
      <c r="V122" s="59">
        <v>27180</v>
      </c>
      <c r="X122" s="59">
        <v>27120</v>
      </c>
      <c r="Y122" s="59">
        <v>32297</v>
      </c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8"/>
      <c r="AT122" s="58"/>
      <c r="AU122" s="58"/>
      <c r="AV122" s="58"/>
      <c r="AW122" s="58"/>
      <c r="AX122" s="58"/>
      <c r="AY122" s="57"/>
      <c r="AZ122" s="57"/>
      <c r="BA122" s="57"/>
      <c r="BB122" s="57"/>
      <c r="BC122" s="57"/>
      <c r="BE122" s="61"/>
      <c r="BF122" s="61"/>
      <c r="BG122" s="61"/>
      <c r="BH122" s="61"/>
    </row>
    <row r="123" spans="1:60" s="59" customFormat="1" ht="21" customHeight="1">
      <c r="A123" s="56"/>
      <c r="B123" s="57" t="s">
        <v>187</v>
      </c>
      <c r="C123" s="57">
        <v>17</v>
      </c>
      <c r="D123" s="58">
        <v>26681</v>
      </c>
      <c r="E123" s="57">
        <v>26582</v>
      </c>
      <c r="F123" s="57">
        <v>26514</v>
      </c>
      <c r="G123" s="57">
        <v>10053900</v>
      </c>
      <c r="H123" s="57">
        <v>31234</v>
      </c>
      <c r="I123" s="57">
        <v>31217</v>
      </c>
      <c r="J123" s="57">
        <v>31159</v>
      </c>
      <c r="K123" s="57">
        <v>1549100</v>
      </c>
      <c r="L123" s="57">
        <f t="shared" si="19"/>
        <v>266569104600</v>
      </c>
      <c r="M123" s="57">
        <f t="shared" si="20"/>
        <v>48268406900</v>
      </c>
      <c r="N123" s="59">
        <v>26852</v>
      </c>
      <c r="O123" s="59">
        <v>31530</v>
      </c>
      <c r="P123" s="57">
        <v>26948</v>
      </c>
      <c r="Q123" s="59">
        <v>31547</v>
      </c>
      <c r="R123" s="57"/>
      <c r="S123" s="57"/>
      <c r="T123" s="57"/>
      <c r="U123" s="57"/>
      <c r="V123" s="59">
        <v>27570</v>
      </c>
      <c r="X123" s="59">
        <v>27530</v>
      </c>
      <c r="Y123" s="59">
        <v>32539</v>
      </c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8"/>
      <c r="AT123" s="58"/>
      <c r="AU123" s="58"/>
      <c r="AV123" s="58"/>
      <c r="AW123" s="58"/>
      <c r="AX123" s="58"/>
      <c r="AY123" s="57"/>
      <c r="AZ123" s="57"/>
      <c r="BA123" s="57"/>
      <c r="BB123" s="57"/>
      <c r="BC123" s="57"/>
      <c r="BE123" s="61"/>
      <c r="BF123" s="61"/>
      <c r="BG123" s="61"/>
      <c r="BH123" s="61"/>
    </row>
    <row r="124" spans="1:60" s="53" customFormat="1" ht="21" customHeight="1">
      <c r="A124" s="50"/>
      <c r="B124" s="51" t="s">
        <v>188</v>
      </c>
      <c r="C124" s="51">
        <v>18</v>
      </c>
      <c r="D124" s="52">
        <v>26670</v>
      </c>
      <c r="E124" s="51">
        <v>26624</v>
      </c>
      <c r="F124" s="51">
        <v>26589</v>
      </c>
      <c r="G124" s="51">
        <v>6494700</v>
      </c>
      <c r="H124" s="51">
        <v>31310</v>
      </c>
      <c r="I124" s="51">
        <v>31234</v>
      </c>
      <c r="J124" s="51">
        <v>31217</v>
      </c>
      <c r="K124" s="51">
        <v>1009100</v>
      </c>
      <c r="L124" s="51">
        <f t="shared" si="19"/>
        <v>172687578300</v>
      </c>
      <c r="M124" s="51">
        <f t="shared" si="20"/>
        <v>31501074700</v>
      </c>
      <c r="N124" s="53">
        <v>26936</v>
      </c>
      <c r="O124" s="53">
        <v>31623</v>
      </c>
      <c r="P124" s="51">
        <v>26890</v>
      </c>
      <c r="Q124" s="53">
        <v>31547</v>
      </c>
      <c r="R124" s="51"/>
      <c r="S124" s="51"/>
      <c r="T124" s="51"/>
      <c r="U124" s="51"/>
      <c r="X124" s="53">
        <v>27820</v>
      </c>
      <c r="Y124" s="53">
        <v>32696</v>
      </c>
      <c r="Z124" s="51"/>
      <c r="AA124" s="51"/>
      <c r="AB124" s="51"/>
      <c r="AC124" s="51"/>
      <c r="AD124" s="51"/>
      <c r="AE124" s="51"/>
      <c r="AF124" s="51"/>
      <c r="AG124" s="51"/>
      <c r="AH124" s="51"/>
      <c r="AI124" s="51"/>
      <c r="AJ124" s="51"/>
      <c r="AK124" s="51"/>
      <c r="AL124" s="51"/>
      <c r="AM124" s="51"/>
      <c r="AN124" s="51"/>
      <c r="AO124" s="51"/>
      <c r="AP124" s="51"/>
      <c r="AQ124" s="51"/>
      <c r="AR124" s="51"/>
      <c r="AS124" s="52"/>
      <c r="AT124" s="52"/>
      <c r="AU124" s="52"/>
      <c r="AV124" s="52"/>
      <c r="AW124" s="52"/>
      <c r="AX124" s="52"/>
      <c r="AY124" s="51"/>
      <c r="AZ124" s="51"/>
      <c r="BA124" s="51"/>
      <c r="BB124" s="51"/>
      <c r="BC124" s="51"/>
      <c r="BE124" s="55"/>
      <c r="BF124" s="55"/>
      <c r="BG124" s="55"/>
      <c r="BH124" s="55"/>
    </row>
    <row r="125" spans="1:60" s="62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19"/>
        <v>242156832600</v>
      </c>
      <c r="M125" s="12">
        <f t="shared" si="20"/>
        <v>38367736500</v>
      </c>
      <c r="N125" s="62">
        <v>27116</v>
      </c>
      <c r="O125" s="62">
        <v>31702</v>
      </c>
      <c r="P125" s="62">
        <v>26954</v>
      </c>
      <c r="Q125" s="62">
        <v>31547</v>
      </c>
      <c r="R125" s="12"/>
      <c r="S125" s="12"/>
      <c r="T125" s="12"/>
      <c r="U125" s="12"/>
      <c r="V125" s="62">
        <v>27800</v>
      </c>
      <c r="X125" s="62">
        <v>27830</v>
      </c>
      <c r="Y125" s="62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63"/>
      <c r="BF125" s="63"/>
      <c r="BG125" s="63"/>
      <c r="BH125" s="63"/>
    </row>
    <row r="126" spans="1:60" s="62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19"/>
        <v>232790298000</v>
      </c>
      <c r="M126" s="12">
        <f t="shared" si="20"/>
        <v>30140668800</v>
      </c>
      <c r="N126" s="62">
        <v>26767</v>
      </c>
      <c r="O126" s="62">
        <v>31554</v>
      </c>
      <c r="P126" s="62">
        <v>27046</v>
      </c>
      <c r="Q126" s="62">
        <v>31714</v>
      </c>
      <c r="R126" s="12"/>
      <c r="S126" s="12"/>
      <c r="T126" s="12"/>
      <c r="U126" s="12"/>
      <c r="X126" s="62">
        <v>27500</v>
      </c>
      <c r="Y126" s="62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63"/>
      <c r="BF126" s="63"/>
      <c r="BG126" s="63"/>
      <c r="BH126" s="63"/>
    </row>
    <row r="127" spans="1:60" s="62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19"/>
        <v>210137737200</v>
      </c>
      <c r="M127" s="12">
        <f t="shared" si="20"/>
        <v>17811948000</v>
      </c>
      <c r="N127" s="62">
        <v>26577</v>
      </c>
      <c r="O127" s="62">
        <v>31692</v>
      </c>
      <c r="P127" s="62">
        <v>26767</v>
      </c>
      <c r="Q127" s="62">
        <v>31562</v>
      </c>
      <c r="R127" s="12"/>
      <c r="S127" s="12"/>
      <c r="T127" s="12"/>
      <c r="U127" s="12"/>
      <c r="X127" s="62">
        <v>27100</v>
      </c>
      <c r="Y127" s="62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63"/>
      <c r="BF127" s="63"/>
      <c r="BG127" s="63"/>
      <c r="BH127" s="63"/>
    </row>
    <row r="128" spans="1:60" s="62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19"/>
        <v>238170715200</v>
      </c>
      <c r="M128" s="12">
        <f t="shared" si="20"/>
        <v>40056870600</v>
      </c>
      <c r="N128" s="62">
        <v>26781</v>
      </c>
      <c r="O128" s="62">
        <v>31687</v>
      </c>
      <c r="P128" s="62">
        <v>26577</v>
      </c>
      <c r="Q128" s="62">
        <v>31692</v>
      </c>
      <c r="R128" s="12"/>
      <c r="S128" s="12"/>
      <c r="T128" s="12"/>
      <c r="U128" s="12"/>
      <c r="V128" s="62">
        <v>27410</v>
      </c>
      <c r="X128" s="62">
        <v>27370</v>
      </c>
      <c r="Y128" s="62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63"/>
      <c r="BF128" s="63"/>
      <c r="BG128" s="63"/>
      <c r="BH128" s="63"/>
    </row>
    <row r="129" spans="1:60" s="62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19"/>
        <v>238426614800</v>
      </c>
      <c r="M129" s="12">
        <f t="shared" si="20"/>
        <v>22629659000</v>
      </c>
      <c r="N129" s="62">
        <v>26636</v>
      </c>
      <c r="O129" s="62">
        <v>31537</v>
      </c>
      <c r="P129" s="62">
        <v>26687</v>
      </c>
      <c r="Q129" s="62">
        <v>31739</v>
      </c>
      <c r="R129" s="12"/>
      <c r="S129" s="12"/>
      <c r="T129" s="12"/>
      <c r="U129" s="12"/>
      <c r="V129" s="62">
        <v>27250</v>
      </c>
      <c r="X129" s="62">
        <v>27320</v>
      </c>
      <c r="Y129" s="62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63"/>
      <c r="BF129" s="63"/>
      <c r="BG129" s="63"/>
      <c r="BH129" s="63"/>
    </row>
    <row r="130" spans="1:60" s="62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54" si="21">F130*G130</f>
        <v>134799608200</v>
      </c>
      <c r="M130" s="12">
        <f t="shared" ref="M130:M154" si="22">J130*K130</f>
        <v>19573817400</v>
      </c>
      <c r="N130" s="62">
        <v>26748</v>
      </c>
      <c r="O130" s="62">
        <v>31396</v>
      </c>
      <c r="P130" s="62">
        <v>26592</v>
      </c>
      <c r="Q130" s="62">
        <v>31714</v>
      </c>
      <c r="R130" s="12"/>
      <c r="S130" s="12"/>
      <c r="T130" s="12"/>
      <c r="U130" s="12"/>
      <c r="V130" s="62">
        <v>27200</v>
      </c>
      <c r="X130" s="62">
        <v>27220</v>
      </c>
      <c r="Y130" s="62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63"/>
      <c r="BF130" s="63"/>
      <c r="BG130" s="63"/>
      <c r="BH130" s="63"/>
    </row>
    <row r="131" spans="1:60" s="64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1"/>
        <v>235378269800</v>
      </c>
      <c r="M131" s="9">
        <f t="shared" si="22"/>
        <v>32633376800</v>
      </c>
      <c r="N131" s="64">
        <v>26772</v>
      </c>
      <c r="O131" s="64">
        <v>31349</v>
      </c>
      <c r="P131" s="64">
        <v>26894</v>
      </c>
      <c r="Q131" s="64">
        <v>31608</v>
      </c>
      <c r="R131" s="9"/>
      <c r="S131" s="9"/>
      <c r="T131" s="9"/>
      <c r="U131" s="9"/>
      <c r="V131" s="64">
        <v>27470</v>
      </c>
      <c r="X131" s="64">
        <v>27600</v>
      </c>
      <c r="Y131" s="64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65"/>
      <c r="BF131" s="65"/>
      <c r="BG131" s="65"/>
      <c r="BH131" s="65"/>
    </row>
    <row r="132" spans="1:60" s="64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1"/>
        <v>217216403700</v>
      </c>
      <c r="M132" s="9">
        <f t="shared" si="22"/>
        <v>15001192800</v>
      </c>
      <c r="N132" s="64">
        <v>26659</v>
      </c>
      <c r="O132" s="64">
        <v>31380</v>
      </c>
      <c r="P132" s="64">
        <v>26772</v>
      </c>
      <c r="Q132" s="64">
        <v>31349</v>
      </c>
      <c r="R132" s="9"/>
      <c r="S132" s="9"/>
      <c r="T132" s="9"/>
      <c r="U132" s="9"/>
      <c r="V132" s="64">
        <v>27300</v>
      </c>
      <c r="X132" s="64">
        <v>27340</v>
      </c>
      <c r="Y132" s="64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65"/>
      <c r="BF132" s="65"/>
      <c r="BG132" s="65"/>
      <c r="BH132" s="65"/>
    </row>
    <row r="133" spans="1:60" s="64" customFormat="1" ht="21" customHeight="1">
      <c r="A133" s="27"/>
      <c r="B133" s="66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1"/>
        <v>236360502800</v>
      </c>
      <c r="M133" s="9">
        <f t="shared" si="22"/>
        <v>11169267200</v>
      </c>
      <c r="N133" s="64">
        <v>26494</v>
      </c>
      <c r="O133" s="64">
        <v>31761</v>
      </c>
      <c r="P133" s="64">
        <v>26639</v>
      </c>
      <c r="Q133" s="64">
        <v>31380</v>
      </c>
      <c r="R133" s="9"/>
      <c r="S133" s="9"/>
      <c r="T133" s="9"/>
      <c r="U133" s="9"/>
      <c r="V133" s="64">
        <v>27400</v>
      </c>
      <c r="X133" s="64">
        <v>27380</v>
      </c>
      <c r="Y133" s="64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65"/>
      <c r="BF133" s="65"/>
      <c r="BG133" s="65"/>
      <c r="BH133" s="65"/>
    </row>
    <row r="134" spans="1:60" s="64" customFormat="1" ht="21" customHeight="1">
      <c r="A134" s="27"/>
      <c r="B134" s="66" t="s">
        <v>198</v>
      </c>
      <c r="C134" s="9">
        <v>30</v>
      </c>
      <c r="D134" s="26">
        <v>26270</v>
      </c>
      <c r="E134" s="9">
        <v>26232</v>
      </c>
      <c r="F134" s="9">
        <v>26287</v>
      </c>
      <c r="G134" s="9">
        <v>10062100</v>
      </c>
      <c r="H134" s="9">
        <v>31447</v>
      </c>
      <c r="I134" s="9">
        <v>31280</v>
      </c>
      <c r="J134" s="9">
        <v>31273</v>
      </c>
      <c r="K134" s="9">
        <v>878800</v>
      </c>
      <c r="L134" s="9">
        <f t="shared" si="21"/>
        <v>264502422700</v>
      </c>
      <c r="M134" s="9">
        <f t="shared" si="22"/>
        <v>27482712400</v>
      </c>
      <c r="N134" s="64">
        <v>26494</v>
      </c>
      <c r="O134" s="64">
        <v>31593</v>
      </c>
      <c r="P134" s="64">
        <v>26532</v>
      </c>
      <c r="Q134" s="64">
        <v>31761</v>
      </c>
      <c r="R134" s="9"/>
      <c r="S134" s="9"/>
      <c r="T134" s="9"/>
      <c r="U134" s="9"/>
      <c r="V134" s="64">
        <v>27400</v>
      </c>
      <c r="X134" s="64">
        <v>27350</v>
      </c>
      <c r="Y134" s="64">
        <v>32181</v>
      </c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26"/>
      <c r="AT134" s="26"/>
      <c r="AU134" s="26"/>
      <c r="AV134" s="26"/>
      <c r="AW134" s="26"/>
      <c r="AX134" s="26"/>
      <c r="AY134" s="9"/>
      <c r="AZ134" s="9"/>
      <c r="BA134" s="9"/>
      <c r="BB134" s="9"/>
      <c r="BC134" s="9"/>
      <c r="BE134" s="65"/>
      <c r="BF134" s="65"/>
      <c r="BG134" s="65"/>
      <c r="BH134" s="65"/>
    </row>
    <row r="135" spans="1:60" s="64" customFormat="1" ht="18">
      <c r="A135" s="27"/>
      <c r="B135" s="66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1"/>
        <v>222222624000</v>
      </c>
      <c r="M135" s="9">
        <f t="shared" si="22"/>
        <v>12835678700</v>
      </c>
      <c r="N135" s="64">
        <v>26523</v>
      </c>
      <c r="O135" s="64">
        <v>31394</v>
      </c>
      <c r="P135" s="64">
        <v>26494</v>
      </c>
      <c r="Q135" s="64">
        <v>31593</v>
      </c>
      <c r="R135" s="9"/>
      <c r="S135" s="9"/>
      <c r="T135" s="9"/>
      <c r="U135" s="9"/>
      <c r="V135" s="64">
        <v>27500</v>
      </c>
      <c r="X135" s="64">
        <v>27520</v>
      </c>
      <c r="Y135" s="64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65"/>
      <c r="BF135" s="65"/>
      <c r="BG135" s="65"/>
      <c r="BH135" s="65"/>
    </row>
    <row r="136" spans="1:60" s="68" customFormat="1" ht="21" customHeight="1">
      <c r="A136" s="20"/>
      <c r="B136" s="67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1"/>
        <v>193055584200</v>
      </c>
      <c r="M136" s="21">
        <f t="shared" si="22"/>
        <v>12715071600</v>
      </c>
      <c r="N136" s="68">
        <v>26736</v>
      </c>
      <c r="O136" s="68">
        <v>31480</v>
      </c>
      <c r="P136" s="68">
        <v>26548</v>
      </c>
      <c r="Q136" s="68">
        <v>31375</v>
      </c>
      <c r="R136" s="21"/>
      <c r="S136" s="21"/>
      <c r="T136" s="21"/>
      <c r="U136" s="21"/>
      <c r="V136" s="68">
        <v>27500</v>
      </c>
      <c r="X136" s="68">
        <v>27470</v>
      </c>
      <c r="Y136" s="68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9"/>
      <c r="BF136" s="69"/>
      <c r="BG136" s="69"/>
      <c r="BH136" s="69"/>
    </row>
    <row r="137" spans="1:60" s="71" customFormat="1" ht="21" customHeight="1">
      <c r="A137" s="31"/>
      <c r="B137" s="70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1"/>
        <v>253536738000</v>
      </c>
      <c r="M137" s="32">
        <f t="shared" si="22"/>
        <v>35559388200</v>
      </c>
      <c r="N137" s="71">
        <v>26834</v>
      </c>
      <c r="O137" s="71">
        <v>31497</v>
      </c>
      <c r="P137" s="71">
        <v>26796</v>
      </c>
      <c r="Q137" s="71">
        <v>31480</v>
      </c>
      <c r="R137" s="32"/>
      <c r="S137" s="32"/>
      <c r="T137" s="32"/>
      <c r="U137" s="32"/>
      <c r="V137" s="71">
        <v>27680</v>
      </c>
      <c r="X137" s="71">
        <v>27540</v>
      </c>
      <c r="Y137" s="71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72"/>
      <c r="BF137" s="72"/>
      <c r="BG137" s="72"/>
      <c r="BH137" s="72"/>
    </row>
    <row r="138" spans="1:60" s="71" customFormat="1" ht="21" customHeight="1">
      <c r="A138" s="31"/>
      <c r="B138" s="70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1"/>
        <v>245049246200</v>
      </c>
      <c r="M138" s="32">
        <f t="shared" si="22"/>
        <v>24981203500</v>
      </c>
      <c r="N138" s="71">
        <v>27030</v>
      </c>
      <c r="O138" s="71">
        <v>31578</v>
      </c>
      <c r="P138" s="71">
        <v>26829</v>
      </c>
      <c r="Q138" s="71">
        <v>31497</v>
      </c>
      <c r="R138" s="32"/>
      <c r="S138" s="32"/>
      <c r="T138" s="32"/>
      <c r="U138" s="32"/>
      <c r="V138" s="71">
        <v>27600</v>
      </c>
      <c r="X138" s="71">
        <v>27650</v>
      </c>
      <c r="Y138" s="71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72"/>
      <c r="BF138" s="72"/>
      <c r="BG138" s="72"/>
      <c r="BH138" s="72"/>
    </row>
    <row r="139" spans="1:60" s="71" customFormat="1" ht="21" customHeight="1">
      <c r="A139" s="31"/>
      <c r="B139" s="70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1"/>
        <v>210771668200</v>
      </c>
      <c r="M139" s="32">
        <f t="shared" si="22"/>
        <v>30396027600</v>
      </c>
      <c r="N139" s="71">
        <v>27502</v>
      </c>
      <c r="O139" s="71">
        <v>32219</v>
      </c>
      <c r="P139" s="71">
        <v>27171</v>
      </c>
      <c r="Q139" s="71">
        <v>31578</v>
      </c>
      <c r="R139" s="32"/>
      <c r="S139" s="32"/>
      <c r="T139" s="32"/>
      <c r="U139" s="32"/>
      <c r="V139" s="71">
        <v>27850</v>
      </c>
      <c r="X139" s="71">
        <v>27900</v>
      </c>
      <c r="Y139" s="71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72"/>
      <c r="BF139" s="72"/>
      <c r="BG139" s="72"/>
      <c r="BH139" s="72"/>
    </row>
    <row r="140" spans="1:60" s="71" customFormat="1" ht="21" customHeight="1">
      <c r="A140" s="31"/>
      <c r="B140" s="70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1"/>
        <v>257844926400</v>
      </c>
      <c r="M140" s="32">
        <f t="shared" si="22"/>
        <v>27447486000</v>
      </c>
      <c r="N140" s="71">
        <v>27909</v>
      </c>
      <c r="O140" s="71">
        <v>32543</v>
      </c>
      <c r="P140" s="71">
        <v>27693</v>
      </c>
      <c r="Q140" s="71">
        <v>32219</v>
      </c>
      <c r="R140" s="32"/>
      <c r="S140" s="32"/>
      <c r="T140" s="32"/>
      <c r="U140" s="32"/>
      <c r="V140" s="71">
        <v>28180</v>
      </c>
      <c r="X140" s="71">
        <v>28300</v>
      </c>
      <c r="Y140" s="71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72"/>
      <c r="BF140" s="72"/>
      <c r="BG140" s="72"/>
      <c r="BH140" s="72"/>
    </row>
    <row r="141" spans="1:60" s="71" customFormat="1" ht="21" customHeight="1">
      <c r="A141" s="31"/>
      <c r="B141" s="70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1"/>
        <v>160400172600</v>
      </c>
      <c r="M141" s="32">
        <f t="shared" si="22"/>
        <v>10914608000</v>
      </c>
      <c r="N141" s="71">
        <v>28111</v>
      </c>
      <c r="O141" s="71">
        <v>32656</v>
      </c>
      <c r="P141" s="71">
        <v>27798</v>
      </c>
      <c r="Q141" s="71">
        <v>32543</v>
      </c>
      <c r="R141" s="32"/>
      <c r="S141" s="32"/>
      <c r="T141" s="32"/>
      <c r="U141" s="32"/>
      <c r="V141" s="71">
        <v>28320</v>
      </c>
      <c r="X141" s="71">
        <v>28390</v>
      </c>
      <c r="Y141" s="71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72"/>
      <c r="BF141" s="72"/>
      <c r="BG141" s="72"/>
      <c r="BH141" s="72"/>
    </row>
    <row r="142" spans="1:60" s="64" customFormat="1" ht="21" customHeight="1">
      <c r="A142" s="27"/>
      <c r="B142" s="66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1"/>
        <v>178610115600</v>
      </c>
      <c r="M142" s="9">
        <f t="shared" si="22"/>
        <v>19557216000</v>
      </c>
      <c r="N142" s="64">
        <v>27747</v>
      </c>
      <c r="O142" s="64">
        <v>31933</v>
      </c>
      <c r="P142" s="64">
        <v>27934</v>
      </c>
      <c r="Q142" s="64">
        <v>32656</v>
      </c>
      <c r="R142" s="9"/>
      <c r="S142" s="9"/>
      <c r="T142" s="9"/>
      <c r="U142" s="9"/>
      <c r="V142" s="64">
        <v>28270</v>
      </c>
      <c r="X142" s="64">
        <v>28100</v>
      </c>
      <c r="Y142" s="64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65"/>
      <c r="BF142" s="65"/>
      <c r="BG142" s="65"/>
      <c r="BH142" s="65"/>
    </row>
    <row r="143" spans="1:60" s="64" customFormat="1" ht="21" customHeight="1">
      <c r="A143" s="27"/>
      <c r="B143" s="66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1"/>
        <v>185509825000</v>
      </c>
      <c r="M143" s="9">
        <f t="shared" si="22"/>
        <v>25382565000</v>
      </c>
      <c r="N143" s="64">
        <v>27566</v>
      </c>
      <c r="O143" s="64">
        <v>31905</v>
      </c>
      <c r="P143" s="64">
        <v>27591</v>
      </c>
      <c r="Q143" s="64">
        <v>31933</v>
      </c>
      <c r="R143" s="9"/>
      <c r="S143" s="9"/>
      <c r="T143" s="9"/>
      <c r="U143" s="9"/>
      <c r="V143" s="64">
        <v>28110</v>
      </c>
      <c r="X143" s="64">
        <v>28020</v>
      </c>
      <c r="Y143" s="64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65"/>
      <c r="BF143" s="65"/>
      <c r="BG143" s="65"/>
      <c r="BH143" s="65"/>
    </row>
    <row r="144" spans="1:60" s="64" customFormat="1" ht="21" customHeight="1">
      <c r="A144" s="27"/>
      <c r="B144" s="66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1"/>
        <v>214444712400</v>
      </c>
      <c r="M144" s="9">
        <f t="shared" si="22"/>
        <v>25688893800</v>
      </c>
      <c r="N144" s="64">
        <v>27522</v>
      </c>
      <c r="O144" s="64">
        <v>31898</v>
      </c>
      <c r="P144" s="64">
        <v>27542</v>
      </c>
      <c r="Q144" s="64">
        <v>31905</v>
      </c>
      <c r="R144" s="9"/>
      <c r="S144" s="9"/>
      <c r="T144" s="9"/>
      <c r="U144" s="9"/>
      <c r="V144" s="64">
        <v>28050</v>
      </c>
      <c r="X144" s="64">
        <v>28110</v>
      </c>
      <c r="Y144" s="64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65"/>
      <c r="BF144" s="65"/>
      <c r="BG144" s="65"/>
      <c r="BH144" s="65"/>
    </row>
    <row r="145" spans="1:62" s="96" customFormat="1" ht="21" customHeight="1">
      <c r="A145" s="92"/>
      <c r="B145" s="93" t="s">
        <v>209</v>
      </c>
      <c r="C145" s="94">
        <v>14</v>
      </c>
      <c r="D145" s="95">
        <v>27249</v>
      </c>
      <c r="E145" s="94">
        <v>27271</v>
      </c>
      <c r="F145" s="94">
        <v>27376</v>
      </c>
      <c r="G145" s="94">
        <v>4049300</v>
      </c>
      <c r="H145" s="94">
        <v>31582</v>
      </c>
      <c r="I145" s="94">
        <v>31470</v>
      </c>
      <c r="J145" s="94">
        <v>31690</v>
      </c>
      <c r="K145" s="94">
        <v>376700</v>
      </c>
      <c r="L145" s="94">
        <f t="shared" si="21"/>
        <v>110853636800</v>
      </c>
      <c r="M145" s="94">
        <f t="shared" si="22"/>
        <v>11937623000</v>
      </c>
      <c r="N145" s="96">
        <v>27544</v>
      </c>
      <c r="O145" s="96">
        <v>31785</v>
      </c>
      <c r="P145" s="96">
        <v>27522</v>
      </c>
      <c r="Q145" s="96">
        <v>31898</v>
      </c>
      <c r="R145" s="94"/>
      <c r="S145" s="94"/>
      <c r="T145" s="94"/>
      <c r="U145" s="94"/>
      <c r="V145" s="96">
        <v>28150</v>
      </c>
      <c r="X145" s="96">
        <v>27980</v>
      </c>
      <c r="Y145" s="96">
        <v>32400</v>
      </c>
      <c r="Z145" s="94"/>
      <c r="AA145" s="94"/>
      <c r="AB145" s="94"/>
      <c r="AC145" s="94"/>
      <c r="AD145" s="94"/>
      <c r="AE145" s="94"/>
      <c r="AF145" s="94"/>
      <c r="AG145" s="94"/>
      <c r="AH145" s="94"/>
      <c r="AI145" s="94"/>
      <c r="AJ145" s="94"/>
      <c r="AK145" s="94"/>
      <c r="AL145" s="94"/>
      <c r="AM145" s="94"/>
      <c r="AN145" s="94"/>
      <c r="AO145" s="94"/>
      <c r="AP145" s="94"/>
      <c r="AQ145" s="94"/>
      <c r="AR145" s="94"/>
      <c r="AS145" s="95"/>
      <c r="AT145" s="95"/>
      <c r="AU145" s="95"/>
      <c r="AV145" s="95"/>
      <c r="AW145" s="95"/>
      <c r="AX145" s="95"/>
      <c r="AY145" s="94"/>
      <c r="AZ145" s="94"/>
      <c r="BA145" s="94"/>
      <c r="BB145" s="94"/>
      <c r="BC145" s="94"/>
      <c r="BE145" s="97"/>
      <c r="BF145" s="97"/>
      <c r="BG145" s="97"/>
      <c r="BH145" s="97"/>
    </row>
    <row r="146" spans="1:62" s="102" customFormat="1" ht="21" customHeight="1">
      <c r="A146" s="98"/>
      <c r="B146" s="99" t="s">
        <v>399</v>
      </c>
      <c r="C146" s="100">
        <v>17</v>
      </c>
      <c r="D146" s="101">
        <v>27020</v>
      </c>
      <c r="E146" s="100">
        <v>26869</v>
      </c>
      <c r="F146" s="100">
        <v>26987</v>
      </c>
      <c r="G146" s="100">
        <v>7931300</v>
      </c>
      <c r="H146" s="100">
        <v>31470</v>
      </c>
      <c r="I146" s="100">
        <v>31495</v>
      </c>
      <c r="J146" s="100">
        <v>31436</v>
      </c>
      <c r="K146" s="100">
        <v>504700</v>
      </c>
      <c r="L146" s="100">
        <f t="shared" si="21"/>
        <v>214041993100</v>
      </c>
      <c r="M146" s="100">
        <f t="shared" si="22"/>
        <v>15865749200</v>
      </c>
      <c r="N146" s="102">
        <v>27138</v>
      </c>
      <c r="O146" s="102">
        <v>31810</v>
      </c>
      <c r="P146" s="102">
        <v>27290</v>
      </c>
      <c r="Q146" s="102">
        <v>31785</v>
      </c>
      <c r="R146" s="100"/>
      <c r="S146" s="100"/>
      <c r="T146" s="100"/>
      <c r="U146" s="100"/>
      <c r="V146" s="102">
        <v>27880</v>
      </c>
      <c r="X146" s="102">
        <v>27750</v>
      </c>
      <c r="Y146" s="102">
        <v>32224</v>
      </c>
      <c r="Z146" s="100"/>
      <c r="AA146" s="100"/>
      <c r="AB146" s="100"/>
      <c r="AC146" s="100"/>
      <c r="AD146" s="100"/>
      <c r="AE146" s="100"/>
      <c r="AF146" s="100"/>
      <c r="AG146" s="100"/>
      <c r="AH146" s="100"/>
      <c r="AI146" s="100"/>
      <c r="AJ146" s="100"/>
      <c r="AK146" s="100"/>
      <c r="AL146" s="100"/>
      <c r="AM146" s="100"/>
      <c r="AN146" s="100"/>
      <c r="AO146" s="100"/>
      <c r="AP146" s="100"/>
      <c r="AQ146" s="100"/>
      <c r="AR146" s="100"/>
      <c r="AS146" s="101"/>
      <c r="AT146" s="101"/>
      <c r="AU146" s="101"/>
      <c r="AV146" s="101"/>
      <c r="AW146" s="101"/>
      <c r="AX146" s="101"/>
      <c r="AY146" s="100"/>
      <c r="AZ146" s="100"/>
      <c r="BA146" s="100"/>
      <c r="BB146" s="100"/>
      <c r="BC146" s="100"/>
      <c r="BE146" s="103"/>
      <c r="BF146" s="103"/>
      <c r="BG146" s="103"/>
      <c r="BH146" s="103"/>
    </row>
    <row r="147" spans="1:62" s="102" customFormat="1" ht="21" customHeight="1">
      <c r="A147" s="98"/>
      <c r="B147" s="99" t="s">
        <v>401</v>
      </c>
      <c r="C147" s="100">
        <v>18</v>
      </c>
      <c r="D147" s="101">
        <v>26552</v>
      </c>
      <c r="E147" s="100">
        <v>26617</v>
      </c>
      <c r="F147" s="100">
        <v>26650</v>
      </c>
      <c r="G147" s="100">
        <v>6622400</v>
      </c>
      <c r="H147" s="100">
        <v>31400</v>
      </c>
      <c r="I147" s="100">
        <v>30450</v>
      </c>
      <c r="J147" s="100">
        <v>30816</v>
      </c>
      <c r="K147" s="100">
        <v>1092900</v>
      </c>
      <c r="L147" s="100">
        <f t="shared" si="21"/>
        <v>176486960000</v>
      </c>
      <c r="M147" s="100">
        <f t="shared" si="22"/>
        <v>33678806400</v>
      </c>
      <c r="N147" s="102">
        <v>26883</v>
      </c>
      <c r="O147" s="102">
        <v>30754</v>
      </c>
      <c r="P147" s="102">
        <v>26817</v>
      </c>
      <c r="Q147" s="102">
        <v>31714</v>
      </c>
      <c r="R147" s="100"/>
      <c r="S147" s="100"/>
      <c r="T147" s="100"/>
      <c r="U147" s="100"/>
      <c r="V147" s="102">
        <v>27550</v>
      </c>
      <c r="X147" s="102">
        <v>27550</v>
      </c>
      <c r="Y147" s="102">
        <v>31842</v>
      </c>
      <c r="Z147" s="100"/>
      <c r="AA147" s="100"/>
      <c r="AB147" s="100"/>
      <c r="AC147" s="100"/>
      <c r="AD147" s="100"/>
      <c r="AE147" s="100"/>
      <c r="AF147" s="100"/>
      <c r="AG147" s="100"/>
      <c r="AH147" s="100"/>
      <c r="AI147" s="100"/>
      <c r="AJ147" s="100"/>
      <c r="AK147" s="100"/>
      <c r="AL147" s="100"/>
      <c r="AM147" s="100"/>
      <c r="AN147" s="100"/>
      <c r="AO147" s="100"/>
      <c r="AP147" s="100"/>
      <c r="AQ147" s="100"/>
      <c r="AR147" s="100"/>
      <c r="AS147" s="101"/>
      <c r="AT147" s="101"/>
      <c r="AU147" s="101"/>
      <c r="AV147" s="101"/>
      <c r="AW147" s="101"/>
      <c r="AX147" s="101"/>
      <c r="AY147" s="100"/>
      <c r="AZ147" s="100"/>
      <c r="BA147" s="100"/>
      <c r="BB147" s="100"/>
      <c r="BC147" s="100"/>
      <c r="BE147" s="103"/>
      <c r="BF147" s="103"/>
      <c r="BG147" s="103"/>
      <c r="BH147" s="103"/>
    </row>
    <row r="148" spans="1:62" s="102" customFormat="1" ht="21" customHeight="1">
      <c r="A148" s="98"/>
      <c r="B148" s="99" t="s">
        <v>403</v>
      </c>
      <c r="C148" s="100">
        <v>19</v>
      </c>
      <c r="D148" s="101">
        <v>26646</v>
      </c>
      <c r="E148" s="100">
        <v>26572</v>
      </c>
      <c r="F148" s="100">
        <v>26650</v>
      </c>
      <c r="G148" s="100">
        <v>8283400</v>
      </c>
      <c r="H148" s="100">
        <v>30450</v>
      </c>
      <c r="I148" s="100">
        <v>30400</v>
      </c>
      <c r="J148" s="100">
        <v>30589</v>
      </c>
      <c r="K148" s="100">
        <v>1202500</v>
      </c>
      <c r="L148" s="100">
        <f t="shared" si="21"/>
        <v>220752610000</v>
      </c>
      <c r="M148" s="100">
        <f t="shared" si="22"/>
        <v>36783272500</v>
      </c>
      <c r="N148" s="102">
        <v>26838</v>
      </c>
      <c r="O148" s="102">
        <v>30704</v>
      </c>
      <c r="P148" s="102">
        <v>26913</v>
      </c>
      <c r="Q148" s="102">
        <v>30754</v>
      </c>
      <c r="R148" s="100"/>
      <c r="S148" s="100"/>
      <c r="T148" s="100"/>
      <c r="U148" s="100"/>
      <c r="V148" s="102">
        <v>27610</v>
      </c>
      <c r="X148" s="102">
        <v>27470</v>
      </c>
      <c r="Y148" s="102">
        <v>31856</v>
      </c>
      <c r="Z148" s="100"/>
      <c r="AA148" s="100"/>
      <c r="AB148" s="100"/>
      <c r="AC148" s="100"/>
      <c r="AD148" s="100"/>
      <c r="AE148" s="100"/>
      <c r="AF148" s="100"/>
      <c r="AG148" s="100"/>
      <c r="AH148" s="100"/>
      <c r="AI148" s="100"/>
      <c r="AJ148" s="100"/>
      <c r="AK148" s="100"/>
      <c r="AL148" s="100"/>
      <c r="AM148" s="100"/>
      <c r="AN148" s="100"/>
      <c r="AO148" s="100"/>
      <c r="AP148" s="100"/>
      <c r="AQ148" s="100"/>
      <c r="AR148" s="100"/>
      <c r="AS148" s="101"/>
      <c r="AT148" s="101"/>
      <c r="AU148" s="101"/>
      <c r="AV148" s="101"/>
      <c r="AW148" s="101"/>
      <c r="AX148" s="101"/>
      <c r="AY148" s="100"/>
      <c r="AZ148" s="100"/>
      <c r="BA148" s="100"/>
      <c r="BB148" s="100"/>
      <c r="BC148" s="100"/>
      <c r="BE148" s="103"/>
      <c r="BF148" s="103"/>
      <c r="BG148" s="103"/>
      <c r="BH148" s="103"/>
    </row>
    <row r="149" spans="1:62" s="102" customFormat="1" ht="21" customHeight="1">
      <c r="A149" s="98"/>
      <c r="B149" s="99" t="s">
        <v>406</v>
      </c>
      <c r="C149" s="100">
        <v>20</v>
      </c>
      <c r="D149" s="101">
        <v>26572</v>
      </c>
      <c r="E149" s="100">
        <v>26402</v>
      </c>
      <c r="F149" s="100">
        <v>26410</v>
      </c>
      <c r="G149" s="100">
        <v>5931500</v>
      </c>
      <c r="H149" s="100">
        <v>30400</v>
      </c>
      <c r="I149" s="100">
        <v>30480</v>
      </c>
      <c r="J149" s="100">
        <v>30421</v>
      </c>
      <c r="K149" s="100">
        <v>1174100</v>
      </c>
      <c r="L149" s="100">
        <f t="shared" si="21"/>
        <v>156650915000</v>
      </c>
      <c r="M149" s="100">
        <f t="shared" si="22"/>
        <v>35717296100</v>
      </c>
      <c r="N149" s="102">
        <v>26666</v>
      </c>
      <c r="O149" s="102">
        <v>30785</v>
      </c>
      <c r="P149" s="102">
        <v>26838</v>
      </c>
      <c r="Q149" s="102">
        <v>30704</v>
      </c>
      <c r="R149" s="100"/>
      <c r="S149" s="100"/>
      <c r="T149" s="100"/>
      <c r="U149" s="100"/>
      <c r="V149" s="102">
        <v>27350</v>
      </c>
      <c r="X149" s="102">
        <v>27020</v>
      </c>
      <c r="Y149" s="102">
        <v>31466</v>
      </c>
      <c r="Z149" s="100"/>
      <c r="AA149" s="100"/>
      <c r="AB149" s="100"/>
      <c r="AC149" s="100"/>
      <c r="AD149" s="100"/>
      <c r="AE149" s="100"/>
      <c r="AF149" s="100"/>
      <c r="AG149" s="100"/>
      <c r="AH149" s="100"/>
      <c r="AI149" s="100"/>
      <c r="AJ149" s="100"/>
      <c r="AK149" s="100"/>
      <c r="AL149" s="100"/>
      <c r="AM149" s="100"/>
      <c r="AN149" s="100"/>
      <c r="AO149" s="100"/>
      <c r="AP149" s="100"/>
      <c r="AQ149" s="100"/>
      <c r="AR149" s="100"/>
      <c r="AS149" s="101"/>
      <c r="AT149" s="101"/>
      <c r="AU149" s="101"/>
      <c r="AV149" s="101"/>
      <c r="AW149" s="101"/>
      <c r="AX149" s="101"/>
      <c r="AY149" s="100"/>
      <c r="AZ149" s="100"/>
      <c r="BA149" s="100"/>
      <c r="BB149" s="100"/>
      <c r="BC149" s="100"/>
      <c r="BE149" s="103"/>
      <c r="BF149" s="103"/>
      <c r="BG149" s="103"/>
      <c r="BH149" s="103"/>
    </row>
    <row r="150" spans="1:62" s="102" customFormat="1" ht="21" customHeight="1">
      <c r="A150" s="98"/>
      <c r="B150" s="99" t="s">
        <v>407</v>
      </c>
      <c r="C150" s="100">
        <v>21</v>
      </c>
      <c r="D150" s="101">
        <v>26402</v>
      </c>
      <c r="E150" s="100">
        <v>26306</v>
      </c>
      <c r="F150" s="100">
        <v>26281</v>
      </c>
      <c r="G150" s="100">
        <v>8578700</v>
      </c>
      <c r="H150" s="100">
        <v>30480</v>
      </c>
      <c r="I150" s="100">
        <v>30106</v>
      </c>
      <c r="J150" s="100">
        <v>30342</v>
      </c>
      <c r="K150" s="100">
        <v>951900</v>
      </c>
      <c r="L150" s="100">
        <f t="shared" si="21"/>
        <v>225456814700</v>
      </c>
      <c r="M150" s="100">
        <f t="shared" si="22"/>
        <v>28882549800</v>
      </c>
      <c r="N150" s="102">
        <v>26569</v>
      </c>
      <c r="O150" s="102">
        <v>30407</v>
      </c>
      <c r="P150" s="102">
        <v>26666</v>
      </c>
      <c r="Q150" s="102">
        <v>30785</v>
      </c>
      <c r="R150" s="100"/>
      <c r="S150" s="100"/>
      <c r="T150" s="100"/>
      <c r="U150" s="100"/>
      <c r="V150" s="102">
        <v>26980</v>
      </c>
      <c r="X150" s="102">
        <v>27210</v>
      </c>
      <c r="Y150" s="102">
        <v>31246</v>
      </c>
      <c r="Z150" s="100"/>
      <c r="AA150" s="100"/>
      <c r="AB150" s="100"/>
      <c r="AC150" s="100"/>
      <c r="AD150" s="100"/>
      <c r="AE150" s="100"/>
      <c r="AF150" s="100"/>
      <c r="AG150" s="100"/>
      <c r="AH150" s="100"/>
      <c r="AI150" s="100"/>
      <c r="AJ150" s="100"/>
      <c r="AK150" s="100"/>
      <c r="AL150" s="100"/>
      <c r="AM150" s="100"/>
      <c r="AN150" s="100"/>
      <c r="AO150" s="100"/>
      <c r="AP150" s="100"/>
      <c r="AQ150" s="100"/>
      <c r="AR150" s="100"/>
      <c r="AS150" s="101"/>
      <c r="AT150" s="101"/>
      <c r="AU150" s="101"/>
      <c r="AV150" s="101"/>
      <c r="AW150" s="101"/>
      <c r="AX150" s="101"/>
      <c r="AY150" s="100"/>
      <c r="AZ150" s="100"/>
      <c r="BA150" s="100"/>
      <c r="BB150" s="100"/>
      <c r="BC150" s="100"/>
      <c r="BE150" s="103"/>
      <c r="BF150" s="103"/>
      <c r="BG150" s="103"/>
      <c r="BH150" s="103"/>
    </row>
    <row r="151" spans="1:62" s="102" customFormat="1" ht="21" customHeight="1">
      <c r="A151" s="98"/>
      <c r="B151" s="99" t="s">
        <v>409</v>
      </c>
      <c r="C151" s="100">
        <v>22</v>
      </c>
      <c r="D151" s="101">
        <v>26408</v>
      </c>
      <c r="E151" s="100">
        <v>26233</v>
      </c>
      <c r="F151" s="100">
        <v>26358</v>
      </c>
      <c r="G151" s="100">
        <v>6339700</v>
      </c>
      <c r="H151" s="100">
        <v>30500</v>
      </c>
      <c r="I151" s="100">
        <v>30105</v>
      </c>
      <c r="J151" s="100">
        <v>30157</v>
      </c>
      <c r="K151" s="100">
        <v>1066900</v>
      </c>
      <c r="L151" s="100">
        <f t="shared" si="21"/>
        <v>167101812600</v>
      </c>
      <c r="M151" s="100">
        <f t="shared" si="22"/>
        <v>32174503300</v>
      </c>
      <c r="N151" s="102">
        <v>26496</v>
      </c>
      <c r="O151" s="102">
        <v>30406</v>
      </c>
      <c r="P151" s="102">
        <v>26672</v>
      </c>
      <c r="Q151" s="102">
        <v>30805</v>
      </c>
      <c r="R151" s="100"/>
      <c r="S151" s="100"/>
      <c r="T151" s="100"/>
      <c r="U151" s="100"/>
      <c r="V151" s="102">
        <v>27220</v>
      </c>
      <c r="X151" s="102">
        <v>27100</v>
      </c>
      <c r="Y151" s="102">
        <v>31440</v>
      </c>
      <c r="Z151" s="100"/>
      <c r="AA151" s="100"/>
      <c r="AB151" s="100"/>
      <c r="AC151" s="100"/>
      <c r="AD151" s="100"/>
      <c r="AE151" s="100"/>
      <c r="AF151" s="100"/>
      <c r="AG151" s="100"/>
      <c r="AH151" s="100"/>
      <c r="AI151" s="100"/>
      <c r="AJ151" s="100"/>
      <c r="AK151" s="100"/>
      <c r="AL151" s="100"/>
      <c r="AM151" s="100"/>
      <c r="AN151" s="100"/>
      <c r="AO151" s="100"/>
      <c r="AP151" s="100"/>
      <c r="AQ151" s="100"/>
      <c r="AR151" s="100"/>
      <c r="AS151" s="101"/>
      <c r="AT151" s="101"/>
      <c r="AU151" s="101"/>
      <c r="AV151" s="101"/>
      <c r="AW151" s="101"/>
      <c r="AX151" s="101"/>
      <c r="AY151" s="100"/>
      <c r="AZ151" s="100"/>
      <c r="BA151" s="100"/>
      <c r="BB151" s="100"/>
      <c r="BC151" s="100"/>
      <c r="BE151" s="103"/>
      <c r="BF151" s="103"/>
      <c r="BG151" s="103"/>
      <c r="BH151" s="103"/>
    </row>
    <row r="152" spans="1:62" s="96" customFormat="1" ht="21" customHeight="1">
      <c r="A152" s="92"/>
      <c r="B152" s="93" t="s">
        <v>412</v>
      </c>
      <c r="C152" s="94">
        <v>24</v>
      </c>
      <c r="D152" s="95">
        <v>26426</v>
      </c>
      <c r="E152" s="94">
        <v>26300</v>
      </c>
      <c r="F152" s="94">
        <v>26338</v>
      </c>
      <c r="G152" s="94">
        <v>9095900</v>
      </c>
      <c r="H152" s="94">
        <v>30105</v>
      </c>
      <c r="I152" s="94">
        <v>30117</v>
      </c>
      <c r="J152" s="94">
        <v>30200</v>
      </c>
      <c r="K152" s="94">
        <v>1397100</v>
      </c>
      <c r="L152" s="94">
        <f t="shared" si="21"/>
        <v>239567814200</v>
      </c>
      <c r="M152" s="94">
        <f t="shared" si="22"/>
        <v>42192420000</v>
      </c>
      <c r="N152" s="96">
        <v>26563</v>
      </c>
      <c r="O152" s="96">
        <v>30418</v>
      </c>
      <c r="P152" s="96">
        <v>26691</v>
      </c>
      <c r="Q152" s="96">
        <v>30406</v>
      </c>
      <c r="R152" s="94"/>
      <c r="S152" s="94"/>
      <c r="T152" s="94"/>
      <c r="U152" s="94"/>
      <c r="V152" s="96">
        <v>27330</v>
      </c>
      <c r="X152" s="96">
        <v>27250</v>
      </c>
      <c r="Y152" s="96">
        <v>31564</v>
      </c>
      <c r="Z152" s="94"/>
      <c r="AA152" s="94"/>
      <c r="AB152" s="94"/>
      <c r="AC152" s="94"/>
      <c r="AD152" s="94"/>
      <c r="AE152" s="94"/>
      <c r="AF152" s="94"/>
      <c r="AG152" s="94"/>
      <c r="AH152" s="94"/>
      <c r="AI152" s="94"/>
      <c r="AJ152" s="94"/>
      <c r="AK152" s="94"/>
      <c r="AL152" s="94"/>
      <c r="AM152" s="94"/>
      <c r="AN152" s="94"/>
      <c r="AO152" s="94"/>
      <c r="AP152" s="94"/>
      <c r="AQ152" s="94"/>
      <c r="AR152" s="94"/>
      <c r="AS152" s="95"/>
      <c r="AT152" s="95"/>
      <c r="AU152" s="95"/>
      <c r="AV152" s="95"/>
      <c r="AW152" s="95"/>
      <c r="AX152" s="95"/>
      <c r="AY152" s="94"/>
      <c r="AZ152" s="94"/>
      <c r="BA152" s="94"/>
      <c r="BB152" s="94"/>
      <c r="BC152" s="94"/>
      <c r="BE152" s="97"/>
      <c r="BF152" s="97"/>
      <c r="BG152" s="97"/>
      <c r="BH152" s="97"/>
    </row>
    <row r="153" spans="1:62" s="96" customFormat="1" ht="21" customHeight="1">
      <c r="A153" s="92"/>
      <c r="B153" s="93" t="s">
        <v>414</v>
      </c>
      <c r="C153" s="94">
        <v>25</v>
      </c>
      <c r="D153" s="95">
        <v>26313</v>
      </c>
      <c r="E153" s="94">
        <v>26293</v>
      </c>
      <c r="F153" s="94">
        <v>26313</v>
      </c>
      <c r="G153" s="94">
        <v>8987200</v>
      </c>
      <c r="H153" s="94">
        <v>30146</v>
      </c>
      <c r="I153" s="94">
        <v>30146</v>
      </c>
      <c r="J153" s="94">
        <v>30137</v>
      </c>
      <c r="K153" s="94">
        <v>2310500</v>
      </c>
      <c r="L153" s="94">
        <f t="shared" si="21"/>
        <v>236480193600</v>
      </c>
      <c r="M153" s="94">
        <f t="shared" si="22"/>
        <v>69631538500</v>
      </c>
      <c r="N153" s="96">
        <v>26556</v>
      </c>
      <c r="O153" s="96">
        <v>30475</v>
      </c>
      <c r="P153" s="96">
        <v>26576</v>
      </c>
      <c r="Q153" s="96">
        <v>30448</v>
      </c>
      <c r="R153" s="94"/>
      <c r="S153" s="94"/>
      <c r="T153" s="94"/>
      <c r="U153" s="94"/>
      <c r="V153" s="96">
        <v>27240</v>
      </c>
      <c r="X153" s="96">
        <v>27150</v>
      </c>
      <c r="Y153" s="96">
        <v>31599</v>
      </c>
      <c r="Z153" s="94"/>
      <c r="AA153" s="94"/>
      <c r="AB153" s="94"/>
      <c r="AC153" s="94"/>
      <c r="AD153" s="94"/>
      <c r="AE153" s="94"/>
      <c r="AF153" s="94"/>
      <c r="AG153" s="94"/>
      <c r="AH153" s="94"/>
      <c r="AI153" s="94"/>
      <c r="AJ153" s="94"/>
      <c r="AK153" s="94"/>
      <c r="AL153" s="94"/>
      <c r="AM153" s="94"/>
      <c r="AN153" s="94"/>
      <c r="AO153" s="94"/>
      <c r="AP153" s="94"/>
      <c r="AQ153" s="94"/>
      <c r="AR153" s="94"/>
      <c r="AS153" s="95"/>
      <c r="AT153" s="95"/>
      <c r="AU153" s="95"/>
      <c r="AV153" s="95"/>
      <c r="AW153" s="95"/>
      <c r="AX153" s="95"/>
      <c r="AY153" s="94"/>
      <c r="AZ153" s="94"/>
      <c r="BA153" s="94"/>
      <c r="BB153" s="94"/>
      <c r="BC153" s="94"/>
      <c r="BE153" s="97"/>
      <c r="BF153" s="97"/>
      <c r="BG153" s="97"/>
      <c r="BH153" s="97"/>
    </row>
    <row r="154" spans="1:62" s="73" customFormat="1" ht="21" customHeight="1">
      <c r="A154" s="104"/>
      <c r="B154" s="105" t="s">
        <v>416</v>
      </c>
      <c r="C154" s="106">
        <v>26</v>
      </c>
      <c r="D154" s="107">
        <v>26260</v>
      </c>
      <c r="E154" s="106">
        <v>26389</v>
      </c>
      <c r="F154" s="106">
        <v>26265</v>
      </c>
      <c r="G154" s="106">
        <v>8590100</v>
      </c>
      <c r="H154" s="106">
        <v>30146</v>
      </c>
      <c r="I154" s="106">
        <v>30345</v>
      </c>
      <c r="J154" s="106">
        <v>30252</v>
      </c>
      <c r="K154" s="106">
        <v>2397900</v>
      </c>
      <c r="L154" s="106">
        <f t="shared" si="21"/>
        <v>225618976500</v>
      </c>
      <c r="M154" s="106">
        <f t="shared" si="22"/>
        <v>72541270800</v>
      </c>
      <c r="N154" s="73">
        <v>26653</v>
      </c>
      <c r="O154" s="73">
        <v>30649</v>
      </c>
      <c r="P154" s="73">
        <v>26522</v>
      </c>
      <c r="Q154" s="73">
        <v>30447</v>
      </c>
      <c r="R154" s="106"/>
      <c r="S154" s="106"/>
      <c r="T154" s="106"/>
      <c r="U154" s="106"/>
      <c r="V154" s="73">
        <v>27080</v>
      </c>
      <c r="X154" s="73">
        <v>27080</v>
      </c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7"/>
      <c r="AT154" s="107"/>
      <c r="AU154" s="107"/>
      <c r="AV154" s="107"/>
      <c r="AW154" s="107"/>
      <c r="AX154" s="107"/>
      <c r="AY154" s="106"/>
      <c r="AZ154" s="106"/>
      <c r="BA154" s="106"/>
      <c r="BB154" s="106"/>
      <c r="BC154" s="106"/>
      <c r="BE154" s="108"/>
      <c r="BF154" s="108"/>
      <c r="BG154" s="108"/>
      <c r="BH154" s="108"/>
    </row>
    <row r="155" spans="1:62" ht="18">
      <c r="A155" s="7"/>
      <c r="B155" s="8"/>
      <c r="C155" s="8"/>
      <c r="D155" s="26"/>
      <c r="E155" s="8"/>
      <c r="F155" s="8"/>
      <c r="G155" s="8">
        <f>SUM(G2:G149)/148</f>
        <v>6179374.9932432435</v>
      </c>
      <c r="H155" s="8"/>
      <c r="I155" s="8"/>
      <c r="J155" s="8"/>
      <c r="K155" s="8">
        <f>SUM(K2:K126)</f>
        <v>125564600</v>
      </c>
      <c r="L155" s="8">
        <f>SUM(L2:L147)</f>
        <v>22131275027709</v>
      </c>
      <c r="M155" s="9">
        <f>SUM(M2:M147)</f>
        <v>4038177022200</v>
      </c>
      <c r="N155" s="9"/>
      <c r="O155" s="9"/>
      <c r="P155" s="9"/>
      <c r="Q155" s="9"/>
      <c r="R155" s="9"/>
      <c r="S155" s="9"/>
      <c r="T155" s="9"/>
      <c r="U155" s="9"/>
      <c r="V155" s="59">
        <v>27070</v>
      </c>
      <c r="W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Y155" s="9"/>
      <c r="AZ155" s="9"/>
      <c r="BA155" s="9"/>
      <c r="BB155" s="9"/>
      <c r="BC155" s="9"/>
      <c r="BD155" s="9"/>
      <c r="BE155" s="10"/>
      <c r="BF155" s="10"/>
      <c r="BG155" s="10"/>
      <c r="BH155" s="10"/>
      <c r="BI155" t="e">
        <f>#REF!-N155</f>
        <v>#REF!</v>
      </c>
      <c r="BJ155" t="e">
        <f>(Y155-O155)/O155</f>
        <v>#DIV/0!</v>
      </c>
    </row>
    <row r="156" spans="1:62" ht="18">
      <c r="D156" s="26"/>
      <c r="V156" s="74">
        <v>27080</v>
      </c>
      <c r="Z156" s="25"/>
      <c r="AB156" s="25"/>
      <c r="AS156" s="25"/>
      <c r="AW156" s="30"/>
    </row>
    <row r="157" spans="1:62" ht="18">
      <c r="D157" s="26"/>
      <c r="Z157" s="25"/>
      <c r="AS157" s="26"/>
      <c r="AW157" s="30"/>
      <c r="AY157">
        <f>AY51-AY50</f>
        <v>35000</v>
      </c>
    </row>
    <row r="158" spans="1:62" ht="18">
      <c r="Z158" s="25"/>
      <c r="AS158" s="26">
        <v>10290000</v>
      </c>
      <c r="AW158" s="30"/>
      <c r="BB158">
        <f>AY60-AY59</f>
        <v>70000</v>
      </c>
    </row>
    <row r="159" spans="1:62" ht="18">
      <c r="F159">
        <f>(G155-G149)/G155</f>
        <v>4.0113279015155934E-2</v>
      </c>
      <c r="G159">
        <f>(G148-G155)/G155</f>
        <v>0.34049155603234549</v>
      </c>
      <c r="T159">
        <f>V137-X140</f>
        <v>-620</v>
      </c>
      <c r="V159" s="25"/>
      <c r="Z159" s="25"/>
      <c r="AS159" s="26"/>
      <c r="AU159">
        <f>AS158-AS49</f>
        <v>195000</v>
      </c>
      <c r="AW159" s="30">
        <f>AC52-AY51</f>
        <v>305000</v>
      </c>
    </row>
    <row r="160" spans="1:62" ht="18">
      <c r="V160" s="25"/>
      <c r="Z160" s="25"/>
      <c r="AW160" s="30"/>
    </row>
    <row r="161" spans="7:49" ht="17.25" customHeight="1">
      <c r="V161" s="25"/>
      <c r="Z161" s="25"/>
    </row>
    <row r="162" spans="7:49" ht="18">
      <c r="V162" s="25"/>
      <c r="Z162" s="25"/>
      <c r="AW162">
        <f>AW159/AY51</f>
        <v>2.9539951573849879E-2</v>
      </c>
    </row>
    <row r="163" spans="7:49" ht="18">
      <c r="V163" s="25"/>
    </row>
    <row r="164" spans="7:49" ht="18">
      <c r="V164" s="25"/>
    </row>
    <row r="168" spans="7:49" ht="18">
      <c r="G168" s="9">
        <v>8861800</v>
      </c>
    </row>
    <row r="169" spans="7:49" ht="18">
      <c r="G169" s="9">
        <v>8230700</v>
      </c>
    </row>
    <row r="170" spans="7:49" ht="18">
      <c r="G170" s="9">
        <v>8995300</v>
      </c>
    </row>
    <row r="171" spans="7:49" ht="18">
      <c r="G171" s="9">
        <v>10062100</v>
      </c>
    </row>
    <row r="172" spans="7:49" ht="18">
      <c r="G172" s="9">
        <v>8462400</v>
      </c>
    </row>
    <row r="173" spans="7:49">
      <c r="G173">
        <f>SUM(G168:G172)</f>
        <v>44612300</v>
      </c>
    </row>
  </sheetData>
  <autoFilter ref="A1:BL159"/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E493" zoomScale="40" zoomScaleNormal="40" workbookViewId="0">
      <selection activeCell="AN507" sqref="AN507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75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240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73" customFormat="1" ht="13.9" customHeight="1">
      <c r="A25" s="73" t="s">
        <v>243</v>
      </c>
      <c r="B25" s="73">
        <v>26454</v>
      </c>
      <c r="C25" s="73">
        <v>31241</v>
      </c>
      <c r="D25" s="73">
        <v>49009800</v>
      </c>
      <c r="E25" s="73">
        <f>D25/6</f>
        <v>8168300</v>
      </c>
      <c r="F25" s="73">
        <v>5396200</v>
      </c>
      <c r="G25" s="73">
        <f>F25/6</f>
        <v>899366.66666666663</v>
      </c>
      <c r="H25" s="73">
        <v>26771</v>
      </c>
      <c r="I25" s="73">
        <v>31595</v>
      </c>
      <c r="J25" s="73">
        <v>27390</v>
      </c>
      <c r="K25" s="73">
        <v>32329</v>
      </c>
    </row>
    <row r="26" spans="1:11" s="73" customFormat="1" ht="13.9" customHeight="1">
      <c r="A26" s="73" t="s">
        <v>244</v>
      </c>
      <c r="B26" s="73">
        <v>26352</v>
      </c>
      <c r="C26" s="73">
        <v>31168</v>
      </c>
      <c r="D26" s="73">
        <v>51940000</v>
      </c>
      <c r="E26" s="73">
        <f>D26/6</f>
        <v>8656666.666666666</v>
      </c>
      <c r="F26" s="73">
        <v>3588200</v>
      </c>
      <c r="G26" s="73">
        <f>F26/6</f>
        <v>598033.33333333337</v>
      </c>
      <c r="H26" s="73">
        <v>26613</v>
      </c>
      <c r="I26" s="73">
        <v>31493</v>
      </c>
      <c r="J26" s="73">
        <v>27443</v>
      </c>
      <c r="K26" s="73">
        <v>32192</v>
      </c>
    </row>
    <row r="27" spans="1:11" s="73" customFormat="1" ht="13.9" customHeight="1">
      <c r="A27" s="73" t="s">
        <v>245</v>
      </c>
      <c r="B27" s="73">
        <v>27044</v>
      </c>
      <c r="C27" s="73">
        <v>31502</v>
      </c>
      <c r="D27" s="73">
        <v>41694500</v>
      </c>
      <c r="E27" s="73">
        <f>D27/5</f>
        <v>8338900</v>
      </c>
      <c r="F27" s="73">
        <v>4104400</v>
      </c>
      <c r="G27" s="73">
        <f>F27/5</f>
        <v>820880</v>
      </c>
      <c r="H27" s="73">
        <v>27477</v>
      </c>
      <c r="I27" s="73">
        <v>32099</v>
      </c>
      <c r="J27" s="73">
        <v>27956</v>
      </c>
      <c r="K27" s="73">
        <v>32547</v>
      </c>
    </row>
    <row r="28" spans="1:11" s="73" customFormat="1" ht="13.9" customHeight="1">
      <c r="A28" s="73" t="s">
        <v>398</v>
      </c>
      <c r="B28" s="73">
        <v>27336</v>
      </c>
      <c r="C28" s="73">
        <v>31709</v>
      </c>
      <c r="D28" s="73">
        <v>25220200</v>
      </c>
      <c r="E28" s="73">
        <f>D28/4</f>
        <v>6305050</v>
      </c>
      <c r="F28" s="73">
        <v>2603900</v>
      </c>
      <c r="G28" s="73">
        <f>F28/4</f>
        <v>650975</v>
      </c>
      <c r="H28" s="73">
        <v>27595</v>
      </c>
      <c r="I28" s="73">
        <v>31880</v>
      </c>
      <c r="J28" s="73">
        <v>28052</v>
      </c>
      <c r="K28" s="73">
        <v>32567</v>
      </c>
    </row>
    <row r="29" spans="1:11" s="73" customFormat="1" ht="13.9" customHeight="1">
      <c r="A29" s="73" t="s">
        <v>411</v>
      </c>
      <c r="B29" s="73">
        <v>26563</v>
      </c>
      <c r="C29" s="73">
        <v>30553</v>
      </c>
      <c r="D29" s="73">
        <v>43687000</v>
      </c>
      <c r="E29" s="73">
        <f>D29/6</f>
        <v>7281166.666666667</v>
      </c>
      <c r="F29" s="73">
        <v>5993000</v>
      </c>
      <c r="G29" s="73">
        <f>F29/6</f>
        <v>998833.33333333337</v>
      </c>
      <c r="H29" s="73">
        <v>26765</v>
      </c>
      <c r="I29" s="73">
        <v>30811</v>
      </c>
      <c r="J29" s="73">
        <v>27350</v>
      </c>
      <c r="K29" s="73">
        <v>31679</v>
      </c>
    </row>
    <row r="30" spans="1:11">
      <c r="B30">
        <f>(B2-B8)/B2</f>
        <v>0.15346494762288476</v>
      </c>
      <c r="C30">
        <f>(C2-C8)/C2</f>
        <v>0.1154959674639829</v>
      </c>
      <c r="D30">
        <f>SUM(D2:D16)/15</f>
        <v>29639479.933333334</v>
      </c>
    </row>
    <row r="34" spans="3:7">
      <c r="D34">
        <v>5375132</v>
      </c>
      <c r="E34">
        <f>(E17-D34)/D34</f>
        <v>4.5958809321644006E-2</v>
      </c>
      <c r="G34">
        <f t="shared" ref="G34:G42" si="0">B3-B2</f>
        <v>-554</v>
      </c>
    </row>
    <row r="35" spans="3:7">
      <c r="G35">
        <f t="shared" si="0"/>
        <v>-302</v>
      </c>
    </row>
    <row r="36" spans="3:7">
      <c r="C36">
        <f>(D34-E16)/E16</f>
        <v>0.17110375179746395</v>
      </c>
      <c r="G36">
        <f t="shared" si="0"/>
        <v>-511</v>
      </c>
    </row>
    <row r="37" spans="3:7">
      <c r="G37">
        <f t="shared" si="0"/>
        <v>-362</v>
      </c>
    </row>
    <row r="38" spans="3:7">
      <c r="G38">
        <f t="shared" si="0"/>
        <v>-1699</v>
      </c>
    </row>
    <row r="39" spans="3:7">
      <c r="G39">
        <f t="shared" si="0"/>
        <v>-381</v>
      </c>
    </row>
    <row r="40" spans="3:7">
      <c r="G40">
        <f t="shared" si="0"/>
        <v>1075</v>
      </c>
    </row>
    <row r="41" spans="3:7">
      <c r="G41">
        <f t="shared" si="0"/>
        <v>151</v>
      </c>
    </row>
    <row r="42" spans="3:7">
      <c r="G42">
        <f t="shared" si="0"/>
        <v>1043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69"/>
  <sheetViews>
    <sheetView tabSelected="1" topLeftCell="A1051" zoomScale="85" zoomScaleNormal="85" workbookViewId="0">
      <selection activeCell="A1073" sqref="A1073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109" t="s">
        <v>246</v>
      </c>
      <c r="B1" s="109"/>
      <c r="C1" s="109"/>
      <c r="D1" s="109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76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7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8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76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76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7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7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9"/>
      <c r="B10" s="80"/>
      <c r="C10" s="80"/>
      <c r="D10" s="80"/>
    </row>
    <row r="11" spans="1:4">
      <c r="A11" s="109" t="s">
        <v>256</v>
      </c>
      <c r="B11" s="109"/>
      <c r="C11" s="109"/>
      <c r="D11" s="109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76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7" t="s">
        <v>251</v>
      </c>
      <c r="B14" s="10">
        <v>23940</v>
      </c>
      <c r="C14" s="10">
        <v>6570</v>
      </c>
      <c r="D14" s="10">
        <v>10600000</v>
      </c>
    </row>
    <row r="15" spans="1:4">
      <c r="A15" s="78" t="s">
        <v>252</v>
      </c>
      <c r="B15" s="10">
        <v>23950</v>
      </c>
      <c r="C15" s="10">
        <v>6580</v>
      </c>
      <c r="D15" s="10">
        <v>10610000</v>
      </c>
    </row>
    <row r="16" spans="1:4">
      <c r="A16" s="76" t="s">
        <v>253</v>
      </c>
      <c r="B16" s="10">
        <v>23920</v>
      </c>
      <c r="C16" s="10">
        <v>6560</v>
      </c>
      <c r="D16" s="10">
        <v>10600000</v>
      </c>
    </row>
    <row r="17" spans="1:6">
      <c r="A17" s="76">
        <v>0.625</v>
      </c>
      <c r="B17" s="10">
        <v>23920</v>
      </c>
      <c r="C17" s="10">
        <v>6560</v>
      </c>
      <c r="D17" s="10">
        <v>10620000</v>
      </c>
    </row>
    <row r="18" spans="1:6">
      <c r="A18" s="77" t="s">
        <v>254</v>
      </c>
      <c r="B18" s="10">
        <v>23920</v>
      </c>
      <c r="C18" s="10">
        <v>6560</v>
      </c>
      <c r="D18" s="10">
        <v>10610000</v>
      </c>
    </row>
    <row r="19" spans="1:6">
      <c r="A19" s="77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109" t="s">
        <v>258</v>
      </c>
      <c r="B21" s="109"/>
      <c r="C21" s="109"/>
      <c r="D21" s="109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76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7" t="s">
        <v>251</v>
      </c>
      <c r="B24" s="10">
        <v>23960</v>
      </c>
      <c r="C24" s="10">
        <v>6590</v>
      </c>
      <c r="D24" s="10">
        <v>10640000</v>
      </c>
    </row>
    <row r="25" spans="1:6">
      <c r="A25" s="78" t="s">
        <v>252</v>
      </c>
      <c r="B25" s="10">
        <v>24030</v>
      </c>
      <c r="C25" s="10">
        <v>6570</v>
      </c>
      <c r="D25" s="10">
        <v>10670000</v>
      </c>
    </row>
    <row r="26" spans="1:6">
      <c r="A26" s="76" t="s">
        <v>253</v>
      </c>
      <c r="B26" s="10">
        <v>24040</v>
      </c>
      <c r="C26" s="10">
        <v>6590</v>
      </c>
      <c r="D26" s="10">
        <v>10660000</v>
      </c>
    </row>
    <row r="27" spans="1:6">
      <c r="A27" s="76">
        <v>0.625</v>
      </c>
      <c r="B27" s="10">
        <v>24040</v>
      </c>
      <c r="C27" s="10">
        <v>6590</v>
      </c>
      <c r="D27" s="10">
        <v>10670000</v>
      </c>
    </row>
    <row r="28" spans="1:6">
      <c r="A28" s="77" t="s">
        <v>254</v>
      </c>
      <c r="B28" s="10">
        <v>24040</v>
      </c>
      <c r="C28" s="10">
        <v>6590</v>
      </c>
      <c r="D28" s="10">
        <v>10680000</v>
      </c>
    </row>
    <row r="29" spans="1:6">
      <c r="A29" s="77" t="s">
        <v>255</v>
      </c>
      <c r="B29" s="10">
        <v>24040</v>
      </c>
      <c r="C29" s="10">
        <v>6590</v>
      </c>
      <c r="D29" s="10">
        <v>10670000</v>
      </c>
    </row>
    <row r="31" spans="1:6">
      <c r="A31" s="109" t="s">
        <v>259</v>
      </c>
      <c r="B31" s="109"/>
      <c r="C31" s="109"/>
      <c r="D31" s="109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76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7" t="s">
        <v>251</v>
      </c>
      <c r="B34" s="10">
        <v>24150</v>
      </c>
      <c r="C34" s="10">
        <v>6600</v>
      </c>
      <c r="D34" s="10">
        <v>10670000</v>
      </c>
    </row>
    <row r="35" spans="1:4">
      <c r="A35" s="78" t="s">
        <v>252</v>
      </c>
      <c r="B35" s="10">
        <v>24110</v>
      </c>
      <c r="C35" s="10">
        <v>6620</v>
      </c>
      <c r="D35" s="10">
        <v>10680000</v>
      </c>
    </row>
    <row r="36" spans="1:4">
      <c r="A36" s="76" t="s">
        <v>253</v>
      </c>
      <c r="B36" s="10">
        <v>24130</v>
      </c>
      <c r="C36" s="10">
        <v>6600</v>
      </c>
      <c r="D36" s="10">
        <v>10710000</v>
      </c>
    </row>
    <row r="37" spans="1:4">
      <c r="A37" s="76">
        <v>0.625</v>
      </c>
      <c r="B37" s="10">
        <v>24090</v>
      </c>
      <c r="C37" s="10">
        <v>6610</v>
      </c>
      <c r="D37" s="10">
        <v>10750000</v>
      </c>
    </row>
    <row r="38" spans="1:4">
      <c r="A38" s="77" t="s">
        <v>254</v>
      </c>
      <c r="B38" s="10">
        <v>24110</v>
      </c>
      <c r="C38" s="10">
        <v>6620</v>
      </c>
      <c r="D38" s="10">
        <v>10770000</v>
      </c>
    </row>
    <row r="39" spans="1:4">
      <c r="A39" s="77" t="s">
        <v>255</v>
      </c>
      <c r="B39" s="10">
        <v>24110</v>
      </c>
      <c r="C39" s="10">
        <v>6620</v>
      </c>
      <c r="D39" s="10">
        <v>10750000</v>
      </c>
    </row>
    <row r="41" spans="1:4">
      <c r="A41" s="109" t="s">
        <v>260</v>
      </c>
      <c r="B41" s="109"/>
      <c r="C41" s="109"/>
      <c r="D41" s="109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76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7" t="s">
        <v>251</v>
      </c>
      <c r="B44" s="10">
        <v>24290</v>
      </c>
      <c r="C44" s="10">
        <v>6650</v>
      </c>
      <c r="D44" s="10">
        <v>10720000</v>
      </c>
    </row>
    <row r="45" spans="1:4">
      <c r="A45" s="78" t="s">
        <v>252</v>
      </c>
      <c r="B45" s="10">
        <v>24340</v>
      </c>
      <c r="C45" s="10">
        <v>6685</v>
      </c>
      <c r="D45" s="10">
        <v>10790000</v>
      </c>
    </row>
    <row r="46" spans="1:4">
      <c r="A46" s="76" t="s">
        <v>253</v>
      </c>
      <c r="B46" s="10">
        <v>24340</v>
      </c>
      <c r="C46" s="10">
        <v>6675</v>
      </c>
      <c r="D46" s="10">
        <v>10790000</v>
      </c>
    </row>
    <row r="47" spans="1:4">
      <c r="A47" s="76">
        <v>0.625</v>
      </c>
      <c r="B47" s="10" t="s">
        <v>261</v>
      </c>
      <c r="C47" s="10" t="s">
        <v>261</v>
      </c>
      <c r="D47" s="10" t="s">
        <v>261</v>
      </c>
    </row>
    <row r="48" spans="1:4">
      <c r="A48" s="77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7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109" t="s">
        <v>262</v>
      </c>
      <c r="B51" s="109"/>
      <c r="C51" s="109"/>
      <c r="D51" s="109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76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7" t="s">
        <v>251</v>
      </c>
      <c r="B54" s="10">
        <v>24280</v>
      </c>
      <c r="C54" s="10">
        <v>6660</v>
      </c>
      <c r="D54" s="10">
        <v>10600000</v>
      </c>
    </row>
    <row r="55" spans="1:11">
      <c r="A55" s="78" t="s">
        <v>252</v>
      </c>
      <c r="B55" s="10">
        <v>24000</v>
      </c>
      <c r="C55" s="10">
        <v>6610</v>
      </c>
      <c r="D55" s="10">
        <v>10500000</v>
      </c>
    </row>
    <row r="56" spans="1:11">
      <c r="A56" s="76" t="s">
        <v>253</v>
      </c>
      <c r="B56" s="10">
        <v>24000</v>
      </c>
      <c r="C56" s="10">
        <v>6560</v>
      </c>
      <c r="D56" s="10">
        <v>10260000</v>
      </c>
    </row>
    <row r="57" spans="1:11">
      <c r="A57" s="76">
        <v>0.625</v>
      </c>
      <c r="B57" s="10">
        <v>24000</v>
      </c>
      <c r="C57" s="10">
        <v>6550</v>
      </c>
      <c r="D57" s="10">
        <v>10280000</v>
      </c>
    </row>
    <row r="58" spans="1:11">
      <c r="A58" s="77" t="s">
        <v>254</v>
      </c>
      <c r="B58" s="10">
        <v>24000</v>
      </c>
      <c r="C58" s="10">
        <v>6550</v>
      </c>
      <c r="D58" s="10">
        <v>10300000</v>
      </c>
    </row>
    <row r="59" spans="1:11">
      <c r="A59" s="77" t="s">
        <v>255</v>
      </c>
      <c r="B59" s="10">
        <v>24000</v>
      </c>
      <c r="C59" s="10">
        <v>6570</v>
      </c>
      <c r="D59" s="10">
        <v>10210000</v>
      </c>
    </row>
    <row r="61" spans="1:11">
      <c r="A61" s="109" t="s">
        <v>263</v>
      </c>
      <c r="B61" s="109"/>
      <c r="C61" s="109"/>
      <c r="D61" s="109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76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7" t="s">
        <v>251</v>
      </c>
      <c r="B64" s="10">
        <v>23630</v>
      </c>
      <c r="C64" s="10">
        <v>6550</v>
      </c>
      <c r="D64" s="10">
        <v>10230000</v>
      </c>
    </row>
    <row r="65" spans="1:4">
      <c r="A65" s="78" t="s">
        <v>252</v>
      </c>
      <c r="B65" s="10">
        <v>23740</v>
      </c>
      <c r="C65" s="10">
        <v>6495</v>
      </c>
      <c r="D65" s="10">
        <v>10240000</v>
      </c>
    </row>
    <row r="66" spans="1:4">
      <c r="A66" s="76" t="s">
        <v>253</v>
      </c>
      <c r="B66" s="10">
        <v>23740</v>
      </c>
      <c r="C66" s="10">
        <v>6530</v>
      </c>
      <c r="D66" s="10">
        <v>10210000</v>
      </c>
    </row>
    <row r="67" spans="1:4">
      <c r="A67" s="76">
        <v>0.625</v>
      </c>
      <c r="B67" s="10">
        <v>23740</v>
      </c>
      <c r="C67" s="10">
        <v>6520</v>
      </c>
      <c r="D67" s="10">
        <v>10260000</v>
      </c>
    </row>
    <row r="68" spans="1:4">
      <c r="A68" s="77" t="s">
        <v>254</v>
      </c>
      <c r="B68" s="10">
        <v>23740</v>
      </c>
      <c r="C68" s="10">
        <v>6520</v>
      </c>
      <c r="D68" s="10">
        <v>10265000</v>
      </c>
    </row>
    <row r="69" spans="1:4">
      <c r="A69" s="77" t="s">
        <v>255</v>
      </c>
      <c r="B69" s="10">
        <v>23740</v>
      </c>
      <c r="C69" s="10">
        <v>6520</v>
      </c>
      <c r="D69" s="10">
        <v>10180000</v>
      </c>
    </row>
    <row r="71" spans="1:4">
      <c r="A71" s="109" t="s">
        <v>264</v>
      </c>
      <c r="B71" s="109"/>
      <c r="C71" s="109"/>
      <c r="D71" s="109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76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7" t="s">
        <v>251</v>
      </c>
      <c r="B74" s="10">
        <v>23880</v>
      </c>
      <c r="C74" s="10">
        <v>6580</v>
      </c>
      <c r="D74" s="10">
        <v>10280000</v>
      </c>
    </row>
    <row r="75" spans="1:4">
      <c r="A75" s="78" t="s">
        <v>252</v>
      </c>
      <c r="B75" s="10">
        <v>24000</v>
      </c>
      <c r="C75" s="10">
        <v>6580</v>
      </c>
      <c r="D75" s="10">
        <v>10330000</v>
      </c>
    </row>
    <row r="76" spans="1:4">
      <c r="A76" s="76" t="s">
        <v>253</v>
      </c>
      <c r="B76" s="10">
        <v>23930</v>
      </c>
      <c r="C76" s="10">
        <v>6580</v>
      </c>
      <c r="D76" s="10">
        <v>10290000</v>
      </c>
    </row>
    <row r="77" spans="1:4">
      <c r="A77" s="76">
        <v>0.625</v>
      </c>
      <c r="B77" s="10">
        <v>23930</v>
      </c>
      <c r="C77" s="10">
        <v>6570</v>
      </c>
      <c r="D77" s="10">
        <v>10380000</v>
      </c>
    </row>
    <row r="78" spans="1:4">
      <c r="A78" s="77" t="s">
        <v>254</v>
      </c>
      <c r="B78" s="10">
        <v>23930</v>
      </c>
      <c r="C78" s="10">
        <v>6560</v>
      </c>
      <c r="D78" s="10">
        <v>10360000</v>
      </c>
    </row>
    <row r="79" spans="1:4">
      <c r="A79" s="77" t="s">
        <v>255</v>
      </c>
      <c r="B79" s="10">
        <v>23930</v>
      </c>
      <c r="C79" s="10">
        <v>6560</v>
      </c>
      <c r="D79" s="10">
        <v>10330000</v>
      </c>
    </row>
    <row r="81" spans="1:5">
      <c r="A81" s="109" t="s">
        <v>265</v>
      </c>
      <c r="B81" s="109"/>
      <c r="C81" s="109"/>
      <c r="D81" s="109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76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7" t="s">
        <v>251</v>
      </c>
      <c r="B84" s="10">
        <v>24210</v>
      </c>
      <c r="C84" s="10">
        <v>6620</v>
      </c>
      <c r="D84" s="10">
        <v>10390000</v>
      </c>
    </row>
    <row r="85" spans="1:5">
      <c r="A85" s="78" t="s">
        <v>252</v>
      </c>
      <c r="B85" s="10">
        <v>24160</v>
      </c>
      <c r="C85" s="10">
        <v>6615</v>
      </c>
      <c r="D85" s="10">
        <v>10400000</v>
      </c>
    </row>
    <row r="86" spans="1:5">
      <c r="A86" s="76" t="s">
        <v>253</v>
      </c>
      <c r="B86" s="10">
        <v>24220</v>
      </c>
      <c r="C86" s="10">
        <v>6640</v>
      </c>
      <c r="D86" s="10">
        <v>10410000</v>
      </c>
    </row>
    <row r="87" spans="1:5">
      <c r="A87" s="76">
        <v>0.625</v>
      </c>
      <c r="B87" s="10">
        <v>24220</v>
      </c>
      <c r="C87" s="10">
        <v>6640</v>
      </c>
      <c r="D87" s="10">
        <v>10420000</v>
      </c>
    </row>
    <row r="88" spans="1:5">
      <c r="A88" s="77" t="s">
        <v>254</v>
      </c>
      <c r="B88" s="10">
        <v>24220</v>
      </c>
      <c r="C88" s="10">
        <v>6640</v>
      </c>
      <c r="D88" s="10">
        <v>10420000</v>
      </c>
    </row>
    <row r="89" spans="1:5">
      <c r="A89" s="77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109" t="s">
        <v>269</v>
      </c>
      <c r="B93" s="109"/>
      <c r="C93" s="109"/>
      <c r="D93" s="109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76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7" t="s">
        <v>251</v>
      </c>
      <c r="B96" s="10">
        <v>24370</v>
      </c>
      <c r="C96" s="10">
        <v>6685</v>
      </c>
      <c r="D96" s="10">
        <v>10530000</v>
      </c>
    </row>
    <row r="97" spans="1:6">
      <c r="A97" s="78" t="s">
        <v>252</v>
      </c>
      <c r="B97" s="10">
        <v>24500</v>
      </c>
      <c r="C97" s="10">
        <v>6740</v>
      </c>
      <c r="D97" s="10">
        <v>10520000</v>
      </c>
    </row>
    <row r="98" spans="1:6">
      <c r="A98" s="76" t="s">
        <v>253</v>
      </c>
      <c r="B98" s="10">
        <v>24450</v>
      </c>
      <c r="C98" s="10">
        <v>6710</v>
      </c>
      <c r="D98" s="10">
        <v>10560000</v>
      </c>
    </row>
    <row r="99" spans="1:6">
      <c r="A99" s="76">
        <v>0.625</v>
      </c>
      <c r="B99" s="10">
        <v>24450</v>
      </c>
      <c r="C99" s="10">
        <v>6700</v>
      </c>
      <c r="D99" s="10">
        <v>10550000</v>
      </c>
    </row>
    <row r="100" spans="1:6">
      <c r="A100" s="77" t="s">
        <v>254</v>
      </c>
      <c r="B100" s="10">
        <v>24450</v>
      </c>
      <c r="C100" s="10">
        <v>6710</v>
      </c>
      <c r="D100" s="10">
        <v>10560000</v>
      </c>
    </row>
    <row r="101" spans="1:6">
      <c r="A101" s="77" t="s">
        <v>255</v>
      </c>
      <c r="B101" s="10">
        <v>24450</v>
      </c>
      <c r="C101" s="10">
        <v>6710</v>
      </c>
      <c r="D101" s="10">
        <v>10540000</v>
      </c>
    </row>
    <row r="103" spans="1:6">
      <c r="A103" s="109" t="s">
        <v>270</v>
      </c>
      <c r="B103" s="109"/>
      <c r="C103" s="109"/>
      <c r="D103" s="109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76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7" t="s">
        <v>251</v>
      </c>
      <c r="B106" s="10">
        <v>24400</v>
      </c>
      <c r="C106" s="10">
        <v>6685</v>
      </c>
      <c r="D106" s="10">
        <v>10500000</v>
      </c>
    </row>
    <row r="107" spans="1:6">
      <c r="A107" s="78" t="s">
        <v>252</v>
      </c>
      <c r="B107" s="10">
        <v>24340</v>
      </c>
      <c r="C107" s="10">
        <v>6680</v>
      </c>
      <c r="D107" s="10">
        <v>10470000</v>
      </c>
    </row>
    <row r="108" spans="1:6">
      <c r="A108" s="76" t="s">
        <v>253</v>
      </c>
      <c r="B108" s="10">
        <v>24400</v>
      </c>
      <c r="C108" s="10">
        <v>6695</v>
      </c>
      <c r="D108" s="10">
        <v>10510000</v>
      </c>
    </row>
    <row r="109" spans="1:6">
      <c r="A109" s="76">
        <v>0.625</v>
      </c>
      <c r="B109" s="10">
        <v>24400</v>
      </c>
      <c r="C109" s="10">
        <v>6700</v>
      </c>
      <c r="D109" s="10">
        <v>10520000</v>
      </c>
    </row>
    <row r="110" spans="1:6">
      <c r="A110" s="77" t="s">
        <v>254</v>
      </c>
      <c r="B110" s="10">
        <v>24400</v>
      </c>
      <c r="C110" s="10">
        <v>6700</v>
      </c>
      <c r="D110" s="10">
        <v>10500000</v>
      </c>
    </row>
    <row r="111" spans="1:6">
      <c r="A111" s="77" t="s">
        <v>255</v>
      </c>
      <c r="B111" s="10">
        <v>24400</v>
      </c>
      <c r="C111" s="10">
        <v>6700</v>
      </c>
      <c r="D111" s="10">
        <v>10540000</v>
      </c>
    </row>
    <row r="113" spans="1:5">
      <c r="A113" s="109" t="s">
        <v>272</v>
      </c>
      <c r="B113" s="109"/>
      <c r="C113" s="109"/>
      <c r="D113" s="109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76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7" t="s">
        <v>251</v>
      </c>
      <c r="B116" s="10">
        <v>24640</v>
      </c>
      <c r="C116" s="10">
        <v>6760</v>
      </c>
      <c r="D116" s="10">
        <v>10660000</v>
      </c>
    </row>
    <row r="117" spans="1:5">
      <c r="A117" s="78" t="s">
        <v>252</v>
      </c>
      <c r="B117" s="10">
        <v>24720</v>
      </c>
      <c r="C117" s="10">
        <v>6785</v>
      </c>
      <c r="D117" s="10">
        <v>10720000</v>
      </c>
    </row>
    <row r="118" spans="1:5">
      <c r="A118" s="76" t="s">
        <v>253</v>
      </c>
      <c r="B118" s="10">
        <v>24760</v>
      </c>
      <c r="C118" s="10">
        <v>6795</v>
      </c>
      <c r="D118" s="10">
        <v>10700000</v>
      </c>
    </row>
    <row r="119" spans="1:5">
      <c r="A119" s="76">
        <v>0.625</v>
      </c>
      <c r="B119" s="10">
        <v>24740</v>
      </c>
      <c r="C119" s="10">
        <v>6800</v>
      </c>
      <c r="D119" s="10">
        <v>10720000</v>
      </c>
    </row>
    <row r="120" spans="1:5">
      <c r="A120" s="77" t="s">
        <v>254</v>
      </c>
      <c r="B120" s="10">
        <v>24740</v>
      </c>
      <c r="C120" s="10">
        <v>6800</v>
      </c>
      <c r="D120" s="10">
        <v>10700000</v>
      </c>
    </row>
    <row r="121" spans="1:5">
      <c r="A121" s="77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109" t="s">
        <v>273</v>
      </c>
      <c r="B123" s="109"/>
      <c r="C123" s="109"/>
      <c r="D123" s="109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76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7" t="s">
        <v>251</v>
      </c>
      <c r="B126" s="10">
        <v>25000</v>
      </c>
      <c r="C126" s="10">
        <v>6850</v>
      </c>
      <c r="D126" s="10">
        <v>10800000</v>
      </c>
    </row>
    <row r="127" spans="1:5">
      <c r="A127" s="78" t="s">
        <v>252</v>
      </c>
      <c r="B127" s="10">
        <v>25060</v>
      </c>
      <c r="C127" s="10">
        <v>6880</v>
      </c>
      <c r="D127" s="10">
        <v>10830000</v>
      </c>
    </row>
    <row r="128" spans="1:5">
      <c r="A128" s="76" t="s">
        <v>253</v>
      </c>
      <c r="B128" s="10">
        <v>25110</v>
      </c>
      <c r="C128" s="10">
        <v>6920</v>
      </c>
      <c r="D128" s="10">
        <v>10810000</v>
      </c>
    </row>
    <row r="129" spans="1:4">
      <c r="A129" s="76">
        <v>0.625</v>
      </c>
      <c r="B129" s="10">
        <v>25130</v>
      </c>
      <c r="C129" s="10">
        <v>6890</v>
      </c>
      <c r="D129" s="10">
        <v>10800000</v>
      </c>
    </row>
    <row r="130" spans="1:4">
      <c r="A130" s="77" t="s">
        <v>254</v>
      </c>
      <c r="B130" s="10">
        <v>25130</v>
      </c>
      <c r="C130" s="10">
        <v>6885</v>
      </c>
      <c r="D130" s="10">
        <v>10780000</v>
      </c>
    </row>
    <row r="131" spans="1:4">
      <c r="A131" s="77" t="s">
        <v>255</v>
      </c>
      <c r="B131" s="10">
        <v>25130</v>
      </c>
      <c r="C131" s="10">
        <v>6885</v>
      </c>
      <c r="D131" s="10">
        <v>10830000</v>
      </c>
    </row>
    <row r="133" spans="1:4">
      <c r="A133" s="109" t="s">
        <v>274</v>
      </c>
      <c r="B133" s="109"/>
      <c r="C133" s="109"/>
      <c r="D133" s="109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76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7" t="s">
        <v>251</v>
      </c>
      <c r="B136" s="10">
        <v>25120</v>
      </c>
      <c r="C136" s="10">
        <v>6900</v>
      </c>
      <c r="D136" s="10">
        <v>10780000</v>
      </c>
    </row>
    <row r="137" spans="1:4">
      <c r="A137" s="78" t="s">
        <v>252</v>
      </c>
      <c r="B137" s="10">
        <v>25230</v>
      </c>
      <c r="C137" s="10">
        <v>6890</v>
      </c>
      <c r="D137" s="10">
        <v>10810000</v>
      </c>
    </row>
    <row r="138" spans="1:4">
      <c r="A138" s="76" t="s">
        <v>253</v>
      </c>
      <c r="B138" s="10">
        <v>25260</v>
      </c>
      <c r="C138" s="10">
        <v>6920</v>
      </c>
      <c r="D138" s="10">
        <v>10840000</v>
      </c>
    </row>
    <row r="139" spans="1:4">
      <c r="A139" s="76">
        <v>0.625</v>
      </c>
      <c r="B139" s="10">
        <v>25270</v>
      </c>
      <c r="C139" s="10">
        <v>6900</v>
      </c>
      <c r="D139" s="10">
        <v>10830000</v>
      </c>
    </row>
    <row r="140" spans="1:4">
      <c r="A140" s="77" t="s">
        <v>254</v>
      </c>
      <c r="B140" s="10">
        <v>25270</v>
      </c>
      <c r="C140" s="10">
        <v>6900</v>
      </c>
      <c r="D140" s="10">
        <v>10840000</v>
      </c>
    </row>
    <row r="141" spans="1:4">
      <c r="A141" s="77" t="s">
        <v>255</v>
      </c>
      <c r="B141" s="10">
        <v>25270</v>
      </c>
      <c r="C141" s="10">
        <v>6900</v>
      </c>
      <c r="D141" s="10">
        <v>10830000</v>
      </c>
    </row>
    <row r="143" spans="1:4">
      <c r="A143" s="109" t="s">
        <v>275</v>
      </c>
      <c r="B143" s="109"/>
      <c r="C143" s="109"/>
      <c r="D143" s="109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76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7" t="s">
        <v>251</v>
      </c>
      <c r="B146" s="10">
        <v>25250</v>
      </c>
      <c r="C146" s="10">
        <v>6890</v>
      </c>
      <c r="D146" s="10">
        <v>10810000</v>
      </c>
    </row>
    <row r="147" spans="1:7">
      <c r="A147" s="78" t="s">
        <v>252</v>
      </c>
      <c r="B147" s="10">
        <v>25210</v>
      </c>
      <c r="C147" s="10">
        <v>6890</v>
      </c>
      <c r="D147" s="10">
        <v>10800000</v>
      </c>
    </row>
    <row r="148" spans="1:7">
      <c r="A148" s="76" t="s">
        <v>253</v>
      </c>
      <c r="B148" s="10">
        <v>25190</v>
      </c>
      <c r="C148" s="10">
        <v>6855</v>
      </c>
      <c r="D148" s="10">
        <v>10790000</v>
      </c>
    </row>
    <row r="149" spans="1:7">
      <c r="A149" s="76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7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7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109" t="s">
        <v>277</v>
      </c>
      <c r="B153" s="109"/>
      <c r="C153" s="109"/>
      <c r="D153" s="109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76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7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8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76" t="s">
        <v>253</v>
      </c>
      <c r="B158" s="10">
        <v>25190</v>
      </c>
      <c r="C158" s="10">
        <v>6890</v>
      </c>
      <c r="D158" s="10">
        <v>10750000</v>
      </c>
    </row>
    <row r="159" spans="1:7">
      <c r="A159" s="76">
        <v>0.625</v>
      </c>
      <c r="B159" s="10">
        <v>25190</v>
      </c>
      <c r="C159" s="10">
        <v>6870</v>
      </c>
      <c r="D159" s="10">
        <v>10740000</v>
      </c>
    </row>
    <row r="160" spans="1:7">
      <c r="A160" s="77" t="s">
        <v>254</v>
      </c>
      <c r="B160" s="10">
        <v>25190</v>
      </c>
      <c r="C160" s="10">
        <v>6870</v>
      </c>
      <c r="D160" s="10">
        <v>10750000</v>
      </c>
    </row>
    <row r="161" spans="1:4">
      <c r="A161" s="77" t="s">
        <v>255</v>
      </c>
      <c r="B161" s="10">
        <v>25190</v>
      </c>
      <c r="C161" s="10">
        <v>6870</v>
      </c>
      <c r="D161" s="10">
        <v>10750000</v>
      </c>
    </row>
    <row r="163" spans="1:4">
      <c r="A163" s="109" t="s">
        <v>278</v>
      </c>
      <c r="B163" s="109"/>
      <c r="C163" s="109"/>
      <c r="D163" s="109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76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7" t="s">
        <v>251</v>
      </c>
      <c r="B166" s="10">
        <v>25310</v>
      </c>
      <c r="C166" s="10">
        <v>6920</v>
      </c>
      <c r="D166" s="10">
        <v>10790000</v>
      </c>
    </row>
    <row r="167" spans="1:4">
      <c r="A167" s="78" t="s">
        <v>252</v>
      </c>
      <c r="B167" s="10">
        <v>25260</v>
      </c>
      <c r="C167" s="10">
        <v>6900</v>
      </c>
      <c r="D167" s="10">
        <v>10780000</v>
      </c>
    </row>
    <row r="168" spans="1:4">
      <c r="A168" s="76" t="s">
        <v>253</v>
      </c>
      <c r="B168" s="10">
        <v>25250</v>
      </c>
      <c r="C168" s="10">
        <v>6885</v>
      </c>
      <c r="D168" s="10">
        <v>10750000</v>
      </c>
    </row>
    <row r="169" spans="1:4">
      <c r="A169" s="76">
        <v>0.625</v>
      </c>
      <c r="B169" s="10">
        <v>25180</v>
      </c>
      <c r="C169" s="10">
        <v>6905</v>
      </c>
      <c r="D169" s="10">
        <v>10750000</v>
      </c>
    </row>
    <row r="170" spans="1:4">
      <c r="A170" s="77" t="s">
        <v>254</v>
      </c>
      <c r="B170" s="10">
        <v>25180</v>
      </c>
      <c r="C170" s="10">
        <v>6895</v>
      </c>
      <c r="D170" s="10">
        <v>10760000</v>
      </c>
    </row>
    <row r="171" spans="1:4">
      <c r="A171" s="77" t="s">
        <v>255</v>
      </c>
      <c r="B171" s="10">
        <v>25180</v>
      </c>
      <c r="C171" s="10">
        <v>6895</v>
      </c>
      <c r="D171" s="10">
        <v>10750000</v>
      </c>
    </row>
    <row r="173" spans="1:4">
      <c r="A173" s="109" t="s">
        <v>279</v>
      </c>
      <c r="B173" s="109"/>
      <c r="C173" s="109"/>
      <c r="D173" s="109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76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7" t="s">
        <v>251</v>
      </c>
      <c r="B176" s="10">
        <v>25100</v>
      </c>
      <c r="C176" s="10">
        <v>6875</v>
      </c>
      <c r="D176" s="10">
        <v>10660000</v>
      </c>
    </row>
    <row r="177" spans="1:7">
      <c r="A177" s="78" t="s">
        <v>252</v>
      </c>
      <c r="B177" s="10">
        <v>25000</v>
      </c>
      <c r="C177" s="10">
        <v>6860</v>
      </c>
      <c r="D177" s="10">
        <v>10590000</v>
      </c>
    </row>
    <row r="178" spans="1:7">
      <c r="A178" s="76" t="s">
        <v>253</v>
      </c>
      <c r="B178" s="10">
        <v>24970</v>
      </c>
      <c r="C178" s="10">
        <v>6835</v>
      </c>
      <c r="D178" s="10">
        <v>10590000</v>
      </c>
    </row>
    <row r="179" spans="1:7">
      <c r="A179" s="76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7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7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109" t="s">
        <v>280</v>
      </c>
      <c r="B183" s="109"/>
      <c r="C183" s="109"/>
      <c r="D183" s="109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76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7" t="s">
        <v>251</v>
      </c>
      <c r="B186" s="10">
        <v>25110</v>
      </c>
      <c r="C186" s="10">
        <v>6860</v>
      </c>
      <c r="D186" s="10">
        <v>10720000</v>
      </c>
    </row>
    <row r="187" spans="1:7">
      <c r="A187" s="78" t="s">
        <v>252</v>
      </c>
      <c r="B187" s="10">
        <v>25070</v>
      </c>
      <c r="C187" s="10">
        <v>6860</v>
      </c>
      <c r="D187" s="10">
        <v>10700000</v>
      </c>
    </row>
    <row r="188" spans="1:7">
      <c r="A188" s="76" t="s">
        <v>253</v>
      </c>
      <c r="B188" s="10">
        <v>25110</v>
      </c>
      <c r="C188" s="10">
        <v>6870</v>
      </c>
      <c r="D188" s="10">
        <v>10720000</v>
      </c>
    </row>
    <row r="189" spans="1:7">
      <c r="A189" s="76">
        <v>0.625</v>
      </c>
      <c r="B189" s="10">
        <v>25110</v>
      </c>
      <c r="C189" s="10">
        <v>6880</v>
      </c>
      <c r="D189" s="10">
        <v>10720000</v>
      </c>
    </row>
    <row r="190" spans="1:7">
      <c r="A190" s="77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7" t="s">
        <v>255</v>
      </c>
      <c r="B191" s="10">
        <v>25110</v>
      </c>
      <c r="C191" s="10">
        <v>6880</v>
      </c>
      <c r="D191" s="10">
        <v>10720000</v>
      </c>
    </row>
    <row r="193" spans="1:4">
      <c r="A193" s="109" t="s">
        <v>281</v>
      </c>
      <c r="B193" s="109"/>
      <c r="C193" s="109"/>
      <c r="D193" s="109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76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7" t="s">
        <v>251</v>
      </c>
      <c r="B196" s="10">
        <v>24980</v>
      </c>
      <c r="C196" s="10">
        <v>6840</v>
      </c>
      <c r="D196" s="10">
        <v>10640000</v>
      </c>
    </row>
    <row r="197" spans="1:4">
      <c r="A197" s="78" t="s">
        <v>252</v>
      </c>
      <c r="B197" s="10">
        <v>24940</v>
      </c>
      <c r="C197" s="10">
        <v>6840</v>
      </c>
      <c r="D197" s="10">
        <v>10650000</v>
      </c>
    </row>
    <row r="198" spans="1:4">
      <c r="A198" s="76" t="s">
        <v>253</v>
      </c>
      <c r="B198" s="10">
        <v>24900</v>
      </c>
      <c r="C198" s="10">
        <v>6840</v>
      </c>
      <c r="D198" s="10">
        <v>10650000</v>
      </c>
    </row>
    <row r="199" spans="1:4">
      <c r="A199" s="76">
        <v>0.625</v>
      </c>
      <c r="B199" s="10">
        <v>24900</v>
      </c>
      <c r="C199" s="10">
        <v>6840</v>
      </c>
      <c r="D199" s="10">
        <v>10670000</v>
      </c>
    </row>
    <row r="200" spans="1:4">
      <c r="A200" s="77" t="s">
        <v>254</v>
      </c>
      <c r="B200" s="10">
        <v>24900</v>
      </c>
      <c r="C200" s="10">
        <v>6840</v>
      </c>
      <c r="D200" s="10">
        <v>10650000</v>
      </c>
    </row>
    <row r="201" spans="1:4">
      <c r="A201" s="77" t="s">
        <v>255</v>
      </c>
      <c r="B201" s="10">
        <v>24900</v>
      </c>
      <c r="C201" s="10">
        <v>6840</v>
      </c>
      <c r="D201" s="10">
        <v>10660000</v>
      </c>
    </row>
    <row r="203" spans="1:4">
      <c r="A203" s="109" t="s">
        <v>282</v>
      </c>
      <c r="B203" s="109"/>
      <c r="C203" s="109"/>
      <c r="D203" s="109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76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7" t="s">
        <v>251</v>
      </c>
      <c r="B206" s="10">
        <v>25000</v>
      </c>
      <c r="C206" s="10">
        <v>6830</v>
      </c>
      <c r="D206" s="10">
        <v>10690000</v>
      </c>
    </row>
    <row r="207" spans="1:4">
      <c r="A207" s="78" t="s">
        <v>252</v>
      </c>
      <c r="B207" s="10">
        <v>24970</v>
      </c>
      <c r="C207" s="10">
        <v>6830</v>
      </c>
      <c r="D207" s="10">
        <v>10710000</v>
      </c>
    </row>
    <row r="208" spans="1:4">
      <c r="A208" s="76" t="s">
        <v>253</v>
      </c>
      <c r="B208" s="10">
        <v>24970</v>
      </c>
      <c r="C208" s="10">
        <v>6820</v>
      </c>
      <c r="D208" s="10">
        <v>10720000</v>
      </c>
    </row>
    <row r="209" spans="1:4">
      <c r="A209" s="76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7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7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109" t="s">
        <v>283</v>
      </c>
      <c r="B213" s="109"/>
      <c r="C213" s="109"/>
      <c r="D213" s="109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76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7" t="s">
        <v>251</v>
      </c>
      <c r="B216" s="10">
        <v>24900</v>
      </c>
      <c r="C216" s="10">
        <v>6840</v>
      </c>
      <c r="D216" s="10">
        <v>10690000</v>
      </c>
    </row>
    <row r="217" spans="1:4">
      <c r="A217" s="78" t="s">
        <v>252</v>
      </c>
      <c r="B217" s="10">
        <v>24930</v>
      </c>
      <c r="C217" s="10">
        <v>6820</v>
      </c>
      <c r="D217" s="10">
        <v>10670000</v>
      </c>
    </row>
    <row r="218" spans="1:4">
      <c r="A218" s="76" t="s">
        <v>253</v>
      </c>
      <c r="B218" s="10">
        <v>24880</v>
      </c>
      <c r="C218" s="10">
        <v>6825</v>
      </c>
      <c r="D218" s="10">
        <v>10670000</v>
      </c>
    </row>
    <row r="219" spans="1:4">
      <c r="A219" s="76">
        <v>0.625</v>
      </c>
      <c r="B219" s="10">
        <v>24880</v>
      </c>
      <c r="C219" s="10">
        <v>6820</v>
      </c>
      <c r="D219" s="10">
        <v>10660000</v>
      </c>
    </row>
    <row r="220" spans="1:4">
      <c r="A220" s="77" t="s">
        <v>254</v>
      </c>
      <c r="B220" s="10">
        <v>24880</v>
      </c>
      <c r="C220" s="10">
        <v>6820</v>
      </c>
      <c r="D220" s="10">
        <v>10670000</v>
      </c>
    </row>
    <row r="221" spans="1:4">
      <c r="A221" s="77" t="s">
        <v>255</v>
      </c>
      <c r="B221" s="10">
        <v>24880</v>
      </c>
      <c r="C221" s="10">
        <v>6820</v>
      </c>
      <c r="D221" s="10">
        <v>10670000</v>
      </c>
    </row>
    <row r="223" spans="1:4">
      <c r="A223" s="109" t="s">
        <v>284</v>
      </c>
      <c r="B223" s="109"/>
      <c r="C223" s="109"/>
      <c r="D223" s="109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76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7" t="s">
        <v>251</v>
      </c>
      <c r="B226" s="10">
        <v>24890</v>
      </c>
      <c r="C226" s="10">
        <v>6820</v>
      </c>
      <c r="D226" s="10">
        <v>10650000</v>
      </c>
    </row>
    <row r="227" spans="1:5">
      <c r="A227" s="78" t="s">
        <v>252</v>
      </c>
      <c r="B227" s="10">
        <v>24880</v>
      </c>
      <c r="C227" s="10">
        <v>6820</v>
      </c>
      <c r="D227" s="10">
        <v>10640000</v>
      </c>
    </row>
    <row r="228" spans="1:5">
      <c r="A228" s="76" t="s">
        <v>253</v>
      </c>
      <c r="B228" s="10">
        <v>24880</v>
      </c>
      <c r="C228" s="10">
        <v>6825</v>
      </c>
      <c r="D228" s="10">
        <v>10650000</v>
      </c>
    </row>
    <row r="229" spans="1:5">
      <c r="A229" s="76">
        <v>0.625</v>
      </c>
      <c r="B229" s="10">
        <v>24880</v>
      </c>
      <c r="C229" s="10">
        <v>6825</v>
      </c>
      <c r="D229" s="10">
        <v>10690000</v>
      </c>
    </row>
    <row r="230" spans="1:5">
      <c r="A230" s="77" t="s">
        <v>254</v>
      </c>
      <c r="B230" s="10">
        <v>24880</v>
      </c>
      <c r="C230" s="10">
        <v>6825</v>
      </c>
      <c r="D230" s="10">
        <v>10700000</v>
      </c>
    </row>
    <row r="231" spans="1:5">
      <c r="A231" s="77" t="s">
        <v>255</v>
      </c>
      <c r="B231" s="10">
        <v>24880</v>
      </c>
      <c r="C231" s="10">
        <v>6825</v>
      </c>
      <c r="D231" s="10">
        <v>10700000</v>
      </c>
    </row>
    <row r="233" spans="1:5">
      <c r="A233" s="109" t="s">
        <v>285</v>
      </c>
      <c r="B233" s="109"/>
      <c r="C233" s="109"/>
      <c r="D233" s="109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76">
        <v>0.45833333333333298</v>
      </c>
      <c r="B235" s="10">
        <v>24890</v>
      </c>
      <c r="C235" s="10">
        <v>6850</v>
      </c>
      <c r="D235" s="10">
        <v>10680000</v>
      </c>
      <c r="E235" s="81"/>
    </row>
    <row r="236" spans="1:5">
      <c r="A236" s="77" t="s">
        <v>251</v>
      </c>
      <c r="B236" s="10">
        <v>24880</v>
      </c>
      <c r="C236" s="10">
        <v>6850</v>
      </c>
      <c r="D236" s="10">
        <v>10680000</v>
      </c>
    </row>
    <row r="237" spans="1:5">
      <c r="A237" s="78" t="s">
        <v>252</v>
      </c>
      <c r="B237" s="10">
        <v>24910</v>
      </c>
      <c r="C237" s="10">
        <v>6825</v>
      </c>
      <c r="D237" s="10">
        <v>10670000</v>
      </c>
    </row>
    <row r="238" spans="1:5">
      <c r="A238" s="76" t="s">
        <v>253</v>
      </c>
      <c r="B238" s="10">
        <v>24920</v>
      </c>
      <c r="C238" s="10">
        <v>6820</v>
      </c>
      <c r="D238" s="10">
        <v>10670000</v>
      </c>
    </row>
    <row r="239" spans="1:5">
      <c r="A239" s="76">
        <v>0.625</v>
      </c>
      <c r="B239" s="10">
        <v>24920</v>
      </c>
      <c r="C239" s="10">
        <v>6820</v>
      </c>
      <c r="D239" s="10">
        <v>10680000</v>
      </c>
    </row>
    <row r="240" spans="1:5">
      <c r="A240" s="77" t="s">
        <v>254</v>
      </c>
      <c r="B240" s="10">
        <v>24920</v>
      </c>
      <c r="C240" s="10">
        <v>6820</v>
      </c>
      <c r="D240" s="10">
        <v>10680000</v>
      </c>
    </row>
    <row r="241" spans="1:4">
      <c r="A241" s="77" t="s">
        <v>255</v>
      </c>
      <c r="B241" s="10">
        <v>24920</v>
      </c>
      <c r="C241" s="10">
        <v>6820</v>
      </c>
      <c r="D241" s="10">
        <v>10680000</v>
      </c>
    </row>
    <row r="243" spans="1:4">
      <c r="A243" s="109" t="s">
        <v>286</v>
      </c>
      <c r="B243" s="109"/>
      <c r="C243" s="109"/>
      <c r="D243" s="109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76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7" t="s">
        <v>251</v>
      </c>
      <c r="B246" s="10">
        <v>24830</v>
      </c>
      <c r="C246" s="10">
        <v>6790</v>
      </c>
      <c r="D246" s="10">
        <v>10620000</v>
      </c>
    </row>
    <row r="247" spans="1:4">
      <c r="A247" s="78" t="s">
        <v>252</v>
      </c>
      <c r="B247" s="10">
        <v>24740</v>
      </c>
      <c r="C247" s="10">
        <v>6770</v>
      </c>
      <c r="D247" s="10">
        <v>10590000</v>
      </c>
    </row>
    <row r="248" spans="1:4">
      <c r="A248" s="76" t="s">
        <v>253</v>
      </c>
      <c r="B248" s="10">
        <v>24720</v>
      </c>
      <c r="C248" s="10">
        <v>6770</v>
      </c>
      <c r="D248" s="10">
        <v>10610000</v>
      </c>
    </row>
    <row r="249" spans="1:4">
      <c r="A249" s="76">
        <v>0.625</v>
      </c>
      <c r="B249" s="10">
        <v>24750</v>
      </c>
      <c r="C249" s="10">
        <v>6765</v>
      </c>
      <c r="D249" s="10">
        <v>10600000</v>
      </c>
    </row>
    <row r="250" spans="1:4">
      <c r="A250" s="77" t="s">
        <v>254</v>
      </c>
      <c r="B250" s="10">
        <v>24750</v>
      </c>
      <c r="C250" s="10">
        <v>6765</v>
      </c>
      <c r="D250" s="10">
        <v>10590000</v>
      </c>
    </row>
    <row r="251" spans="1:4">
      <c r="A251" s="77" t="s">
        <v>255</v>
      </c>
      <c r="B251" s="10">
        <v>24750</v>
      </c>
      <c r="C251" s="10">
        <v>6765</v>
      </c>
      <c r="D251" s="10">
        <v>10610000</v>
      </c>
    </row>
    <row r="252" spans="1:4">
      <c r="D252" s="81"/>
    </row>
    <row r="253" spans="1:4">
      <c r="A253" s="109" t="s">
        <v>287</v>
      </c>
      <c r="B253" s="109"/>
      <c r="C253" s="109"/>
      <c r="D253" s="109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76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7" t="s">
        <v>251</v>
      </c>
      <c r="B256" s="10">
        <v>24440</v>
      </c>
      <c r="C256" s="10">
        <v>6700</v>
      </c>
      <c r="D256" s="10">
        <v>10480000</v>
      </c>
    </row>
    <row r="257" spans="1:4">
      <c r="A257" s="78" t="s">
        <v>252</v>
      </c>
      <c r="B257" s="10">
        <v>24470</v>
      </c>
      <c r="C257" s="10">
        <v>6735</v>
      </c>
      <c r="D257" s="10">
        <v>10500000</v>
      </c>
    </row>
    <row r="258" spans="1:4">
      <c r="A258" s="76" t="s">
        <v>253</v>
      </c>
      <c r="B258" s="10">
        <v>24520</v>
      </c>
      <c r="C258" s="10">
        <v>6730</v>
      </c>
      <c r="D258" s="10">
        <v>10490000</v>
      </c>
    </row>
    <row r="259" spans="1:4">
      <c r="A259" s="76">
        <v>0.625</v>
      </c>
      <c r="B259" s="10">
        <v>24520</v>
      </c>
      <c r="C259" s="10">
        <v>6725</v>
      </c>
      <c r="D259" s="10">
        <v>10470000</v>
      </c>
    </row>
    <row r="260" spans="1:4">
      <c r="A260" s="77" t="s">
        <v>254</v>
      </c>
      <c r="B260" s="10">
        <v>24520</v>
      </c>
      <c r="C260" s="10">
        <v>6725</v>
      </c>
      <c r="D260" s="10">
        <v>10480000</v>
      </c>
    </row>
    <row r="261" spans="1:4">
      <c r="A261" s="77" t="s">
        <v>255</v>
      </c>
      <c r="B261" s="10">
        <v>24520</v>
      </c>
      <c r="C261" s="10">
        <v>6725</v>
      </c>
      <c r="D261" s="10">
        <v>10500000</v>
      </c>
    </row>
    <row r="263" spans="1:4">
      <c r="A263" s="109" t="s">
        <v>288</v>
      </c>
      <c r="B263" s="109"/>
      <c r="C263" s="109"/>
      <c r="D263" s="109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76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7" t="s">
        <v>251</v>
      </c>
      <c r="B266" s="10">
        <v>24740</v>
      </c>
      <c r="C266" s="10">
        <v>6780</v>
      </c>
      <c r="D266" s="10">
        <v>10610000</v>
      </c>
    </row>
    <row r="267" spans="1:4">
      <c r="A267" s="78" t="s">
        <v>252</v>
      </c>
      <c r="B267" s="10">
        <v>24720</v>
      </c>
      <c r="C267" s="10">
        <v>6770</v>
      </c>
      <c r="D267" s="10">
        <v>10610000</v>
      </c>
    </row>
    <row r="268" spans="1:4">
      <c r="A268" s="76" t="s">
        <v>253</v>
      </c>
      <c r="B268" s="10">
        <v>24700</v>
      </c>
      <c r="C268" s="10">
        <v>6760</v>
      </c>
      <c r="D268" s="10">
        <v>10600000</v>
      </c>
    </row>
    <row r="269" spans="1:4">
      <c r="A269" s="76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7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7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109" t="s">
        <v>289</v>
      </c>
      <c r="B273" s="109"/>
      <c r="C273" s="109"/>
      <c r="D273" s="109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76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7" t="s">
        <v>251</v>
      </c>
      <c r="B276" s="10">
        <v>24700</v>
      </c>
      <c r="C276" s="10">
        <v>6760</v>
      </c>
      <c r="D276" s="10">
        <v>10580000</v>
      </c>
    </row>
    <row r="277" spans="1:4">
      <c r="A277" s="78" t="s">
        <v>252</v>
      </c>
      <c r="B277" s="10">
        <v>24720</v>
      </c>
      <c r="C277" s="10">
        <v>6755</v>
      </c>
      <c r="D277" s="10">
        <v>10540000</v>
      </c>
    </row>
    <row r="278" spans="1:4">
      <c r="A278" s="76" t="s">
        <v>253</v>
      </c>
      <c r="B278" s="10">
        <v>24670</v>
      </c>
      <c r="C278" s="10">
        <v>6755</v>
      </c>
      <c r="D278" s="10">
        <v>10550000</v>
      </c>
    </row>
    <row r="279" spans="1:4">
      <c r="A279" s="76">
        <v>0.625</v>
      </c>
      <c r="B279" s="10">
        <v>24670</v>
      </c>
      <c r="C279" s="10">
        <v>6775</v>
      </c>
      <c r="D279" s="10">
        <v>10540000</v>
      </c>
    </row>
    <row r="280" spans="1:4">
      <c r="A280" s="77" t="s">
        <v>254</v>
      </c>
      <c r="B280" s="10">
        <v>24670</v>
      </c>
      <c r="C280" s="10">
        <v>6765</v>
      </c>
      <c r="D280" s="10">
        <v>10530000</v>
      </c>
    </row>
    <row r="281" spans="1:4">
      <c r="A281" s="77" t="s">
        <v>255</v>
      </c>
      <c r="B281" s="10">
        <v>24670</v>
      </c>
      <c r="C281" s="10">
        <v>6765</v>
      </c>
      <c r="D281" s="10">
        <v>10540000</v>
      </c>
    </row>
    <row r="283" spans="1:4">
      <c r="A283" s="109" t="s">
        <v>290</v>
      </c>
      <c r="B283" s="109"/>
      <c r="C283" s="109"/>
      <c r="D283" s="109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76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7" t="s">
        <v>251</v>
      </c>
      <c r="B286" s="10">
        <v>24700</v>
      </c>
      <c r="C286" s="10">
        <v>6740</v>
      </c>
      <c r="D286" s="10">
        <v>10510000</v>
      </c>
    </row>
    <row r="287" spans="1:4">
      <c r="A287" s="78" t="s">
        <v>252</v>
      </c>
      <c r="B287" s="10">
        <v>24650</v>
      </c>
      <c r="C287" s="10">
        <v>6730</v>
      </c>
      <c r="D287" s="10">
        <v>10500000</v>
      </c>
    </row>
    <row r="288" spans="1:4">
      <c r="A288" s="76" t="s">
        <v>253</v>
      </c>
      <c r="B288" s="10">
        <v>24650</v>
      </c>
      <c r="C288" s="10">
        <v>6730</v>
      </c>
      <c r="D288" s="10">
        <v>10500000</v>
      </c>
    </row>
    <row r="289" spans="1:6">
      <c r="A289" s="76">
        <v>0.625</v>
      </c>
      <c r="B289" s="10">
        <v>24650</v>
      </c>
      <c r="C289" s="10">
        <v>6720</v>
      </c>
      <c r="D289" s="10">
        <v>10510000</v>
      </c>
    </row>
    <row r="290" spans="1:6">
      <c r="A290" s="77" t="s">
        <v>254</v>
      </c>
      <c r="B290" s="10">
        <v>24650</v>
      </c>
      <c r="C290" s="10">
        <v>6730</v>
      </c>
      <c r="D290" s="10">
        <v>10530000</v>
      </c>
    </row>
    <row r="291" spans="1:6">
      <c r="A291" s="77" t="s">
        <v>255</v>
      </c>
      <c r="B291" s="10">
        <v>24650</v>
      </c>
      <c r="C291" s="10">
        <v>6730</v>
      </c>
      <c r="D291" s="10">
        <v>10520000</v>
      </c>
    </row>
    <row r="293" spans="1:6">
      <c r="A293" s="109" t="s">
        <v>291</v>
      </c>
      <c r="B293" s="109"/>
      <c r="C293" s="109"/>
      <c r="D293" s="109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76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7" t="s">
        <v>251</v>
      </c>
      <c r="B296" s="10">
        <v>24470</v>
      </c>
      <c r="C296" s="10">
        <v>6700</v>
      </c>
      <c r="D296" s="10">
        <v>10490000</v>
      </c>
    </row>
    <row r="297" spans="1:6">
      <c r="A297" s="78" t="s">
        <v>252</v>
      </c>
      <c r="B297" s="10">
        <v>24400</v>
      </c>
      <c r="C297" s="10">
        <v>6700</v>
      </c>
      <c r="D297" s="10">
        <v>10510000</v>
      </c>
    </row>
    <row r="298" spans="1:6">
      <c r="A298" s="76" t="s">
        <v>253</v>
      </c>
      <c r="B298" s="10">
        <v>24390</v>
      </c>
      <c r="C298" s="10">
        <v>6700</v>
      </c>
      <c r="D298" s="10">
        <v>10500000</v>
      </c>
    </row>
    <row r="299" spans="1:6">
      <c r="A299" s="76">
        <v>0.625</v>
      </c>
      <c r="B299" s="10">
        <v>24400</v>
      </c>
      <c r="C299" s="10">
        <v>6700</v>
      </c>
      <c r="D299" s="10">
        <v>10510000</v>
      </c>
      <c r="E299" s="81"/>
    </row>
    <row r="300" spans="1:6">
      <c r="A300" s="77" t="s">
        <v>254</v>
      </c>
      <c r="B300" s="10">
        <v>24400</v>
      </c>
      <c r="C300" s="10">
        <v>6700</v>
      </c>
      <c r="D300" s="10">
        <v>10500000</v>
      </c>
      <c r="E300" s="82"/>
    </row>
    <row r="301" spans="1:6">
      <c r="A301" s="77" t="s">
        <v>255</v>
      </c>
      <c r="B301" s="10">
        <v>24400</v>
      </c>
      <c r="C301" s="10">
        <v>6700</v>
      </c>
      <c r="D301" s="10">
        <v>10510000</v>
      </c>
      <c r="E301" s="82"/>
      <c r="F301" s="82"/>
    </row>
    <row r="303" spans="1:6">
      <c r="A303" s="109" t="s">
        <v>292</v>
      </c>
      <c r="B303" s="109"/>
      <c r="C303" s="109"/>
      <c r="D303" s="109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76">
        <v>0.45833333333333298</v>
      </c>
      <c r="B305" s="10" t="s">
        <v>293</v>
      </c>
      <c r="C305" s="10"/>
      <c r="D305" s="10">
        <v>10560000</v>
      </c>
    </row>
    <row r="306" spans="1:6">
      <c r="A306" s="77" t="s">
        <v>251</v>
      </c>
      <c r="B306" s="10" t="s">
        <v>294</v>
      </c>
      <c r="C306" s="10"/>
      <c r="D306" s="10">
        <v>10550000</v>
      </c>
    </row>
    <row r="307" spans="1:6">
      <c r="A307" s="78" t="s">
        <v>252</v>
      </c>
      <c r="B307" s="10" t="s">
        <v>295</v>
      </c>
      <c r="C307" s="10"/>
      <c r="D307" s="10">
        <v>10560000</v>
      </c>
    </row>
    <row r="308" spans="1:6">
      <c r="A308" s="76" t="s">
        <v>253</v>
      </c>
      <c r="B308" s="10"/>
      <c r="C308" s="10"/>
      <c r="D308" s="10"/>
    </row>
    <row r="309" spans="1:6">
      <c r="A309" s="76">
        <v>0.625</v>
      </c>
      <c r="B309" s="10"/>
      <c r="C309" s="10"/>
      <c r="D309" s="10"/>
    </row>
    <row r="310" spans="1:6">
      <c r="A310" s="77" t="s">
        <v>254</v>
      </c>
      <c r="B310" s="10"/>
      <c r="C310" s="10"/>
      <c r="D310" s="10"/>
    </row>
    <row r="311" spans="1:6">
      <c r="A311" s="77" t="s">
        <v>255</v>
      </c>
      <c r="B311" s="10"/>
      <c r="C311" s="10"/>
      <c r="D311" s="10"/>
    </row>
    <row r="313" spans="1:6">
      <c r="A313" s="109" t="s">
        <v>296</v>
      </c>
      <c r="B313" s="109"/>
      <c r="C313" s="109"/>
      <c r="D313" s="109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76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7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8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76" t="s">
        <v>253</v>
      </c>
      <c r="B318" s="10"/>
      <c r="C318" s="10"/>
      <c r="D318" s="10"/>
    </row>
    <row r="319" spans="1:6">
      <c r="A319" s="76">
        <v>0.625</v>
      </c>
      <c r="B319" s="10"/>
      <c r="C319" s="10"/>
      <c r="D319" s="10"/>
    </row>
    <row r="320" spans="1:6">
      <c r="A320" s="77" t="s">
        <v>254</v>
      </c>
      <c r="B320" s="10"/>
      <c r="C320" s="10"/>
      <c r="D320" s="10"/>
    </row>
    <row r="321" spans="1:6">
      <c r="A321" s="77" t="s">
        <v>255</v>
      </c>
      <c r="B321" s="10"/>
      <c r="C321" s="10"/>
      <c r="D321" s="10"/>
    </row>
    <row r="324" spans="1:6">
      <c r="A324" s="109" t="s">
        <v>300</v>
      </c>
      <c r="B324" s="109"/>
      <c r="C324" s="109"/>
      <c r="D324" s="109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76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7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8" t="s">
        <v>252</v>
      </c>
      <c r="B328" s="10"/>
      <c r="C328" s="10"/>
      <c r="D328" s="10"/>
    </row>
    <row r="329" spans="1:6">
      <c r="A329" s="76" t="s">
        <v>253</v>
      </c>
      <c r="B329" s="10"/>
      <c r="C329" s="10"/>
      <c r="D329" s="10"/>
    </row>
    <row r="330" spans="1:6">
      <c r="A330" s="76">
        <v>0.625</v>
      </c>
      <c r="B330" s="10"/>
      <c r="C330" s="10"/>
      <c r="D330" s="10"/>
    </row>
    <row r="331" spans="1:6">
      <c r="A331" s="77" t="s">
        <v>254</v>
      </c>
      <c r="B331" s="10"/>
      <c r="C331" s="10"/>
      <c r="D331" s="10"/>
    </row>
    <row r="332" spans="1:6">
      <c r="A332" s="77" t="s">
        <v>255</v>
      </c>
      <c r="B332" s="10"/>
      <c r="C332" s="10"/>
      <c r="D332" s="10"/>
    </row>
    <row r="335" spans="1:6">
      <c r="A335" s="109" t="s">
        <v>303</v>
      </c>
      <c r="B335" s="109"/>
      <c r="C335" s="109"/>
      <c r="D335" s="109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76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7" t="s">
        <v>251</v>
      </c>
      <c r="B338" s="10">
        <v>24780</v>
      </c>
      <c r="C338" s="10">
        <v>6820</v>
      </c>
      <c r="D338" s="10">
        <v>10730000</v>
      </c>
    </row>
    <row r="339" spans="1:4">
      <c r="A339" s="78" t="s">
        <v>252</v>
      </c>
      <c r="B339" s="10">
        <v>24890</v>
      </c>
      <c r="C339" s="10">
        <v>6815</v>
      </c>
      <c r="D339" s="10">
        <v>10790000</v>
      </c>
    </row>
    <row r="340" spans="1:4">
      <c r="A340" s="76" t="s">
        <v>253</v>
      </c>
      <c r="B340" s="10">
        <v>24980</v>
      </c>
      <c r="C340" s="10">
        <v>6830</v>
      </c>
      <c r="D340" s="10">
        <v>10800000</v>
      </c>
    </row>
    <row r="341" spans="1:4">
      <c r="A341" s="76">
        <v>0.625</v>
      </c>
      <c r="B341" s="10">
        <v>24980</v>
      </c>
      <c r="C341" s="10">
        <v>6840</v>
      </c>
      <c r="D341" s="10">
        <v>10880000</v>
      </c>
    </row>
    <row r="342" spans="1:4">
      <c r="A342" s="77" t="s">
        <v>254</v>
      </c>
      <c r="B342" s="10">
        <v>24980</v>
      </c>
      <c r="C342" s="10">
        <v>6840</v>
      </c>
      <c r="D342" s="10">
        <v>10890000</v>
      </c>
    </row>
    <row r="343" spans="1:4">
      <c r="A343" s="77" t="s">
        <v>255</v>
      </c>
      <c r="B343" s="10">
        <v>24980</v>
      </c>
      <c r="C343" s="10">
        <v>6840</v>
      </c>
      <c r="D343" s="10">
        <v>10930000</v>
      </c>
    </row>
    <row r="346" spans="1:4">
      <c r="A346" s="109" t="s">
        <v>304</v>
      </c>
      <c r="B346" s="109"/>
      <c r="C346" s="109"/>
      <c r="D346" s="109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76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7" t="s">
        <v>251</v>
      </c>
      <c r="B349" s="10">
        <v>25140</v>
      </c>
      <c r="C349" s="10">
        <v>6870</v>
      </c>
      <c r="D349" s="10">
        <v>11030000</v>
      </c>
    </row>
    <row r="350" spans="1:4">
      <c r="A350" s="78" t="s">
        <v>252</v>
      </c>
      <c r="B350" s="10">
        <v>25120</v>
      </c>
      <c r="C350" s="10">
        <v>6890</v>
      </c>
      <c r="D350" s="10">
        <v>10950000</v>
      </c>
    </row>
    <row r="351" spans="1:4">
      <c r="A351" s="76" t="s">
        <v>253</v>
      </c>
      <c r="B351" s="10">
        <v>25120</v>
      </c>
      <c r="C351" s="10">
        <v>6890</v>
      </c>
      <c r="D351" s="10">
        <v>10990000</v>
      </c>
    </row>
    <row r="352" spans="1:4">
      <c r="A352" s="76">
        <v>0.625</v>
      </c>
      <c r="B352" s="10">
        <v>25120</v>
      </c>
      <c r="C352" s="10">
        <v>6890</v>
      </c>
      <c r="D352" s="10">
        <v>10970000</v>
      </c>
    </row>
    <row r="353" spans="1:4">
      <c r="A353" s="77" t="s">
        <v>254</v>
      </c>
      <c r="B353" s="10">
        <v>25120</v>
      </c>
      <c r="C353" s="10">
        <v>6890</v>
      </c>
      <c r="D353" s="10">
        <v>10970000</v>
      </c>
    </row>
    <row r="354" spans="1:4">
      <c r="A354" s="77" t="s">
        <v>255</v>
      </c>
      <c r="B354" s="10">
        <v>25120</v>
      </c>
      <c r="C354" s="10">
        <v>6890</v>
      </c>
      <c r="D354" s="10">
        <v>11000000</v>
      </c>
    </row>
    <row r="357" spans="1:4">
      <c r="A357" s="109" t="s">
        <v>305</v>
      </c>
      <c r="B357" s="109"/>
      <c r="C357" s="109"/>
      <c r="D357" s="109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76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7" t="s">
        <v>251</v>
      </c>
      <c r="B360" s="10">
        <v>25250</v>
      </c>
      <c r="C360" s="10">
        <v>6930</v>
      </c>
      <c r="D360" s="10">
        <v>11100000</v>
      </c>
    </row>
    <row r="361" spans="1:4">
      <c r="A361" s="78" t="s">
        <v>252</v>
      </c>
      <c r="B361" s="10">
        <v>25300</v>
      </c>
      <c r="C361" s="10">
        <v>6945</v>
      </c>
      <c r="D361" s="10">
        <v>11110000</v>
      </c>
    </row>
    <row r="362" spans="1:4">
      <c r="A362" s="76" t="s">
        <v>253</v>
      </c>
      <c r="B362" s="10">
        <v>25290</v>
      </c>
      <c r="C362" s="10">
        <v>6930</v>
      </c>
      <c r="D362" s="10">
        <v>11170000</v>
      </c>
    </row>
    <row r="363" spans="1:4">
      <c r="A363" s="76">
        <v>0.625</v>
      </c>
      <c r="B363" s="10">
        <v>25290</v>
      </c>
      <c r="C363" s="10">
        <v>6930</v>
      </c>
      <c r="D363" s="10">
        <v>11200000</v>
      </c>
    </row>
    <row r="364" spans="1:4">
      <c r="A364" s="77" t="s">
        <v>254</v>
      </c>
      <c r="B364" s="10">
        <v>25290</v>
      </c>
      <c r="C364" s="10">
        <v>6930</v>
      </c>
      <c r="D364" s="10">
        <v>11200000</v>
      </c>
    </row>
    <row r="365" spans="1:4">
      <c r="A365" s="77" t="s">
        <v>255</v>
      </c>
      <c r="B365" s="10">
        <v>25290</v>
      </c>
      <c r="C365" s="10">
        <v>6930</v>
      </c>
      <c r="D365" s="10">
        <v>11190000</v>
      </c>
    </row>
    <row r="368" spans="1:4">
      <c r="A368" s="109" t="s">
        <v>306</v>
      </c>
      <c r="B368" s="109"/>
      <c r="C368" s="109"/>
      <c r="D368" s="109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76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7" t="s">
        <v>251</v>
      </c>
      <c r="B371" s="10">
        <v>25680</v>
      </c>
      <c r="C371" s="10">
        <v>7040</v>
      </c>
      <c r="D371" s="10">
        <v>11370000</v>
      </c>
    </row>
    <row r="372" spans="1:7">
      <c r="A372" s="78" t="s">
        <v>252</v>
      </c>
      <c r="B372" s="10">
        <v>25710</v>
      </c>
      <c r="C372" s="10">
        <v>7100</v>
      </c>
      <c r="D372" s="10">
        <v>11510000</v>
      </c>
    </row>
    <row r="373" spans="1:7">
      <c r="A373" s="76" t="s">
        <v>253</v>
      </c>
      <c r="B373" s="10">
        <v>25980</v>
      </c>
      <c r="C373" s="10">
        <v>7095</v>
      </c>
      <c r="D373" s="10">
        <v>15700000</v>
      </c>
    </row>
    <row r="374" spans="1:7">
      <c r="A374" s="76">
        <v>0.625</v>
      </c>
      <c r="B374" s="10">
        <v>25980</v>
      </c>
      <c r="C374" s="10">
        <v>7070</v>
      </c>
      <c r="D374" s="10">
        <v>11560000</v>
      </c>
    </row>
    <row r="375" spans="1:7">
      <c r="A375" s="77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7" t="s">
        <v>255</v>
      </c>
      <c r="B376" s="10">
        <v>25980</v>
      </c>
      <c r="C376" s="10">
        <v>7060</v>
      </c>
      <c r="D376" s="10">
        <v>11430000</v>
      </c>
    </row>
    <row r="379" spans="1:7">
      <c r="A379" s="109" t="s">
        <v>307</v>
      </c>
      <c r="B379" s="109"/>
      <c r="C379" s="109"/>
      <c r="D379" s="109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76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7" t="s">
        <v>251</v>
      </c>
      <c r="B382" s="10">
        <v>25750</v>
      </c>
      <c r="C382" s="10">
        <v>7060</v>
      </c>
      <c r="D382" s="10">
        <v>11380000</v>
      </c>
    </row>
    <row r="383" spans="1:7">
      <c r="A383" s="78" t="s">
        <v>252</v>
      </c>
      <c r="B383" s="10">
        <v>25700</v>
      </c>
      <c r="C383" s="10">
        <v>7015</v>
      </c>
      <c r="D383" s="10">
        <v>11300000</v>
      </c>
    </row>
    <row r="384" spans="1:7">
      <c r="A384" s="76" t="s">
        <v>253</v>
      </c>
      <c r="B384" s="10">
        <v>25620</v>
      </c>
      <c r="C384" s="10">
        <v>7005</v>
      </c>
      <c r="D384" s="10">
        <v>11190000</v>
      </c>
    </row>
    <row r="385" spans="1:4">
      <c r="A385" s="76">
        <v>0.625</v>
      </c>
      <c r="B385" s="10">
        <v>25620</v>
      </c>
      <c r="C385" s="10">
        <v>6970</v>
      </c>
      <c r="D385" s="10">
        <v>11200000</v>
      </c>
    </row>
    <row r="386" spans="1:4">
      <c r="A386" s="77" t="s">
        <v>254</v>
      </c>
      <c r="B386" s="10">
        <v>25620</v>
      </c>
      <c r="C386" s="10">
        <v>6965</v>
      </c>
      <c r="D386" s="10">
        <v>11230000</v>
      </c>
    </row>
    <row r="387" spans="1:4">
      <c r="A387" s="77" t="s">
        <v>255</v>
      </c>
      <c r="B387" s="10">
        <v>25620</v>
      </c>
      <c r="C387" s="10">
        <v>6965</v>
      </c>
      <c r="D387" s="10">
        <v>11240000</v>
      </c>
    </row>
    <row r="390" spans="1:4">
      <c r="A390" s="109" t="s">
        <v>308</v>
      </c>
      <c r="B390" s="109"/>
      <c r="C390" s="109"/>
      <c r="D390" s="109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76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7" t="s">
        <v>251</v>
      </c>
      <c r="B393" s="10">
        <v>25550</v>
      </c>
      <c r="C393" s="10">
        <v>6985</v>
      </c>
      <c r="D393" s="10">
        <v>11250000</v>
      </c>
    </row>
    <row r="394" spans="1:4">
      <c r="A394" s="78" t="s">
        <v>252</v>
      </c>
      <c r="B394" s="10">
        <v>25500</v>
      </c>
      <c r="C394" s="10">
        <v>6970</v>
      </c>
      <c r="D394" s="10">
        <v>11260000</v>
      </c>
    </row>
    <row r="395" spans="1:4">
      <c r="A395" s="76" t="s">
        <v>253</v>
      </c>
      <c r="B395" s="10">
        <v>25480</v>
      </c>
      <c r="C395" s="10">
        <v>6975</v>
      </c>
      <c r="D395" s="10">
        <v>11200000</v>
      </c>
    </row>
    <row r="396" spans="1:4">
      <c r="A396" s="76">
        <v>0.625</v>
      </c>
      <c r="B396" s="10">
        <v>25480</v>
      </c>
      <c r="C396" s="10">
        <v>6965</v>
      </c>
      <c r="D396" s="10">
        <v>11220000</v>
      </c>
    </row>
    <row r="397" spans="1:4">
      <c r="A397" s="77" t="s">
        <v>254</v>
      </c>
      <c r="B397" s="10">
        <v>25480</v>
      </c>
      <c r="C397" s="10">
        <v>6965</v>
      </c>
      <c r="D397" s="10">
        <v>11200000</v>
      </c>
    </row>
    <row r="398" spans="1:4">
      <c r="A398" s="77" t="s">
        <v>255</v>
      </c>
      <c r="B398" s="10">
        <v>25480</v>
      </c>
      <c r="C398" s="10">
        <v>6965</v>
      </c>
      <c r="D398" s="10">
        <v>11180000</v>
      </c>
    </row>
    <row r="401" spans="1:4">
      <c r="A401" s="109" t="s">
        <v>309</v>
      </c>
      <c r="B401" s="109"/>
      <c r="C401" s="109"/>
      <c r="D401" s="109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76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7" t="s">
        <v>251</v>
      </c>
      <c r="B404" s="10">
        <v>25580</v>
      </c>
      <c r="C404" s="10">
        <v>7000</v>
      </c>
      <c r="D404" s="10">
        <v>11370000</v>
      </c>
    </row>
    <row r="405" spans="1:4">
      <c r="A405" s="78" t="s">
        <v>252</v>
      </c>
      <c r="B405" s="10">
        <v>25700</v>
      </c>
      <c r="C405" s="10">
        <v>7010</v>
      </c>
      <c r="D405" s="10">
        <v>11310000</v>
      </c>
    </row>
    <row r="406" spans="1:4">
      <c r="A406" s="76" t="s">
        <v>253</v>
      </c>
      <c r="B406" s="10">
        <v>25630</v>
      </c>
      <c r="C406" s="10">
        <v>7005</v>
      </c>
      <c r="D406" s="10">
        <v>11330000</v>
      </c>
    </row>
    <row r="407" spans="1:4">
      <c r="A407" s="76">
        <v>0.625</v>
      </c>
      <c r="B407" s="10">
        <v>25630</v>
      </c>
      <c r="C407" s="10">
        <v>7000</v>
      </c>
      <c r="D407" s="10">
        <v>11390000</v>
      </c>
    </row>
    <row r="408" spans="1:4">
      <c r="A408" s="77" t="s">
        <v>254</v>
      </c>
      <c r="B408" s="10">
        <v>25630</v>
      </c>
      <c r="C408" s="10">
        <v>7000</v>
      </c>
      <c r="D408" s="10">
        <v>11360000</v>
      </c>
    </row>
    <row r="409" spans="1:4">
      <c r="A409" s="77" t="s">
        <v>255</v>
      </c>
      <c r="B409" s="10">
        <v>25630</v>
      </c>
      <c r="C409" s="10">
        <v>7000</v>
      </c>
      <c r="D409" s="10">
        <v>11380000</v>
      </c>
    </row>
    <row r="412" spans="1:4">
      <c r="A412" s="109" t="s">
        <v>310</v>
      </c>
      <c r="B412" s="109"/>
      <c r="C412" s="109"/>
      <c r="D412" s="109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76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7" t="s">
        <v>251</v>
      </c>
      <c r="B415" s="10">
        <v>25500</v>
      </c>
      <c r="C415" s="10">
        <v>6980</v>
      </c>
      <c r="D415" s="10">
        <v>11230000</v>
      </c>
    </row>
    <row r="416" spans="1:4">
      <c r="A416" s="78" t="s">
        <v>252</v>
      </c>
      <c r="B416" s="10">
        <v>25460</v>
      </c>
      <c r="C416" s="10">
        <v>6975</v>
      </c>
      <c r="D416" s="10">
        <v>11220000</v>
      </c>
    </row>
    <row r="417" spans="1:6">
      <c r="A417" s="76" t="s">
        <v>253</v>
      </c>
      <c r="B417" s="10">
        <v>25510</v>
      </c>
      <c r="C417" s="10">
        <v>6990</v>
      </c>
      <c r="D417" s="10">
        <v>11270000</v>
      </c>
    </row>
    <row r="418" spans="1:6">
      <c r="A418" s="76">
        <v>0.625</v>
      </c>
      <c r="B418" s="10">
        <v>25510</v>
      </c>
      <c r="C418" s="10">
        <v>6980</v>
      </c>
      <c r="D418" s="10">
        <v>11260000</v>
      </c>
    </row>
    <row r="419" spans="1:6">
      <c r="A419" s="77" t="s">
        <v>254</v>
      </c>
      <c r="B419" s="10">
        <v>25510</v>
      </c>
      <c r="C419" s="10">
        <v>6980</v>
      </c>
      <c r="D419" s="10">
        <v>11260000</v>
      </c>
    </row>
    <row r="420" spans="1:6">
      <c r="A420" s="77" t="s">
        <v>255</v>
      </c>
      <c r="B420" s="10">
        <v>25510</v>
      </c>
      <c r="C420" s="10">
        <v>6980</v>
      </c>
      <c r="D420" s="10">
        <v>11300000</v>
      </c>
    </row>
    <row r="423" spans="1:6">
      <c r="A423" s="109" t="s">
        <v>311</v>
      </c>
      <c r="B423" s="109"/>
      <c r="C423" s="109"/>
      <c r="D423" s="109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76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7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8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76" t="s">
        <v>253</v>
      </c>
      <c r="B428" s="10"/>
      <c r="C428" s="10"/>
      <c r="D428" s="10"/>
    </row>
    <row r="429" spans="1:6">
      <c r="A429" s="76">
        <v>0.625</v>
      </c>
      <c r="B429" s="10"/>
      <c r="C429" s="10"/>
      <c r="D429" s="10"/>
    </row>
    <row r="430" spans="1:6">
      <c r="A430" s="77" t="s">
        <v>254</v>
      </c>
      <c r="B430" s="10"/>
      <c r="C430" s="10"/>
      <c r="D430" s="10"/>
    </row>
    <row r="431" spans="1:6">
      <c r="A431" s="77" t="s">
        <v>255</v>
      </c>
      <c r="B431" s="10"/>
      <c r="C431" s="10"/>
      <c r="D431" s="10"/>
    </row>
    <row r="434" spans="1:4">
      <c r="A434" s="109" t="s">
        <v>315</v>
      </c>
      <c r="B434" s="109"/>
      <c r="C434" s="109"/>
      <c r="D434" s="109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76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7" t="s">
        <v>251</v>
      </c>
      <c r="B437" s="10">
        <v>25380</v>
      </c>
      <c r="C437" s="10">
        <v>6950</v>
      </c>
      <c r="D437" s="10">
        <v>11050000</v>
      </c>
    </row>
    <row r="438" spans="1:4">
      <c r="A438" s="78" t="s">
        <v>252</v>
      </c>
      <c r="B438" s="10">
        <v>25500</v>
      </c>
      <c r="C438" s="10">
        <v>6970</v>
      </c>
      <c r="D438" s="10">
        <v>11070000</v>
      </c>
    </row>
    <row r="439" spans="1:4">
      <c r="A439" s="76" t="s">
        <v>253</v>
      </c>
      <c r="B439" s="10">
        <v>25550</v>
      </c>
      <c r="C439" s="10">
        <v>7000</v>
      </c>
      <c r="D439" s="10">
        <v>11130000</v>
      </c>
    </row>
    <row r="440" spans="1:4">
      <c r="A440" s="76">
        <v>0.625</v>
      </c>
      <c r="B440" s="10">
        <v>25550</v>
      </c>
      <c r="C440" s="10">
        <v>6995</v>
      </c>
      <c r="D440" s="10">
        <v>11160000</v>
      </c>
    </row>
    <row r="441" spans="1:4">
      <c r="A441" s="77" t="s">
        <v>254</v>
      </c>
      <c r="B441" s="10">
        <v>25550</v>
      </c>
      <c r="C441" s="10">
        <v>6995</v>
      </c>
      <c r="D441" s="10">
        <v>11170000</v>
      </c>
    </row>
    <row r="442" spans="1:4">
      <c r="A442" s="77" t="s">
        <v>255</v>
      </c>
      <c r="B442" s="10">
        <v>25550</v>
      </c>
      <c r="C442" s="10">
        <v>6995</v>
      </c>
      <c r="D442" s="10">
        <v>11180000</v>
      </c>
    </row>
    <row r="445" spans="1:4">
      <c r="A445" s="109" t="s">
        <v>316</v>
      </c>
      <c r="B445" s="109"/>
      <c r="C445" s="109"/>
      <c r="D445" s="109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76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7" t="s">
        <v>251</v>
      </c>
      <c r="B448" s="10">
        <v>25720</v>
      </c>
      <c r="C448" s="10">
        <v>7010</v>
      </c>
      <c r="D448" s="10">
        <v>11200000</v>
      </c>
    </row>
    <row r="449" spans="1:4">
      <c r="A449" s="78" t="s">
        <v>252</v>
      </c>
      <c r="B449" s="10">
        <v>25650</v>
      </c>
      <c r="C449" s="10">
        <v>7020</v>
      </c>
      <c r="D449" s="10">
        <v>11210000</v>
      </c>
    </row>
    <row r="450" spans="1:4">
      <c r="A450" s="76" t="s">
        <v>253</v>
      </c>
      <c r="B450" s="10">
        <v>25720</v>
      </c>
      <c r="C450" s="10">
        <v>7030</v>
      </c>
      <c r="D450" s="10">
        <v>11240000</v>
      </c>
    </row>
    <row r="451" spans="1:4">
      <c r="A451" s="76">
        <v>0.625</v>
      </c>
      <c r="B451" s="10">
        <v>25720</v>
      </c>
      <c r="C451" s="10">
        <v>7025</v>
      </c>
      <c r="D451" s="10">
        <v>11240000</v>
      </c>
    </row>
    <row r="452" spans="1:4">
      <c r="A452" s="77" t="s">
        <v>254</v>
      </c>
      <c r="B452" s="10">
        <v>25720</v>
      </c>
      <c r="C452" s="10">
        <v>7020</v>
      </c>
      <c r="D452" s="10">
        <v>11220000</v>
      </c>
    </row>
    <row r="453" spans="1:4">
      <c r="A453" s="77" t="s">
        <v>255</v>
      </c>
      <c r="B453" s="10">
        <v>25720</v>
      </c>
      <c r="C453" s="10">
        <v>7015</v>
      </c>
      <c r="D453" s="10">
        <v>11260000</v>
      </c>
    </row>
    <row r="456" spans="1:4">
      <c r="A456" s="109" t="s">
        <v>317</v>
      </c>
      <c r="B456" s="109"/>
      <c r="C456" s="109"/>
      <c r="D456" s="109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76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7" t="s">
        <v>251</v>
      </c>
      <c r="B459" s="10">
        <v>25720</v>
      </c>
      <c r="C459" s="10">
        <v>7025</v>
      </c>
      <c r="D459" s="10">
        <v>11160000</v>
      </c>
    </row>
    <row r="460" spans="1:4">
      <c r="A460" s="78" t="s">
        <v>252</v>
      </c>
      <c r="B460" s="10">
        <v>25750</v>
      </c>
      <c r="C460" s="10">
        <v>7040</v>
      </c>
      <c r="D460" s="10">
        <v>11190000</v>
      </c>
    </row>
    <row r="461" spans="1:4">
      <c r="A461" s="76" t="s">
        <v>253</v>
      </c>
      <c r="B461" s="10">
        <v>25780</v>
      </c>
      <c r="C461" s="10">
        <v>7070</v>
      </c>
      <c r="D461" s="10">
        <v>11170000</v>
      </c>
    </row>
    <row r="462" spans="1:4">
      <c r="A462" s="76">
        <v>0.625</v>
      </c>
      <c r="B462" s="10">
        <v>25780</v>
      </c>
      <c r="C462" s="10">
        <v>7070</v>
      </c>
      <c r="D462" s="10">
        <v>11190000</v>
      </c>
    </row>
    <row r="463" spans="1:4">
      <c r="A463" s="77" t="s">
        <v>254</v>
      </c>
      <c r="B463" s="10">
        <v>25780</v>
      </c>
      <c r="C463" s="10">
        <v>7070</v>
      </c>
      <c r="D463" s="10">
        <v>11230000</v>
      </c>
    </row>
    <row r="464" spans="1:4">
      <c r="A464" s="77" t="s">
        <v>255</v>
      </c>
      <c r="B464" s="10">
        <v>25780</v>
      </c>
      <c r="C464" s="10">
        <v>7070</v>
      </c>
      <c r="D464" s="10">
        <v>11290000</v>
      </c>
    </row>
    <row r="467" spans="1:4">
      <c r="A467" s="109" t="s">
        <v>318</v>
      </c>
      <c r="B467" s="109"/>
      <c r="C467" s="109"/>
      <c r="D467" s="109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76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7" t="s">
        <v>251</v>
      </c>
      <c r="B470" s="10">
        <v>26000</v>
      </c>
      <c r="C470" s="10">
        <v>7120</v>
      </c>
      <c r="D470" s="10">
        <v>11280000</v>
      </c>
    </row>
    <row r="471" spans="1:4">
      <c r="A471" s="78" t="s">
        <v>252</v>
      </c>
      <c r="B471" s="10">
        <v>26100</v>
      </c>
      <c r="C471" s="10">
        <v>7180</v>
      </c>
      <c r="D471" s="10">
        <v>11290000</v>
      </c>
    </row>
    <row r="472" spans="1:4">
      <c r="A472" s="76" t="s">
        <v>253</v>
      </c>
      <c r="B472" s="10">
        <v>26120</v>
      </c>
      <c r="C472" s="10">
        <v>7150</v>
      </c>
      <c r="D472" s="10">
        <v>11280000</v>
      </c>
    </row>
    <row r="473" spans="1:4">
      <c r="A473" s="76">
        <v>0.625</v>
      </c>
      <c r="B473" s="10">
        <v>26070</v>
      </c>
      <c r="C473" s="10">
        <v>7160</v>
      </c>
      <c r="D473" s="10">
        <v>11290000</v>
      </c>
    </row>
    <row r="474" spans="1:4">
      <c r="A474" s="77" t="s">
        <v>254</v>
      </c>
      <c r="B474" s="10">
        <v>26070</v>
      </c>
      <c r="C474" s="10">
        <v>7165</v>
      </c>
      <c r="D474" s="10">
        <v>11290000</v>
      </c>
    </row>
    <row r="475" spans="1:4">
      <c r="A475" s="77" t="s">
        <v>255</v>
      </c>
      <c r="B475" s="10">
        <v>26070</v>
      </c>
      <c r="C475" s="10">
        <v>7165</v>
      </c>
      <c r="D475" s="10">
        <v>11400000</v>
      </c>
    </row>
    <row r="478" spans="1:4">
      <c r="A478" s="109" t="s">
        <v>319</v>
      </c>
      <c r="B478" s="109"/>
      <c r="C478" s="109"/>
      <c r="D478" s="109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76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7" t="s">
        <v>251</v>
      </c>
      <c r="B481" s="10">
        <v>26420</v>
      </c>
      <c r="C481" s="10">
        <v>7275</v>
      </c>
      <c r="D481" s="10">
        <v>11510000</v>
      </c>
    </row>
    <row r="482" spans="1:6">
      <c r="A482" s="78" t="s">
        <v>252</v>
      </c>
      <c r="B482" s="10">
        <v>26520</v>
      </c>
      <c r="C482" s="10">
        <v>7265</v>
      </c>
      <c r="D482" s="10">
        <v>11530000</v>
      </c>
    </row>
    <row r="483" spans="1:6">
      <c r="A483" s="76" t="s">
        <v>253</v>
      </c>
      <c r="B483" s="10">
        <v>26520</v>
      </c>
      <c r="C483" s="10">
        <v>7325</v>
      </c>
      <c r="D483" s="10">
        <v>11610000</v>
      </c>
    </row>
    <row r="484" spans="1:6">
      <c r="A484" s="76">
        <v>0.625</v>
      </c>
      <c r="B484" s="10">
        <v>26520</v>
      </c>
      <c r="C484" s="10">
        <v>7320</v>
      </c>
      <c r="D484" s="10">
        <v>11560000</v>
      </c>
    </row>
    <row r="485" spans="1:6">
      <c r="A485" s="77" t="s">
        <v>254</v>
      </c>
      <c r="B485" s="10">
        <v>26520</v>
      </c>
      <c r="C485" s="10">
        <v>7320</v>
      </c>
      <c r="D485" s="10">
        <v>11590000</v>
      </c>
    </row>
    <row r="486" spans="1:6">
      <c r="A486" s="77" t="s">
        <v>255</v>
      </c>
      <c r="B486" s="10">
        <v>26520</v>
      </c>
      <c r="C486" s="10">
        <v>7320</v>
      </c>
      <c r="D486" s="10">
        <v>11630000</v>
      </c>
    </row>
    <row r="489" spans="1:6">
      <c r="A489" s="109" t="s">
        <v>320</v>
      </c>
      <c r="B489" s="109"/>
      <c r="C489" s="109"/>
      <c r="D489" s="109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76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7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8" t="s">
        <v>252</v>
      </c>
      <c r="B493" s="10"/>
      <c r="C493" s="10"/>
      <c r="D493" s="10"/>
    </row>
    <row r="494" spans="1:6">
      <c r="A494" s="76" t="s">
        <v>253</v>
      </c>
      <c r="B494" s="10"/>
      <c r="C494" s="10"/>
      <c r="D494" s="10"/>
    </row>
    <row r="495" spans="1:6">
      <c r="A495" s="76">
        <v>0.625</v>
      </c>
      <c r="B495" s="10"/>
      <c r="C495" s="10"/>
      <c r="D495" s="10"/>
    </row>
    <row r="496" spans="1:6">
      <c r="A496" s="77" t="s">
        <v>254</v>
      </c>
      <c r="B496" s="10"/>
      <c r="C496" s="10"/>
      <c r="D496" s="10"/>
    </row>
    <row r="497" spans="1:4">
      <c r="A497" s="77" t="s">
        <v>255</v>
      </c>
      <c r="B497" s="10"/>
      <c r="C497" s="10"/>
      <c r="D497" s="10"/>
    </row>
    <row r="500" spans="1:4">
      <c r="A500" s="109" t="s">
        <v>323</v>
      </c>
      <c r="B500" s="109"/>
      <c r="C500" s="109"/>
      <c r="D500" s="109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76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7" t="s">
        <v>251</v>
      </c>
      <c r="B503" s="10">
        <v>26530</v>
      </c>
      <c r="C503" s="10">
        <v>7310</v>
      </c>
      <c r="D503" s="10">
        <v>11790000</v>
      </c>
    </row>
    <row r="504" spans="1:4">
      <c r="A504" s="78" t="s">
        <v>252</v>
      </c>
      <c r="B504" s="10">
        <v>26550</v>
      </c>
      <c r="C504" s="10">
        <v>7300</v>
      </c>
      <c r="D504" s="10">
        <v>11770000</v>
      </c>
    </row>
    <row r="505" spans="1:4">
      <c r="A505" s="76" t="s">
        <v>253</v>
      </c>
      <c r="B505" s="10">
        <v>26620</v>
      </c>
      <c r="C505" s="10">
        <v>7285</v>
      </c>
      <c r="D505" s="10">
        <v>11710000</v>
      </c>
    </row>
    <row r="506" spans="1:4">
      <c r="A506" s="76">
        <v>0.625</v>
      </c>
      <c r="B506" s="10">
        <v>26580</v>
      </c>
      <c r="C506" s="10">
        <v>7285</v>
      </c>
      <c r="D506" s="10">
        <v>11730000</v>
      </c>
    </row>
    <row r="507" spans="1:4">
      <c r="A507" s="77" t="s">
        <v>254</v>
      </c>
      <c r="B507" s="10">
        <v>26580</v>
      </c>
      <c r="C507" s="10">
        <v>7285</v>
      </c>
      <c r="D507" s="10">
        <v>11700000</v>
      </c>
    </row>
    <row r="508" spans="1:4">
      <c r="A508" s="77" t="s">
        <v>255</v>
      </c>
      <c r="B508" s="10">
        <v>26580</v>
      </c>
      <c r="C508" s="10">
        <v>7285</v>
      </c>
      <c r="D508" s="10">
        <v>11690000</v>
      </c>
    </row>
    <row r="511" spans="1:4">
      <c r="A511" s="109" t="s">
        <v>324</v>
      </c>
      <c r="B511" s="109"/>
      <c r="C511" s="109"/>
      <c r="D511" s="109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76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7" t="s">
        <v>251</v>
      </c>
      <c r="B514" s="10">
        <v>26650</v>
      </c>
      <c r="C514" s="10">
        <v>7320</v>
      </c>
      <c r="D514" s="10">
        <v>11830000</v>
      </c>
    </row>
    <row r="515" spans="1:4">
      <c r="A515" s="78" t="s">
        <v>252</v>
      </c>
      <c r="B515" s="10">
        <v>26620</v>
      </c>
      <c r="C515" s="10">
        <v>7320</v>
      </c>
      <c r="D515" s="10">
        <v>11820000</v>
      </c>
    </row>
    <row r="516" spans="1:4">
      <c r="A516" s="76" t="s">
        <v>253</v>
      </c>
      <c r="B516" s="10">
        <v>26660</v>
      </c>
      <c r="C516" s="10">
        <v>7320</v>
      </c>
      <c r="D516" s="10">
        <v>11820000</v>
      </c>
    </row>
    <row r="517" spans="1:4">
      <c r="A517" s="76">
        <v>0.625</v>
      </c>
      <c r="B517" s="10">
        <v>26660</v>
      </c>
      <c r="C517" s="10">
        <v>7320</v>
      </c>
      <c r="D517" s="10">
        <v>11850000</v>
      </c>
    </row>
    <row r="518" spans="1:4">
      <c r="A518" s="77" t="s">
        <v>254</v>
      </c>
      <c r="B518" s="10">
        <v>26660</v>
      </c>
      <c r="C518" s="10">
        <v>7320</v>
      </c>
      <c r="D518" s="10">
        <v>11950000</v>
      </c>
    </row>
    <row r="519" spans="1:4">
      <c r="A519" s="77" t="s">
        <v>255</v>
      </c>
      <c r="B519" s="10">
        <v>26660</v>
      </c>
      <c r="C519" s="10">
        <v>7320</v>
      </c>
      <c r="D519" s="10">
        <v>11920000</v>
      </c>
    </row>
    <row r="522" spans="1:4">
      <c r="A522" s="109" t="s">
        <v>325</v>
      </c>
      <c r="B522" s="109"/>
      <c r="C522" s="109"/>
      <c r="D522" s="109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76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7" t="s">
        <v>251</v>
      </c>
      <c r="B525" s="10">
        <v>27500</v>
      </c>
      <c r="C525" s="10">
        <v>7560</v>
      </c>
      <c r="D525" s="10">
        <v>12100000</v>
      </c>
    </row>
    <row r="526" spans="1:4">
      <c r="A526" s="78" t="s">
        <v>252</v>
      </c>
      <c r="B526" s="10">
        <v>27400</v>
      </c>
      <c r="C526" s="10">
        <v>7505</v>
      </c>
      <c r="D526" s="10">
        <v>12120000</v>
      </c>
    </row>
    <row r="527" spans="1:4">
      <c r="A527" s="76" t="s">
        <v>253</v>
      </c>
      <c r="B527" s="10">
        <v>27390</v>
      </c>
      <c r="C527" s="10">
        <v>7485</v>
      </c>
      <c r="D527" s="10">
        <v>12070000</v>
      </c>
    </row>
    <row r="528" spans="1:4">
      <c r="A528" s="76">
        <v>0.625</v>
      </c>
      <c r="B528" s="10">
        <v>27390</v>
      </c>
      <c r="C528" s="10">
        <v>7500</v>
      </c>
      <c r="D528" s="10">
        <v>12030000</v>
      </c>
    </row>
    <row r="529" spans="1:4">
      <c r="A529" s="77" t="s">
        <v>254</v>
      </c>
      <c r="B529" s="10">
        <v>27390</v>
      </c>
      <c r="C529" s="10">
        <v>7500</v>
      </c>
      <c r="D529" s="10">
        <v>12020000</v>
      </c>
    </row>
    <row r="530" spans="1:4">
      <c r="A530" s="77" t="s">
        <v>255</v>
      </c>
      <c r="B530" s="10">
        <v>27390</v>
      </c>
      <c r="C530" s="10">
        <v>7500</v>
      </c>
      <c r="D530" s="10">
        <v>11970000</v>
      </c>
    </row>
    <row r="533" spans="1:4">
      <c r="A533" s="109" t="s">
        <v>326</v>
      </c>
      <c r="B533" s="109"/>
      <c r="C533" s="109"/>
      <c r="D533" s="109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76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7" t="s">
        <v>251</v>
      </c>
      <c r="B536" s="10">
        <v>27360</v>
      </c>
      <c r="C536" s="10">
        <v>7500</v>
      </c>
      <c r="D536" s="10">
        <v>11960000</v>
      </c>
    </row>
    <row r="537" spans="1:4">
      <c r="A537" s="78" t="s">
        <v>252</v>
      </c>
      <c r="B537" s="10">
        <v>27410</v>
      </c>
      <c r="C537" s="10">
        <v>7490</v>
      </c>
      <c r="D537" s="10">
        <v>12030000</v>
      </c>
    </row>
    <row r="538" spans="1:4">
      <c r="A538" s="76" t="s">
        <v>253</v>
      </c>
      <c r="B538" s="10">
        <v>27460</v>
      </c>
      <c r="C538" s="10">
        <v>7530</v>
      </c>
      <c r="D538" s="10">
        <v>12090000</v>
      </c>
    </row>
    <row r="539" spans="1:4">
      <c r="A539" s="76">
        <v>0.625</v>
      </c>
      <c r="B539" s="10">
        <v>27460</v>
      </c>
      <c r="C539" s="10">
        <v>7520</v>
      </c>
      <c r="D539" s="10">
        <v>12180000</v>
      </c>
    </row>
    <row r="540" spans="1:4">
      <c r="A540" s="77" t="s">
        <v>254</v>
      </c>
      <c r="B540" s="10">
        <v>27460</v>
      </c>
      <c r="C540" s="10">
        <v>7520</v>
      </c>
      <c r="D540" s="10">
        <v>12180000</v>
      </c>
    </row>
    <row r="541" spans="1:4">
      <c r="A541" s="77" t="s">
        <v>255</v>
      </c>
      <c r="B541" s="10">
        <v>27460</v>
      </c>
      <c r="C541" s="10">
        <v>7520</v>
      </c>
      <c r="D541" s="10">
        <v>12160000</v>
      </c>
    </row>
    <row r="544" spans="1:4">
      <c r="A544" s="109" t="s">
        <v>327</v>
      </c>
      <c r="B544" s="109"/>
      <c r="C544" s="109"/>
      <c r="D544" s="109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76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7" t="s">
        <v>251</v>
      </c>
      <c r="B547" s="10">
        <v>27750</v>
      </c>
      <c r="C547" s="10">
        <v>7580</v>
      </c>
      <c r="D547" s="10">
        <v>12240000</v>
      </c>
    </row>
    <row r="548" spans="1:6">
      <c r="A548" s="78" t="s">
        <v>252</v>
      </c>
      <c r="B548" s="10">
        <v>27730</v>
      </c>
      <c r="C548" s="10">
        <v>7590</v>
      </c>
      <c r="D548" s="10">
        <v>12250000</v>
      </c>
    </row>
    <row r="549" spans="1:6">
      <c r="A549" s="76" t="s">
        <v>253</v>
      </c>
      <c r="B549" s="10">
        <v>27730</v>
      </c>
      <c r="C549" s="10">
        <v>7570</v>
      </c>
      <c r="D549" s="10">
        <v>12240000</v>
      </c>
    </row>
    <row r="550" spans="1:6">
      <c r="A550" s="76">
        <v>0.625</v>
      </c>
      <c r="B550" s="10">
        <v>27730</v>
      </c>
      <c r="C550" s="10">
        <v>7570</v>
      </c>
      <c r="D550" s="10">
        <v>12150000</v>
      </c>
    </row>
    <row r="551" spans="1:6">
      <c r="A551" s="77" t="s">
        <v>254</v>
      </c>
      <c r="B551" s="10">
        <v>27730</v>
      </c>
      <c r="C551" s="10">
        <v>7570</v>
      </c>
      <c r="D551" s="10">
        <v>12160000</v>
      </c>
    </row>
    <row r="552" spans="1:6">
      <c r="A552" s="77" t="s">
        <v>255</v>
      </c>
      <c r="B552" s="10">
        <v>27730</v>
      </c>
      <c r="C552" s="10">
        <v>7570</v>
      </c>
      <c r="D552" s="10">
        <v>12100000</v>
      </c>
    </row>
    <row r="555" spans="1:6">
      <c r="A555" s="109" t="s">
        <v>328</v>
      </c>
      <c r="B555" s="109"/>
      <c r="C555" s="109"/>
      <c r="D555" s="109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76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7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8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76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76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7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7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109" t="s">
        <v>328</v>
      </c>
      <c r="B567" s="109"/>
      <c r="C567" s="109"/>
      <c r="D567" s="109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76">
        <v>0.45833333333333298</v>
      </c>
      <c r="B569" s="10">
        <v>27920</v>
      </c>
      <c r="C569" s="10"/>
      <c r="D569" s="10"/>
      <c r="E569" s="81">
        <v>12000000</v>
      </c>
      <c r="F569" s="81">
        <v>1100</v>
      </c>
    </row>
    <row r="570" spans="1:6">
      <c r="A570" s="77" t="s">
        <v>251</v>
      </c>
      <c r="B570" s="10">
        <v>27920</v>
      </c>
      <c r="C570" s="10"/>
      <c r="D570" s="10"/>
      <c r="E570" s="81">
        <v>12020000</v>
      </c>
      <c r="F570" t="s">
        <v>331</v>
      </c>
    </row>
    <row r="571" spans="1:6">
      <c r="A571" s="78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76" t="s">
        <v>253</v>
      </c>
      <c r="B572" s="10"/>
      <c r="C572" s="10"/>
      <c r="D572" s="10"/>
    </row>
    <row r="573" spans="1:6">
      <c r="A573" s="76">
        <v>0.625</v>
      </c>
      <c r="B573" s="10"/>
      <c r="C573" s="10"/>
      <c r="D573" s="10"/>
      <c r="E573">
        <f>230000/E563</f>
        <v>1.8806214227309895E-2</v>
      </c>
    </row>
    <row r="574" spans="1:6">
      <c r="A574" s="77" t="s">
        <v>254</v>
      </c>
      <c r="B574" s="10"/>
      <c r="C574" s="10"/>
      <c r="D574" s="10"/>
    </row>
    <row r="575" spans="1:6">
      <c r="A575" s="77" t="s">
        <v>255</v>
      </c>
      <c r="B575" s="10"/>
      <c r="C575" s="10"/>
      <c r="D575" s="10"/>
    </row>
    <row r="579" spans="1:5">
      <c r="A579" s="109" t="s">
        <v>333</v>
      </c>
      <c r="B579" s="109"/>
      <c r="C579" s="109"/>
      <c r="D579" s="109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76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7" t="s">
        <v>251</v>
      </c>
      <c r="B582" s="10">
        <v>28320</v>
      </c>
      <c r="C582" s="10">
        <v>7720</v>
      </c>
      <c r="D582" s="10">
        <v>12330000</v>
      </c>
    </row>
    <row r="583" spans="1:5">
      <c r="A583" s="78" t="s">
        <v>252</v>
      </c>
      <c r="B583" s="10">
        <v>28170</v>
      </c>
      <c r="C583" s="10">
        <v>7670</v>
      </c>
      <c r="D583" s="10">
        <v>12220000</v>
      </c>
    </row>
    <row r="584" spans="1:5">
      <c r="A584" s="76" t="s">
        <v>253</v>
      </c>
      <c r="B584" s="10">
        <v>28260</v>
      </c>
      <c r="C584" s="10">
        <v>7700</v>
      </c>
      <c r="D584" s="10">
        <v>12220000</v>
      </c>
    </row>
    <row r="585" spans="1:5">
      <c r="A585" s="76">
        <v>0.625</v>
      </c>
      <c r="B585" s="10">
        <v>28260</v>
      </c>
      <c r="C585" s="10">
        <v>7685</v>
      </c>
      <c r="D585" s="10">
        <v>12190000</v>
      </c>
      <c r="E585" s="81"/>
    </row>
    <row r="586" spans="1:5">
      <c r="A586" s="77" t="s">
        <v>254</v>
      </c>
      <c r="B586" s="10">
        <v>28260</v>
      </c>
      <c r="C586" s="10">
        <v>7685</v>
      </c>
      <c r="D586" s="10">
        <v>12200000</v>
      </c>
      <c r="E586" s="82"/>
    </row>
    <row r="587" spans="1:5">
      <c r="A587" s="77" t="s">
        <v>255</v>
      </c>
      <c r="B587" s="10">
        <v>28260</v>
      </c>
      <c r="C587" s="10">
        <v>7685</v>
      </c>
      <c r="D587" s="10">
        <v>12210000</v>
      </c>
    </row>
    <row r="590" spans="1:5">
      <c r="A590" s="109" t="s">
        <v>334</v>
      </c>
      <c r="B590" s="109"/>
      <c r="C590" s="109"/>
      <c r="D590" s="109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76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7" t="s">
        <v>251</v>
      </c>
      <c r="B593" s="10">
        <v>27980</v>
      </c>
      <c r="C593" s="10">
        <v>7635</v>
      </c>
      <c r="D593" s="10">
        <v>12040000</v>
      </c>
    </row>
    <row r="594" spans="1:5">
      <c r="A594" s="78" t="s">
        <v>252</v>
      </c>
      <c r="B594" s="10">
        <v>27850</v>
      </c>
      <c r="C594" s="10">
        <v>7600</v>
      </c>
      <c r="D594" s="10">
        <v>12060000</v>
      </c>
    </row>
    <row r="595" spans="1:5">
      <c r="A595" s="76" t="s">
        <v>253</v>
      </c>
      <c r="B595" s="10">
        <v>27830</v>
      </c>
      <c r="C595" s="10">
        <v>7600</v>
      </c>
      <c r="D595" s="10">
        <v>12030000</v>
      </c>
    </row>
    <row r="596" spans="1:5">
      <c r="A596" s="76">
        <v>0.625</v>
      </c>
      <c r="B596" s="10">
        <v>27830</v>
      </c>
      <c r="C596" s="10">
        <v>7540</v>
      </c>
      <c r="D596" s="10">
        <v>12000000</v>
      </c>
      <c r="E596" s="81"/>
    </row>
    <row r="597" spans="1:5">
      <c r="A597" s="77" t="s">
        <v>254</v>
      </c>
      <c r="B597" s="10">
        <v>27830</v>
      </c>
      <c r="C597" s="10">
        <v>7540</v>
      </c>
      <c r="D597" s="10">
        <v>12000000</v>
      </c>
      <c r="E597" s="82"/>
    </row>
    <row r="598" spans="1:5">
      <c r="A598" s="77" t="s">
        <v>255</v>
      </c>
      <c r="B598" s="10">
        <v>27830</v>
      </c>
      <c r="C598" s="10">
        <v>7540</v>
      </c>
      <c r="D598" s="10">
        <v>12020000</v>
      </c>
    </row>
    <row r="601" spans="1:5">
      <c r="A601" s="109" t="s">
        <v>335</v>
      </c>
      <c r="B601" s="109"/>
      <c r="C601" s="109"/>
      <c r="D601" s="109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76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7" t="s">
        <v>251</v>
      </c>
      <c r="B604" s="10">
        <v>27150</v>
      </c>
      <c r="C604" s="10">
        <v>7435</v>
      </c>
      <c r="D604">
        <v>11850000</v>
      </c>
    </row>
    <row r="605" spans="1:5">
      <c r="A605" s="78" t="s">
        <v>252</v>
      </c>
      <c r="B605" s="10">
        <v>26900</v>
      </c>
      <c r="C605" s="10">
        <v>7380</v>
      </c>
      <c r="D605">
        <v>11780000</v>
      </c>
    </row>
    <row r="606" spans="1:5">
      <c r="A606" s="76" t="s">
        <v>253</v>
      </c>
      <c r="B606" s="10">
        <v>26900</v>
      </c>
      <c r="C606" s="10">
        <v>7420</v>
      </c>
      <c r="D606">
        <v>11800000</v>
      </c>
    </row>
    <row r="607" spans="1:5">
      <c r="A607" s="76">
        <v>0.625</v>
      </c>
      <c r="B607" s="10">
        <v>26900</v>
      </c>
      <c r="C607" s="10">
        <v>7420</v>
      </c>
      <c r="D607">
        <v>11850000</v>
      </c>
    </row>
    <row r="608" spans="1:5">
      <c r="A608" s="77" t="s">
        <v>254</v>
      </c>
      <c r="B608" s="10">
        <v>26900</v>
      </c>
      <c r="C608" s="10">
        <v>7420</v>
      </c>
      <c r="D608">
        <v>11820000</v>
      </c>
    </row>
    <row r="609" spans="1:4">
      <c r="A609" s="77" t="s">
        <v>255</v>
      </c>
      <c r="B609" s="10">
        <v>26900</v>
      </c>
      <c r="C609" s="10">
        <v>7420</v>
      </c>
      <c r="D609">
        <v>11850000</v>
      </c>
    </row>
    <row r="612" spans="1:4">
      <c r="A612" s="109" t="s">
        <v>336</v>
      </c>
      <c r="B612" s="109"/>
      <c r="C612" s="109"/>
      <c r="D612" s="109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76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7" t="s">
        <v>251</v>
      </c>
      <c r="B615" s="10">
        <v>27310</v>
      </c>
      <c r="C615" s="10">
        <v>7490</v>
      </c>
      <c r="D615">
        <v>12010000</v>
      </c>
    </row>
    <row r="616" spans="1:4">
      <c r="A616" s="78" t="s">
        <v>252</v>
      </c>
      <c r="B616" s="10">
        <v>27260</v>
      </c>
      <c r="C616" s="10">
        <v>7445</v>
      </c>
      <c r="D616">
        <v>11990000</v>
      </c>
    </row>
    <row r="617" spans="1:4">
      <c r="A617" s="76" t="s">
        <v>253</v>
      </c>
      <c r="B617" s="10">
        <v>27250</v>
      </c>
      <c r="C617" s="10">
        <v>7440</v>
      </c>
      <c r="D617">
        <v>11980000</v>
      </c>
    </row>
    <row r="618" spans="1:4">
      <c r="A618" s="76">
        <v>0.625</v>
      </c>
      <c r="B618" s="10">
        <v>27250</v>
      </c>
      <c r="C618" s="10">
        <v>7440</v>
      </c>
      <c r="D618">
        <v>11960000</v>
      </c>
    </row>
    <row r="619" spans="1:4">
      <c r="A619" s="77" t="s">
        <v>254</v>
      </c>
      <c r="B619" s="10">
        <v>27250</v>
      </c>
      <c r="C619" s="10">
        <v>7440</v>
      </c>
      <c r="D619">
        <v>11980000</v>
      </c>
    </row>
    <row r="620" spans="1:4">
      <c r="A620" s="77" t="s">
        <v>255</v>
      </c>
      <c r="B620" s="10">
        <v>27250</v>
      </c>
      <c r="C620" s="10">
        <v>7440</v>
      </c>
      <c r="D620">
        <v>11990000</v>
      </c>
    </row>
    <row r="623" spans="1:4">
      <c r="A623" s="109" t="s">
        <v>337</v>
      </c>
      <c r="B623" s="109"/>
      <c r="C623" s="109"/>
      <c r="D623" s="109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76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7" t="s">
        <v>251</v>
      </c>
      <c r="B626" s="10">
        <v>27240</v>
      </c>
      <c r="C626" s="10">
        <v>7410</v>
      </c>
      <c r="D626">
        <v>11970000</v>
      </c>
    </row>
    <row r="627" spans="1:6">
      <c r="A627" s="78" t="s">
        <v>252</v>
      </c>
      <c r="B627" s="10">
        <v>27170</v>
      </c>
      <c r="C627" s="10">
        <v>7410</v>
      </c>
      <c r="D627">
        <v>11930000</v>
      </c>
    </row>
    <row r="628" spans="1:6">
      <c r="A628" s="76" t="s">
        <v>253</v>
      </c>
      <c r="B628" s="10">
        <v>27130</v>
      </c>
      <c r="C628" s="10">
        <v>7400</v>
      </c>
      <c r="D628">
        <v>11880000</v>
      </c>
    </row>
    <row r="629" spans="1:6">
      <c r="A629" s="76">
        <v>0.625</v>
      </c>
      <c r="B629" s="10">
        <v>27130</v>
      </c>
      <c r="C629" s="10">
        <v>7375</v>
      </c>
      <c r="D629">
        <v>11890000</v>
      </c>
    </row>
    <row r="630" spans="1:6">
      <c r="A630" s="77" t="s">
        <v>254</v>
      </c>
      <c r="B630" s="10">
        <v>27130</v>
      </c>
      <c r="C630" s="10">
        <v>7375</v>
      </c>
      <c r="D630">
        <v>11890000</v>
      </c>
    </row>
    <row r="631" spans="1:6">
      <c r="A631" s="77" t="s">
        <v>255</v>
      </c>
      <c r="B631" s="10">
        <v>27130</v>
      </c>
      <c r="C631" s="10">
        <v>7375</v>
      </c>
      <c r="D631">
        <v>11890000</v>
      </c>
    </row>
    <row r="635" spans="1:6">
      <c r="A635" s="109" t="s">
        <v>338</v>
      </c>
      <c r="B635" s="109"/>
      <c r="C635" s="109"/>
      <c r="D635" s="109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76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7" t="s">
        <v>251</v>
      </c>
      <c r="B638" s="10">
        <v>27190</v>
      </c>
      <c r="C638" s="10"/>
    </row>
    <row r="639" spans="1:6">
      <c r="A639" s="78" t="s">
        <v>252</v>
      </c>
      <c r="B639" s="10"/>
      <c r="C639" s="10"/>
    </row>
    <row r="640" spans="1:6">
      <c r="A640" s="76" t="s">
        <v>253</v>
      </c>
      <c r="B640" s="10"/>
      <c r="C640" s="10"/>
    </row>
    <row r="641" spans="1:4">
      <c r="A641" s="76">
        <v>0.625</v>
      </c>
      <c r="B641" s="10"/>
      <c r="C641" s="10"/>
    </row>
    <row r="642" spans="1:4">
      <c r="A642" s="77" t="s">
        <v>254</v>
      </c>
      <c r="B642" s="10"/>
      <c r="C642" s="10"/>
    </row>
    <row r="643" spans="1:4">
      <c r="A643" s="77" t="s">
        <v>255</v>
      </c>
      <c r="B643" s="10"/>
      <c r="C643" s="10"/>
    </row>
    <row r="647" spans="1:4">
      <c r="A647" s="109" t="s">
        <v>340</v>
      </c>
      <c r="B647" s="109"/>
      <c r="C647" s="109"/>
      <c r="D647" s="109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76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7" t="s">
        <v>251</v>
      </c>
      <c r="B650" s="10">
        <v>27150</v>
      </c>
      <c r="C650" s="10">
        <v>7420</v>
      </c>
      <c r="D650">
        <v>11930000</v>
      </c>
    </row>
    <row r="651" spans="1:4">
      <c r="A651" s="78" t="s">
        <v>252</v>
      </c>
      <c r="B651" s="10">
        <v>27180</v>
      </c>
      <c r="C651" s="10">
        <v>7410</v>
      </c>
      <c r="D651">
        <v>11990000</v>
      </c>
    </row>
    <row r="652" spans="1:4">
      <c r="A652" s="76" t="s">
        <v>253</v>
      </c>
      <c r="B652" s="10">
        <v>27050</v>
      </c>
      <c r="C652" s="10">
        <v>7405</v>
      </c>
      <c r="D652">
        <v>12010000</v>
      </c>
    </row>
    <row r="653" spans="1:4">
      <c r="A653" s="76">
        <v>0.625</v>
      </c>
      <c r="B653" s="10">
        <v>27050</v>
      </c>
      <c r="C653" s="10">
        <v>7390</v>
      </c>
      <c r="D653">
        <v>11900000</v>
      </c>
    </row>
    <row r="654" spans="1:4">
      <c r="A654" s="77" t="s">
        <v>254</v>
      </c>
      <c r="B654" s="10">
        <v>27050</v>
      </c>
      <c r="C654" s="10">
        <v>7390</v>
      </c>
      <c r="D654">
        <v>11980000</v>
      </c>
    </row>
    <row r="655" spans="1:4">
      <c r="A655" s="77" t="s">
        <v>255</v>
      </c>
      <c r="B655" s="10">
        <v>27050</v>
      </c>
      <c r="C655" s="10">
        <v>7390</v>
      </c>
      <c r="D655">
        <v>11990000</v>
      </c>
    </row>
    <row r="658" spans="1:4">
      <c r="A658" s="109" t="s">
        <v>341</v>
      </c>
      <c r="B658" s="109"/>
      <c r="C658" s="109"/>
      <c r="D658" s="109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76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7" t="s">
        <v>251</v>
      </c>
      <c r="B661" s="10">
        <v>27210</v>
      </c>
      <c r="C661" s="10">
        <v>7400</v>
      </c>
      <c r="D661">
        <v>12090000</v>
      </c>
    </row>
    <row r="662" spans="1:4">
      <c r="A662" s="78" t="s">
        <v>252</v>
      </c>
      <c r="B662" s="10">
        <v>27220</v>
      </c>
      <c r="C662" s="10">
        <v>7420</v>
      </c>
      <c r="D662">
        <v>12150000</v>
      </c>
    </row>
    <row r="663" spans="1:4">
      <c r="A663" s="76" t="s">
        <v>253</v>
      </c>
      <c r="B663" s="10">
        <v>27190</v>
      </c>
      <c r="C663" s="10">
        <v>7410</v>
      </c>
      <c r="D663">
        <v>12140000</v>
      </c>
    </row>
    <row r="664" spans="1:4">
      <c r="A664" s="76">
        <v>0.625</v>
      </c>
      <c r="B664" s="10">
        <v>27190</v>
      </c>
      <c r="C664" s="10">
        <v>7410</v>
      </c>
      <c r="D664">
        <v>12110000</v>
      </c>
    </row>
    <row r="665" spans="1:4">
      <c r="A665" s="77" t="s">
        <v>254</v>
      </c>
      <c r="B665" s="10">
        <v>27190</v>
      </c>
      <c r="C665" s="10">
        <v>7410</v>
      </c>
      <c r="D665">
        <v>12090000</v>
      </c>
    </row>
    <row r="666" spans="1:4">
      <c r="A666" s="77" t="s">
        <v>255</v>
      </c>
      <c r="B666" s="10">
        <v>27190</v>
      </c>
      <c r="C666" s="10">
        <v>7410</v>
      </c>
      <c r="D666">
        <v>12130000</v>
      </c>
    </row>
    <row r="670" spans="1:4">
      <c r="A670" s="109" t="s">
        <v>342</v>
      </c>
      <c r="B670" s="109"/>
      <c r="C670" s="109"/>
      <c r="D670" s="109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76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7" t="s">
        <v>251</v>
      </c>
      <c r="B673" s="10">
        <v>27050</v>
      </c>
      <c r="C673" s="10">
        <v>7400</v>
      </c>
      <c r="D673">
        <v>12070000</v>
      </c>
    </row>
    <row r="674" spans="1:4">
      <c r="A674" s="78" t="s">
        <v>252</v>
      </c>
      <c r="B674" s="10">
        <v>27000</v>
      </c>
      <c r="C674" s="10">
        <v>7370</v>
      </c>
      <c r="D674">
        <v>12040000</v>
      </c>
    </row>
    <row r="675" spans="1:4">
      <c r="A675" s="76" t="s">
        <v>253</v>
      </c>
      <c r="B675" s="10">
        <v>27020</v>
      </c>
      <c r="C675" s="10">
        <v>7390</v>
      </c>
      <c r="D675">
        <v>12030000</v>
      </c>
    </row>
    <row r="676" spans="1:4">
      <c r="A676" s="76">
        <v>0.625</v>
      </c>
      <c r="B676" s="10">
        <v>27010</v>
      </c>
      <c r="C676" s="10">
        <v>7385</v>
      </c>
      <c r="D676">
        <v>12060000</v>
      </c>
    </row>
    <row r="677" spans="1:4">
      <c r="A677" s="77" t="s">
        <v>254</v>
      </c>
      <c r="B677" s="10">
        <v>27010</v>
      </c>
      <c r="C677" s="10">
        <v>7385</v>
      </c>
      <c r="D677">
        <v>12030000</v>
      </c>
    </row>
    <row r="678" spans="1:4">
      <c r="A678" s="77" t="s">
        <v>255</v>
      </c>
      <c r="B678" s="10">
        <v>27010</v>
      </c>
      <c r="C678" s="10">
        <v>7385</v>
      </c>
      <c r="D678">
        <v>12050000</v>
      </c>
    </row>
    <row r="681" spans="1:4">
      <c r="A681" s="109" t="s">
        <v>343</v>
      </c>
      <c r="B681" s="109"/>
      <c r="C681" s="109"/>
      <c r="D681" s="109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76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7" t="s">
        <v>251</v>
      </c>
      <c r="B684" s="10">
        <v>27170</v>
      </c>
      <c r="C684" s="10">
        <v>7405</v>
      </c>
      <c r="D684">
        <v>12110000</v>
      </c>
    </row>
    <row r="685" spans="1:4">
      <c r="A685" s="78" t="s">
        <v>252</v>
      </c>
      <c r="B685" s="10">
        <v>27080</v>
      </c>
      <c r="C685" s="10">
        <v>7420</v>
      </c>
      <c r="D685">
        <v>12080000</v>
      </c>
    </row>
    <row r="686" spans="1:4">
      <c r="A686" s="76" t="s">
        <v>253</v>
      </c>
      <c r="B686" s="10">
        <v>27120</v>
      </c>
      <c r="C686" s="10">
        <v>7410</v>
      </c>
      <c r="D686">
        <v>12080000</v>
      </c>
    </row>
    <row r="687" spans="1:4">
      <c r="A687" s="76">
        <v>0.625</v>
      </c>
      <c r="B687" s="10">
        <v>27120</v>
      </c>
      <c r="C687" s="10">
        <v>7410</v>
      </c>
      <c r="D687">
        <v>12080000</v>
      </c>
    </row>
    <row r="688" spans="1:4">
      <c r="A688" s="77" t="s">
        <v>254</v>
      </c>
      <c r="B688" s="10">
        <v>27120</v>
      </c>
      <c r="C688" s="10">
        <v>7410</v>
      </c>
      <c r="D688">
        <v>12110000</v>
      </c>
    </row>
    <row r="689" spans="1:4">
      <c r="A689" s="77" t="s">
        <v>255</v>
      </c>
      <c r="B689" s="10">
        <v>27120</v>
      </c>
      <c r="C689" s="10">
        <v>7410</v>
      </c>
      <c r="D689">
        <v>12140000</v>
      </c>
    </row>
    <row r="692" spans="1:4">
      <c r="A692" s="109" t="s">
        <v>344</v>
      </c>
      <c r="B692" s="109"/>
      <c r="C692" s="109"/>
      <c r="D692" s="109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76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7" t="s">
        <v>251</v>
      </c>
      <c r="B695" s="10">
        <v>27510</v>
      </c>
      <c r="C695" s="10">
        <v>7530</v>
      </c>
      <c r="D695">
        <v>12160000</v>
      </c>
    </row>
    <row r="696" spans="1:4">
      <c r="A696" s="78" t="s">
        <v>252</v>
      </c>
      <c r="B696" s="10">
        <v>27560</v>
      </c>
      <c r="C696" s="10">
        <v>7540</v>
      </c>
      <c r="D696">
        <v>12190000</v>
      </c>
    </row>
    <row r="697" spans="1:4">
      <c r="A697" s="76" t="s">
        <v>253</v>
      </c>
      <c r="B697" s="10">
        <v>27530</v>
      </c>
      <c r="C697" s="10">
        <v>7545</v>
      </c>
      <c r="D697">
        <v>12180000</v>
      </c>
    </row>
    <row r="698" spans="1:4">
      <c r="A698" s="76">
        <v>0.625</v>
      </c>
      <c r="B698" s="10">
        <v>27530</v>
      </c>
      <c r="C698" s="10">
        <v>7550</v>
      </c>
      <c r="D698">
        <v>12190000</v>
      </c>
    </row>
    <row r="699" spans="1:4">
      <c r="A699" s="77" t="s">
        <v>254</v>
      </c>
      <c r="B699" s="10">
        <v>27530</v>
      </c>
      <c r="C699" s="10">
        <v>7570</v>
      </c>
      <c r="D699">
        <v>12210000</v>
      </c>
    </row>
    <row r="700" spans="1:4">
      <c r="A700" s="77" t="s">
        <v>255</v>
      </c>
      <c r="B700" s="10">
        <v>27530</v>
      </c>
      <c r="C700" s="10">
        <v>7570</v>
      </c>
      <c r="D700">
        <v>12200000</v>
      </c>
    </row>
    <row r="703" spans="1:4">
      <c r="A703" s="109" t="s">
        <v>345</v>
      </c>
      <c r="B703" s="109"/>
      <c r="C703" s="109"/>
      <c r="D703" s="109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76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7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8" t="s">
        <v>252</v>
      </c>
      <c r="B707" s="10">
        <v>27620</v>
      </c>
      <c r="C707" s="10"/>
    </row>
    <row r="708" spans="1:6">
      <c r="A708" s="76" t="s">
        <v>253</v>
      </c>
      <c r="B708" s="10">
        <v>27820</v>
      </c>
      <c r="C708" s="10"/>
    </row>
    <row r="709" spans="1:6">
      <c r="A709" s="76">
        <v>0.625</v>
      </c>
      <c r="B709" s="10"/>
      <c r="C709" s="10"/>
    </row>
    <row r="710" spans="1:6">
      <c r="A710" s="77" t="s">
        <v>254</v>
      </c>
      <c r="B710" s="10"/>
      <c r="C710" s="10"/>
    </row>
    <row r="711" spans="1:6">
      <c r="A711" s="77" t="s">
        <v>255</v>
      </c>
      <c r="B711" s="10"/>
      <c r="C711" s="10"/>
    </row>
    <row r="715" spans="1:6">
      <c r="A715" s="109" t="s">
        <v>348</v>
      </c>
      <c r="B715" s="109"/>
      <c r="C715" s="109"/>
      <c r="D715" s="109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76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7" t="s">
        <v>251</v>
      </c>
      <c r="B718" s="10">
        <v>27780</v>
      </c>
      <c r="C718" s="10">
        <v>7595</v>
      </c>
      <c r="D718">
        <v>12040000</v>
      </c>
    </row>
    <row r="719" spans="1:6">
      <c r="A719" s="78" t="s">
        <v>252</v>
      </c>
      <c r="B719" s="10">
        <v>27750</v>
      </c>
      <c r="C719" s="10">
        <v>7585</v>
      </c>
      <c r="D719">
        <v>12070000</v>
      </c>
    </row>
    <row r="720" spans="1:6">
      <c r="A720" s="76" t="s">
        <v>253</v>
      </c>
      <c r="B720" s="10">
        <v>27830</v>
      </c>
      <c r="C720" s="10">
        <v>7595</v>
      </c>
      <c r="D720">
        <v>12050000</v>
      </c>
    </row>
    <row r="721" spans="1:4">
      <c r="A721" s="76">
        <v>0.625</v>
      </c>
      <c r="B721" s="10">
        <v>27830</v>
      </c>
      <c r="C721" s="10">
        <v>7590</v>
      </c>
      <c r="D721">
        <v>12080000</v>
      </c>
    </row>
    <row r="722" spans="1:4">
      <c r="A722" s="77" t="s">
        <v>254</v>
      </c>
      <c r="B722" s="10">
        <v>27830</v>
      </c>
      <c r="C722" s="10">
        <v>7590</v>
      </c>
      <c r="D722">
        <v>12080000</v>
      </c>
    </row>
    <row r="723" spans="1:4">
      <c r="A723" s="77" t="s">
        <v>255</v>
      </c>
      <c r="B723" s="10">
        <v>27830</v>
      </c>
      <c r="C723" s="10">
        <v>7590</v>
      </c>
      <c r="D723">
        <v>12020000</v>
      </c>
    </row>
    <row r="726" spans="1:4">
      <c r="A726" s="109" t="s">
        <v>349</v>
      </c>
      <c r="B726" s="109"/>
      <c r="C726" s="109"/>
      <c r="D726" s="109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76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7" t="s">
        <v>251</v>
      </c>
      <c r="B729" s="10">
        <v>27550</v>
      </c>
      <c r="C729" s="10">
        <v>7550</v>
      </c>
      <c r="D729">
        <v>11990000</v>
      </c>
    </row>
    <row r="730" spans="1:4">
      <c r="A730" s="78" t="s">
        <v>252</v>
      </c>
      <c r="B730" s="10">
        <v>27560</v>
      </c>
      <c r="C730" s="10">
        <v>7545</v>
      </c>
      <c r="D730">
        <v>12010000</v>
      </c>
    </row>
    <row r="731" spans="1:4">
      <c r="A731" s="76" t="s">
        <v>253</v>
      </c>
      <c r="B731" s="10">
        <v>27500</v>
      </c>
      <c r="C731" s="10">
        <v>7525</v>
      </c>
      <c r="D731">
        <v>11990000</v>
      </c>
    </row>
    <row r="732" spans="1:4">
      <c r="A732" s="76">
        <v>0.625</v>
      </c>
      <c r="B732" s="10">
        <v>27500</v>
      </c>
      <c r="C732" s="10">
        <v>7530</v>
      </c>
      <c r="D732">
        <v>12020000</v>
      </c>
    </row>
    <row r="733" spans="1:4">
      <c r="A733" s="77" t="s">
        <v>254</v>
      </c>
      <c r="B733" s="10">
        <v>27500</v>
      </c>
      <c r="C733" s="10">
        <v>7535</v>
      </c>
      <c r="D733">
        <v>12000000</v>
      </c>
    </row>
    <row r="734" spans="1:4">
      <c r="A734" s="77" t="s">
        <v>255</v>
      </c>
      <c r="B734" s="10">
        <v>27500</v>
      </c>
      <c r="C734" s="10">
        <v>7535</v>
      </c>
      <c r="D734">
        <v>11990000</v>
      </c>
    </row>
    <row r="738" spans="1:4">
      <c r="A738" s="109" t="s">
        <v>350</v>
      </c>
      <c r="B738" s="109"/>
      <c r="C738" s="109"/>
      <c r="D738" s="109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76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7" t="s">
        <v>251</v>
      </c>
      <c r="B741" s="10">
        <v>26900</v>
      </c>
      <c r="C741" s="10">
        <v>7390</v>
      </c>
      <c r="D741">
        <v>11780000</v>
      </c>
    </row>
    <row r="742" spans="1:4">
      <c r="A742" s="78" t="s">
        <v>252</v>
      </c>
      <c r="B742" s="10">
        <v>26990</v>
      </c>
      <c r="C742" s="10">
        <v>7430</v>
      </c>
      <c r="D742">
        <v>11790000</v>
      </c>
    </row>
    <row r="743" spans="1:4">
      <c r="A743" s="76" t="s">
        <v>253</v>
      </c>
      <c r="B743" s="10">
        <v>27100</v>
      </c>
      <c r="C743" s="10">
        <v>7430</v>
      </c>
      <c r="D743">
        <v>11810000</v>
      </c>
    </row>
    <row r="744" spans="1:4">
      <c r="A744" s="76">
        <v>0.625</v>
      </c>
      <c r="B744" s="10">
        <v>27100</v>
      </c>
      <c r="C744" s="10">
        <v>7450</v>
      </c>
      <c r="D744">
        <v>11840000</v>
      </c>
    </row>
    <row r="745" spans="1:4">
      <c r="A745" s="77" t="s">
        <v>254</v>
      </c>
      <c r="B745" s="10">
        <v>27100</v>
      </c>
      <c r="C745" s="10">
        <v>7450</v>
      </c>
      <c r="D745">
        <v>11840000</v>
      </c>
    </row>
    <row r="746" spans="1:4">
      <c r="A746" s="77" t="s">
        <v>255</v>
      </c>
      <c r="B746" s="10">
        <v>27100</v>
      </c>
      <c r="C746" s="10">
        <v>7450</v>
      </c>
      <c r="D746">
        <v>11850000</v>
      </c>
    </row>
    <row r="749" spans="1:4">
      <c r="A749" s="109" t="s">
        <v>351</v>
      </c>
      <c r="B749" s="109"/>
      <c r="C749" s="109"/>
      <c r="D749" s="109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76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7" t="s">
        <v>251</v>
      </c>
      <c r="B752" s="10">
        <v>27390</v>
      </c>
      <c r="C752" s="10">
        <v>7520</v>
      </c>
      <c r="D752">
        <v>11880000</v>
      </c>
    </row>
    <row r="753" spans="1:4">
      <c r="A753" s="78" t="s">
        <v>252</v>
      </c>
      <c r="B753" s="10">
        <v>27420</v>
      </c>
      <c r="C753" s="10">
        <v>7500</v>
      </c>
      <c r="D753">
        <v>11870000</v>
      </c>
    </row>
    <row r="754" spans="1:4">
      <c r="A754" s="76" t="s">
        <v>253</v>
      </c>
      <c r="B754" s="10">
        <v>27370</v>
      </c>
      <c r="C754" s="10">
        <v>7510</v>
      </c>
      <c r="D754">
        <v>11830000</v>
      </c>
    </row>
    <row r="755" spans="1:4">
      <c r="A755" s="76">
        <v>0.625</v>
      </c>
      <c r="B755" s="10">
        <v>27370</v>
      </c>
      <c r="C755" s="10">
        <v>7520</v>
      </c>
      <c r="D755">
        <v>11840000</v>
      </c>
    </row>
    <row r="756" spans="1:4">
      <c r="A756" s="77" t="s">
        <v>254</v>
      </c>
      <c r="B756" s="10">
        <v>27370</v>
      </c>
      <c r="C756" s="10">
        <v>7535</v>
      </c>
      <c r="D756">
        <v>11940000</v>
      </c>
    </row>
    <row r="757" spans="1:4">
      <c r="A757" s="77" t="s">
        <v>255</v>
      </c>
      <c r="B757" s="10">
        <v>27370</v>
      </c>
      <c r="C757" s="10">
        <v>7535</v>
      </c>
      <c r="D757">
        <v>11930000</v>
      </c>
    </row>
    <row r="760" spans="1:4">
      <c r="A760" s="109" t="s">
        <v>352</v>
      </c>
      <c r="B760" s="109"/>
      <c r="C760" s="109"/>
      <c r="D760" s="109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76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7" t="s">
        <v>251</v>
      </c>
      <c r="B763" s="10">
        <v>27380</v>
      </c>
      <c r="C763" s="10">
        <v>7520</v>
      </c>
      <c r="D763">
        <v>11880000</v>
      </c>
    </row>
    <row r="764" spans="1:4">
      <c r="A764" s="78" t="s">
        <v>252</v>
      </c>
      <c r="B764" s="10">
        <v>27350</v>
      </c>
      <c r="C764" s="10">
        <v>7495</v>
      </c>
      <c r="D764">
        <v>11890000</v>
      </c>
    </row>
    <row r="765" spans="1:4">
      <c r="A765" s="76" t="s">
        <v>253</v>
      </c>
      <c r="B765" s="10">
        <v>27320</v>
      </c>
      <c r="C765" s="10">
        <v>7485</v>
      </c>
      <c r="D765">
        <v>11840000</v>
      </c>
    </row>
    <row r="766" spans="1:4">
      <c r="A766" s="76">
        <v>0.625</v>
      </c>
      <c r="B766" s="10">
        <v>27320</v>
      </c>
      <c r="C766" s="10">
        <v>7485</v>
      </c>
      <c r="D766">
        <v>11830000</v>
      </c>
    </row>
    <row r="767" spans="1:4">
      <c r="A767" s="77" t="s">
        <v>254</v>
      </c>
      <c r="B767" s="10">
        <v>27320</v>
      </c>
      <c r="C767" s="10">
        <v>7485</v>
      </c>
      <c r="D767">
        <v>11840000</v>
      </c>
    </row>
    <row r="768" spans="1:4">
      <c r="A768" s="77" t="s">
        <v>255</v>
      </c>
      <c r="B768" s="10">
        <v>27320</v>
      </c>
      <c r="C768" s="10">
        <v>7485</v>
      </c>
      <c r="D768">
        <v>11840000</v>
      </c>
    </row>
    <row r="772" spans="1:6">
      <c r="A772" s="109" t="s">
        <v>353</v>
      </c>
      <c r="B772" s="109"/>
      <c r="C772" s="109"/>
      <c r="D772" s="109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76">
        <v>0.45833333333333298</v>
      </c>
      <c r="B774" s="10"/>
      <c r="C774" s="10"/>
      <c r="E774">
        <v>11720000</v>
      </c>
      <c r="F774">
        <v>1047</v>
      </c>
    </row>
    <row r="775" spans="1:6">
      <c r="A775" s="77" t="s">
        <v>251</v>
      </c>
      <c r="B775" s="10"/>
      <c r="C775" s="10"/>
      <c r="E775">
        <v>11730000</v>
      </c>
      <c r="F775">
        <v>1202</v>
      </c>
    </row>
    <row r="776" spans="1:6">
      <c r="A776" s="78" t="s">
        <v>252</v>
      </c>
      <c r="B776" s="10"/>
      <c r="C776" s="10"/>
      <c r="E776">
        <v>11710000</v>
      </c>
      <c r="F776" t="s">
        <v>354</v>
      </c>
    </row>
    <row r="777" spans="1:6">
      <c r="A777" s="76" t="s">
        <v>253</v>
      </c>
      <c r="B777" s="10"/>
      <c r="C777" s="10"/>
    </row>
    <row r="778" spans="1:6">
      <c r="A778" s="76">
        <v>0.625</v>
      </c>
      <c r="B778" s="10"/>
      <c r="C778" s="10"/>
    </row>
    <row r="779" spans="1:6">
      <c r="A779" s="77" t="s">
        <v>254</v>
      </c>
      <c r="B779" s="10"/>
      <c r="C779" s="10"/>
    </row>
    <row r="780" spans="1:6">
      <c r="A780" s="77" t="s">
        <v>255</v>
      </c>
      <c r="B780" s="10"/>
      <c r="C780" s="10"/>
    </row>
    <row r="784" spans="1:6">
      <c r="A784" s="109" t="s">
        <v>355</v>
      </c>
      <c r="B784" s="109"/>
      <c r="C784" s="109"/>
      <c r="D784" s="109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76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7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8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76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76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7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7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109" t="s">
        <v>356</v>
      </c>
      <c r="B796" s="109"/>
      <c r="C796" s="109"/>
      <c r="D796" s="109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76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7" t="s">
        <v>251</v>
      </c>
      <c r="B799" s="10">
        <v>27340</v>
      </c>
      <c r="C799" s="10">
        <v>7490</v>
      </c>
      <c r="D799">
        <v>11670000</v>
      </c>
    </row>
    <row r="800" spans="1:5">
      <c r="A800" s="78" t="s">
        <v>252</v>
      </c>
      <c r="B800" s="10">
        <v>27280</v>
      </c>
      <c r="C800" s="10">
        <v>7475</v>
      </c>
      <c r="D800">
        <v>11650000</v>
      </c>
    </row>
    <row r="801" spans="1:8">
      <c r="A801" s="76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76">
        <v>0.625</v>
      </c>
      <c r="B802" s="10">
        <v>27340</v>
      </c>
      <c r="C802" s="10">
        <v>7490</v>
      </c>
      <c r="D802">
        <v>11710000</v>
      </c>
      <c r="E802" s="83"/>
    </row>
    <row r="803" spans="1:8">
      <c r="A803" s="77" t="s">
        <v>254</v>
      </c>
      <c r="B803" s="10">
        <v>27340</v>
      </c>
      <c r="C803" s="10">
        <v>7490</v>
      </c>
      <c r="D803" s="83">
        <v>11720000</v>
      </c>
      <c r="E803" s="83"/>
    </row>
    <row r="804" spans="1:8">
      <c r="A804" s="77" t="s">
        <v>255</v>
      </c>
      <c r="B804" s="10">
        <v>27340</v>
      </c>
      <c r="C804" s="10">
        <v>7490</v>
      </c>
      <c r="D804" s="83">
        <v>11720000</v>
      </c>
    </row>
    <row r="805" spans="1:8">
      <c r="E805">
        <f>7470*3.673</f>
        <v>27437.31</v>
      </c>
      <c r="H805">
        <v>3.673</v>
      </c>
    </row>
    <row r="809" spans="1:8">
      <c r="A809" s="109" t="s">
        <v>357</v>
      </c>
      <c r="B809" s="109"/>
      <c r="C809" s="109"/>
      <c r="D809" s="109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76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7" t="s">
        <v>251</v>
      </c>
      <c r="B812" s="10">
        <v>27380</v>
      </c>
      <c r="C812" s="10">
        <v>7475</v>
      </c>
      <c r="D812">
        <v>11720000</v>
      </c>
    </row>
    <row r="813" spans="1:8">
      <c r="A813" s="78" t="s">
        <v>252</v>
      </c>
      <c r="B813" s="10">
        <v>27370</v>
      </c>
      <c r="C813" s="10">
        <v>7470</v>
      </c>
      <c r="D813">
        <v>11730000</v>
      </c>
    </row>
    <row r="814" spans="1:8">
      <c r="A814" s="76" t="s">
        <v>253</v>
      </c>
      <c r="B814" s="10">
        <v>27380</v>
      </c>
      <c r="C814" s="10">
        <v>7480</v>
      </c>
      <c r="D814">
        <v>11720000</v>
      </c>
    </row>
    <row r="815" spans="1:8">
      <c r="A815" s="76">
        <v>0.625</v>
      </c>
      <c r="B815" s="10">
        <v>27380</v>
      </c>
      <c r="C815" s="10">
        <v>7465</v>
      </c>
      <c r="D815" s="83">
        <v>11720000</v>
      </c>
      <c r="E815" s="83"/>
    </row>
    <row r="816" spans="1:8">
      <c r="A816" s="77" t="s">
        <v>254</v>
      </c>
      <c r="B816" s="10">
        <v>27380</v>
      </c>
      <c r="C816" s="10">
        <v>7465</v>
      </c>
      <c r="D816" s="83">
        <v>11610000</v>
      </c>
      <c r="E816" s="83"/>
    </row>
    <row r="817" spans="1:5">
      <c r="A817" s="77" t="s">
        <v>255</v>
      </c>
      <c r="B817" s="10">
        <v>27380</v>
      </c>
      <c r="C817" s="10">
        <v>7465</v>
      </c>
      <c r="D817" s="83">
        <v>11630000</v>
      </c>
      <c r="E817" s="83"/>
    </row>
    <row r="820" spans="1:5">
      <c r="A820" s="109" t="s">
        <v>358</v>
      </c>
      <c r="B820" s="109"/>
      <c r="C820" s="109"/>
      <c r="D820" s="109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76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7" t="s">
        <v>251</v>
      </c>
      <c r="B823" s="10">
        <v>27540</v>
      </c>
      <c r="C823" s="10">
        <v>7500</v>
      </c>
      <c r="D823">
        <v>11650000</v>
      </c>
    </row>
    <row r="824" spans="1:5">
      <c r="A824" s="78" t="s">
        <v>252</v>
      </c>
      <c r="B824" s="10">
        <v>27550</v>
      </c>
      <c r="C824" s="10">
        <v>7510</v>
      </c>
      <c r="D824">
        <v>11700000</v>
      </c>
    </row>
    <row r="825" spans="1:5">
      <c r="A825" s="76" t="s">
        <v>253</v>
      </c>
      <c r="B825" s="10">
        <v>27540</v>
      </c>
      <c r="C825" s="10">
        <v>7520</v>
      </c>
      <c r="D825" s="83">
        <v>11700000</v>
      </c>
    </row>
    <row r="826" spans="1:5">
      <c r="A826" s="76">
        <v>0.625</v>
      </c>
      <c r="B826" s="10">
        <v>27540</v>
      </c>
      <c r="C826" s="10">
        <v>7510</v>
      </c>
      <c r="D826" s="83">
        <v>11700000</v>
      </c>
    </row>
    <row r="827" spans="1:5">
      <c r="A827" s="77" t="s">
        <v>254</v>
      </c>
      <c r="B827" s="10">
        <v>27540</v>
      </c>
      <c r="C827" s="10">
        <v>7510</v>
      </c>
      <c r="D827" s="83">
        <v>11650000</v>
      </c>
    </row>
    <row r="828" spans="1:5">
      <c r="A828" s="77" t="s">
        <v>255</v>
      </c>
      <c r="B828" s="10">
        <v>27350</v>
      </c>
      <c r="C828" s="10">
        <v>7510</v>
      </c>
      <c r="D828" s="83">
        <v>11650000</v>
      </c>
    </row>
    <row r="831" spans="1:5">
      <c r="A831" s="109" t="s">
        <v>359</v>
      </c>
      <c r="B831" s="109"/>
      <c r="C831" s="109"/>
      <c r="D831" s="109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76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7" t="s">
        <v>251</v>
      </c>
      <c r="B834" s="10">
        <v>27550</v>
      </c>
      <c r="C834" s="10">
        <v>7515</v>
      </c>
      <c r="D834">
        <v>11730000</v>
      </c>
    </row>
    <row r="835" spans="1:6">
      <c r="A835" s="78" t="s">
        <v>252</v>
      </c>
      <c r="B835" s="10">
        <v>27520</v>
      </c>
      <c r="C835" s="10">
        <v>7515</v>
      </c>
      <c r="D835">
        <v>11750000</v>
      </c>
    </row>
    <row r="836" spans="1:6">
      <c r="A836" s="76" t="s">
        <v>253</v>
      </c>
      <c r="B836" s="10">
        <v>27520</v>
      </c>
      <c r="C836" s="10">
        <v>7510</v>
      </c>
      <c r="D836">
        <v>11750000</v>
      </c>
    </row>
    <row r="837" spans="1:6">
      <c r="A837" s="76">
        <v>0.625</v>
      </c>
      <c r="B837" s="10">
        <v>27520</v>
      </c>
      <c r="C837" s="10">
        <v>7505</v>
      </c>
      <c r="D837" s="83">
        <v>11750000</v>
      </c>
    </row>
    <row r="838" spans="1:6">
      <c r="A838" s="77" t="s">
        <v>254</v>
      </c>
      <c r="B838" s="10">
        <v>27520</v>
      </c>
      <c r="C838" s="10">
        <v>7505</v>
      </c>
      <c r="D838" s="83">
        <v>11730000</v>
      </c>
    </row>
    <row r="839" spans="1:6">
      <c r="A839" s="77" t="s">
        <v>255</v>
      </c>
      <c r="B839" s="10">
        <v>27520</v>
      </c>
      <c r="C839" s="10">
        <v>7505</v>
      </c>
      <c r="D839" s="83">
        <v>11730000</v>
      </c>
    </row>
    <row r="842" spans="1:6">
      <c r="A842" s="109" t="s">
        <v>360</v>
      </c>
      <c r="B842" s="109"/>
      <c r="C842" s="109"/>
      <c r="D842" s="109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76">
        <v>0.45833333333333298</v>
      </c>
      <c r="B844" s="10"/>
      <c r="C844" s="10"/>
      <c r="E844">
        <v>11750000</v>
      </c>
      <c r="F844" t="s">
        <v>299</v>
      </c>
    </row>
    <row r="845" spans="1:6">
      <c r="A845" s="77" t="s">
        <v>251</v>
      </c>
      <c r="B845" s="10"/>
      <c r="C845" s="10"/>
    </row>
    <row r="846" spans="1:6">
      <c r="A846" s="78" t="s">
        <v>252</v>
      </c>
      <c r="B846" s="10"/>
      <c r="C846" s="10"/>
    </row>
    <row r="847" spans="1:6">
      <c r="A847" s="76" t="s">
        <v>253</v>
      </c>
      <c r="B847" s="10"/>
      <c r="C847" s="10"/>
    </row>
    <row r="848" spans="1:6">
      <c r="A848" s="76">
        <v>0.625</v>
      </c>
      <c r="B848" s="10"/>
      <c r="C848" s="10"/>
      <c r="D848" s="83"/>
    </row>
    <row r="849" spans="1:7">
      <c r="A849" s="77" t="s">
        <v>254</v>
      </c>
      <c r="B849" s="10"/>
      <c r="C849" s="10"/>
      <c r="D849" s="83"/>
    </row>
    <row r="850" spans="1:7">
      <c r="A850" s="77" t="s">
        <v>255</v>
      </c>
      <c r="B850" s="10"/>
      <c r="C850" s="10"/>
      <c r="D850" s="83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109" t="s">
        <v>361</v>
      </c>
      <c r="B854" s="109"/>
      <c r="C854" s="109"/>
      <c r="D854" s="109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76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7" t="s">
        <v>251</v>
      </c>
      <c r="B857" s="10">
        <v>27600</v>
      </c>
      <c r="C857" s="10">
        <v>7550</v>
      </c>
      <c r="D857">
        <v>11760000</v>
      </c>
    </row>
    <row r="858" spans="1:7">
      <c r="A858" s="78" t="s">
        <v>252</v>
      </c>
      <c r="B858" s="10">
        <v>27540</v>
      </c>
      <c r="C858" s="10">
        <v>7545</v>
      </c>
      <c r="D858">
        <v>11720000</v>
      </c>
    </row>
    <row r="859" spans="1:7">
      <c r="A859" s="76" t="s">
        <v>253</v>
      </c>
      <c r="B859" s="10">
        <v>27540</v>
      </c>
      <c r="C859" s="10">
        <v>7535</v>
      </c>
      <c r="D859">
        <v>11700000</v>
      </c>
    </row>
    <row r="860" spans="1:7">
      <c r="A860" s="76">
        <v>0.625</v>
      </c>
      <c r="B860" s="10">
        <v>27540</v>
      </c>
      <c r="C860" s="10">
        <v>7535</v>
      </c>
      <c r="D860">
        <v>11750000</v>
      </c>
    </row>
    <row r="861" spans="1:7">
      <c r="A861" s="77" t="s">
        <v>254</v>
      </c>
      <c r="B861" s="10">
        <v>27540</v>
      </c>
      <c r="C861" s="10">
        <v>7535</v>
      </c>
      <c r="D861">
        <v>11750000</v>
      </c>
    </row>
    <row r="865" spans="1:7">
      <c r="A865" s="109" t="s">
        <v>363</v>
      </c>
      <c r="B865" s="109"/>
      <c r="C865" s="109"/>
      <c r="D865" s="109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76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7" t="s">
        <v>251</v>
      </c>
      <c r="B868" s="10">
        <v>27470</v>
      </c>
      <c r="C868" s="10">
        <v>7550</v>
      </c>
      <c r="D868">
        <v>11760000</v>
      </c>
    </row>
    <row r="869" spans="1:7">
      <c r="A869" s="78" t="s">
        <v>252</v>
      </c>
      <c r="B869" s="10">
        <v>27620</v>
      </c>
      <c r="C869" s="10">
        <v>7560</v>
      </c>
      <c r="D869">
        <v>11760000</v>
      </c>
    </row>
    <row r="870" spans="1:7">
      <c r="A870" s="76" t="s">
        <v>253</v>
      </c>
      <c r="B870" s="10">
        <v>27650</v>
      </c>
      <c r="C870" s="10">
        <v>7560</v>
      </c>
      <c r="D870">
        <v>11770000</v>
      </c>
    </row>
    <row r="871" spans="1:7">
      <c r="A871" s="76">
        <v>0.625</v>
      </c>
      <c r="B871" s="10">
        <v>27650</v>
      </c>
      <c r="C871" s="10">
        <v>7560</v>
      </c>
      <c r="D871" s="83">
        <v>11770000</v>
      </c>
      <c r="E871" s="83"/>
    </row>
    <row r="872" spans="1:7">
      <c r="A872" s="77" t="s">
        <v>254</v>
      </c>
      <c r="B872" s="10">
        <v>27650</v>
      </c>
      <c r="C872" s="10">
        <v>7560</v>
      </c>
      <c r="D872" s="83">
        <v>11770000</v>
      </c>
      <c r="E872" s="83"/>
    </row>
    <row r="873" spans="1:7">
      <c r="D873" s="83">
        <v>11800000</v>
      </c>
    </row>
    <row r="876" spans="1:7">
      <c r="A876" s="109" t="s">
        <v>364</v>
      </c>
      <c r="B876" s="109"/>
      <c r="C876" s="109"/>
      <c r="D876" s="109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76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7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8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76" t="s">
        <v>253</v>
      </c>
      <c r="B881" s="10">
        <v>27900</v>
      </c>
      <c r="C881" s="10">
        <v>7650</v>
      </c>
      <c r="D881" s="10"/>
    </row>
    <row r="882" spans="1:4">
      <c r="A882" s="84">
        <v>0.625</v>
      </c>
      <c r="B882" s="85">
        <v>27900</v>
      </c>
      <c r="C882" s="85">
        <v>7620</v>
      </c>
      <c r="D882" s="86"/>
    </row>
    <row r="883" spans="1:4">
      <c r="A883" s="77" t="s">
        <v>254</v>
      </c>
      <c r="B883" s="10">
        <v>27900</v>
      </c>
      <c r="C883" s="10">
        <v>7620</v>
      </c>
      <c r="D883" s="86"/>
    </row>
    <row r="884" spans="1:4">
      <c r="A884" s="87">
        <v>0.70833333333333304</v>
      </c>
      <c r="B884" s="10">
        <v>27900</v>
      </c>
      <c r="C884" s="10">
        <v>7620</v>
      </c>
      <c r="D884" s="10"/>
    </row>
    <row r="888" spans="1:4">
      <c r="A888" s="109" t="s">
        <v>367</v>
      </c>
      <c r="B888" s="109"/>
      <c r="C888" s="109"/>
      <c r="D888" s="109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76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7" t="s">
        <v>251</v>
      </c>
      <c r="B891" s="10">
        <v>28160</v>
      </c>
      <c r="C891" s="10">
        <v>7690</v>
      </c>
      <c r="D891" s="10">
        <v>11990000</v>
      </c>
    </row>
    <row r="892" spans="1:4">
      <c r="A892" s="78" t="s">
        <v>252</v>
      </c>
      <c r="B892" s="10">
        <v>28230</v>
      </c>
      <c r="C892" s="10">
        <v>7710</v>
      </c>
      <c r="D892" s="10">
        <v>12040000</v>
      </c>
    </row>
    <row r="893" spans="1:4">
      <c r="A893" s="76" t="s">
        <v>253</v>
      </c>
      <c r="B893" s="10">
        <v>28300</v>
      </c>
      <c r="C893" s="10">
        <v>7720</v>
      </c>
      <c r="D893" s="10">
        <v>12030000</v>
      </c>
    </row>
    <row r="894" spans="1:4">
      <c r="A894" s="84">
        <v>0.625</v>
      </c>
      <c r="B894" s="10">
        <v>28300</v>
      </c>
      <c r="C894" s="10">
        <v>7720</v>
      </c>
      <c r="D894" s="86">
        <v>12030000</v>
      </c>
    </row>
    <row r="895" spans="1:4">
      <c r="A895" s="77" t="s">
        <v>254</v>
      </c>
      <c r="B895" s="10">
        <v>28300</v>
      </c>
      <c r="C895" s="10">
        <v>7720</v>
      </c>
      <c r="D895" s="86">
        <v>12045000</v>
      </c>
    </row>
    <row r="896" spans="1:4">
      <c r="A896" s="87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109" t="s">
        <v>368</v>
      </c>
      <c r="B901" s="109"/>
      <c r="C901" s="109"/>
      <c r="D901" s="109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76">
        <v>0.45833333333333298</v>
      </c>
      <c r="B903" s="10"/>
      <c r="C903" s="10"/>
      <c r="D903" s="10"/>
      <c r="E903">
        <v>12065000</v>
      </c>
    </row>
    <row r="904" spans="1:5">
      <c r="A904" s="77" t="s">
        <v>251</v>
      </c>
      <c r="B904" s="10"/>
      <c r="C904" s="10"/>
      <c r="D904" s="10"/>
    </row>
    <row r="905" spans="1:5">
      <c r="A905" s="78" t="s">
        <v>252</v>
      </c>
      <c r="B905" s="10"/>
      <c r="C905" s="10"/>
      <c r="D905" s="10"/>
    </row>
    <row r="906" spans="1:5">
      <c r="A906" s="76" t="s">
        <v>253</v>
      </c>
      <c r="B906" s="10"/>
      <c r="C906" s="10"/>
      <c r="D906" s="10"/>
    </row>
    <row r="907" spans="1:5">
      <c r="A907" s="84">
        <v>0.625</v>
      </c>
      <c r="B907" s="10"/>
      <c r="C907" s="10"/>
      <c r="D907" s="86"/>
    </row>
    <row r="908" spans="1:5">
      <c r="A908" s="77" t="s">
        <v>254</v>
      </c>
      <c r="B908" s="10"/>
      <c r="C908" s="10"/>
      <c r="D908" s="86"/>
    </row>
    <row r="909" spans="1:5">
      <c r="A909" s="87">
        <v>0.70833333333333304</v>
      </c>
      <c r="B909" s="10"/>
      <c r="C909" s="10"/>
      <c r="D909" s="10"/>
    </row>
    <row r="913" spans="1:4">
      <c r="A913" s="109" t="s">
        <v>369</v>
      </c>
      <c r="B913" s="109"/>
      <c r="C913" s="109"/>
      <c r="D913" s="109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76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7" t="s">
        <v>251</v>
      </c>
      <c r="B916" s="10">
        <v>28240</v>
      </c>
      <c r="C916" s="10">
        <v>7700</v>
      </c>
      <c r="D916" s="10">
        <v>12030000</v>
      </c>
    </row>
    <row r="917" spans="1:4">
      <c r="A917" s="78" t="s">
        <v>252</v>
      </c>
      <c r="B917" s="10">
        <v>28180</v>
      </c>
      <c r="C917" s="10">
        <v>7700</v>
      </c>
      <c r="D917" s="10">
        <v>12015000</v>
      </c>
    </row>
    <row r="918" spans="1:4">
      <c r="A918" s="76" t="s">
        <v>253</v>
      </c>
      <c r="B918" s="10">
        <v>28140</v>
      </c>
      <c r="C918" s="10">
        <v>7680</v>
      </c>
      <c r="D918" s="10">
        <v>12010000</v>
      </c>
    </row>
    <row r="919" spans="1:4">
      <c r="A919" s="84">
        <v>0.625</v>
      </c>
      <c r="B919" s="10">
        <v>28100</v>
      </c>
      <c r="C919" s="10">
        <v>7680</v>
      </c>
      <c r="D919" s="86">
        <v>12030000</v>
      </c>
    </row>
    <row r="920" spans="1:4">
      <c r="A920" s="77" t="s">
        <v>254</v>
      </c>
      <c r="B920" s="10">
        <v>28100</v>
      </c>
      <c r="C920" s="10">
        <v>7680</v>
      </c>
      <c r="D920" s="86">
        <v>12030000</v>
      </c>
    </row>
    <row r="921" spans="1:4">
      <c r="A921" s="87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8"/>
    </row>
    <row r="925" spans="1:4">
      <c r="A925" s="109" t="s">
        <v>370</v>
      </c>
      <c r="B925" s="109"/>
      <c r="C925" s="109"/>
      <c r="D925" s="109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76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7" t="s">
        <v>251</v>
      </c>
      <c r="B928" s="10">
        <v>28030</v>
      </c>
      <c r="C928" s="10">
        <v>7640</v>
      </c>
      <c r="D928" s="10">
        <v>11970000</v>
      </c>
    </row>
    <row r="929" spans="1:4">
      <c r="A929" s="78" t="s">
        <v>252</v>
      </c>
      <c r="B929" s="10">
        <v>28020</v>
      </c>
      <c r="C929" s="10">
        <v>7640</v>
      </c>
      <c r="D929" s="10">
        <v>11965000</v>
      </c>
    </row>
    <row r="930" spans="1:4">
      <c r="A930" s="76" t="s">
        <v>253</v>
      </c>
      <c r="B930" s="10">
        <v>28020</v>
      </c>
      <c r="C930" s="10">
        <v>7660</v>
      </c>
      <c r="D930" s="10">
        <v>11965000</v>
      </c>
    </row>
    <row r="931" spans="1:4">
      <c r="A931" s="84">
        <v>0.625</v>
      </c>
      <c r="B931" s="10">
        <v>28020</v>
      </c>
      <c r="C931" s="10">
        <v>7660</v>
      </c>
      <c r="D931" s="86">
        <v>11985000</v>
      </c>
    </row>
    <row r="932" spans="1:4">
      <c r="A932" s="77" t="s">
        <v>254</v>
      </c>
      <c r="B932" s="10">
        <v>28020</v>
      </c>
      <c r="C932" s="10">
        <v>7680</v>
      </c>
      <c r="D932" s="86">
        <v>11995000</v>
      </c>
    </row>
    <row r="933" spans="1:4">
      <c r="A933" s="87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109" t="s">
        <v>371</v>
      </c>
      <c r="B937" s="109"/>
      <c r="C937" s="109"/>
      <c r="D937" s="109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76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7" t="s">
        <v>251</v>
      </c>
      <c r="B940" s="10">
        <v>28040</v>
      </c>
      <c r="C940" s="10">
        <v>7660</v>
      </c>
      <c r="D940" s="10">
        <v>11980000</v>
      </c>
    </row>
    <row r="941" spans="1:4">
      <c r="A941" s="78" t="s">
        <v>252</v>
      </c>
      <c r="B941" s="10">
        <v>28030</v>
      </c>
      <c r="C941" s="10">
        <v>7670</v>
      </c>
      <c r="D941" s="10">
        <v>11995000</v>
      </c>
    </row>
    <row r="942" spans="1:4">
      <c r="A942" s="76" t="s">
        <v>253</v>
      </c>
      <c r="B942" s="10">
        <v>28110</v>
      </c>
      <c r="C942" s="10">
        <v>7700</v>
      </c>
      <c r="D942" s="10">
        <v>12010000</v>
      </c>
    </row>
    <row r="943" spans="1:4">
      <c r="A943" s="84">
        <v>0.625</v>
      </c>
      <c r="B943" s="10">
        <v>28110</v>
      </c>
      <c r="C943" s="10">
        <v>7720</v>
      </c>
      <c r="D943" s="86">
        <v>12005000</v>
      </c>
    </row>
    <row r="944" spans="1:4">
      <c r="A944" s="77" t="s">
        <v>254</v>
      </c>
      <c r="B944" s="10">
        <v>28110</v>
      </c>
      <c r="C944" s="10">
        <v>7720</v>
      </c>
      <c r="D944" s="86">
        <v>12005000</v>
      </c>
    </row>
    <row r="945" spans="1:4">
      <c r="A945" s="87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109" t="s">
        <v>372</v>
      </c>
      <c r="B949" s="109"/>
      <c r="C949" s="109"/>
      <c r="D949" s="109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76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7" t="s">
        <v>251</v>
      </c>
      <c r="B952" s="10">
        <v>28080</v>
      </c>
      <c r="C952" s="10">
        <v>7665</v>
      </c>
      <c r="D952">
        <v>11940000</v>
      </c>
    </row>
    <row r="953" spans="1:4">
      <c r="A953" s="78" t="s">
        <v>252</v>
      </c>
      <c r="B953" s="10">
        <v>28000</v>
      </c>
      <c r="C953" s="10">
        <v>7660</v>
      </c>
      <c r="D953">
        <v>11980000</v>
      </c>
    </row>
    <row r="954" spans="1:4">
      <c r="A954" s="76" t="s">
        <v>253</v>
      </c>
      <c r="B954" s="10">
        <v>27950</v>
      </c>
      <c r="C954" s="10">
        <v>7650</v>
      </c>
      <c r="D954">
        <v>11910000</v>
      </c>
    </row>
    <row r="955" spans="1:4">
      <c r="A955" s="84">
        <v>0.625</v>
      </c>
      <c r="B955" s="10">
        <v>27980</v>
      </c>
      <c r="C955" s="10">
        <v>7650</v>
      </c>
      <c r="D955" s="86">
        <v>11900000</v>
      </c>
    </row>
    <row r="956" spans="1:4">
      <c r="A956" s="77" t="s">
        <v>254</v>
      </c>
      <c r="B956" s="10">
        <v>27980</v>
      </c>
      <c r="C956" s="10">
        <v>7640</v>
      </c>
      <c r="D956" s="86">
        <v>11920000</v>
      </c>
    </row>
    <row r="957" spans="1:4">
      <c r="A957" s="87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109" t="s">
        <v>400</v>
      </c>
      <c r="B961" s="109"/>
      <c r="C961" s="109"/>
      <c r="D961" s="109"/>
    </row>
    <row r="962" spans="1:4">
      <c r="A962" s="86" t="s">
        <v>247</v>
      </c>
      <c r="B962" s="86" t="s">
        <v>248</v>
      </c>
      <c r="C962" s="86" t="s">
        <v>249</v>
      </c>
      <c r="D962" s="86" t="s">
        <v>250</v>
      </c>
    </row>
    <row r="963" spans="1:4">
      <c r="A963" s="76">
        <v>0.45833333333333298</v>
      </c>
      <c r="B963" s="86">
        <v>27880</v>
      </c>
      <c r="C963" s="86">
        <v>7600</v>
      </c>
      <c r="D963">
        <v>11820000</v>
      </c>
    </row>
    <row r="964" spans="1:4">
      <c r="A964" s="77" t="s">
        <v>251</v>
      </c>
      <c r="B964" s="86">
        <v>27830</v>
      </c>
      <c r="C964" s="86">
        <v>7600</v>
      </c>
      <c r="D964">
        <v>11810000</v>
      </c>
    </row>
    <row r="965" spans="1:4">
      <c r="A965" s="78" t="s">
        <v>252</v>
      </c>
      <c r="B965" s="86">
        <v>27750</v>
      </c>
      <c r="C965" s="86">
        <v>7590</v>
      </c>
      <c r="D965">
        <v>11810000</v>
      </c>
    </row>
    <row r="966" spans="1:4">
      <c r="A966" s="76" t="s">
        <v>253</v>
      </c>
      <c r="B966" s="86">
        <v>27750</v>
      </c>
      <c r="C966" s="86">
        <v>7590</v>
      </c>
      <c r="D966">
        <v>11815000</v>
      </c>
    </row>
    <row r="967" spans="1:4">
      <c r="A967" s="84">
        <v>0.625</v>
      </c>
      <c r="B967" s="86">
        <v>27750</v>
      </c>
      <c r="C967" s="86">
        <v>7580</v>
      </c>
      <c r="D967" s="86">
        <v>11810000</v>
      </c>
    </row>
    <row r="968" spans="1:4">
      <c r="A968" s="77" t="s">
        <v>254</v>
      </c>
      <c r="B968" s="86">
        <v>27750</v>
      </c>
      <c r="C968" s="86">
        <v>7570</v>
      </c>
      <c r="D968" s="86">
        <v>11790000</v>
      </c>
    </row>
    <row r="969" spans="1:4">
      <c r="A969" s="87">
        <v>0.70833333333333304</v>
      </c>
      <c r="B969" s="86">
        <v>27750</v>
      </c>
      <c r="C969" s="86">
        <v>7570</v>
      </c>
      <c r="D969" s="86">
        <v>11790000</v>
      </c>
    </row>
    <row r="974" spans="1:4">
      <c r="A974" s="109" t="s">
        <v>402</v>
      </c>
      <c r="B974" s="109"/>
      <c r="C974" s="109"/>
      <c r="D974" s="109"/>
    </row>
    <row r="975" spans="1:4">
      <c r="A975" s="86" t="s">
        <v>247</v>
      </c>
      <c r="B975" s="86" t="s">
        <v>248</v>
      </c>
      <c r="C975" s="86" t="s">
        <v>249</v>
      </c>
      <c r="D975" s="86" t="s">
        <v>250</v>
      </c>
    </row>
    <row r="976" spans="1:4">
      <c r="A976" s="76">
        <v>0.45833333333333298</v>
      </c>
      <c r="B976" s="86">
        <v>27550</v>
      </c>
      <c r="C976" s="86">
        <v>7535</v>
      </c>
      <c r="D976">
        <v>11760000</v>
      </c>
    </row>
    <row r="977" spans="1:4">
      <c r="A977" s="77" t="s">
        <v>251</v>
      </c>
      <c r="B977" s="86">
        <v>27570</v>
      </c>
      <c r="C977" s="86">
        <v>7510</v>
      </c>
      <c r="D977">
        <v>11815000</v>
      </c>
    </row>
    <row r="978" spans="1:4">
      <c r="A978" s="78" t="s">
        <v>252</v>
      </c>
      <c r="B978" s="86">
        <v>27540</v>
      </c>
      <c r="C978" s="86">
        <v>7490</v>
      </c>
      <c r="D978">
        <v>11800000</v>
      </c>
    </row>
    <row r="979" spans="1:4">
      <c r="A979" s="76" t="s">
        <v>253</v>
      </c>
      <c r="B979" s="86">
        <v>27550</v>
      </c>
      <c r="C979" s="86">
        <v>7485</v>
      </c>
      <c r="D979">
        <v>11760000</v>
      </c>
    </row>
    <row r="980" spans="1:4">
      <c r="A980" s="84">
        <v>0.625</v>
      </c>
      <c r="B980" s="86">
        <v>27550</v>
      </c>
      <c r="C980" s="86">
        <v>7485</v>
      </c>
      <c r="D980" s="86">
        <v>11780000</v>
      </c>
    </row>
    <row r="981" spans="1:4">
      <c r="A981" s="77" t="s">
        <v>254</v>
      </c>
      <c r="B981" s="86">
        <v>27550</v>
      </c>
      <c r="C981" s="86">
        <v>7485</v>
      </c>
      <c r="D981" s="86">
        <v>11790000</v>
      </c>
    </row>
    <row r="982" spans="1:4">
      <c r="A982" s="87">
        <v>0.70833333333333304</v>
      </c>
      <c r="B982" s="86">
        <v>27550</v>
      </c>
      <c r="C982" s="86">
        <v>7480</v>
      </c>
      <c r="D982" s="86">
        <v>11790000</v>
      </c>
    </row>
    <row r="987" spans="1:4">
      <c r="A987" s="109" t="s">
        <v>404</v>
      </c>
      <c r="B987" s="109"/>
      <c r="C987" s="109"/>
      <c r="D987" s="109"/>
    </row>
    <row r="988" spans="1:4">
      <c r="A988" s="86" t="s">
        <v>247</v>
      </c>
      <c r="B988" s="86" t="s">
        <v>248</v>
      </c>
      <c r="C988" s="86" t="s">
        <v>249</v>
      </c>
      <c r="D988" s="86" t="s">
        <v>250</v>
      </c>
    </row>
    <row r="989" spans="1:4">
      <c r="A989" s="76">
        <v>0.45833333333333298</v>
      </c>
      <c r="B989" s="86">
        <v>27610</v>
      </c>
      <c r="C989" s="86">
        <v>7530</v>
      </c>
      <c r="D989">
        <v>11830000</v>
      </c>
    </row>
    <row r="990" spans="1:4">
      <c r="A990" s="77" t="s">
        <v>251</v>
      </c>
      <c r="B990" s="86">
        <v>27560</v>
      </c>
      <c r="C990" s="86">
        <v>7520</v>
      </c>
      <c r="D990">
        <v>11825000</v>
      </c>
    </row>
    <row r="991" spans="1:4">
      <c r="A991" s="78" t="s">
        <v>252</v>
      </c>
      <c r="B991" s="86">
        <v>27480</v>
      </c>
      <c r="C991" s="86">
        <v>7510</v>
      </c>
      <c r="D991">
        <v>11790000</v>
      </c>
    </row>
    <row r="992" spans="1:4">
      <c r="A992" s="76" t="s">
        <v>253</v>
      </c>
      <c r="B992" s="86">
        <v>27470</v>
      </c>
      <c r="C992" s="86">
        <v>7490</v>
      </c>
      <c r="D992">
        <v>11750000</v>
      </c>
    </row>
    <row r="993" spans="1:4">
      <c r="A993" s="84">
        <v>0.625</v>
      </c>
      <c r="B993" s="86">
        <v>27470</v>
      </c>
      <c r="C993" s="86">
        <v>7480</v>
      </c>
      <c r="D993" s="86">
        <v>11725000</v>
      </c>
    </row>
    <row r="994" spans="1:4">
      <c r="A994" s="77" t="s">
        <v>254</v>
      </c>
      <c r="B994" s="86">
        <v>27470</v>
      </c>
      <c r="C994" s="86">
        <v>7480</v>
      </c>
      <c r="D994" s="86">
        <v>11720000</v>
      </c>
    </row>
    <row r="995" spans="1:4">
      <c r="A995" s="87">
        <v>0.70833333333333304</v>
      </c>
      <c r="B995" s="86">
        <v>27470</v>
      </c>
      <c r="C995" s="86">
        <v>7480</v>
      </c>
      <c r="D995" s="86">
        <v>11720000</v>
      </c>
    </row>
    <row r="1000" spans="1:4">
      <c r="A1000" s="109" t="s">
        <v>405</v>
      </c>
      <c r="B1000" s="109"/>
      <c r="C1000" s="109"/>
      <c r="D1000" s="109"/>
    </row>
    <row r="1001" spans="1:4">
      <c r="A1001" s="86" t="s">
        <v>247</v>
      </c>
      <c r="B1001" s="86" t="s">
        <v>248</v>
      </c>
      <c r="C1001" s="86" t="s">
        <v>249</v>
      </c>
      <c r="D1001" s="86" t="s">
        <v>250</v>
      </c>
    </row>
    <row r="1002" spans="1:4">
      <c r="A1002" s="76">
        <v>0.45833333333333298</v>
      </c>
      <c r="B1002" s="86">
        <v>27350</v>
      </c>
      <c r="C1002" s="86">
        <v>7450</v>
      </c>
      <c r="D1002">
        <v>11690000</v>
      </c>
    </row>
    <row r="1003" spans="1:4">
      <c r="A1003" s="77" t="s">
        <v>251</v>
      </c>
      <c r="B1003" s="86">
        <v>27240</v>
      </c>
      <c r="C1003" s="86">
        <v>7440</v>
      </c>
      <c r="D1003">
        <v>11640000</v>
      </c>
    </row>
    <row r="1004" spans="1:4">
      <c r="A1004" s="78" t="s">
        <v>252</v>
      </c>
      <c r="B1004" s="86">
        <v>27070</v>
      </c>
      <c r="C1004" s="86">
        <v>7430</v>
      </c>
      <c r="D1004">
        <v>11620000</v>
      </c>
    </row>
    <row r="1005" spans="1:4">
      <c r="A1005" s="76" t="s">
        <v>253</v>
      </c>
      <c r="B1005" s="86">
        <v>27020</v>
      </c>
      <c r="C1005" s="86">
        <v>7420</v>
      </c>
      <c r="D1005">
        <v>11680000</v>
      </c>
    </row>
    <row r="1006" spans="1:4">
      <c r="A1006" s="84">
        <v>0.625</v>
      </c>
      <c r="B1006" s="86">
        <v>27020</v>
      </c>
      <c r="C1006" s="86">
        <v>7410</v>
      </c>
      <c r="D1006" s="86">
        <v>11680000</v>
      </c>
    </row>
    <row r="1007" spans="1:4">
      <c r="A1007" s="77" t="s">
        <v>254</v>
      </c>
      <c r="B1007" s="86">
        <v>27020</v>
      </c>
      <c r="C1007" s="86">
        <v>7410</v>
      </c>
      <c r="D1007" s="86">
        <v>11680000</v>
      </c>
    </row>
    <row r="1008" spans="1:4">
      <c r="A1008" s="87">
        <v>0.70833333333333304</v>
      </c>
      <c r="B1008" s="86">
        <v>27020</v>
      </c>
      <c r="C1008" s="86">
        <v>7410</v>
      </c>
      <c r="D1008" s="86">
        <v>11680000</v>
      </c>
    </row>
    <row r="1009" spans="1:4">
      <c r="D1009" s="86"/>
    </row>
    <row r="1012" spans="1:4">
      <c r="A1012" s="109" t="s">
        <v>408</v>
      </c>
      <c r="B1012" s="109"/>
      <c r="C1012" s="109"/>
      <c r="D1012" s="109"/>
    </row>
    <row r="1013" spans="1:4">
      <c r="A1013" s="86" t="s">
        <v>247</v>
      </c>
      <c r="B1013" s="86" t="s">
        <v>248</v>
      </c>
      <c r="C1013" s="86" t="s">
        <v>249</v>
      </c>
      <c r="D1013" s="86" t="s">
        <v>250</v>
      </c>
    </row>
    <row r="1014" spans="1:4">
      <c r="A1014" s="76">
        <v>0.45833333333333298</v>
      </c>
      <c r="B1014" s="86">
        <v>26980</v>
      </c>
      <c r="C1014" s="86">
        <v>7370</v>
      </c>
      <c r="D1014">
        <v>11650000</v>
      </c>
    </row>
    <row r="1015" spans="1:4">
      <c r="A1015" s="77" t="s">
        <v>251</v>
      </c>
      <c r="B1015" s="86">
        <v>27050</v>
      </c>
      <c r="C1015" s="86">
        <v>7370</v>
      </c>
      <c r="D1015">
        <v>11660000</v>
      </c>
    </row>
    <row r="1016" spans="1:4">
      <c r="A1016" s="78" t="s">
        <v>252</v>
      </c>
      <c r="B1016" s="86">
        <v>27140</v>
      </c>
      <c r="C1016" s="86">
        <v>7380</v>
      </c>
      <c r="D1016">
        <v>11695000</v>
      </c>
    </row>
    <row r="1017" spans="1:4">
      <c r="A1017" s="76" t="s">
        <v>253</v>
      </c>
      <c r="B1017" s="86">
        <v>27250</v>
      </c>
      <c r="C1017" s="86">
        <v>7390</v>
      </c>
      <c r="D1017">
        <v>11725000</v>
      </c>
    </row>
    <row r="1018" spans="1:4">
      <c r="A1018" s="84">
        <v>0.625</v>
      </c>
      <c r="B1018" s="86">
        <v>27210</v>
      </c>
      <c r="C1018" s="86">
        <v>7400</v>
      </c>
      <c r="D1018" s="86">
        <v>11735000</v>
      </c>
    </row>
    <row r="1019" spans="1:4">
      <c r="A1019" s="77" t="s">
        <v>254</v>
      </c>
      <c r="B1019" s="86">
        <v>27210</v>
      </c>
      <c r="C1019" s="86">
        <v>7400</v>
      </c>
      <c r="D1019" s="86">
        <v>11735000</v>
      </c>
    </row>
    <row r="1020" spans="1:4">
      <c r="A1020" s="87">
        <v>0.70833333333333304</v>
      </c>
      <c r="B1020" s="86">
        <v>27210</v>
      </c>
      <c r="C1020" s="86">
        <v>7400</v>
      </c>
      <c r="D1020" s="86">
        <v>11735000</v>
      </c>
    </row>
    <row r="1025" spans="1:5">
      <c r="A1025" s="109" t="s">
        <v>410</v>
      </c>
      <c r="B1025" s="109"/>
      <c r="C1025" s="109"/>
      <c r="D1025" s="109"/>
    </row>
    <row r="1026" spans="1:5">
      <c r="A1026" s="86" t="s">
        <v>247</v>
      </c>
      <c r="B1026" s="86" t="s">
        <v>248</v>
      </c>
      <c r="C1026" s="86" t="s">
        <v>249</v>
      </c>
      <c r="D1026" s="86" t="s">
        <v>250</v>
      </c>
    </row>
    <row r="1027" spans="1:5">
      <c r="A1027" s="76">
        <v>0.45833333333333298</v>
      </c>
      <c r="B1027" s="86"/>
      <c r="C1027" s="86"/>
      <c r="E1027">
        <v>11770000</v>
      </c>
    </row>
    <row r="1028" spans="1:5">
      <c r="A1028" s="77" t="s">
        <v>251</v>
      </c>
      <c r="B1028" s="86"/>
      <c r="C1028" s="86"/>
      <c r="E1028">
        <v>11730000</v>
      </c>
    </row>
    <row r="1029" spans="1:5">
      <c r="A1029" s="78" t="s">
        <v>252</v>
      </c>
      <c r="B1029" s="86"/>
      <c r="C1029" s="86"/>
    </row>
    <row r="1030" spans="1:5">
      <c r="A1030" s="76" t="s">
        <v>253</v>
      </c>
      <c r="B1030" s="86"/>
      <c r="C1030" s="86"/>
    </row>
    <row r="1031" spans="1:5">
      <c r="A1031" s="84">
        <v>0.625</v>
      </c>
      <c r="B1031" s="86"/>
      <c r="C1031" s="86"/>
      <c r="D1031" s="86"/>
    </row>
    <row r="1032" spans="1:5">
      <c r="A1032" s="77" t="s">
        <v>254</v>
      </c>
      <c r="B1032" s="86"/>
      <c r="C1032" s="86"/>
      <c r="D1032" s="86"/>
    </row>
    <row r="1033" spans="1:5">
      <c r="A1033" s="87">
        <v>0.70833333333333304</v>
      </c>
      <c r="B1033" s="86"/>
      <c r="C1033" s="86"/>
      <c r="D1033" s="86"/>
    </row>
    <row r="1037" spans="1:5">
      <c r="A1037" s="109" t="s">
        <v>413</v>
      </c>
      <c r="B1037" s="109"/>
      <c r="C1037" s="109"/>
      <c r="D1037" s="109"/>
    </row>
    <row r="1038" spans="1:5">
      <c r="A1038" s="86" t="s">
        <v>247</v>
      </c>
      <c r="B1038" s="86" t="s">
        <v>248</v>
      </c>
      <c r="C1038" s="86" t="s">
        <v>249</v>
      </c>
      <c r="D1038" s="86" t="s">
        <v>250</v>
      </c>
    </row>
    <row r="1039" spans="1:5">
      <c r="A1039" s="76">
        <v>0.45833333333333298</v>
      </c>
      <c r="B1039" s="86">
        <v>27330</v>
      </c>
      <c r="C1039" s="86">
        <v>7440</v>
      </c>
      <c r="D1039">
        <v>11730000</v>
      </c>
    </row>
    <row r="1040" spans="1:5">
      <c r="A1040" s="77" t="s">
        <v>251</v>
      </c>
      <c r="B1040" s="86">
        <v>27240</v>
      </c>
      <c r="C1040" s="86">
        <v>7420</v>
      </c>
      <c r="D1040">
        <v>11745000</v>
      </c>
    </row>
    <row r="1041" spans="1:4">
      <c r="A1041" s="78" t="s">
        <v>252</v>
      </c>
      <c r="B1041" s="86">
        <v>27250</v>
      </c>
      <c r="C1041" s="86">
        <v>7430</v>
      </c>
      <c r="D1041">
        <v>11780000</v>
      </c>
    </row>
    <row r="1042" spans="1:4">
      <c r="A1042" s="76" t="s">
        <v>253</v>
      </c>
      <c r="B1042" s="86">
        <v>27250</v>
      </c>
      <c r="C1042" s="86">
        <v>7440</v>
      </c>
      <c r="D1042">
        <v>11770000</v>
      </c>
    </row>
    <row r="1043" spans="1:4">
      <c r="A1043" s="84">
        <v>0.625</v>
      </c>
      <c r="B1043" s="86">
        <v>27250</v>
      </c>
      <c r="C1043" s="86">
        <v>7450</v>
      </c>
      <c r="D1043" s="86">
        <v>11805000</v>
      </c>
    </row>
    <row r="1044" spans="1:4">
      <c r="A1044" s="77" t="s">
        <v>254</v>
      </c>
      <c r="B1044" s="86">
        <v>27250</v>
      </c>
      <c r="C1044" s="86">
        <v>7440</v>
      </c>
      <c r="D1044" s="86">
        <v>11805000</v>
      </c>
    </row>
    <row r="1045" spans="1:4">
      <c r="A1045" s="87">
        <v>0.70833333333333304</v>
      </c>
      <c r="B1045" s="86">
        <v>27250</v>
      </c>
      <c r="C1045" s="86">
        <v>7440</v>
      </c>
      <c r="D1045" s="86">
        <v>11805000</v>
      </c>
    </row>
    <row r="1049" spans="1:4">
      <c r="A1049" s="109" t="s">
        <v>415</v>
      </c>
      <c r="B1049" s="109"/>
      <c r="C1049" s="109"/>
      <c r="D1049" s="109"/>
    </row>
    <row r="1050" spans="1:4">
      <c r="A1050" s="86" t="s">
        <v>247</v>
      </c>
      <c r="B1050" s="86" t="s">
        <v>248</v>
      </c>
      <c r="C1050" s="86" t="s">
        <v>249</v>
      </c>
      <c r="D1050" s="86" t="s">
        <v>250</v>
      </c>
    </row>
    <row r="1051" spans="1:4">
      <c r="A1051" s="76">
        <v>0.45833333333333298</v>
      </c>
      <c r="B1051" s="86">
        <v>27240</v>
      </c>
      <c r="C1051" s="86">
        <v>7440</v>
      </c>
      <c r="D1051">
        <v>11785000</v>
      </c>
    </row>
    <row r="1052" spans="1:4">
      <c r="A1052" s="77" t="s">
        <v>251</v>
      </c>
      <c r="B1052" s="86">
        <v>27250</v>
      </c>
      <c r="C1052" s="86">
        <v>7430</v>
      </c>
      <c r="D1052">
        <v>11805000</v>
      </c>
    </row>
    <row r="1053" spans="1:4">
      <c r="A1053" s="78" t="s">
        <v>252</v>
      </c>
      <c r="B1053" s="86">
        <v>27170</v>
      </c>
      <c r="C1053" s="86">
        <v>7440</v>
      </c>
      <c r="D1053">
        <v>11790000</v>
      </c>
    </row>
    <row r="1054" spans="1:4">
      <c r="A1054" s="76" t="s">
        <v>253</v>
      </c>
      <c r="B1054" s="86">
        <v>27150</v>
      </c>
      <c r="C1054" s="86">
        <v>7450</v>
      </c>
      <c r="D1054">
        <v>11775000</v>
      </c>
    </row>
    <row r="1055" spans="1:4">
      <c r="A1055" s="84">
        <v>0.625</v>
      </c>
      <c r="B1055" s="86">
        <v>27150</v>
      </c>
      <c r="C1055" s="86">
        <v>7440</v>
      </c>
      <c r="D1055" s="86">
        <v>11760000</v>
      </c>
    </row>
    <row r="1056" spans="1:4">
      <c r="A1056" s="77" t="s">
        <v>254</v>
      </c>
      <c r="B1056" s="86">
        <v>27150</v>
      </c>
      <c r="C1056" s="86">
        <v>7440</v>
      </c>
      <c r="D1056" s="86">
        <v>11740000</v>
      </c>
    </row>
    <row r="1057" spans="1:5">
      <c r="A1057" s="87">
        <v>0.70833333333333304</v>
      </c>
      <c r="B1057" s="86">
        <v>27150</v>
      </c>
      <c r="C1057" s="86">
        <v>7440</v>
      </c>
      <c r="D1057" s="86">
        <v>11740000</v>
      </c>
    </row>
    <row r="1061" spans="1:5">
      <c r="A1061" s="109" t="s">
        <v>417</v>
      </c>
      <c r="B1061" s="109"/>
      <c r="C1061" s="109"/>
      <c r="D1061" s="109"/>
    </row>
    <row r="1062" spans="1:5">
      <c r="A1062" s="86" t="s">
        <v>247</v>
      </c>
      <c r="B1062" s="86" t="s">
        <v>248</v>
      </c>
      <c r="C1062" s="86" t="s">
        <v>249</v>
      </c>
      <c r="D1062" s="86" t="s">
        <v>250</v>
      </c>
    </row>
    <row r="1063" spans="1:5">
      <c r="A1063" s="76">
        <v>0.45833333333333298</v>
      </c>
      <c r="B1063" s="86">
        <v>27070</v>
      </c>
      <c r="C1063" s="86">
        <v>7400</v>
      </c>
      <c r="D1063">
        <v>11635000</v>
      </c>
      <c r="E1063">
        <v>11635000</v>
      </c>
    </row>
    <row r="1064" spans="1:5">
      <c r="A1064" s="77" t="s">
        <v>251</v>
      </c>
      <c r="B1064" s="86">
        <v>27080</v>
      </c>
      <c r="C1064" s="86">
        <v>7390</v>
      </c>
      <c r="D1064">
        <v>11650000</v>
      </c>
      <c r="E1064">
        <v>11640000</v>
      </c>
    </row>
    <row r="1065" spans="1:5">
      <c r="A1065" s="78" t="s">
        <v>252</v>
      </c>
      <c r="B1065" s="86">
        <v>27070</v>
      </c>
      <c r="C1065" s="86">
        <v>7390</v>
      </c>
      <c r="D1065">
        <v>11665000</v>
      </c>
      <c r="E1065">
        <v>11630000</v>
      </c>
    </row>
    <row r="1066" spans="1:5">
      <c r="A1066" s="76" t="s">
        <v>253</v>
      </c>
      <c r="B1066" s="86">
        <v>27080</v>
      </c>
      <c r="C1066" s="86">
        <v>7400</v>
      </c>
      <c r="D1066">
        <v>11650000</v>
      </c>
    </row>
    <row r="1067" spans="1:5">
      <c r="A1067" s="84">
        <v>0.625</v>
      </c>
      <c r="B1067" s="86">
        <v>27080</v>
      </c>
      <c r="C1067" s="86">
        <v>7410</v>
      </c>
      <c r="D1067" s="86">
        <v>11655000</v>
      </c>
    </row>
    <row r="1068" spans="1:5">
      <c r="A1068" s="77" t="s">
        <v>254</v>
      </c>
      <c r="B1068" s="86">
        <v>27080</v>
      </c>
      <c r="C1068" s="86">
        <v>7420</v>
      </c>
      <c r="D1068" s="86">
        <v>11655000</v>
      </c>
    </row>
    <row r="1069" spans="1:5">
      <c r="A1069" s="87">
        <v>0.70833333333333304</v>
      </c>
      <c r="B1069" s="86">
        <v>27080</v>
      </c>
      <c r="C1069" s="86">
        <v>7420</v>
      </c>
      <c r="D1069" s="86">
        <v>11655000</v>
      </c>
    </row>
  </sheetData>
  <mergeCells count="97">
    <mergeCell ref="A1049:D1049"/>
    <mergeCell ref="A1037:D1037"/>
    <mergeCell ref="A1025:D1025"/>
    <mergeCell ref="A1000:D1000"/>
    <mergeCell ref="A987:D987"/>
    <mergeCell ref="A1012:D1012"/>
    <mergeCell ref="A961:D961"/>
    <mergeCell ref="A925:D925"/>
    <mergeCell ref="A937:D937"/>
    <mergeCell ref="A949:D949"/>
    <mergeCell ref="A974:D974"/>
    <mergeCell ref="A865:D865"/>
    <mergeCell ref="A876:D876"/>
    <mergeCell ref="A888:D888"/>
    <mergeCell ref="A901:D901"/>
    <mergeCell ref="A913:D913"/>
    <mergeCell ref="A809:D809"/>
    <mergeCell ref="A820:D820"/>
    <mergeCell ref="A831:D831"/>
    <mergeCell ref="A842:D842"/>
    <mergeCell ref="A854:D854"/>
    <mergeCell ref="A749:D749"/>
    <mergeCell ref="A760:D760"/>
    <mergeCell ref="A772:D772"/>
    <mergeCell ref="A784:D784"/>
    <mergeCell ref="A796:D796"/>
    <mergeCell ref="A692:D692"/>
    <mergeCell ref="A703:D703"/>
    <mergeCell ref="A715:D715"/>
    <mergeCell ref="A726:D726"/>
    <mergeCell ref="A738:D738"/>
    <mergeCell ref="A635:D635"/>
    <mergeCell ref="A647:D647"/>
    <mergeCell ref="A658:D658"/>
    <mergeCell ref="A670:D670"/>
    <mergeCell ref="A681:D681"/>
    <mergeCell ref="A579:D579"/>
    <mergeCell ref="A590:D590"/>
    <mergeCell ref="A601:D601"/>
    <mergeCell ref="A612:D612"/>
    <mergeCell ref="A623:D623"/>
    <mergeCell ref="A522:D522"/>
    <mergeCell ref="A533:D533"/>
    <mergeCell ref="A544:D544"/>
    <mergeCell ref="A555:D555"/>
    <mergeCell ref="A567:D567"/>
    <mergeCell ref="A467:D467"/>
    <mergeCell ref="A478:D478"/>
    <mergeCell ref="A489:D489"/>
    <mergeCell ref="A500:D500"/>
    <mergeCell ref="A511:D511"/>
    <mergeCell ref="A412:D412"/>
    <mergeCell ref="A423:D423"/>
    <mergeCell ref="A434:D434"/>
    <mergeCell ref="A445:D445"/>
    <mergeCell ref="A456:D456"/>
    <mergeCell ref="A357:D357"/>
    <mergeCell ref="A368:D368"/>
    <mergeCell ref="A379:D379"/>
    <mergeCell ref="A390:D390"/>
    <mergeCell ref="A401:D401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113:D113"/>
    <mergeCell ref="A123:D123"/>
    <mergeCell ref="A133:D133"/>
    <mergeCell ref="A143:D143"/>
    <mergeCell ref="A153:D153"/>
    <mergeCell ref="A163:D163"/>
    <mergeCell ref="A173:D173"/>
    <mergeCell ref="A183:D183"/>
    <mergeCell ref="A193:D193"/>
    <mergeCell ref="A1061:D1061"/>
    <mergeCell ref="A203:D203"/>
    <mergeCell ref="A213:D213"/>
    <mergeCell ref="A223:D223"/>
    <mergeCell ref="A233:D233"/>
    <mergeCell ref="A243:D243"/>
    <mergeCell ref="A253:D253"/>
    <mergeCell ref="A263:D263"/>
    <mergeCell ref="A273:D273"/>
    <mergeCell ref="A283:D283"/>
    <mergeCell ref="A293:D293"/>
    <mergeCell ref="A303:D303"/>
    <mergeCell ref="A313:D313"/>
    <mergeCell ref="A324:D324"/>
    <mergeCell ref="A335:D335"/>
    <mergeCell ref="A346:D346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topLeftCell="B1" zoomScale="70" zoomScaleNormal="70" workbookViewId="0">
      <selection activeCell="F14" sqref="F14"/>
    </sheetView>
  </sheetViews>
  <sheetFormatPr defaultColWidth="8.5703125" defaultRowHeight="15"/>
  <cols>
    <col min="1" max="1" width="23.7109375" style="89" customWidth="1"/>
    <col min="2" max="2" width="22.140625" style="89" customWidth="1"/>
    <col min="3" max="3" width="22.5703125" style="89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110" t="s">
        <v>373</v>
      </c>
      <c r="B1" s="110"/>
      <c r="C1" s="110"/>
    </row>
    <row r="2" spans="1:6" ht="24.95" customHeight="1">
      <c r="A2" s="90"/>
      <c r="B2" s="90" t="s">
        <v>374</v>
      </c>
      <c r="C2" s="90" t="s">
        <v>375</v>
      </c>
    </row>
    <row r="3" spans="1:6" ht="24.95" customHeight="1">
      <c r="A3" s="90" t="s">
        <v>376</v>
      </c>
      <c r="B3" s="90">
        <v>10250000</v>
      </c>
      <c r="C3" s="90">
        <v>11920000</v>
      </c>
      <c r="D3" s="89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90" t="s">
        <v>378</v>
      </c>
      <c r="B4" s="90">
        <v>1018000</v>
      </c>
      <c r="C4" s="90">
        <v>1140000</v>
      </c>
      <c r="D4" s="89" t="s">
        <v>379</v>
      </c>
      <c r="E4">
        <f t="shared" si="0"/>
        <v>11.984282907662083</v>
      </c>
      <c r="F4">
        <v>12</v>
      </c>
    </row>
    <row r="5" spans="1:6" ht="24.95" customHeight="1">
      <c r="A5" s="90" t="s">
        <v>380</v>
      </c>
      <c r="B5" s="90">
        <v>23930</v>
      </c>
      <c r="C5" s="90">
        <v>27520</v>
      </c>
      <c r="D5" s="89" t="s">
        <v>381</v>
      </c>
      <c r="E5">
        <f t="shared" si="0"/>
        <v>15.002089427496866</v>
      </c>
      <c r="F5">
        <v>15</v>
      </c>
    </row>
    <row r="6" spans="1:6" ht="24.95" customHeight="1">
      <c r="A6" s="90" t="s">
        <v>382</v>
      </c>
      <c r="B6" s="90">
        <v>28324</v>
      </c>
      <c r="C6" s="90">
        <v>32347</v>
      </c>
      <c r="D6" s="89" t="s">
        <v>383</v>
      </c>
      <c r="E6">
        <f t="shared" si="0"/>
        <v>14.203502330179353</v>
      </c>
      <c r="F6">
        <v>14</v>
      </c>
    </row>
    <row r="7" spans="1:6" ht="24.95" customHeight="1">
      <c r="A7" s="90" t="s">
        <v>384</v>
      </c>
      <c r="B7" s="90">
        <v>23779</v>
      </c>
      <c r="C7" s="90">
        <v>26523</v>
      </c>
      <c r="D7" s="89" t="s">
        <v>385</v>
      </c>
      <c r="E7">
        <f t="shared" si="0"/>
        <v>11.539593759199294</v>
      </c>
      <c r="F7">
        <v>12</v>
      </c>
    </row>
    <row r="8" spans="1:6" ht="24.95" customHeight="1">
      <c r="A8" s="90" t="s">
        <v>386</v>
      </c>
      <c r="B8" s="90">
        <v>28081</v>
      </c>
      <c r="C8" s="90">
        <v>31394</v>
      </c>
      <c r="D8" s="89" t="s">
        <v>387</v>
      </c>
      <c r="E8">
        <f t="shared" si="0"/>
        <v>11.7980128912788</v>
      </c>
      <c r="F8">
        <v>12</v>
      </c>
    </row>
    <row r="9" spans="1:6" ht="24.95" customHeight="1">
      <c r="A9" s="90" t="s">
        <v>388</v>
      </c>
      <c r="B9" s="90">
        <v>23364</v>
      </c>
      <c r="C9" s="90">
        <v>26260</v>
      </c>
      <c r="D9" s="89" t="s">
        <v>389</v>
      </c>
      <c r="E9">
        <f t="shared" si="0"/>
        <v>12.395137818866633</v>
      </c>
      <c r="F9">
        <v>12</v>
      </c>
    </row>
    <row r="10" spans="1:6" ht="24.95" customHeight="1">
      <c r="A10" s="90" t="s">
        <v>390</v>
      </c>
      <c r="B10" s="90">
        <v>27693</v>
      </c>
      <c r="C10" s="90">
        <v>31147</v>
      </c>
      <c r="D10" s="89" t="s">
        <v>391</v>
      </c>
      <c r="E10">
        <f t="shared" si="0"/>
        <v>12.472465966128624</v>
      </c>
      <c r="F10">
        <v>12</v>
      </c>
    </row>
    <row r="12" spans="1:6">
      <c r="A12"/>
      <c r="B12" s="89">
        <f t="shared" ref="B12:B22" si="1">C3-B3</f>
        <v>1670000</v>
      </c>
    </row>
    <row r="13" spans="1:6">
      <c r="B13" s="89">
        <f t="shared" si="1"/>
        <v>122000</v>
      </c>
    </row>
    <row r="14" spans="1:6">
      <c r="B14" s="89">
        <f t="shared" si="1"/>
        <v>3590</v>
      </c>
    </row>
    <row r="15" spans="1:6">
      <c r="B15" s="89">
        <f t="shared" si="1"/>
        <v>4023</v>
      </c>
    </row>
    <row r="16" spans="1:6">
      <c r="B16" s="89">
        <f t="shared" si="1"/>
        <v>2744</v>
      </c>
    </row>
    <row r="17" spans="2:2">
      <c r="B17" s="89">
        <f t="shared" si="1"/>
        <v>3313</v>
      </c>
    </row>
    <row r="18" spans="2:2">
      <c r="B18" s="89">
        <f t="shared" si="1"/>
        <v>2896</v>
      </c>
    </row>
    <row r="19" spans="2:2">
      <c r="B19" s="89">
        <f t="shared" si="1"/>
        <v>3454</v>
      </c>
    </row>
    <row r="20" spans="2:2">
      <c r="B20" s="89">
        <f t="shared" si="1"/>
        <v>0</v>
      </c>
    </row>
    <row r="21" spans="2:2">
      <c r="B21" s="89">
        <f t="shared" si="1"/>
        <v>-1670000</v>
      </c>
    </row>
    <row r="22" spans="2:2">
      <c r="B22" s="89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91"/>
  <sheetViews>
    <sheetView topLeftCell="A20" zoomScale="85" zoomScaleNormal="85" workbookViewId="0">
      <selection activeCell="B93" sqref="B93"/>
    </sheetView>
  </sheetViews>
  <sheetFormatPr defaultColWidth="8.5703125" defaultRowHeight="15"/>
  <cols>
    <col min="2" max="2" width="20.140625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91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80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80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80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80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80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80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80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80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80">
        <v>27500</v>
      </c>
      <c r="D67">
        <v>11990000</v>
      </c>
      <c r="E67">
        <v>1162098</v>
      </c>
      <c r="F67">
        <f t="shared" ref="F67:F91" si="6">(C67-C66)*100/C66</f>
        <v>-1.1857707509881423</v>
      </c>
      <c r="G67">
        <f t="shared" ref="G67:G85" si="7">(D67-D66)*100/D66</f>
        <v>-0.24958402662229617</v>
      </c>
      <c r="H67">
        <f t="shared" ref="H67:H90" si="8">(E67-E66)*100/E66</f>
        <v>-0.71009365102284761</v>
      </c>
      <c r="I67">
        <v>-2.64</v>
      </c>
    </row>
    <row r="68" spans="2:9">
      <c r="B68">
        <v>14000622</v>
      </c>
      <c r="C68" s="80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80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80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83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83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83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83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83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83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83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83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83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83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13">
      <c r="B81">
        <v>14000711</v>
      </c>
      <c r="C81" s="83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13">
      <c r="B82">
        <v>14000712</v>
      </c>
      <c r="C82" s="83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13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13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13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13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>(D86-D85)*100/D85</f>
        <v>-0.59372349448685324</v>
      </c>
      <c r="H86">
        <f t="shared" si="8"/>
        <v>-2.6272002802346966E-2</v>
      </c>
      <c r="I86">
        <v>0.13</v>
      </c>
    </row>
    <row r="87" spans="2:13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>(D87-D86)*100/D86</f>
        <v>-0.34129692832764508</v>
      </c>
      <c r="H87">
        <f t="shared" si="8"/>
        <v>-2.5148913805185704</v>
      </c>
      <c r="I87">
        <v>-2.66</v>
      </c>
    </row>
    <row r="88" spans="2:13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>(D88-D87)*100/D87</f>
        <v>0.4708904109589041</v>
      </c>
      <c r="H88">
        <f t="shared" si="8"/>
        <v>1.3127982100656848</v>
      </c>
      <c r="I88">
        <v>-1.5</v>
      </c>
    </row>
    <row r="89" spans="2:13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>(D89-D88)*100/D88</f>
        <v>0.59650617809970174</v>
      </c>
      <c r="H89">
        <f t="shared" si="8"/>
        <v>0.98447893569844791</v>
      </c>
      <c r="I89">
        <v>2.87</v>
      </c>
    </row>
    <row r="90" spans="2:13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>(D90-D89)*100/D89</f>
        <v>-0.55061414654807284</v>
      </c>
      <c r="H90">
        <f>(E90-E89)*100/E89</f>
        <v>0.46548392763042334</v>
      </c>
      <c r="I90">
        <v>-0.1</v>
      </c>
    </row>
    <row r="91" spans="2:13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>(D91-D90)*100/D90</f>
        <v>-0.72402044293015333</v>
      </c>
      <c r="H91">
        <f>(E91-E90)*100/E90</f>
        <v>-0.68187778651980069</v>
      </c>
      <c r="I91">
        <v>0.06</v>
      </c>
      <c r="J91">
        <v>-0.26</v>
      </c>
      <c r="K91">
        <v>-0.72</v>
      </c>
      <c r="L91">
        <v>-0.68</v>
      </c>
      <c r="M91">
        <v>0.06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2021-10-18T14:14:14Z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