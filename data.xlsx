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161E07D-FF0F-4BDD-AD30-79E29232A98B}" xr6:coauthVersionLast="46" xr6:coauthVersionMax="46" xr10:uidLastSave="{00000000-0000-0000-0000-000000000000}"/>
  <bookViews>
    <workbookView xWindow="-108" yWindow="-108" windowWidth="23256" windowHeight="12576" activeTab="1" xr2:uid="{00000000-000D-0000-FFFF-FFFF00000000}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5" l="1"/>
  <c r="E22" i="5"/>
  <c r="G23" i="5" l="1"/>
  <c r="E23" i="5"/>
  <c r="G24" i="5" l="1"/>
  <c r="E24" i="5"/>
  <c r="K125" i="1"/>
  <c r="G125" i="1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2" i="1" l="1"/>
  <c r="F131" i="1" l="1"/>
  <c r="E573" i="6" l="1"/>
  <c r="H55" i="7"/>
  <c r="G55" i="7"/>
  <c r="F55" i="7"/>
  <c r="M111" i="1" l="1"/>
  <c r="L111" i="1"/>
  <c r="H54" i="7"/>
  <c r="G54" i="7"/>
  <c r="F54" i="7"/>
  <c r="G129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8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5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5" i="1"/>
  <c r="BI2" i="1"/>
  <c r="M53" i="1" l="1"/>
  <c r="L53" i="1"/>
  <c r="M52" i="1" l="1"/>
  <c r="L52" i="1"/>
  <c r="AW129" i="1" l="1"/>
  <c r="AW132" i="1" s="1"/>
  <c r="G10" i="5" l="1"/>
  <c r="E10" i="5"/>
  <c r="M51" i="1"/>
  <c r="L51" i="1"/>
  <c r="AY127" i="1"/>
  <c r="M50" i="1" l="1"/>
  <c r="L50" i="1"/>
  <c r="AU129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M125" i="1" s="1"/>
  <c r="L3" i="1"/>
  <c r="L4" i="1"/>
  <c r="L6" i="1"/>
  <c r="L7" i="1"/>
  <c r="L125" i="1" l="1"/>
  <c r="S1" i="1" s="1"/>
  <c r="U1" i="1"/>
</calcChain>
</file>

<file path=xl/sharedStrings.xml><?xml version="1.0" encoding="utf-8"?>
<sst xmlns="http://schemas.openxmlformats.org/spreadsheetml/2006/main" count="961" uniqueCount="330">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</sst>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6" borderId="0" xfId="0" applyFill="1" applyAlignment="1">
      <alignment horizont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2784"/>
        <c:axId val="723857344"/>
      </c:barChart>
      <c:catAx>
        <c:axId val="72386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344"/>
        <c:crosses val="autoZero"/>
        <c:auto val="1"/>
        <c:lblAlgn val="ctr"/>
        <c:lblOffset val="100"/>
        <c:noMultiLvlLbl val="0"/>
      </c:catAx>
      <c:valAx>
        <c:axId val="7238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27742</c:v>
                </c:pt>
                <c:pt idx="2">
                  <c:v>27287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0272"/>
        <c:axId val="7238600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7238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0064"/>
        <c:crosses val="autoZero"/>
        <c:auto val="1"/>
        <c:lblAlgn val="ctr"/>
        <c:lblOffset val="100"/>
        <c:noMultiLvlLbl val="0"/>
      </c:catAx>
      <c:valAx>
        <c:axId val="7238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152"/>
        <c:axId val="7238513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7238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360"/>
        <c:crosses val="autoZero"/>
        <c:auto val="1"/>
        <c:lblAlgn val="ctr"/>
        <c:lblOffset val="100"/>
        <c:noMultiLvlLbl val="0"/>
      </c:catAx>
      <c:valAx>
        <c:axId val="72385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1904"/>
        <c:axId val="723859520"/>
      </c:barChart>
      <c:catAx>
        <c:axId val="72385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9520"/>
        <c:crosses val="autoZero"/>
        <c:auto val="1"/>
        <c:lblAlgn val="ctr"/>
        <c:lblOffset val="100"/>
        <c:noMultiLvlLbl val="0"/>
      </c:catAx>
      <c:valAx>
        <c:axId val="72385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696"/>
        <c:axId val="723862240"/>
      </c:barChart>
      <c:catAx>
        <c:axId val="7238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240"/>
        <c:crosses val="autoZero"/>
        <c:auto val="1"/>
        <c:lblAlgn val="ctr"/>
        <c:lblOffset val="100"/>
        <c:noMultiLvlLbl val="0"/>
      </c:catAx>
      <c:valAx>
        <c:axId val="72386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2448"/>
        <c:axId val="723855712"/>
      </c:barChart>
      <c:catAx>
        <c:axId val="72385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5712"/>
        <c:crosses val="autoZero"/>
        <c:auto val="1"/>
        <c:lblAlgn val="ctr"/>
        <c:lblOffset val="100"/>
        <c:noMultiLvlLbl val="0"/>
      </c:catAx>
      <c:valAx>
        <c:axId val="7238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چهارشنبه 17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3"/>
          <c:order val="63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change'!$F$65:$I$65</c:f>
              <c:numCache>
                <c:formatCode>General</c:formatCode>
                <c:ptCount val="4"/>
                <c:pt idx="0">
                  <c:v>1.5117994100294985</c:v>
                </c:pt>
                <c:pt idx="1">
                  <c:v>0.49423393739703458</c:v>
                </c:pt>
                <c:pt idx="2">
                  <c:v>9.8365211105892622E-2</c:v>
                </c:pt>
                <c:pt idx="3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9-4F3B-912C-01B0C4C2DC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4624"/>
        <c:axId val="7238578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</c:ext>
        </c:extLst>
      </c:barChart>
      <c:catAx>
        <c:axId val="72385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888"/>
        <c:crosses val="autoZero"/>
        <c:auto val="1"/>
        <c:lblAlgn val="ctr"/>
        <c:lblOffset val="100"/>
        <c:noMultiLvlLbl val="0"/>
      </c:catAx>
      <c:valAx>
        <c:axId val="72385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14</xdr:col>
      <xdr:colOff>402771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101</xdr:row>
      <xdr:rowOff>98331</xdr:rowOff>
    </xdr:from>
    <xdr:to>
      <xdr:col>10</xdr:col>
      <xdr:colOff>874339</xdr:colOff>
      <xdr:row>129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34"/>
  <sheetViews>
    <sheetView topLeftCell="B115" zoomScaleNormal="100" workbookViewId="0">
      <selection activeCell="E124" sqref="E124"/>
    </sheetView>
  </sheetViews>
  <sheetFormatPr defaultRowHeight="14.4"/>
  <cols>
    <col min="1" max="1" width="14.6640625" style="1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L125/G125</f>
        <v>24039.78447047278</v>
      </c>
      <c r="T1" s="9" t="s">
        <v>32</v>
      </c>
      <c r="U1" s="9">
        <f>M125/K125</f>
        <v>28338.286545522333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5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K125/K62</f>
        <v>142.20723835869063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4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4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5" customFormat="1" ht="21" customHeight="1">
      <c r="A112" s="72"/>
      <c r="B112" s="73" t="s">
        <v>327</v>
      </c>
      <c r="C112" s="73">
        <v>4</v>
      </c>
      <c r="D112" s="74">
        <v>27030</v>
      </c>
      <c r="E112" s="73">
        <v>27490</v>
      </c>
      <c r="F112" s="73">
        <v>27299</v>
      </c>
      <c r="G112" s="73">
        <v>3900800</v>
      </c>
      <c r="H112" s="73">
        <v>31739</v>
      </c>
      <c r="I112" s="73">
        <v>31798</v>
      </c>
      <c r="J112" s="73">
        <v>31665</v>
      </c>
      <c r="K112" s="73">
        <v>1037800</v>
      </c>
      <c r="L112" s="73">
        <f t="shared" si="14"/>
        <v>106487939200</v>
      </c>
      <c r="M112" s="73">
        <f t="shared" si="13"/>
        <v>32861937000</v>
      </c>
      <c r="N112" s="75">
        <v>27765</v>
      </c>
      <c r="O112" s="75">
        <v>32116</v>
      </c>
      <c r="P112" s="73">
        <v>27300</v>
      </c>
      <c r="Q112" s="75">
        <v>32056</v>
      </c>
      <c r="R112" s="73"/>
      <c r="S112" s="73"/>
      <c r="T112" s="73"/>
      <c r="U112" s="73"/>
      <c r="X112" s="75">
        <v>27920</v>
      </c>
      <c r="Y112" s="75">
        <v>32700</v>
      </c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74"/>
      <c r="AT112" s="74"/>
      <c r="AU112" s="74"/>
      <c r="AV112" s="74"/>
      <c r="AW112" s="74"/>
      <c r="AX112" s="74"/>
      <c r="AY112" s="73"/>
      <c r="AZ112" s="73"/>
      <c r="BA112" s="73"/>
      <c r="BB112" s="73"/>
      <c r="BC112" s="73"/>
      <c r="BE112" s="76"/>
      <c r="BF112" s="76"/>
      <c r="BG112" s="76"/>
      <c r="BH112" s="76"/>
    </row>
    <row r="113" spans="1:62" s="17" customFormat="1" ht="2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17" customFormat="1" ht="2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2" s="75" customFormat="1" ht="21" customHeight="1">
      <c r="A118" s="72"/>
      <c r="B118" s="73" t="s">
        <v>328</v>
      </c>
      <c r="C118" s="73">
        <v>11</v>
      </c>
      <c r="D118" s="74">
        <v>26261</v>
      </c>
      <c r="E118" s="73">
        <v>26408</v>
      </c>
      <c r="F118" s="73">
        <v>26353</v>
      </c>
      <c r="G118" s="73">
        <v>5094700</v>
      </c>
      <c r="H118" s="73">
        <v>30797</v>
      </c>
      <c r="I118" s="73">
        <v>31052</v>
      </c>
      <c r="J118" s="73">
        <v>30846</v>
      </c>
      <c r="K118" s="73">
        <v>577000</v>
      </c>
      <c r="L118" s="73">
        <f t="shared" si="14"/>
        <v>134260629100</v>
      </c>
      <c r="M118" s="73">
        <f t="shared" si="13"/>
        <v>17798142000</v>
      </c>
      <c r="N118" s="75">
        <v>26672</v>
      </c>
      <c r="O118" s="75">
        <v>31362</v>
      </c>
      <c r="P118" s="73">
        <v>26523</v>
      </c>
      <c r="Q118" s="75">
        <v>31105</v>
      </c>
      <c r="R118" s="73"/>
      <c r="S118" s="73"/>
      <c r="T118" s="73"/>
      <c r="U118" s="73"/>
      <c r="V118" s="77"/>
      <c r="X118" s="75">
        <v>27190</v>
      </c>
      <c r="Y118" s="75">
        <v>32300</v>
      </c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4"/>
      <c r="AT118" s="74"/>
      <c r="AU118" s="74"/>
      <c r="AV118" s="74"/>
      <c r="AW118" s="74"/>
      <c r="AX118" s="74"/>
      <c r="AY118" s="73"/>
      <c r="AZ118" s="73"/>
      <c r="BA118" s="73"/>
      <c r="BB118" s="73"/>
      <c r="BC118" s="73"/>
      <c r="BE118" s="76"/>
      <c r="BF118" s="76"/>
      <c r="BG118" s="76"/>
      <c r="BH118" s="76"/>
    </row>
    <row r="119" spans="1:62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2" s="63" customFormat="1" ht="21" customHeight="1">
      <c r="A120" s="60"/>
      <c r="B120" s="61" t="s">
        <v>315</v>
      </c>
      <c r="C120" s="61">
        <v>14</v>
      </c>
      <c r="D120" s="62">
        <v>26441</v>
      </c>
      <c r="E120" s="61">
        <v>26423</v>
      </c>
      <c r="F120" s="61">
        <v>26453</v>
      </c>
      <c r="G120" s="61">
        <v>6934900</v>
      </c>
      <c r="H120" s="61">
        <v>31300</v>
      </c>
      <c r="I120" s="61">
        <v>31047</v>
      </c>
      <c r="J120" s="61">
        <v>31045</v>
      </c>
      <c r="K120" s="61">
        <v>1267000</v>
      </c>
      <c r="L120" s="61">
        <f t="shared" si="14"/>
        <v>183448909700</v>
      </c>
      <c r="M120" s="61">
        <f t="shared" si="13"/>
        <v>39334015000</v>
      </c>
      <c r="N120" s="63">
        <v>26687</v>
      </c>
      <c r="O120" s="63">
        <v>31358</v>
      </c>
      <c r="P120" s="61">
        <v>26705</v>
      </c>
      <c r="Q120" s="63">
        <v>31613</v>
      </c>
      <c r="R120" s="61"/>
      <c r="S120" s="61"/>
      <c r="T120" s="61"/>
      <c r="U120" s="61"/>
      <c r="V120" s="64">
        <v>27170</v>
      </c>
      <c r="X120" s="63">
        <v>27190</v>
      </c>
      <c r="Y120" s="63">
        <v>32356</v>
      </c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2"/>
      <c r="AT120" s="62"/>
      <c r="AU120" s="62"/>
      <c r="AV120" s="62"/>
      <c r="AW120" s="62"/>
      <c r="AX120" s="62"/>
      <c r="AY120" s="61"/>
      <c r="AZ120" s="61"/>
      <c r="BA120" s="61"/>
      <c r="BB120" s="61"/>
      <c r="BC120" s="61"/>
      <c r="BE120" s="65"/>
      <c r="BF120" s="65"/>
      <c r="BG120" s="65"/>
      <c r="BH120" s="65"/>
    </row>
    <row r="121" spans="1:62" s="69" customFormat="1" ht="21" customHeight="1">
      <c r="A121" s="66"/>
      <c r="B121" s="67" t="s">
        <v>317</v>
      </c>
      <c r="C121" s="67">
        <v>15</v>
      </c>
      <c r="D121" s="68">
        <v>26450</v>
      </c>
      <c r="E121" s="67">
        <v>26328</v>
      </c>
      <c r="F121" s="67">
        <v>26359</v>
      </c>
      <c r="G121" s="67">
        <v>5658100</v>
      </c>
      <c r="H121" s="67">
        <v>30950</v>
      </c>
      <c r="I121" s="67">
        <v>31104</v>
      </c>
      <c r="J121" s="67">
        <v>31137</v>
      </c>
      <c r="K121" s="67">
        <v>702100</v>
      </c>
      <c r="L121" s="67">
        <f t="shared" si="14"/>
        <v>149141857900</v>
      </c>
      <c r="M121" s="67">
        <f t="shared" si="13"/>
        <v>21861287700</v>
      </c>
      <c r="N121" s="69">
        <v>26591</v>
      </c>
      <c r="O121" s="69">
        <v>31415</v>
      </c>
      <c r="P121" s="67">
        <v>26714</v>
      </c>
      <c r="Q121" s="69">
        <v>31259</v>
      </c>
      <c r="R121" s="67"/>
      <c r="S121" s="67"/>
      <c r="T121" s="67"/>
      <c r="U121" s="67"/>
      <c r="V121" s="70">
        <v>27070</v>
      </c>
      <c r="X121" s="69">
        <v>27010</v>
      </c>
      <c r="Y121" s="69">
        <v>32081</v>
      </c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  <c r="AQ121" s="67"/>
      <c r="AR121" s="67"/>
      <c r="AS121" s="68"/>
      <c r="AT121" s="68"/>
      <c r="AU121" s="68"/>
      <c r="AV121" s="68"/>
      <c r="AW121" s="68"/>
      <c r="AX121" s="68"/>
      <c r="AY121" s="67"/>
      <c r="AZ121" s="67"/>
      <c r="BA121" s="67"/>
      <c r="BB121" s="67"/>
      <c r="BC121" s="67"/>
      <c r="BE121" s="71"/>
      <c r="BF121" s="71"/>
      <c r="BG121" s="71"/>
      <c r="BH121" s="71"/>
    </row>
    <row r="122" spans="1:62" s="69" customFormat="1" ht="21" customHeight="1">
      <c r="A122" s="66"/>
      <c r="B122" s="67" t="s">
        <v>320</v>
      </c>
      <c r="C122" s="67">
        <v>16</v>
      </c>
      <c r="D122" s="68">
        <v>26570</v>
      </c>
      <c r="E122" s="67">
        <v>26360</v>
      </c>
      <c r="F122" s="67">
        <v>26384</v>
      </c>
      <c r="G122" s="67">
        <v>7781600</v>
      </c>
      <c r="H122" s="67">
        <v>31212</v>
      </c>
      <c r="I122" s="67">
        <v>31350</v>
      </c>
      <c r="J122" s="67">
        <v>31111</v>
      </c>
      <c r="K122" s="67">
        <v>1167200</v>
      </c>
      <c r="L122" s="67">
        <f t="shared" si="14"/>
        <v>205309734400</v>
      </c>
      <c r="M122" s="67">
        <f t="shared" si="13"/>
        <v>36312759200</v>
      </c>
      <c r="N122" s="69">
        <v>26623</v>
      </c>
      <c r="O122" s="69">
        <v>31663</v>
      </c>
      <c r="P122" s="67">
        <v>26836</v>
      </c>
      <c r="Q122" s="69">
        <v>31525</v>
      </c>
      <c r="R122" s="67"/>
      <c r="S122" s="67"/>
      <c r="T122" s="67"/>
      <c r="U122" s="67"/>
      <c r="V122" s="69">
        <v>27180</v>
      </c>
      <c r="X122" s="69">
        <v>27120</v>
      </c>
      <c r="Y122" s="69">
        <v>32297</v>
      </c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67"/>
      <c r="AQ122" s="67"/>
      <c r="AR122" s="67"/>
      <c r="AS122" s="68"/>
      <c r="AT122" s="68"/>
      <c r="AU122" s="68"/>
      <c r="AV122" s="68"/>
      <c r="AW122" s="68"/>
      <c r="AX122" s="68"/>
      <c r="AY122" s="67"/>
      <c r="AZ122" s="67"/>
      <c r="BA122" s="67"/>
      <c r="BB122" s="67"/>
      <c r="BC122" s="67"/>
      <c r="BE122" s="71"/>
      <c r="BF122" s="71"/>
      <c r="BG122" s="71"/>
      <c r="BH122" s="71"/>
    </row>
    <row r="123" spans="1:62" s="69" customFormat="1" ht="21" customHeight="1">
      <c r="A123" s="66"/>
      <c r="B123" s="67" t="s">
        <v>321</v>
      </c>
      <c r="C123" s="67">
        <v>17</v>
      </c>
      <c r="D123" s="68">
        <v>26681</v>
      </c>
      <c r="E123" s="67">
        <v>26582</v>
      </c>
      <c r="F123" s="67">
        <v>26514</v>
      </c>
      <c r="G123" s="67">
        <v>10053900</v>
      </c>
      <c r="H123" s="67">
        <v>31234</v>
      </c>
      <c r="I123" s="67">
        <v>31217</v>
      </c>
      <c r="J123" s="67">
        <v>31159</v>
      </c>
      <c r="K123" s="67">
        <v>1549100</v>
      </c>
      <c r="L123" s="67">
        <f t="shared" si="14"/>
        <v>266569104600</v>
      </c>
      <c r="M123" s="67">
        <f t="shared" si="13"/>
        <v>48268406900</v>
      </c>
      <c r="N123" s="69">
        <v>26852</v>
      </c>
      <c r="O123" s="69">
        <v>31530</v>
      </c>
      <c r="P123" s="67">
        <v>26948</v>
      </c>
      <c r="Q123" s="69">
        <v>31547</v>
      </c>
      <c r="R123" s="67"/>
      <c r="S123" s="67"/>
      <c r="T123" s="67"/>
      <c r="U123" s="67"/>
      <c r="V123" s="69">
        <v>27570</v>
      </c>
      <c r="X123" s="69">
        <v>27530</v>
      </c>
      <c r="Y123" s="69">
        <v>32539</v>
      </c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  <c r="AQ123" s="67"/>
      <c r="AR123" s="67"/>
      <c r="AS123" s="68"/>
      <c r="AT123" s="68"/>
      <c r="AU123" s="68"/>
      <c r="AV123" s="68"/>
      <c r="AW123" s="68"/>
      <c r="AX123" s="68"/>
      <c r="AY123" s="67"/>
      <c r="AZ123" s="67"/>
      <c r="BA123" s="67"/>
      <c r="BB123" s="67"/>
      <c r="BC123" s="67"/>
      <c r="BE123" s="71"/>
      <c r="BF123" s="71"/>
      <c r="BG123" s="71"/>
      <c r="BH123" s="71"/>
    </row>
    <row r="124" spans="1:62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67">
        <f t="shared" si="14"/>
        <v>172687578300</v>
      </c>
      <c r="M124" s="67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59"/>
      <c r="BF124" s="59"/>
      <c r="BG124" s="59"/>
      <c r="BH124" s="59"/>
    </row>
    <row r="125" spans="1:62" ht="18">
      <c r="A125" s="6"/>
      <c r="B125" s="7"/>
      <c r="C125" s="7"/>
      <c r="D125" s="19"/>
      <c r="E125" s="7"/>
      <c r="F125" s="7"/>
      <c r="G125" s="7">
        <f>SUM(G2:G124)</f>
        <v>717914399</v>
      </c>
      <c r="H125" s="7"/>
      <c r="I125" s="7"/>
      <c r="J125" s="7"/>
      <c r="K125" s="7">
        <f>SUM(K2:K124)</f>
        <v>123379000</v>
      </c>
      <c r="L125" s="7">
        <f>SUM(L2:L124)</f>
        <v>17258507420209</v>
      </c>
      <c r="M125" s="4">
        <f>SUM(M2:M124)</f>
        <v>3496349455700</v>
      </c>
      <c r="N125" s="4"/>
      <c r="O125" s="4"/>
      <c r="P125" s="4"/>
      <c r="Q125" s="4"/>
      <c r="R125" s="4"/>
      <c r="S125" s="4"/>
      <c r="T125" s="4"/>
      <c r="U125" s="4"/>
      <c r="W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Y125" s="4"/>
      <c r="AZ125" s="4"/>
      <c r="BA125" s="4"/>
      <c r="BB125" s="4"/>
      <c r="BC125" s="4"/>
      <c r="BD125" s="4"/>
      <c r="BE125" s="3"/>
      <c r="BF125" s="3"/>
      <c r="BG125" s="3"/>
      <c r="BH125" s="3"/>
      <c r="BI125" t="e">
        <f>#REF!-N125</f>
        <v>#REF!</v>
      </c>
      <c r="BJ125" t="e">
        <f t="shared" si="3"/>
        <v>#DIV/0!</v>
      </c>
    </row>
    <row r="126" spans="1:62" ht="18">
      <c r="D126" s="19"/>
      <c r="Z126" s="12"/>
      <c r="AB126" s="12"/>
      <c r="AS126" s="12"/>
      <c r="AW126" s="29"/>
    </row>
    <row r="127" spans="1:62" ht="18">
      <c r="D127" s="19"/>
      <c r="Z127" s="12"/>
      <c r="AS127" s="19"/>
      <c r="AW127" s="29"/>
      <c r="AY127">
        <f>AY51-AY50</f>
        <v>35000</v>
      </c>
    </row>
    <row r="128" spans="1:62" ht="18">
      <c r="Z128" s="12"/>
      <c r="AS128" s="19">
        <v>10290000</v>
      </c>
      <c r="AW128" s="29"/>
      <c r="BB128">
        <f>AY60-AY59</f>
        <v>70000</v>
      </c>
    </row>
    <row r="129" spans="4:49" ht="18">
      <c r="G129">
        <f>(G110-G125)/G125</f>
        <v>-0.98688896613146215</v>
      </c>
      <c r="V129" s="12"/>
      <c r="Z129" s="12"/>
      <c r="AS129" s="19"/>
      <c r="AU129">
        <f>AS128-AS49</f>
        <v>195000</v>
      </c>
      <c r="AW129" s="29">
        <f>AC52-AY51</f>
        <v>305000</v>
      </c>
    </row>
    <row r="130" spans="4:49" ht="18">
      <c r="V130" s="12"/>
      <c r="Z130" s="12"/>
      <c r="AW130" s="29"/>
    </row>
    <row r="131" spans="4:49" ht="17.25" customHeight="1">
      <c r="F131">
        <f>(D113-F111)/F111</f>
        <v>3.7955768081291093E-2</v>
      </c>
      <c r="V131" s="12"/>
      <c r="Z131" s="12"/>
    </row>
    <row r="132" spans="4:49" ht="18">
      <c r="D132">
        <f>(D113-F111)/F111</f>
        <v>3.7955768081291093E-2</v>
      </c>
      <c r="V132" s="12"/>
      <c r="Z132" s="12"/>
      <c r="AW132">
        <f>AW129/AY51</f>
        <v>2.9539951573849879E-2</v>
      </c>
    </row>
    <row r="133" spans="4:49" ht="18">
      <c r="V133" s="12"/>
    </row>
    <row r="134" spans="4:49" ht="18">
      <c r="V134" s="12"/>
    </row>
  </sheetData>
  <autoFilter ref="A1:BL129" xr:uid="{00000000-0009-0000-0000-000000000000}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7"/>
  <sheetViews>
    <sheetView tabSelected="1" topLeftCell="A208" zoomScale="70" zoomScaleNormal="70" workbookViewId="0">
      <selection activeCell="C235" sqref="C235"/>
    </sheetView>
  </sheetViews>
  <sheetFormatPr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9" customFormat="1" ht="25.05" customHeight="1">
      <c r="A22" s="79" t="s">
        <v>299</v>
      </c>
      <c r="B22" s="79">
        <v>26705</v>
      </c>
      <c r="C22" s="79">
        <v>31498</v>
      </c>
      <c r="D22" s="79">
        <v>41397200</v>
      </c>
      <c r="E22" s="79">
        <f>D22/5</f>
        <v>8279440</v>
      </c>
      <c r="F22" s="79">
        <v>4399000</v>
      </c>
      <c r="G22" s="79">
        <f>F22/5</f>
        <v>879800</v>
      </c>
      <c r="H22" s="79">
        <v>27079</v>
      </c>
      <c r="I22" s="79">
        <v>31815</v>
      </c>
      <c r="J22" s="79">
        <v>27648</v>
      </c>
      <c r="K22" s="79">
        <v>32496</v>
      </c>
    </row>
    <row r="23" spans="1:11" s="32" customFormat="1" ht="25.0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5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27742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11"/>
  <sheetViews>
    <sheetView topLeftCell="A694" workbookViewId="0">
      <selection activeCell="B570" sqref="B570"/>
    </sheetView>
  </sheetViews>
  <sheetFormatPr defaultRowHeight="14.4"/>
  <cols>
    <col min="2" max="3" width="19.6640625" customWidth="1"/>
    <col min="4" max="4" width="15.88671875" bestFit="1" customWidth="1"/>
    <col min="5" max="5" width="10" bestFit="1" customWidth="1"/>
    <col min="7" max="7" width="13.44140625" customWidth="1"/>
    <col min="8" max="8" width="15.88671875" bestFit="1" customWidth="1"/>
    <col min="9" max="9" width="10.6640625" bestFit="1" customWidth="1"/>
  </cols>
  <sheetData>
    <row r="1" spans="1:4" ht="20.100000000000001" customHeight="1">
      <c r="A1" s="78" t="s">
        <v>162</v>
      </c>
      <c r="B1" s="78"/>
      <c r="C1" s="78"/>
      <c r="D1" s="78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78" t="s">
        <v>169</v>
      </c>
      <c r="B11" s="78"/>
      <c r="C11" s="78"/>
      <c r="D11" s="78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78" t="s">
        <v>170</v>
      </c>
      <c r="B21" s="78"/>
      <c r="C21" s="78"/>
      <c r="D21" s="78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78" t="s">
        <v>172</v>
      </c>
      <c r="B31" s="78"/>
      <c r="C31" s="78"/>
      <c r="D31" s="78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78" t="s">
        <v>173</v>
      </c>
      <c r="B41" s="78"/>
      <c r="C41" s="78"/>
      <c r="D41" s="78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78" t="s">
        <v>177</v>
      </c>
      <c r="B51" s="78"/>
      <c r="C51" s="78"/>
      <c r="D51" s="78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78" t="s">
        <v>179</v>
      </c>
      <c r="B61" s="78"/>
      <c r="C61" s="78"/>
      <c r="D61" s="78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78" t="s">
        <v>182</v>
      </c>
      <c r="B71" s="78"/>
      <c r="C71" s="78"/>
      <c r="D71" s="78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78" t="s">
        <v>184</v>
      </c>
      <c r="B81" s="78"/>
      <c r="C81" s="78"/>
      <c r="D81" s="78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78" t="s">
        <v>190</v>
      </c>
      <c r="B93" s="78"/>
      <c r="C93" s="78"/>
      <c r="D93" s="78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78" t="s">
        <v>191</v>
      </c>
      <c r="B103" s="78"/>
      <c r="C103" s="78"/>
      <c r="D103" s="78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78" t="s">
        <v>194</v>
      </c>
      <c r="B113" s="78"/>
      <c r="C113" s="78"/>
      <c r="D113" s="78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78" t="s">
        <v>197</v>
      </c>
      <c r="B123" s="78"/>
      <c r="C123" s="78"/>
      <c r="D123" s="78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78" t="s">
        <v>199</v>
      </c>
      <c r="B133" s="78"/>
      <c r="C133" s="78"/>
      <c r="D133" s="78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78" t="s">
        <v>201</v>
      </c>
      <c r="B143" s="78"/>
      <c r="C143" s="78"/>
      <c r="D143" s="78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78" t="s">
        <v>205</v>
      </c>
      <c r="B153" s="78"/>
      <c r="C153" s="78"/>
      <c r="D153" s="78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78" t="s">
        <v>207</v>
      </c>
      <c r="B163" s="78"/>
      <c r="C163" s="78"/>
      <c r="D163" s="78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78" t="s">
        <v>209</v>
      </c>
      <c r="B173" s="78"/>
      <c r="C173" s="78"/>
      <c r="D173" s="78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78" t="s">
        <v>210</v>
      </c>
      <c r="B183" s="78"/>
      <c r="C183" s="78"/>
      <c r="D183" s="78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78" t="s">
        <v>212</v>
      </c>
      <c r="B193" s="78"/>
      <c r="C193" s="78"/>
      <c r="D193" s="78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78" t="s">
        <v>214</v>
      </c>
      <c r="B203" s="78"/>
      <c r="C203" s="78"/>
      <c r="D203" s="78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78" t="s">
        <v>216</v>
      </c>
      <c r="B213" s="78"/>
      <c r="C213" s="78"/>
      <c r="D213" s="78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78" t="s">
        <v>217</v>
      </c>
      <c r="B223" s="78"/>
      <c r="C223" s="78"/>
      <c r="D223" s="78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78" t="s">
        <v>221</v>
      </c>
      <c r="B233" s="78"/>
      <c r="C233" s="78"/>
      <c r="D233" s="78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78" t="s">
        <v>222</v>
      </c>
      <c r="B243" s="78"/>
      <c r="C243" s="78"/>
      <c r="D243" s="78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78" t="s">
        <v>224</v>
      </c>
      <c r="B253" s="78"/>
      <c r="C253" s="78"/>
      <c r="D253" s="78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78" t="s">
        <v>226</v>
      </c>
      <c r="B263" s="78"/>
      <c r="C263" s="78"/>
      <c r="D263" s="78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78" t="s">
        <v>229</v>
      </c>
      <c r="B273" s="78"/>
      <c r="C273" s="78"/>
      <c r="D273" s="78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78" t="s">
        <v>231</v>
      </c>
      <c r="B283" s="78"/>
      <c r="C283" s="78"/>
      <c r="D283" s="78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78" t="s">
        <v>232</v>
      </c>
      <c r="B293" s="78"/>
      <c r="C293" s="78"/>
      <c r="D293" s="78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78" t="s">
        <v>234</v>
      </c>
      <c r="B303" s="78"/>
      <c r="C303" s="78"/>
      <c r="D303" s="78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78" t="s">
        <v>240</v>
      </c>
      <c r="B313" s="78"/>
      <c r="C313" s="78"/>
      <c r="D313" s="78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78" t="s">
        <v>245</v>
      </c>
      <c r="B324" s="78"/>
      <c r="C324" s="78"/>
      <c r="D324" s="78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78" t="s">
        <v>246</v>
      </c>
      <c r="B335" s="78"/>
      <c r="C335" s="78"/>
      <c r="D335" s="78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78" t="s">
        <v>247</v>
      </c>
      <c r="B346" s="78"/>
      <c r="C346" s="78"/>
      <c r="D346" s="78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78" t="s">
        <v>249</v>
      </c>
      <c r="B357" s="78"/>
      <c r="C357" s="78"/>
      <c r="D357" s="78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78" t="s">
        <v>250</v>
      </c>
      <c r="B368" s="78"/>
      <c r="C368" s="78"/>
      <c r="D368" s="78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78" t="s">
        <v>251</v>
      </c>
      <c r="B379" s="78"/>
      <c r="C379" s="78"/>
      <c r="D379" s="78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78" t="s">
        <v>252</v>
      </c>
      <c r="B390" s="78"/>
      <c r="C390" s="78"/>
      <c r="D390" s="78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78" t="s">
        <v>253</v>
      </c>
      <c r="B401" s="78"/>
      <c r="C401" s="78"/>
      <c r="D401" s="78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78" t="s">
        <v>254</v>
      </c>
      <c r="B412" s="78"/>
      <c r="C412" s="78"/>
      <c r="D412" s="78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78" t="s">
        <v>255</v>
      </c>
      <c r="B423" s="78"/>
      <c r="C423" s="78"/>
      <c r="D423" s="78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78" t="s">
        <v>260</v>
      </c>
      <c r="B434" s="78"/>
      <c r="C434" s="78"/>
      <c r="D434" s="78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78" t="s">
        <v>261</v>
      </c>
      <c r="B445" s="78"/>
      <c r="C445" s="78"/>
      <c r="D445" s="78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78" t="s">
        <v>262</v>
      </c>
      <c r="B456" s="78"/>
      <c r="C456" s="78"/>
      <c r="D456" s="78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78" t="s">
        <v>263</v>
      </c>
      <c r="B467" s="78"/>
      <c r="C467" s="78"/>
      <c r="D467" s="78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78" t="s">
        <v>277</v>
      </c>
      <c r="B478" s="78"/>
      <c r="C478" s="78"/>
      <c r="D478" s="78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78" t="s">
        <v>278</v>
      </c>
      <c r="B489" s="78"/>
      <c r="C489" s="78"/>
      <c r="D489" s="78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78" t="s">
        <v>282</v>
      </c>
      <c r="B500" s="78"/>
      <c r="C500" s="78"/>
      <c r="D500" s="78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78" t="s">
        <v>287</v>
      </c>
      <c r="B511" s="78"/>
      <c r="C511" s="78"/>
      <c r="D511" s="78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78" t="s">
        <v>288</v>
      </c>
      <c r="B522" s="78"/>
      <c r="C522" s="78"/>
      <c r="D522" s="78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78" t="s">
        <v>290</v>
      </c>
      <c r="B533" s="78"/>
      <c r="C533" s="78"/>
      <c r="D533" s="78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78" t="s">
        <v>291</v>
      </c>
      <c r="B544" s="78"/>
      <c r="C544" s="78"/>
      <c r="D544" s="78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78" t="s">
        <v>294</v>
      </c>
      <c r="B555" s="78"/>
      <c r="C555" s="78"/>
      <c r="D555" s="78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78" t="s">
        <v>294</v>
      </c>
      <c r="B567" s="78"/>
      <c r="C567" s="78"/>
      <c r="D567" s="78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78" t="s">
        <v>301</v>
      </c>
      <c r="B579" s="78"/>
      <c r="C579" s="78"/>
      <c r="D579" s="78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78" t="s">
        <v>302</v>
      </c>
      <c r="B590" s="78"/>
      <c r="C590" s="78"/>
      <c r="D590" s="78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78" t="s">
        <v>305</v>
      </c>
      <c r="B601" s="78"/>
      <c r="C601" s="78"/>
      <c r="D601" s="78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78" t="s">
        <v>306</v>
      </c>
      <c r="B612" s="78"/>
      <c r="C612" s="78"/>
      <c r="D612" s="78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78" t="s">
        <v>309</v>
      </c>
      <c r="B623" s="78"/>
      <c r="C623" s="78"/>
      <c r="D623" s="78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78" t="s">
        <v>310</v>
      </c>
      <c r="B635" s="78"/>
      <c r="C635" s="78"/>
      <c r="D635" s="78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78" t="s">
        <v>314</v>
      </c>
      <c r="B647" s="78"/>
      <c r="C647" s="78"/>
      <c r="D647" s="78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78" t="s">
        <v>316</v>
      </c>
      <c r="B658" s="78"/>
      <c r="C658" s="78"/>
      <c r="D658" s="78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78" t="s">
        <v>318</v>
      </c>
      <c r="B670" s="78"/>
      <c r="C670" s="78"/>
      <c r="D670" s="78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78" t="s">
        <v>319</v>
      </c>
      <c r="B681" s="78"/>
      <c r="C681" s="78"/>
      <c r="D681" s="78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78" t="s">
        <v>322</v>
      </c>
      <c r="B692" s="78"/>
      <c r="C692" s="78"/>
      <c r="D692" s="78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78" t="s">
        <v>323</v>
      </c>
      <c r="B703" s="78"/>
      <c r="C703" s="78"/>
      <c r="D703" s="78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/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</sheetData>
  <mergeCells count="67">
    <mergeCell ref="A703:D703"/>
    <mergeCell ref="A692:D692"/>
    <mergeCell ref="A658:D658"/>
    <mergeCell ref="A647:D647"/>
    <mergeCell ref="A635:D635"/>
    <mergeCell ref="A623:D623"/>
    <mergeCell ref="A681:D681"/>
    <mergeCell ref="A670:D670"/>
    <mergeCell ref="A612:D612"/>
    <mergeCell ref="A555:D555"/>
    <mergeCell ref="A601:D601"/>
    <mergeCell ref="A590:D590"/>
    <mergeCell ref="A579:D579"/>
    <mergeCell ref="A567:D567"/>
    <mergeCell ref="A544:D544"/>
    <mergeCell ref="A511:D511"/>
    <mergeCell ref="A467:D467"/>
    <mergeCell ref="A500:D500"/>
    <mergeCell ref="A489:D489"/>
    <mergeCell ref="A478:D478"/>
    <mergeCell ref="A522:D522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65"/>
  <sheetViews>
    <sheetView topLeftCell="E1" workbookViewId="0">
      <selection activeCell="M66" sqref="M66"/>
    </sheetView>
  </sheetViews>
  <sheetFormatPr defaultRowHeight="14.4"/>
  <cols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5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5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  <c r="J65">
        <v>1.51</v>
      </c>
      <c r="K65">
        <v>0.49</v>
      </c>
      <c r="L65">
        <v>0.1</v>
      </c>
      <c r="M65">
        <v>0.19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2021-04-05T10:39:57Z</dcterms:created>
  <dcterms:modified xsi:type="dcterms:W3CDTF">2021-09-09T13:39:49Z</dcterms:modified>
</cp:coreProperties>
</file>