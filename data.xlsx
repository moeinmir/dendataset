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E4C1CBBD-8F61-41E6-A3D5-4C79E7B4AF2D}" xr6:coauthVersionLast="46" xr6:coauthVersionMax="46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data set" sheetId="1" r:id="rId1"/>
    <sheet name="weekly" sheetId="2" r:id="rId2"/>
    <sheet name="tables" sheetId="3" r:id="rId3"/>
    <sheet name="price change" sheetId="4" r:id="rId4"/>
  </sheets>
  <definedNames>
    <definedName name="_xlnm._FilterDatabase" localSheetId="0" hidden="1">'data set'!$A$1:$BL$135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5" i="2" l="1"/>
  <c r="E25" i="2"/>
  <c r="G131" i="1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8" i="2"/>
  <c r="G37" i="2"/>
  <c r="G36" i="2"/>
  <c r="G35" i="2"/>
  <c r="G34" i="2"/>
  <c r="G33" i="2"/>
  <c r="G32" i="2"/>
  <c r="G31" i="2"/>
  <c r="G30" i="2"/>
  <c r="D26" i="2"/>
  <c r="C26" i="2"/>
  <c r="B26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0" i="2" s="1"/>
  <c r="G16" i="2"/>
  <c r="E16" i="2"/>
  <c r="C3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D138" i="1"/>
  <c r="AW135" i="1"/>
  <c r="AW138" i="1" s="1"/>
  <c r="AU135" i="1"/>
  <c r="BB134" i="1"/>
  <c r="AY133" i="1"/>
  <c r="BJ131" i="1"/>
  <c r="BI131" i="1"/>
  <c r="K131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M131" i="1" s="1"/>
  <c r="L2" i="1"/>
  <c r="L131" i="1" s="1"/>
  <c r="S1" i="1" l="1"/>
  <c r="U1" i="1"/>
</calcChain>
</file>

<file path=xl/sharedStrings.xml><?xml version="1.0" encoding="utf-8"?>
<sst xmlns="http://schemas.openxmlformats.org/spreadsheetml/2006/main" count="1029" uniqueCount="344">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</sst>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1" fillId="9" borderId="0" xfId="0" applyFont="1" applyFill="1"/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0" fillId="6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449478230183699E-2"/>
          <c:y val="0.100724409448819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946937"/>
        <c:axId val="42951048"/>
      </c:lineChart>
      <c:catAx>
        <c:axId val="899469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2951048"/>
        <c:crosses val="autoZero"/>
        <c:auto val="1"/>
        <c:lblAlgn val="ctr"/>
        <c:lblOffset val="100"/>
        <c:noMultiLvlLbl val="0"/>
      </c:catAx>
      <c:valAx>
        <c:axId val="429510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89946937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22 هفته گذشته (تومان)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weekly!$B$4:$B$25</c:f>
              <c:numCache>
                <c:formatCode>General</c:formatCode>
                <c:ptCount val="22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weekly!$H$4:$H$25</c:f>
              <c:numCache>
                <c:formatCode>General</c:formatCode>
                <c:ptCount val="22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B84-4A78-BC09-62ED790AB6E6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B84-4A78-BC09-62ED790AB6E6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8B84-4A78-BC09-62ED790AB6E6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8B84-4A78-BC09-62ED790AB6E6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8B84-4A78-BC09-62ED790AB6E6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8B84-4A78-BC09-62ED790AB6E6}"/>
                </c:ext>
              </c:extLst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8B84-4A78-BC09-62ED790AB6E6}"/>
                </c:ext>
              </c:extLst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A-8B84-4A78-BC09-62ED790AB6E6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8B84-4A78-BC09-62ED790AB6E6}"/>
                </c:ext>
              </c:extLst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8B84-4A78-BC09-62ED790AB6E6}"/>
                </c:ext>
              </c:extLst>
            </c:dLbl>
            <c:dLbl>
              <c:idx val="10"/>
              <c:layout>
                <c:manualLayout>
                  <c:x val="-5.2139621201957034E-4"/>
                  <c:y val="-6.3777449189545335E-17"/>
                </c:manualLayout>
              </c:layout>
              <c:spPr>
                <a:solidFill>
                  <a:srgbClr val="FFFFFF"/>
                </a:solidFill>
                <a:ln>
                  <a:noFill/>
                </a:ln>
                <a:effectLst>
                  <a:softEdge rad="0"/>
                </a:effectLst>
              </c:spPr>
              <c:txPr>
                <a:bodyPr vertOverflow="overflow" horzOverflow="overflow" lIns="0" tIns="0" rIns="0" bIns="0">
                  <a:noAutofit/>
                </a:bodyPr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effectLst>
                        <a:glow>
                          <a:schemeClr val="accent1">
                            <a:alpha val="40000"/>
                          </a:schemeClr>
                        </a:glow>
                      </a:effectLst>
                      <a:latin typeface="Calibr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8B84-4A78-BC09-62ED790AB6E6}"/>
                </c:ext>
              </c:extLst>
            </c:dLbl>
            <c:dLbl>
              <c:idx val="11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8B84-4A78-BC09-62ED790AB6E6}"/>
                </c:ext>
              </c:extLst>
            </c:dLbl>
            <c:dLbl>
              <c:idx val="12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E-8B84-4A78-BC09-62ED790AB6E6}"/>
                </c:ext>
              </c:extLst>
            </c:dLbl>
            <c:dLbl>
              <c:idx val="13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8B84-4A78-BC09-62ED790AB6E6}"/>
                </c:ext>
              </c:extLst>
            </c:dLbl>
            <c:dLbl>
              <c:idx val="14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0-8B84-4A78-BC09-62ED790AB6E6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1-8B84-4A78-BC09-62ED790AB6E6}"/>
                </c:ext>
              </c:extLst>
            </c:dLbl>
            <c:dLbl>
              <c:idx val="16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8B84-4A78-BC09-62ED790AB6E6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3-8B84-4A78-BC09-62ED790AB6E6}"/>
                </c:ext>
              </c:extLst>
            </c:dLbl>
            <c:dLbl>
              <c:idx val="18"/>
              <c:spPr>
                <a:solidFill>
                  <a:srgbClr val="FFFFFF"/>
                </a:solidFill>
                <a:ln>
                  <a:noFill/>
                </a:ln>
                <a:effectLst>
                  <a:softEdge rad="0"/>
                </a:effectLst>
              </c:spPr>
              <c:txPr>
                <a:bodyPr vertOverflow="overflow" horzOverflow="overflow" lIns="0" tIns="0" rIns="0" bIns="0">
                  <a:noAutofit/>
                </a:bodyPr>
                <a:lstStyle/>
                <a:p>
                  <a:pPr>
                    <a:defRPr sz="900" b="0" strike="noStrike" spc="-1">
                      <a:solidFill>
                        <a:srgbClr val="404040"/>
                      </a:solidFill>
                      <a:effectLst>
                        <a:glow>
                          <a:schemeClr val="accent1">
                            <a:alpha val="40000"/>
                          </a:schemeClr>
                        </a:glow>
                      </a:effectLst>
                      <a:latin typeface="Calibr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8B84-4A78-BC09-62ED790AB6E6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8B84-4A78-BC09-62ED790AB6E6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5-8B84-4A78-BC09-62ED790AB6E6}"/>
                </c:ext>
              </c:extLst>
            </c:dLbl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>
                  <c15:layout>
                    <c:manualLayout>
                      <c:w val="1.4990141095562647E-2"/>
                      <c:h val="2.4325648404328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6-8B84-4A78-BC09-62ED790AB6E6}"/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weekly!$J$4:$J$25</c:f>
              <c:numCache>
                <c:formatCode>General</c:formatCode>
                <c:ptCount val="22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54815"/>
        <c:axId val="17480313"/>
      </c:lineChart>
      <c:catAx>
        <c:axId val="31854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17480313"/>
        <c:crosses val="autoZero"/>
        <c:auto val="1"/>
        <c:lblAlgn val="ctr"/>
        <c:lblOffset val="100"/>
        <c:noMultiLvlLbl val="0"/>
      </c:catAx>
      <c:valAx>
        <c:axId val="17480313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1854815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یورو متشکل، سنا و آزاد در </a:t>
            </a:r>
            <a:r>
              <a:rPr lang="en-US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22</a:t>
            </a: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 هفته گذشته(تومان)</a:t>
            </a:r>
          </a:p>
        </c:rich>
      </c:tx>
      <c:layout>
        <c:manualLayout>
          <c:xMode val="edge"/>
          <c:yMode val="edge"/>
          <c:x val="0.36083736827114798"/>
          <c:y val="3.0269307812152198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07035032754201E-2"/>
          <c:y val="8.3982491282736105E-2"/>
          <c:w val="0.96032469381942498"/>
          <c:h val="0.74374953631575003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weekly!$C$4:$C$25</c:f>
              <c:numCache>
                <c:formatCode>General</c:formatCode>
                <c:ptCount val="22"/>
                <c:pt idx="0">
                  <c:v>28178</c:v>
                </c:pt>
                <c:pt idx="1">
                  <c:v>27947</c:v>
                </c:pt>
                <c:pt idx="2">
                  <c:v>27709</c:v>
                </c:pt>
                <c:pt idx="3">
                  <c:v>26056</c:v>
                </c:pt>
                <c:pt idx="4">
                  <c:v>25663</c:v>
                </c:pt>
                <c:pt idx="5">
                  <c:v>26443</c:v>
                </c:pt>
                <c:pt idx="6">
                  <c:v>27160</c:v>
                </c:pt>
                <c:pt idx="7">
                  <c:v>28146</c:v>
                </c:pt>
                <c:pt idx="8">
                  <c:v>28503</c:v>
                </c:pt>
                <c:pt idx="9">
                  <c:v>28179</c:v>
                </c:pt>
                <c:pt idx="10">
                  <c:v>28643</c:v>
                </c:pt>
                <c:pt idx="11">
                  <c:v>29419</c:v>
                </c:pt>
                <c:pt idx="12">
                  <c:v>29064</c:v>
                </c:pt>
                <c:pt idx="13">
                  <c:v>28534</c:v>
                </c:pt>
                <c:pt idx="14">
                  <c:v>28463</c:v>
                </c:pt>
                <c:pt idx="15">
                  <c:v>29286</c:v>
                </c:pt>
                <c:pt idx="16">
                  <c:v>29542</c:v>
                </c:pt>
                <c:pt idx="17">
                  <c:v>30113</c:v>
                </c:pt>
                <c:pt idx="18">
                  <c:v>31498</c:v>
                </c:pt>
                <c:pt idx="19">
                  <c:v>31196</c:v>
                </c:pt>
                <c:pt idx="20">
                  <c:v>31125</c:v>
                </c:pt>
                <c:pt idx="21">
                  <c:v>31241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0E-43DD-A876-E3498ED2CF88}"/>
            </c:ext>
          </c:extLst>
        </c:ser>
        <c:ser>
          <c:idx val="1"/>
          <c:order val="1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marker>
            <c:symbol val="none"/>
          </c:marker>
          <c:dLbls>
            <c:spPr>
              <a:blipFill>
                <a:blip xmlns:r="http://schemas.openxmlformats.org/officeDocument/2006/relationships" r:embed="rId1"/>
                <a:tile tx="0" ty="0" sx="100000" sy="100000" flip="none" algn="tl"/>
              </a:blip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weekly!$I$4:$I$25</c:f>
              <c:numCache>
                <c:formatCode>General</c:formatCode>
                <c:ptCount val="22"/>
                <c:pt idx="0">
                  <c:v>28425</c:v>
                </c:pt>
                <c:pt idx="1">
                  <c:v>28173</c:v>
                </c:pt>
                <c:pt idx="2">
                  <c:v>27942</c:v>
                </c:pt>
                <c:pt idx="3">
                  <c:v>26241</c:v>
                </c:pt>
                <c:pt idx="4">
                  <c:v>25653</c:v>
                </c:pt>
                <c:pt idx="5">
                  <c:v>26751</c:v>
                </c:pt>
                <c:pt idx="6">
                  <c:v>27401</c:v>
                </c:pt>
                <c:pt idx="7">
                  <c:v>28409</c:v>
                </c:pt>
                <c:pt idx="8">
                  <c:v>28777</c:v>
                </c:pt>
                <c:pt idx="9">
                  <c:v>28505</c:v>
                </c:pt>
                <c:pt idx="10">
                  <c:v>29122</c:v>
                </c:pt>
                <c:pt idx="11">
                  <c:v>29654</c:v>
                </c:pt>
                <c:pt idx="12">
                  <c:v>29336</c:v>
                </c:pt>
                <c:pt idx="13">
                  <c:v>28822</c:v>
                </c:pt>
                <c:pt idx="14">
                  <c:v>28734</c:v>
                </c:pt>
                <c:pt idx="15">
                  <c:v>29694</c:v>
                </c:pt>
                <c:pt idx="16">
                  <c:v>29973</c:v>
                </c:pt>
                <c:pt idx="17">
                  <c:v>30500</c:v>
                </c:pt>
                <c:pt idx="18">
                  <c:v>31815</c:v>
                </c:pt>
                <c:pt idx="19">
                  <c:v>31388</c:v>
                </c:pt>
                <c:pt idx="20">
                  <c:v>31482</c:v>
                </c:pt>
                <c:pt idx="21">
                  <c:v>31595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0E-43DD-A876-E3498ED2CF88}"/>
            </c:ext>
          </c:extLst>
        </c:ser>
        <c:ser>
          <c:idx val="2"/>
          <c:order val="2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weekly!$A$4:$A$25</c:f>
              <c:strCache>
                <c:ptCount val="22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</c:strCache>
            </c:strRef>
          </c:cat>
          <c:val>
            <c:numRef>
              <c:f>weekly!$K$4:$K$25</c:f>
              <c:numCache>
                <c:formatCode>General</c:formatCode>
                <c:ptCount val="22"/>
                <c:pt idx="0">
                  <c:v>29729</c:v>
                </c:pt>
                <c:pt idx="1">
                  <c:v>29185</c:v>
                </c:pt>
                <c:pt idx="2">
                  <c:v>28702</c:v>
                </c:pt>
                <c:pt idx="3">
                  <c:v>26548</c:v>
                </c:pt>
                <c:pt idx="4">
                  <c:v>26757</c:v>
                </c:pt>
                <c:pt idx="5">
                  <c:v>27886</c:v>
                </c:pt>
                <c:pt idx="6">
                  <c:v>28162</c:v>
                </c:pt>
                <c:pt idx="7">
                  <c:v>29322</c:v>
                </c:pt>
                <c:pt idx="8">
                  <c:v>29211</c:v>
                </c:pt>
                <c:pt idx="9">
                  <c:v>29004</c:v>
                </c:pt>
                <c:pt idx="10">
                  <c:v>29561</c:v>
                </c:pt>
                <c:pt idx="11">
                  <c:v>29729</c:v>
                </c:pt>
                <c:pt idx="12">
                  <c:v>29367</c:v>
                </c:pt>
                <c:pt idx="13">
                  <c:v>28996</c:v>
                </c:pt>
                <c:pt idx="14">
                  <c:v>29540</c:v>
                </c:pt>
                <c:pt idx="15">
                  <c:v>30411</c:v>
                </c:pt>
                <c:pt idx="16">
                  <c:v>30417</c:v>
                </c:pt>
                <c:pt idx="17">
                  <c:v>31126</c:v>
                </c:pt>
                <c:pt idx="18">
                  <c:v>32496</c:v>
                </c:pt>
                <c:pt idx="19">
                  <c:v>32582</c:v>
                </c:pt>
                <c:pt idx="20">
                  <c:v>32374</c:v>
                </c:pt>
                <c:pt idx="21">
                  <c:v>32329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0E-43DD-A876-E3498ED2C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31654"/>
        <c:axId val="12682731"/>
      </c:lineChart>
      <c:catAx>
        <c:axId val="285316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682731"/>
        <c:crosses val="autoZero"/>
        <c:auto val="1"/>
        <c:lblAlgn val="ctr"/>
        <c:lblOffset val="100"/>
        <c:noMultiLvlLbl val="0"/>
      </c:catAx>
      <c:valAx>
        <c:axId val="12682731"/>
        <c:scaling>
          <c:orientation val="minMax"/>
          <c:max val="34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531654"/>
        <c:crosses val="autoZero"/>
        <c:crossBetween val="between"/>
        <c:majorUnit val="2000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پنجم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3893246870969E-2"/>
          <c:y val="0.12340472755520999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weekly!$D$2:$D$25</c:f>
              <c:numCache>
                <c:formatCode>General</c:formatCode>
                <c:ptCount val="24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27362"/>
        <c:axId val="1030355"/>
      </c:lineChart>
      <c:catAx>
        <c:axId val="477273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030355"/>
        <c:crosses val="autoZero"/>
        <c:auto val="1"/>
        <c:lblAlgn val="ctr"/>
        <c:lblOffset val="100"/>
        <c:noMultiLvlLbl val="0"/>
      </c:catAx>
      <c:valAx>
        <c:axId val="103035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772736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835686"/>
        <c:axId val="91901593"/>
      </c:lineChart>
      <c:catAx>
        <c:axId val="348356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1901593"/>
        <c:crosses val="autoZero"/>
        <c:auto val="1"/>
        <c:lblAlgn val="ctr"/>
        <c:lblOffset val="100"/>
        <c:noMultiLvlLbl val="0"/>
      </c:catAx>
      <c:valAx>
        <c:axId val="919015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483568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پنجم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01E-4112-8990-9EBADE87EF32}"/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weekly!$F$2:$F$25</c:f>
              <c:numCache>
                <c:formatCode>General</c:formatCode>
                <c:ptCount val="24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183919"/>
        <c:axId val="28614223"/>
      </c:lineChart>
      <c:catAx>
        <c:axId val="97183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8614223"/>
        <c:crosses val="autoZero"/>
        <c:auto val="1"/>
        <c:lblAlgn val="ctr"/>
        <c:lblOffset val="100"/>
        <c:noMultiLvlLbl val="0"/>
      </c:catAx>
      <c:valAx>
        <c:axId val="2861422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97183919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بازدهی بازارها( چهارشنبه 24 شهریور 1400)</a:t>
            </a:r>
          </a:p>
        </c:rich>
      </c:tx>
      <c:layout>
        <c:manualLayout>
          <c:xMode val="edge"/>
          <c:yMode val="edge"/>
          <c:x val="5.7149046793760802E-2"/>
          <c:y val="3.17877891044612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B7B7B7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change'!$F$70:$I$70</c:f>
              <c:numCache>
                <c:formatCode>General</c:formatCode>
                <c:ptCount val="4"/>
                <c:pt idx="0">
                  <c:v>-0.18268176835951772</c:v>
                </c:pt>
                <c:pt idx="1">
                  <c:v>-0.7544006705783739</c:v>
                </c:pt>
                <c:pt idx="2">
                  <c:v>-0.25834254448037081</c:v>
                </c:pt>
                <c:pt idx="3">
                  <c:v>-0.57999999999999996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A9-4211-A36A-E11E8026C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752341"/>
        <c:axId val="58387027"/>
      </c:barChart>
      <c:catAx>
        <c:axId val="507523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8387027"/>
        <c:crosses val="autoZero"/>
        <c:auto val="1"/>
        <c:lblAlgn val="ctr"/>
        <c:lblOffset val="100"/>
        <c:noMultiLvlLbl val="0"/>
      </c:catAx>
      <c:valAx>
        <c:axId val="5838702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5075234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283</xdr:row>
      <xdr:rowOff>102840</xdr:rowOff>
    </xdr:from>
    <xdr:to>
      <xdr:col>10</xdr:col>
      <xdr:colOff>770880</xdr:colOff>
      <xdr:row>313</xdr:row>
      <xdr:rowOff>102480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387927</xdr:colOff>
      <xdr:row>29</xdr:row>
      <xdr:rowOff>138544</xdr:rowOff>
    </xdr:from>
    <xdr:to>
      <xdr:col>24</xdr:col>
      <xdr:colOff>193963</xdr:colOff>
      <xdr:row>69</xdr:row>
      <xdr:rowOff>124691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374073</xdr:colOff>
      <xdr:row>71</xdr:row>
      <xdr:rowOff>113998</xdr:rowOff>
    </xdr:from>
    <xdr:to>
      <xdr:col>24</xdr:col>
      <xdr:colOff>166254</xdr:colOff>
      <xdr:row>110</xdr:row>
      <xdr:rowOff>124690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654</xdr:colOff>
      <xdr:row>112</xdr:row>
      <xdr:rowOff>1996</xdr:rowOff>
    </xdr:from>
    <xdr:to>
      <xdr:col>15</xdr:col>
      <xdr:colOff>512617</xdr:colOff>
      <xdr:row>146</xdr:row>
      <xdr:rowOff>12436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455062</xdr:colOff>
      <xdr:row>245</xdr:row>
      <xdr:rowOff>76200</xdr:rowOff>
    </xdr:from>
    <xdr:to>
      <xdr:col>11</xdr:col>
      <xdr:colOff>381000</xdr:colOff>
      <xdr:row>275</xdr:row>
      <xdr:rowOff>15872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13855</xdr:colOff>
      <xdr:row>150</xdr:row>
      <xdr:rowOff>38214</xdr:rowOff>
    </xdr:from>
    <xdr:to>
      <xdr:col>15</xdr:col>
      <xdr:colOff>512618</xdr:colOff>
      <xdr:row>180</xdr:row>
      <xdr:rowOff>55418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590400</xdr:colOff>
      <xdr:row>2</xdr:row>
      <xdr:rowOff>57240</xdr:rowOff>
    </xdr:from>
    <xdr:to>
      <xdr:col>7</xdr:col>
      <xdr:colOff>1085400</xdr:colOff>
      <xdr:row>19</xdr:row>
      <xdr:rowOff>102600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40"/>
  <sheetViews>
    <sheetView topLeftCell="F118" zoomScaleNormal="100" workbookViewId="0">
      <selection activeCell="G124" sqref="G124"/>
    </sheetView>
  </sheetViews>
  <sheetFormatPr defaultColWidth="8.5546875" defaultRowHeight="14.4"/>
  <cols>
    <col min="1" max="1" width="14.6640625" style="1" hidden="1" customWidth="1"/>
    <col min="2" max="2" width="12.109375" customWidth="1"/>
    <col min="3" max="3" width="9.109375" customWidth="1"/>
    <col min="4" max="4" width="18.6640625" customWidth="1"/>
    <col min="5" max="5" width="17.88671875" customWidth="1"/>
    <col min="6" max="6" width="28" customWidth="1"/>
    <col min="7" max="8" width="19.21875" customWidth="1"/>
    <col min="9" max="10" width="17.6640625" customWidth="1"/>
    <col min="11" max="11" width="22.6640625" customWidth="1"/>
    <col min="12" max="12" width="24.44140625" customWidth="1"/>
    <col min="13" max="13" width="29.6640625" customWidth="1"/>
    <col min="14" max="17" width="26.5546875" customWidth="1"/>
    <col min="18" max="19" width="22.5546875" customWidth="1"/>
    <col min="20" max="20" width="24.6640625" customWidth="1"/>
    <col min="21" max="21" width="14.6640625" customWidth="1"/>
    <col min="22" max="22" width="25.44140625" customWidth="1"/>
    <col min="23" max="23" width="26.44140625" customWidth="1"/>
    <col min="24" max="24" width="15.88671875" customWidth="1"/>
    <col min="25" max="27" width="23" customWidth="1"/>
    <col min="28" max="28" width="20" customWidth="1"/>
    <col min="29" max="44" width="9.109375" customWidth="1"/>
    <col min="45" max="45" width="12.6640625" customWidth="1"/>
    <col min="46" max="56" width="9.109375" customWidth="1"/>
    <col min="57" max="57" width="13.44140625" customWidth="1"/>
    <col min="58" max="58" width="14.6640625" customWidth="1"/>
    <col min="59" max="59" width="17.88671875" customWidth="1"/>
    <col min="60" max="60" width="18.21875" customWidth="1"/>
    <col min="61" max="61" width="9.109375" customWidth="1"/>
    <col min="62" max="63" width="8.88671875" customWidth="1"/>
    <col min="64" max="64" width="9.10937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L131/G131</f>
        <v>3121030.231282298</v>
      </c>
      <c r="T1" s="4" t="s">
        <v>15</v>
      </c>
      <c r="U1" s="4">
        <f>M131/K131</f>
        <v>29187.606666210064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K131/K62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0" si="19">F98*G98</f>
        <v>92308365600</v>
      </c>
      <c r="M98" s="13">
        <f t="shared" ref="M98:M130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4" customFormat="1" ht="21" customHeight="1">
      <c r="A129" s="81"/>
      <c r="B129" s="82" t="s">
        <v>193</v>
      </c>
      <c r="C129" s="82">
        <v>24</v>
      </c>
      <c r="D129" s="83">
        <v>26423</v>
      </c>
      <c r="E129" s="82">
        <v>26372</v>
      </c>
      <c r="F129" s="82">
        <v>26372</v>
      </c>
      <c r="G129" s="82">
        <v>9040900</v>
      </c>
      <c r="H129" s="82">
        <v>31425</v>
      </c>
      <c r="I129" s="82">
        <v>31224</v>
      </c>
      <c r="J129" s="82">
        <v>31330</v>
      </c>
      <c r="K129" s="82">
        <v>722300</v>
      </c>
      <c r="L129" s="82">
        <f t="shared" si="19"/>
        <v>238426614800</v>
      </c>
      <c r="M129" s="82">
        <f t="shared" si="20"/>
        <v>22629659000</v>
      </c>
      <c r="N129" s="84">
        <v>26636</v>
      </c>
      <c r="O129" s="84">
        <v>31537</v>
      </c>
      <c r="P129" s="84">
        <v>26687</v>
      </c>
      <c r="Q129" s="84">
        <v>31739</v>
      </c>
      <c r="R129" s="82"/>
      <c r="S129" s="82"/>
      <c r="T129" s="82"/>
      <c r="U129" s="82"/>
      <c r="V129" s="84">
        <v>27250</v>
      </c>
      <c r="X129" s="84">
        <v>27320</v>
      </c>
      <c r="Y129" s="84">
        <v>32233</v>
      </c>
      <c r="Z129" s="82"/>
      <c r="AA129" s="82"/>
      <c r="AB129" s="82"/>
      <c r="AC129" s="82"/>
      <c r="AD129" s="82"/>
      <c r="AE129" s="82"/>
      <c r="AF129" s="82"/>
      <c r="AG129" s="82"/>
      <c r="AH129" s="82"/>
      <c r="AI129" s="82"/>
      <c r="AJ129" s="82"/>
      <c r="AK129" s="82"/>
      <c r="AL129" s="82"/>
      <c r="AM129" s="82"/>
      <c r="AN129" s="82"/>
      <c r="AO129" s="82"/>
      <c r="AP129" s="82"/>
      <c r="AQ129" s="82"/>
      <c r="AR129" s="82"/>
      <c r="AS129" s="83"/>
      <c r="AT129" s="83"/>
      <c r="AU129" s="83"/>
      <c r="AV129" s="83"/>
      <c r="AW129" s="83"/>
      <c r="AX129" s="83"/>
      <c r="AY129" s="82"/>
      <c r="AZ129" s="82"/>
      <c r="BA129" s="82"/>
      <c r="BB129" s="82"/>
      <c r="BC129" s="82"/>
      <c r="BE129" s="85"/>
      <c r="BF129" s="85"/>
      <c r="BG129" s="85"/>
      <c r="BH129" s="85"/>
    </row>
    <row r="130" spans="1:62" s="68" customFormat="1" ht="21" customHeight="1">
      <c r="A130" s="65"/>
      <c r="B130" s="66" t="s">
        <v>340</v>
      </c>
      <c r="C130" s="66">
        <v>25</v>
      </c>
      <c r="D130" s="67">
        <v>26329</v>
      </c>
      <c r="E130" s="66">
        <v>26483</v>
      </c>
      <c r="F130" s="66">
        <v>26393</v>
      </c>
      <c r="G130" s="66">
        <v>5107400</v>
      </c>
      <c r="H130" s="66">
        <v>31400</v>
      </c>
      <c r="I130" s="66">
        <v>31085</v>
      </c>
      <c r="J130" s="66">
        <v>31114</v>
      </c>
      <c r="K130" s="66">
        <v>629100</v>
      </c>
      <c r="L130" s="66">
        <f t="shared" si="19"/>
        <v>134799608200</v>
      </c>
      <c r="M130" s="66">
        <f t="shared" si="20"/>
        <v>19573817400</v>
      </c>
      <c r="N130" s="68">
        <v>26748</v>
      </c>
      <c r="O130" s="68">
        <v>31396</v>
      </c>
      <c r="P130" s="68">
        <v>26592</v>
      </c>
      <c r="Q130" s="68">
        <v>31714</v>
      </c>
      <c r="R130" s="66"/>
      <c r="S130" s="66"/>
      <c r="T130" s="66"/>
      <c r="U130" s="66"/>
      <c r="V130" s="68">
        <v>27200</v>
      </c>
      <c r="X130" s="68">
        <v>27220</v>
      </c>
      <c r="Y130" s="68">
        <v>32187</v>
      </c>
      <c r="Z130" s="66"/>
      <c r="AA130" s="66"/>
      <c r="AB130" s="66"/>
      <c r="AC130" s="66"/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7"/>
      <c r="AT130" s="67"/>
      <c r="AU130" s="67"/>
      <c r="AV130" s="67"/>
      <c r="AW130" s="67"/>
      <c r="AX130" s="67"/>
      <c r="AY130" s="66"/>
      <c r="AZ130" s="66"/>
      <c r="BA130" s="66"/>
      <c r="BB130" s="66"/>
      <c r="BC130" s="66"/>
      <c r="BE130" s="69"/>
      <c r="BF130" s="69"/>
      <c r="BG130" s="69"/>
      <c r="BH130" s="69"/>
    </row>
    <row r="131" spans="1:62" ht="18">
      <c r="A131" s="8"/>
      <c r="B131" s="9"/>
      <c r="C131" s="9"/>
      <c r="D131" s="27"/>
      <c r="E131" s="9"/>
      <c r="F131" s="9"/>
      <c r="G131" s="9">
        <f>SUM(G2:G130)/129</f>
        <v>5945148.829457364</v>
      </c>
      <c r="H131" s="9"/>
      <c r="I131" s="9"/>
      <c r="J131" s="9"/>
      <c r="K131" s="9">
        <f>SUM(K2:K126)</f>
        <v>125564600</v>
      </c>
      <c r="L131" s="9">
        <f>SUM(L2:L130)</f>
        <v>18554989226209</v>
      </c>
      <c r="M131" s="10">
        <f>SUM(M2:M130)</f>
        <v>3664930156000</v>
      </c>
      <c r="N131" s="10"/>
      <c r="O131" s="10"/>
      <c r="P131" s="10"/>
      <c r="Q131" s="10"/>
      <c r="R131" s="10"/>
      <c r="S131" s="10"/>
      <c r="T131" s="10"/>
      <c r="U131" s="10"/>
      <c r="V131" s="60">
        <v>27220</v>
      </c>
      <c r="W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Y131" s="10"/>
      <c r="AZ131" s="10"/>
      <c r="BA131" s="10"/>
      <c r="BB131" s="10"/>
      <c r="BC131" s="10"/>
      <c r="BD131" s="10"/>
      <c r="BE131" s="11"/>
      <c r="BF131" s="11"/>
      <c r="BG131" s="11"/>
      <c r="BH131" s="11"/>
      <c r="BI131" t="e">
        <f>#REF!-N131</f>
        <v>#REF!</v>
      </c>
      <c r="BJ131" t="e">
        <f>(Y131-O131)/O131</f>
        <v>#DIV/0!</v>
      </c>
    </row>
    <row r="132" spans="1:62" ht="18">
      <c r="D132" s="27"/>
      <c r="V132" s="70"/>
      <c r="Z132" s="26"/>
      <c r="AB132" s="26"/>
      <c r="AS132" s="26"/>
      <c r="AW132" s="31"/>
    </row>
    <row r="133" spans="1:62" ht="18">
      <c r="D133" s="27"/>
      <c r="Z133" s="26"/>
      <c r="AS133" s="27"/>
      <c r="AW133" s="31"/>
      <c r="AY133">
        <f>AY51-AY50</f>
        <v>35000</v>
      </c>
    </row>
    <row r="134" spans="1:62" ht="18">
      <c r="Z134" s="26"/>
      <c r="AS134" s="27">
        <v>10290000</v>
      </c>
      <c r="AW134" s="31"/>
      <c r="BB134">
        <f>AY60-AY59</f>
        <v>70000</v>
      </c>
    </row>
    <row r="135" spans="1:62" ht="18">
      <c r="V135" s="26"/>
      <c r="Z135" s="26"/>
      <c r="AS135" s="27"/>
      <c r="AU135">
        <f>AS134-AS49</f>
        <v>195000</v>
      </c>
      <c r="AW135" s="31">
        <f>AC52-AY51</f>
        <v>305000</v>
      </c>
    </row>
    <row r="136" spans="1:62" ht="18">
      <c r="V136" s="26"/>
      <c r="Z136" s="26"/>
      <c r="AW136" s="31"/>
    </row>
    <row r="137" spans="1:62" ht="17.25" customHeight="1">
      <c r="V137" s="26"/>
      <c r="Z137" s="26"/>
    </row>
    <row r="138" spans="1:62" ht="18">
      <c r="D138">
        <f>(D113-F111)/F111</f>
        <v>3.7955768081291093E-2</v>
      </c>
      <c r="V138" s="26"/>
      <c r="Z138" s="26"/>
      <c r="AW138">
        <f>AW135/AY51</f>
        <v>2.9539951573849879E-2</v>
      </c>
    </row>
    <row r="139" spans="1:62" ht="18">
      <c r="V139" s="26"/>
    </row>
    <row r="140" spans="1:62" ht="18">
      <c r="V140" s="26"/>
    </row>
  </sheetData>
  <autoFilter ref="A1:BL135" xr:uid="{00000000-0009-0000-0000-000000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8"/>
  <sheetViews>
    <sheetView tabSelected="1" topLeftCell="A133" zoomScale="55" zoomScaleNormal="55" workbookViewId="0">
      <selection activeCell="T155" sqref="T155"/>
    </sheetView>
  </sheetViews>
  <sheetFormatPr defaultColWidth="8.5546875" defaultRowHeight="14.4"/>
  <cols>
    <col min="1" max="1" width="20.88671875" customWidth="1"/>
    <col min="2" max="2" width="23.88671875" customWidth="1"/>
    <col min="3" max="3" width="21.44140625" customWidth="1"/>
    <col min="4" max="4" width="22.6640625" customWidth="1"/>
    <col min="5" max="5" width="27.44140625" customWidth="1"/>
    <col min="6" max="6" width="25.21875" customWidth="1"/>
    <col min="7" max="7" width="26.109375" customWidth="1"/>
    <col min="8" max="8" width="21" customWidth="1"/>
    <col min="9" max="9" width="18.88671875" customWidth="1"/>
    <col min="10" max="10" width="20.2187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71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5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5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5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5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5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5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5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5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8" customFormat="1" ht="25.2" customHeight="1">
      <c r="A22" s="68" t="s">
        <v>224</v>
      </c>
      <c r="B22" s="68">
        <v>26705</v>
      </c>
      <c r="C22" s="68">
        <v>31498</v>
      </c>
      <c r="D22" s="68">
        <v>41397200</v>
      </c>
      <c r="E22" s="68">
        <f>D22/5</f>
        <v>8279440</v>
      </c>
      <c r="F22" s="68">
        <v>4399000</v>
      </c>
      <c r="G22" s="68">
        <f>F22/5</f>
        <v>879800</v>
      </c>
      <c r="H22" s="68">
        <v>27079</v>
      </c>
      <c r="I22" s="68">
        <v>31815</v>
      </c>
      <c r="J22" s="68">
        <v>27648</v>
      </c>
      <c r="K22" s="68">
        <v>32496</v>
      </c>
    </row>
    <row r="23" spans="1:11" s="29" customFormat="1" ht="25.2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5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6" customFormat="1" ht="13.95" customHeight="1">
      <c r="A25" s="86" t="s">
        <v>343</v>
      </c>
      <c r="B25" s="86">
        <v>26454</v>
      </c>
      <c r="C25" s="86">
        <v>31241</v>
      </c>
      <c r="D25" s="86">
        <v>49009800</v>
      </c>
      <c r="E25" s="86">
        <f>D25/6</f>
        <v>8168300</v>
      </c>
      <c r="F25" s="86">
        <v>5396200</v>
      </c>
      <c r="G25" s="86">
        <f>F25/6</f>
        <v>899366.66666666663</v>
      </c>
      <c r="H25" s="86">
        <v>26771</v>
      </c>
      <c r="I25" s="86">
        <v>31595</v>
      </c>
      <c r="J25" s="86">
        <v>27390</v>
      </c>
      <c r="K25" s="86">
        <v>32329</v>
      </c>
    </row>
    <row r="26" spans="1:11">
      <c r="B26">
        <f>(B2-B8)/B2</f>
        <v>0.15346494762288476</v>
      </c>
      <c r="C26">
        <f>(C2-C8)/C2</f>
        <v>0.1154959674639829</v>
      </c>
      <c r="D26">
        <f>SUM(D2:D16)/15</f>
        <v>29639479.933333334</v>
      </c>
    </row>
    <row r="30" spans="1:11">
      <c r="D30">
        <v>5375132</v>
      </c>
      <c r="E30">
        <f>(E17-D30)/D30</f>
        <v>4.5958809321644006E-2</v>
      </c>
      <c r="G30">
        <f t="shared" ref="G30:G38" si="0">B3-B2</f>
        <v>-554</v>
      </c>
    </row>
    <row r="31" spans="1:11">
      <c r="G31">
        <f t="shared" si="0"/>
        <v>-302</v>
      </c>
    </row>
    <row r="32" spans="1:11">
      <c r="C32">
        <f>(D30-E16)/E16</f>
        <v>0.17110375179746395</v>
      </c>
      <c r="G32">
        <f t="shared" si="0"/>
        <v>-511</v>
      </c>
    </row>
    <row r="33" spans="7:7">
      <c r="G33">
        <f t="shared" si="0"/>
        <v>-362</v>
      </c>
    </row>
    <row r="34" spans="7:7">
      <c r="G34">
        <f t="shared" si="0"/>
        <v>-1699</v>
      </c>
    </row>
    <row r="35" spans="7:7">
      <c r="G35">
        <f t="shared" si="0"/>
        <v>-381</v>
      </c>
    </row>
    <row r="36" spans="7:7">
      <c r="G36">
        <f t="shared" si="0"/>
        <v>1075</v>
      </c>
    </row>
    <row r="37" spans="7:7">
      <c r="G37">
        <f t="shared" si="0"/>
        <v>151</v>
      </c>
    </row>
    <row r="38" spans="7:7">
      <c r="G38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80"/>
  <sheetViews>
    <sheetView topLeftCell="A759" zoomScaleNormal="100" workbookViewId="0">
      <selection activeCell="B773" sqref="B773"/>
    </sheetView>
  </sheetViews>
  <sheetFormatPr defaultColWidth="8.5546875" defaultRowHeight="14.4"/>
  <cols>
    <col min="2" max="3" width="19.6640625" customWidth="1"/>
    <col min="4" max="4" width="15.88671875" customWidth="1"/>
    <col min="5" max="5" width="10" customWidth="1"/>
    <col min="7" max="7" width="13.44140625" customWidth="1"/>
    <col min="8" max="8" width="15.88671875" customWidth="1"/>
    <col min="9" max="9" width="10.6640625" customWidth="1"/>
  </cols>
  <sheetData>
    <row r="1" spans="1:4" ht="20.100000000000001" customHeight="1">
      <c r="A1" s="87" t="s">
        <v>227</v>
      </c>
      <c r="B1" s="87"/>
      <c r="C1" s="87"/>
      <c r="D1" s="87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72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73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4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72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72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73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73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5"/>
      <c r="B10" s="76"/>
      <c r="C10" s="76"/>
      <c r="D10" s="76"/>
    </row>
    <row r="11" spans="1:4">
      <c r="A11" s="87" t="s">
        <v>237</v>
      </c>
      <c r="B11" s="87"/>
      <c r="C11" s="87"/>
      <c r="D11" s="87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72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73" t="s">
        <v>232</v>
      </c>
      <c r="B14" s="11">
        <v>23940</v>
      </c>
      <c r="C14" s="11">
        <v>6570</v>
      </c>
      <c r="D14" s="11">
        <v>10600000</v>
      </c>
    </row>
    <row r="15" spans="1:4">
      <c r="A15" s="74" t="s">
        <v>233</v>
      </c>
      <c r="B15" s="11">
        <v>23950</v>
      </c>
      <c r="C15" s="11">
        <v>6580</v>
      </c>
      <c r="D15" s="11">
        <v>10610000</v>
      </c>
    </row>
    <row r="16" spans="1:4">
      <c r="A16" s="72" t="s">
        <v>234</v>
      </c>
      <c r="B16" s="11">
        <v>23920</v>
      </c>
      <c r="C16" s="11">
        <v>6560</v>
      </c>
      <c r="D16" s="11">
        <v>10600000</v>
      </c>
    </row>
    <row r="17" spans="1:6">
      <c r="A17" s="72">
        <v>0.625</v>
      </c>
      <c r="B17" s="11">
        <v>23920</v>
      </c>
      <c r="C17" s="11">
        <v>6560</v>
      </c>
      <c r="D17" s="11">
        <v>10620000</v>
      </c>
    </row>
    <row r="18" spans="1:6">
      <c r="A18" s="73" t="s">
        <v>235</v>
      </c>
      <c r="B18" s="11">
        <v>23920</v>
      </c>
      <c r="C18" s="11">
        <v>6560</v>
      </c>
      <c r="D18" s="11">
        <v>10610000</v>
      </c>
    </row>
    <row r="19" spans="1:6">
      <c r="A19" s="73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87" t="s">
        <v>239</v>
      </c>
      <c r="B21" s="87"/>
      <c r="C21" s="87"/>
      <c r="D21" s="87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72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73" t="s">
        <v>232</v>
      </c>
      <c r="B24" s="11">
        <v>23960</v>
      </c>
      <c r="C24" s="11">
        <v>6590</v>
      </c>
      <c r="D24" s="11">
        <v>10640000</v>
      </c>
    </row>
    <row r="25" spans="1:6">
      <c r="A25" s="74" t="s">
        <v>233</v>
      </c>
      <c r="B25" s="11">
        <v>24030</v>
      </c>
      <c r="C25" s="11">
        <v>6570</v>
      </c>
      <c r="D25" s="11">
        <v>10670000</v>
      </c>
    </row>
    <row r="26" spans="1:6">
      <c r="A26" s="72" t="s">
        <v>234</v>
      </c>
      <c r="B26" s="11">
        <v>24040</v>
      </c>
      <c r="C26" s="11">
        <v>6590</v>
      </c>
      <c r="D26" s="11">
        <v>10660000</v>
      </c>
    </row>
    <row r="27" spans="1:6">
      <c r="A27" s="72">
        <v>0.625</v>
      </c>
      <c r="B27" s="11">
        <v>24040</v>
      </c>
      <c r="C27" s="11">
        <v>6590</v>
      </c>
      <c r="D27" s="11">
        <v>10670000</v>
      </c>
    </row>
    <row r="28" spans="1:6">
      <c r="A28" s="73" t="s">
        <v>235</v>
      </c>
      <c r="B28" s="11">
        <v>24040</v>
      </c>
      <c r="C28" s="11">
        <v>6590</v>
      </c>
      <c r="D28" s="11">
        <v>10680000</v>
      </c>
    </row>
    <row r="29" spans="1:6">
      <c r="A29" s="73" t="s">
        <v>236</v>
      </c>
      <c r="B29" s="11">
        <v>24040</v>
      </c>
      <c r="C29" s="11">
        <v>6590</v>
      </c>
      <c r="D29" s="11">
        <v>10670000</v>
      </c>
    </row>
    <row r="31" spans="1:6">
      <c r="A31" s="87" t="s">
        <v>240</v>
      </c>
      <c r="B31" s="87"/>
      <c r="C31" s="87"/>
      <c r="D31" s="87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72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73" t="s">
        <v>232</v>
      </c>
      <c r="B34" s="11">
        <v>24150</v>
      </c>
      <c r="C34" s="11">
        <v>6600</v>
      </c>
      <c r="D34" s="11">
        <v>10670000</v>
      </c>
    </row>
    <row r="35" spans="1:4">
      <c r="A35" s="74" t="s">
        <v>233</v>
      </c>
      <c r="B35" s="11">
        <v>24110</v>
      </c>
      <c r="C35" s="11">
        <v>6620</v>
      </c>
      <c r="D35" s="11">
        <v>10680000</v>
      </c>
    </row>
    <row r="36" spans="1:4">
      <c r="A36" s="72" t="s">
        <v>234</v>
      </c>
      <c r="B36" s="11">
        <v>24130</v>
      </c>
      <c r="C36" s="11">
        <v>6600</v>
      </c>
      <c r="D36" s="11">
        <v>10710000</v>
      </c>
    </row>
    <row r="37" spans="1:4">
      <c r="A37" s="72">
        <v>0.625</v>
      </c>
      <c r="B37" s="11">
        <v>24090</v>
      </c>
      <c r="C37" s="11">
        <v>6610</v>
      </c>
      <c r="D37" s="11">
        <v>10750000</v>
      </c>
    </row>
    <row r="38" spans="1:4">
      <c r="A38" s="73" t="s">
        <v>235</v>
      </c>
      <c r="B38" s="11">
        <v>24110</v>
      </c>
      <c r="C38" s="11">
        <v>6620</v>
      </c>
      <c r="D38" s="11">
        <v>10770000</v>
      </c>
    </row>
    <row r="39" spans="1:4">
      <c r="A39" s="73" t="s">
        <v>236</v>
      </c>
      <c r="B39" s="11">
        <v>24110</v>
      </c>
      <c r="C39" s="11">
        <v>6620</v>
      </c>
      <c r="D39" s="11">
        <v>10750000</v>
      </c>
    </row>
    <row r="41" spans="1:4">
      <c r="A41" s="87" t="s">
        <v>241</v>
      </c>
      <c r="B41" s="87"/>
      <c r="C41" s="87"/>
      <c r="D41" s="87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72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73" t="s">
        <v>232</v>
      </c>
      <c r="B44" s="11">
        <v>24290</v>
      </c>
      <c r="C44" s="11">
        <v>6650</v>
      </c>
      <c r="D44" s="11">
        <v>10720000</v>
      </c>
    </row>
    <row r="45" spans="1:4">
      <c r="A45" s="74" t="s">
        <v>233</v>
      </c>
      <c r="B45" s="11">
        <v>24340</v>
      </c>
      <c r="C45" s="11">
        <v>6685</v>
      </c>
      <c r="D45" s="11">
        <v>10790000</v>
      </c>
    </row>
    <row r="46" spans="1:4">
      <c r="A46" s="72" t="s">
        <v>234</v>
      </c>
      <c r="B46" s="11">
        <v>24340</v>
      </c>
      <c r="C46" s="11">
        <v>6675</v>
      </c>
      <c r="D46" s="11">
        <v>10790000</v>
      </c>
    </row>
    <row r="47" spans="1:4">
      <c r="A47" s="72">
        <v>0.625</v>
      </c>
      <c r="B47" s="11" t="s">
        <v>242</v>
      </c>
      <c r="C47" s="11" t="s">
        <v>242</v>
      </c>
      <c r="D47" s="11" t="s">
        <v>242</v>
      </c>
    </row>
    <row r="48" spans="1:4">
      <c r="A48" s="73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73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87" t="s">
        <v>243</v>
      </c>
      <c r="B51" s="87"/>
      <c r="C51" s="87"/>
      <c r="D51" s="87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72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73" t="s">
        <v>232</v>
      </c>
      <c r="B54" s="11">
        <v>24280</v>
      </c>
      <c r="C54" s="11">
        <v>6660</v>
      </c>
      <c r="D54" s="11">
        <v>10600000</v>
      </c>
    </row>
    <row r="55" spans="1:11">
      <c r="A55" s="74" t="s">
        <v>233</v>
      </c>
      <c r="B55" s="11">
        <v>24000</v>
      </c>
      <c r="C55" s="11">
        <v>6610</v>
      </c>
      <c r="D55" s="11">
        <v>10500000</v>
      </c>
    </row>
    <row r="56" spans="1:11">
      <c r="A56" s="72" t="s">
        <v>234</v>
      </c>
      <c r="B56" s="11">
        <v>24000</v>
      </c>
      <c r="C56" s="11">
        <v>6560</v>
      </c>
      <c r="D56" s="11">
        <v>10260000</v>
      </c>
    </row>
    <row r="57" spans="1:11">
      <c r="A57" s="72">
        <v>0.625</v>
      </c>
      <c r="B57" s="11">
        <v>24000</v>
      </c>
      <c r="C57" s="11">
        <v>6550</v>
      </c>
      <c r="D57" s="11">
        <v>10280000</v>
      </c>
    </row>
    <row r="58" spans="1:11">
      <c r="A58" s="73" t="s">
        <v>235</v>
      </c>
      <c r="B58" s="11">
        <v>24000</v>
      </c>
      <c r="C58" s="11">
        <v>6550</v>
      </c>
      <c r="D58" s="11">
        <v>10300000</v>
      </c>
    </row>
    <row r="59" spans="1:11">
      <c r="A59" s="73" t="s">
        <v>236</v>
      </c>
      <c r="B59" s="11">
        <v>24000</v>
      </c>
      <c r="C59" s="11">
        <v>6570</v>
      </c>
      <c r="D59" s="11">
        <v>10210000</v>
      </c>
    </row>
    <row r="61" spans="1:11">
      <c r="A61" s="87" t="s">
        <v>244</v>
      </c>
      <c r="B61" s="87"/>
      <c r="C61" s="87"/>
      <c r="D61" s="87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72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73" t="s">
        <v>232</v>
      </c>
      <c r="B64" s="11">
        <v>23630</v>
      </c>
      <c r="C64" s="11">
        <v>6550</v>
      </c>
      <c r="D64" s="11">
        <v>10230000</v>
      </c>
    </row>
    <row r="65" spans="1:4">
      <c r="A65" s="74" t="s">
        <v>233</v>
      </c>
      <c r="B65" s="11">
        <v>23740</v>
      </c>
      <c r="C65" s="11">
        <v>6495</v>
      </c>
      <c r="D65" s="11">
        <v>10240000</v>
      </c>
    </row>
    <row r="66" spans="1:4">
      <c r="A66" s="72" t="s">
        <v>234</v>
      </c>
      <c r="B66" s="11">
        <v>23740</v>
      </c>
      <c r="C66" s="11">
        <v>6530</v>
      </c>
      <c r="D66" s="11">
        <v>10210000</v>
      </c>
    </row>
    <row r="67" spans="1:4">
      <c r="A67" s="72">
        <v>0.625</v>
      </c>
      <c r="B67" s="11">
        <v>23740</v>
      </c>
      <c r="C67" s="11">
        <v>6520</v>
      </c>
      <c r="D67" s="11">
        <v>10260000</v>
      </c>
    </row>
    <row r="68" spans="1:4">
      <c r="A68" s="73" t="s">
        <v>235</v>
      </c>
      <c r="B68" s="11">
        <v>23740</v>
      </c>
      <c r="C68" s="11">
        <v>6520</v>
      </c>
      <c r="D68" s="11">
        <v>10265000</v>
      </c>
    </row>
    <row r="69" spans="1:4">
      <c r="A69" s="73" t="s">
        <v>236</v>
      </c>
      <c r="B69" s="11">
        <v>23740</v>
      </c>
      <c r="C69" s="11">
        <v>6520</v>
      </c>
      <c r="D69" s="11">
        <v>10180000</v>
      </c>
    </row>
    <row r="71" spans="1:4">
      <c r="A71" s="87" t="s">
        <v>245</v>
      </c>
      <c r="B71" s="87"/>
      <c r="C71" s="87"/>
      <c r="D71" s="87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72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73" t="s">
        <v>232</v>
      </c>
      <c r="B74" s="11">
        <v>23880</v>
      </c>
      <c r="C74" s="11">
        <v>6580</v>
      </c>
      <c r="D74" s="11">
        <v>10280000</v>
      </c>
    </row>
    <row r="75" spans="1:4">
      <c r="A75" s="74" t="s">
        <v>233</v>
      </c>
      <c r="B75" s="11">
        <v>24000</v>
      </c>
      <c r="C75" s="11">
        <v>6580</v>
      </c>
      <c r="D75" s="11">
        <v>10330000</v>
      </c>
    </row>
    <row r="76" spans="1:4">
      <c r="A76" s="72" t="s">
        <v>234</v>
      </c>
      <c r="B76" s="11">
        <v>23930</v>
      </c>
      <c r="C76" s="11">
        <v>6580</v>
      </c>
      <c r="D76" s="11">
        <v>10290000</v>
      </c>
    </row>
    <row r="77" spans="1:4">
      <c r="A77" s="72">
        <v>0.625</v>
      </c>
      <c r="B77" s="11">
        <v>23930</v>
      </c>
      <c r="C77" s="11">
        <v>6570</v>
      </c>
      <c r="D77" s="11">
        <v>10380000</v>
      </c>
    </row>
    <row r="78" spans="1:4">
      <c r="A78" s="73" t="s">
        <v>235</v>
      </c>
      <c r="B78" s="11">
        <v>23930</v>
      </c>
      <c r="C78" s="11">
        <v>6560</v>
      </c>
      <c r="D78" s="11">
        <v>10360000</v>
      </c>
    </row>
    <row r="79" spans="1:4">
      <c r="A79" s="73" t="s">
        <v>236</v>
      </c>
      <c r="B79" s="11">
        <v>23930</v>
      </c>
      <c r="C79" s="11">
        <v>6560</v>
      </c>
      <c r="D79" s="11">
        <v>10330000</v>
      </c>
    </row>
    <row r="81" spans="1:5">
      <c r="A81" s="87" t="s">
        <v>246</v>
      </c>
      <c r="B81" s="87"/>
      <c r="C81" s="87"/>
      <c r="D81" s="87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72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73" t="s">
        <v>232</v>
      </c>
      <c r="B84" s="11">
        <v>24210</v>
      </c>
      <c r="C84" s="11">
        <v>6620</v>
      </c>
      <c r="D84" s="11">
        <v>10390000</v>
      </c>
    </row>
    <row r="85" spans="1:5">
      <c r="A85" s="74" t="s">
        <v>233</v>
      </c>
      <c r="B85" s="11">
        <v>24160</v>
      </c>
      <c r="C85" s="11">
        <v>6615</v>
      </c>
      <c r="D85" s="11">
        <v>10400000</v>
      </c>
    </row>
    <row r="86" spans="1:5">
      <c r="A86" s="72" t="s">
        <v>234</v>
      </c>
      <c r="B86" s="11">
        <v>24220</v>
      </c>
      <c r="C86" s="11">
        <v>6640</v>
      </c>
      <c r="D86" s="11">
        <v>10410000</v>
      </c>
    </row>
    <row r="87" spans="1:5">
      <c r="A87" s="72">
        <v>0.625</v>
      </c>
      <c r="B87" s="11">
        <v>24220</v>
      </c>
      <c r="C87" s="11">
        <v>6640</v>
      </c>
      <c r="D87" s="11">
        <v>10420000</v>
      </c>
    </row>
    <row r="88" spans="1:5">
      <c r="A88" s="73" t="s">
        <v>235</v>
      </c>
      <c r="B88" s="11">
        <v>24220</v>
      </c>
      <c r="C88" s="11">
        <v>6640</v>
      </c>
      <c r="D88" s="11">
        <v>10420000</v>
      </c>
    </row>
    <row r="89" spans="1:5">
      <c r="A89" s="73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87" t="s">
        <v>250</v>
      </c>
      <c r="B93" s="87"/>
      <c r="C93" s="87"/>
      <c r="D93" s="87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72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73" t="s">
        <v>232</v>
      </c>
      <c r="B96" s="11">
        <v>24370</v>
      </c>
      <c r="C96" s="11">
        <v>6685</v>
      </c>
      <c r="D96" s="11">
        <v>10530000</v>
      </c>
    </row>
    <row r="97" spans="1:6">
      <c r="A97" s="74" t="s">
        <v>233</v>
      </c>
      <c r="B97" s="11">
        <v>24500</v>
      </c>
      <c r="C97" s="11">
        <v>6740</v>
      </c>
      <c r="D97" s="11">
        <v>10520000</v>
      </c>
    </row>
    <row r="98" spans="1:6">
      <c r="A98" s="72" t="s">
        <v>234</v>
      </c>
      <c r="B98" s="11">
        <v>24450</v>
      </c>
      <c r="C98" s="11">
        <v>6710</v>
      </c>
      <c r="D98" s="11">
        <v>10560000</v>
      </c>
    </row>
    <row r="99" spans="1:6">
      <c r="A99" s="72">
        <v>0.625</v>
      </c>
      <c r="B99" s="11">
        <v>24450</v>
      </c>
      <c r="C99" s="11">
        <v>6700</v>
      </c>
      <c r="D99" s="11">
        <v>10550000</v>
      </c>
    </row>
    <row r="100" spans="1:6">
      <c r="A100" s="73" t="s">
        <v>235</v>
      </c>
      <c r="B100" s="11">
        <v>24450</v>
      </c>
      <c r="C100" s="11">
        <v>6710</v>
      </c>
      <c r="D100" s="11">
        <v>10560000</v>
      </c>
    </row>
    <row r="101" spans="1:6">
      <c r="A101" s="73" t="s">
        <v>236</v>
      </c>
      <c r="B101" s="11">
        <v>24450</v>
      </c>
      <c r="C101" s="11">
        <v>6710</v>
      </c>
      <c r="D101" s="11">
        <v>10540000</v>
      </c>
    </row>
    <row r="103" spans="1:6">
      <c r="A103" s="87" t="s">
        <v>251</v>
      </c>
      <c r="B103" s="87"/>
      <c r="C103" s="87"/>
      <c r="D103" s="87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72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73" t="s">
        <v>232</v>
      </c>
      <c r="B106" s="11">
        <v>24400</v>
      </c>
      <c r="C106" s="11">
        <v>6685</v>
      </c>
      <c r="D106" s="11">
        <v>10500000</v>
      </c>
    </row>
    <row r="107" spans="1:6">
      <c r="A107" s="74" t="s">
        <v>233</v>
      </c>
      <c r="B107" s="11">
        <v>24340</v>
      </c>
      <c r="C107" s="11">
        <v>6680</v>
      </c>
      <c r="D107" s="11">
        <v>10470000</v>
      </c>
    </row>
    <row r="108" spans="1:6">
      <c r="A108" s="72" t="s">
        <v>234</v>
      </c>
      <c r="B108" s="11">
        <v>24400</v>
      </c>
      <c r="C108" s="11">
        <v>6695</v>
      </c>
      <c r="D108" s="11">
        <v>10510000</v>
      </c>
    </row>
    <row r="109" spans="1:6">
      <c r="A109" s="72">
        <v>0.625</v>
      </c>
      <c r="B109" s="11">
        <v>24400</v>
      </c>
      <c r="C109" s="11">
        <v>6700</v>
      </c>
      <c r="D109" s="11">
        <v>10520000</v>
      </c>
    </row>
    <row r="110" spans="1:6">
      <c r="A110" s="73" t="s">
        <v>235</v>
      </c>
      <c r="B110" s="11">
        <v>24400</v>
      </c>
      <c r="C110" s="11">
        <v>6700</v>
      </c>
      <c r="D110" s="11">
        <v>10500000</v>
      </c>
    </row>
    <row r="111" spans="1:6">
      <c r="A111" s="73" t="s">
        <v>236</v>
      </c>
      <c r="B111" s="11">
        <v>24400</v>
      </c>
      <c r="C111" s="11">
        <v>6700</v>
      </c>
      <c r="D111" s="11">
        <v>10540000</v>
      </c>
    </row>
    <row r="113" spans="1:5">
      <c r="A113" s="87" t="s">
        <v>253</v>
      </c>
      <c r="B113" s="87"/>
      <c r="C113" s="87"/>
      <c r="D113" s="87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72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73" t="s">
        <v>232</v>
      </c>
      <c r="B116" s="11">
        <v>24640</v>
      </c>
      <c r="C116" s="11">
        <v>6760</v>
      </c>
      <c r="D116" s="11">
        <v>10660000</v>
      </c>
    </row>
    <row r="117" spans="1:5">
      <c r="A117" s="74" t="s">
        <v>233</v>
      </c>
      <c r="B117" s="11">
        <v>24720</v>
      </c>
      <c r="C117" s="11">
        <v>6785</v>
      </c>
      <c r="D117" s="11">
        <v>10720000</v>
      </c>
    </row>
    <row r="118" spans="1:5">
      <c r="A118" s="72" t="s">
        <v>234</v>
      </c>
      <c r="B118" s="11">
        <v>24760</v>
      </c>
      <c r="C118" s="11">
        <v>6795</v>
      </c>
      <c r="D118" s="11">
        <v>10700000</v>
      </c>
    </row>
    <row r="119" spans="1:5">
      <c r="A119" s="72">
        <v>0.625</v>
      </c>
      <c r="B119" s="11">
        <v>24740</v>
      </c>
      <c r="C119" s="11">
        <v>6800</v>
      </c>
      <c r="D119" s="11">
        <v>10720000</v>
      </c>
    </row>
    <row r="120" spans="1:5">
      <c r="A120" s="73" t="s">
        <v>235</v>
      </c>
      <c r="B120" s="11">
        <v>24740</v>
      </c>
      <c r="C120" s="11">
        <v>6800</v>
      </c>
      <c r="D120" s="11">
        <v>10700000</v>
      </c>
    </row>
    <row r="121" spans="1:5">
      <c r="A121" s="73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87" t="s">
        <v>254</v>
      </c>
      <c r="B123" s="87"/>
      <c r="C123" s="87"/>
      <c r="D123" s="87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72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73" t="s">
        <v>232</v>
      </c>
      <c r="B126" s="11">
        <v>25000</v>
      </c>
      <c r="C126" s="11">
        <v>6850</v>
      </c>
      <c r="D126" s="11">
        <v>10800000</v>
      </c>
    </row>
    <row r="127" spans="1:5">
      <c r="A127" s="74" t="s">
        <v>233</v>
      </c>
      <c r="B127" s="11">
        <v>25060</v>
      </c>
      <c r="C127" s="11">
        <v>6880</v>
      </c>
      <c r="D127" s="11">
        <v>10830000</v>
      </c>
    </row>
    <row r="128" spans="1:5">
      <c r="A128" s="72" t="s">
        <v>234</v>
      </c>
      <c r="B128" s="11">
        <v>25110</v>
      </c>
      <c r="C128" s="11">
        <v>6920</v>
      </c>
      <c r="D128" s="11">
        <v>10810000</v>
      </c>
    </row>
    <row r="129" spans="1:4">
      <c r="A129" s="72">
        <v>0.625</v>
      </c>
      <c r="B129" s="11">
        <v>25130</v>
      </c>
      <c r="C129" s="11">
        <v>6890</v>
      </c>
      <c r="D129" s="11">
        <v>10800000</v>
      </c>
    </row>
    <row r="130" spans="1:4">
      <c r="A130" s="73" t="s">
        <v>235</v>
      </c>
      <c r="B130" s="11">
        <v>25130</v>
      </c>
      <c r="C130" s="11">
        <v>6885</v>
      </c>
      <c r="D130" s="11">
        <v>10780000</v>
      </c>
    </row>
    <row r="131" spans="1:4">
      <c r="A131" s="73" t="s">
        <v>236</v>
      </c>
      <c r="B131" s="11">
        <v>25130</v>
      </c>
      <c r="C131" s="11">
        <v>6885</v>
      </c>
      <c r="D131" s="11">
        <v>10830000</v>
      </c>
    </row>
    <row r="133" spans="1:4">
      <c r="A133" s="87" t="s">
        <v>255</v>
      </c>
      <c r="B133" s="87"/>
      <c r="C133" s="87"/>
      <c r="D133" s="87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72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73" t="s">
        <v>232</v>
      </c>
      <c r="B136" s="11">
        <v>25120</v>
      </c>
      <c r="C136" s="11">
        <v>6900</v>
      </c>
      <c r="D136" s="11">
        <v>10780000</v>
      </c>
    </row>
    <row r="137" spans="1:4">
      <c r="A137" s="74" t="s">
        <v>233</v>
      </c>
      <c r="B137" s="11">
        <v>25230</v>
      </c>
      <c r="C137" s="11">
        <v>6890</v>
      </c>
      <c r="D137" s="11">
        <v>10810000</v>
      </c>
    </row>
    <row r="138" spans="1:4">
      <c r="A138" s="72" t="s">
        <v>234</v>
      </c>
      <c r="B138" s="11">
        <v>25260</v>
      </c>
      <c r="C138" s="11">
        <v>6920</v>
      </c>
      <c r="D138" s="11">
        <v>10840000</v>
      </c>
    </row>
    <row r="139" spans="1:4">
      <c r="A139" s="72">
        <v>0.625</v>
      </c>
      <c r="B139" s="11">
        <v>25270</v>
      </c>
      <c r="C139" s="11">
        <v>6900</v>
      </c>
      <c r="D139" s="11">
        <v>10830000</v>
      </c>
    </row>
    <row r="140" spans="1:4">
      <c r="A140" s="73" t="s">
        <v>235</v>
      </c>
      <c r="B140" s="11">
        <v>25270</v>
      </c>
      <c r="C140" s="11">
        <v>6900</v>
      </c>
      <c r="D140" s="11">
        <v>10840000</v>
      </c>
    </row>
    <row r="141" spans="1:4">
      <c r="A141" s="73" t="s">
        <v>236</v>
      </c>
      <c r="B141" s="11">
        <v>25270</v>
      </c>
      <c r="C141" s="11">
        <v>6900</v>
      </c>
      <c r="D141" s="11">
        <v>10830000</v>
      </c>
    </row>
    <row r="143" spans="1:4">
      <c r="A143" s="87" t="s">
        <v>256</v>
      </c>
      <c r="B143" s="87"/>
      <c r="C143" s="87"/>
      <c r="D143" s="87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72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73" t="s">
        <v>232</v>
      </c>
      <c r="B146" s="11">
        <v>25250</v>
      </c>
      <c r="C146" s="11">
        <v>6890</v>
      </c>
      <c r="D146" s="11">
        <v>10810000</v>
      </c>
    </row>
    <row r="147" spans="1:7">
      <c r="A147" s="74" t="s">
        <v>233</v>
      </c>
      <c r="B147" s="11">
        <v>25210</v>
      </c>
      <c r="C147" s="11">
        <v>6890</v>
      </c>
      <c r="D147" s="11">
        <v>10800000</v>
      </c>
    </row>
    <row r="148" spans="1:7">
      <c r="A148" s="72" t="s">
        <v>234</v>
      </c>
      <c r="B148" s="11">
        <v>25190</v>
      </c>
      <c r="C148" s="11">
        <v>6855</v>
      </c>
      <c r="D148" s="11">
        <v>10790000</v>
      </c>
    </row>
    <row r="149" spans="1:7">
      <c r="A149" s="72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73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73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87" t="s">
        <v>258</v>
      </c>
      <c r="B153" s="87"/>
      <c r="C153" s="87"/>
      <c r="D153" s="87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72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73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4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72" t="s">
        <v>234</v>
      </c>
      <c r="B158" s="11">
        <v>25190</v>
      </c>
      <c r="C158" s="11">
        <v>6890</v>
      </c>
      <c r="D158" s="11">
        <v>10750000</v>
      </c>
    </row>
    <row r="159" spans="1:7">
      <c r="A159" s="72">
        <v>0.625</v>
      </c>
      <c r="B159" s="11">
        <v>25190</v>
      </c>
      <c r="C159" s="11">
        <v>6870</v>
      </c>
      <c r="D159" s="11">
        <v>10740000</v>
      </c>
    </row>
    <row r="160" spans="1:7">
      <c r="A160" s="73" t="s">
        <v>235</v>
      </c>
      <c r="B160" s="11">
        <v>25190</v>
      </c>
      <c r="C160" s="11">
        <v>6870</v>
      </c>
      <c r="D160" s="11">
        <v>10750000</v>
      </c>
    </row>
    <row r="161" spans="1:4">
      <c r="A161" s="73" t="s">
        <v>236</v>
      </c>
      <c r="B161" s="11">
        <v>25190</v>
      </c>
      <c r="C161" s="11">
        <v>6870</v>
      </c>
      <c r="D161" s="11">
        <v>10750000</v>
      </c>
    </row>
    <row r="163" spans="1:4">
      <c r="A163" s="87" t="s">
        <v>259</v>
      </c>
      <c r="B163" s="87"/>
      <c r="C163" s="87"/>
      <c r="D163" s="87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72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73" t="s">
        <v>232</v>
      </c>
      <c r="B166" s="11">
        <v>25310</v>
      </c>
      <c r="C166" s="11">
        <v>6920</v>
      </c>
      <c r="D166" s="11">
        <v>10790000</v>
      </c>
    </row>
    <row r="167" spans="1:4">
      <c r="A167" s="74" t="s">
        <v>233</v>
      </c>
      <c r="B167" s="11">
        <v>25260</v>
      </c>
      <c r="C167" s="11">
        <v>6900</v>
      </c>
      <c r="D167" s="11">
        <v>10780000</v>
      </c>
    </row>
    <row r="168" spans="1:4">
      <c r="A168" s="72" t="s">
        <v>234</v>
      </c>
      <c r="B168" s="11">
        <v>25250</v>
      </c>
      <c r="C168" s="11">
        <v>6885</v>
      </c>
      <c r="D168" s="11">
        <v>10750000</v>
      </c>
    </row>
    <row r="169" spans="1:4">
      <c r="A169" s="72">
        <v>0.625</v>
      </c>
      <c r="B169" s="11">
        <v>25180</v>
      </c>
      <c r="C169" s="11">
        <v>6905</v>
      </c>
      <c r="D169" s="11">
        <v>10750000</v>
      </c>
    </row>
    <row r="170" spans="1:4">
      <c r="A170" s="73" t="s">
        <v>235</v>
      </c>
      <c r="B170" s="11">
        <v>25180</v>
      </c>
      <c r="C170" s="11">
        <v>6895</v>
      </c>
      <c r="D170" s="11">
        <v>10760000</v>
      </c>
    </row>
    <row r="171" spans="1:4">
      <c r="A171" s="73" t="s">
        <v>236</v>
      </c>
      <c r="B171" s="11">
        <v>25180</v>
      </c>
      <c r="C171" s="11">
        <v>6895</v>
      </c>
      <c r="D171" s="11">
        <v>10750000</v>
      </c>
    </row>
    <row r="173" spans="1:4">
      <c r="A173" s="87" t="s">
        <v>260</v>
      </c>
      <c r="B173" s="87"/>
      <c r="C173" s="87"/>
      <c r="D173" s="87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72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73" t="s">
        <v>232</v>
      </c>
      <c r="B176" s="11">
        <v>25100</v>
      </c>
      <c r="C176" s="11">
        <v>6875</v>
      </c>
      <c r="D176" s="11">
        <v>10660000</v>
      </c>
    </row>
    <row r="177" spans="1:7">
      <c r="A177" s="74" t="s">
        <v>233</v>
      </c>
      <c r="B177" s="11">
        <v>25000</v>
      </c>
      <c r="C177" s="11">
        <v>6860</v>
      </c>
      <c r="D177" s="11">
        <v>10590000</v>
      </c>
    </row>
    <row r="178" spans="1:7">
      <c r="A178" s="72" t="s">
        <v>234</v>
      </c>
      <c r="B178" s="11">
        <v>24970</v>
      </c>
      <c r="C178" s="11">
        <v>6835</v>
      </c>
      <c r="D178" s="11">
        <v>10590000</v>
      </c>
    </row>
    <row r="179" spans="1:7">
      <c r="A179" s="72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73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73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87" t="s">
        <v>261</v>
      </c>
      <c r="B183" s="87"/>
      <c r="C183" s="87"/>
      <c r="D183" s="87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72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73" t="s">
        <v>232</v>
      </c>
      <c r="B186" s="11">
        <v>25110</v>
      </c>
      <c r="C186" s="11">
        <v>6860</v>
      </c>
      <c r="D186" s="11">
        <v>10720000</v>
      </c>
    </row>
    <row r="187" spans="1:7">
      <c r="A187" s="74" t="s">
        <v>233</v>
      </c>
      <c r="B187" s="11">
        <v>25070</v>
      </c>
      <c r="C187" s="11">
        <v>6860</v>
      </c>
      <c r="D187" s="11">
        <v>10700000</v>
      </c>
    </row>
    <row r="188" spans="1:7">
      <c r="A188" s="72" t="s">
        <v>234</v>
      </c>
      <c r="B188" s="11">
        <v>25110</v>
      </c>
      <c r="C188" s="11">
        <v>6870</v>
      </c>
      <c r="D188" s="11">
        <v>10720000</v>
      </c>
    </row>
    <row r="189" spans="1:7">
      <c r="A189" s="72">
        <v>0.625</v>
      </c>
      <c r="B189" s="11">
        <v>25110</v>
      </c>
      <c r="C189" s="11">
        <v>6880</v>
      </c>
      <c r="D189" s="11">
        <v>10720000</v>
      </c>
    </row>
    <row r="190" spans="1:7">
      <c r="A190" s="73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73" t="s">
        <v>236</v>
      </c>
      <c r="B191" s="11">
        <v>25110</v>
      </c>
      <c r="C191" s="11">
        <v>6880</v>
      </c>
      <c r="D191" s="11">
        <v>10720000</v>
      </c>
    </row>
    <row r="193" spans="1:4">
      <c r="A193" s="87" t="s">
        <v>262</v>
      </c>
      <c r="B193" s="87"/>
      <c r="C193" s="87"/>
      <c r="D193" s="87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72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73" t="s">
        <v>232</v>
      </c>
      <c r="B196" s="11">
        <v>24980</v>
      </c>
      <c r="C196" s="11">
        <v>6840</v>
      </c>
      <c r="D196" s="11">
        <v>10640000</v>
      </c>
    </row>
    <row r="197" spans="1:4">
      <c r="A197" s="74" t="s">
        <v>233</v>
      </c>
      <c r="B197" s="11">
        <v>24940</v>
      </c>
      <c r="C197" s="11">
        <v>6840</v>
      </c>
      <c r="D197" s="11">
        <v>10650000</v>
      </c>
    </row>
    <row r="198" spans="1:4">
      <c r="A198" s="72" t="s">
        <v>234</v>
      </c>
      <c r="B198" s="11">
        <v>24900</v>
      </c>
      <c r="C198" s="11">
        <v>6840</v>
      </c>
      <c r="D198" s="11">
        <v>10650000</v>
      </c>
    </row>
    <row r="199" spans="1:4">
      <c r="A199" s="72">
        <v>0.625</v>
      </c>
      <c r="B199" s="11">
        <v>24900</v>
      </c>
      <c r="C199" s="11">
        <v>6840</v>
      </c>
      <c r="D199" s="11">
        <v>10670000</v>
      </c>
    </row>
    <row r="200" spans="1:4">
      <c r="A200" s="73" t="s">
        <v>235</v>
      </c>
      <c r="B200" s="11">
        <v>24900</v>
      </c>
      <c r="C200" s="11">
        <v>6840</v>
      </c>
      <c r="D200" s="11">
        <v>10650000</v>
      </c>
    </row>
    <row r="201" spans="1:4">
      <c r="A201" s="73" t="s">
        <v>236</v>
      </c>
      <c r="B201" s="11">
        <v>24900</v>
      </c>
      <c r="C201" s="11">
        <v>6840</v>
      </c>
      <c r="D201" s="11">
        <v>10660000</v>
      </c>
    </row>
    <row r="203" spans="1:4">
      <c r="A203" s="87" t="s">
        <v>263</v>
      </c>
      <c r="B203" s="87"/>
      <c r="C203" s="87"/>
      <c r="D203" s="87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72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73" t="s">
        <v>232</v>
      </c>
      <c r="B206" s="11">
        <v>25000</v>
      </c>
      <c r="C206" s="11">
        <v>6830</v>
      </c>
      <c r="D206" s="11">
        <v>10690000</v>
      </c>
    </row>
    <row r="207" spans="1:4">
      <c r="A207" s="74" t="s">
        <v>233</v>
      </c>
      <c r="B207" s="11">
        <v>24970</v>
      </c>
      <c r="C207" s="11">
        <v>6830</v>
      </c>
      <c r="D207" s="11">
        <v>10710000</v>
      </c>
    </row>
    <row r="208" spans="1:4">
      <c r="A208" s="72" t="s">
        <v>234</v>
      </c>
      <c r="B208" s="11">
        <v>24970</v>
      </c>
      <c r="C208" s="11">
        <v>6820</v>
      </c>
      <c r="D208" s="11">
        <v>10720000</v>
      </c>
    </row>
    <row r="209" spans="1:4">
      <c r="A209" s="72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73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73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87" t="s">
        <v>264</v>
      </c>
      <c r="B213" s="87"/>
      <c r="C213" s="87"/>
      <c r="D213" s="87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72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73" t="s">
        <v>232</v>
      </c>
      <c r="B216" s="11">
        <v>24900</v>
      </c>
      <c r="C216" s="11">
        <v>6840</v>
      </c>
      <c r="D216" s="11">
        <v>10690000</v>
      </c>
    </row>
    <row r="217" spans="1:4">
      <c r="A217" s="74" t="s">
        <v>233</v>
      </c>
      <c r="B217" s="11">
        <v>24930</v>
      </c>
      <c r="C217" s="11">
        <v>6820</v>
      </c>
      <c r="D217" s="11">
        <v>10670000</v>
      </c>
    </row>
    <row r="218" spans="1:4">
      <c r="A218" s="72" t="s">
        <v>234</v>
      </c>
      <c r="B218" s="11">
        <v>24880</v>
      </c>
      <c r="C218" s="11">
        <v>6825</v>
      </c>
      <c r="D218" s="11">
        <v>10670000</v>
      </c>
    </row>
    <row r="219" spans="1:4">
      <c r="A219" s="72">
        <v>0.625</v>
      </c>
      <c r="B219" s="11">
        <v>24880</v>
      </c>
      <c r="C219" s="11">
        <v>6820</v>
      </c>
      <c r="D219" s="11">
        <v>10660000</v>
      </c>
    </row>
    <row r="220" spans="1:4">
      <c r="A220" s="73" t="s">
        <v>235</v>
      </c>
      <c r="B220" s="11">
        <v>24880</v>
      </c>
      <c r="C220" s="11">
        <v>6820</v>
      </c>
      <c r="D220" s="11">
        <v>10670000</v>
      </c>
    </row>
    <row r="221" spans="1:4">
      <c r="A221" s="73" t="s">
        <v>236</v>
      </c>
      <c r="B221" s="11">
        <v>24880</v>
      </c>
      <c r="C221" s="11">
        <v>6820</v>
      </c>
      <c r="D221" s="11">
        <v>10670000</v>
      </c>
    </row>
    <row r="223" spans="1:4">
      <c r="A223" s="87" t="s">
        <v>265</v>
      </c>
      <c r="B223" s="87"/>
      <c r="C223" s="87"/>
      <c r="D223" s="87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72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73" t="s">
        <v>232</v>
      </c>
      <c r="B226" s="11">
        <v>24890</v>
      </c>
      <c r="C226" s="11">
        <v>6820</v>
      </c>
      <c r="D226" s="11">
        <v>10650000</v>
      </c>
    </row>
    <row r="227" spans="1:5">
      <c r="A227" s="74" t="s">
        <v>233</v>
      </c>
      <c r="B227" s="11">
        <v>24880</v>
      </c>
      <c r="C227" s="11">
        <v>6820</v>
      </c>
      <c r="D227" s="11">
        <v>10640000</v>
      </c>
    </row>
    <row r="228" spans="1:5">
      <c r="A228" s="72" t="s">
        <v>234</v>
      </c>
      <c r="B228" s="11">
        <v>24880</v>
      </c>
      <c r="C228" s="11">
        <v>6825</v>
      </c>
      <c r="D228" s="11">
        <v>10650000</v>
      </c>
    </row>
    <row r="229" spans="1:5">
      <c r="A229" s="72">
        <v>0.625</v>
      </c>
      <c r="B229" s="11">
        <v>24880</v>
      </c>
      <c r="C229" s="11">
        <v>6825</v>
      </c>
      <c r="D229" s="11">
        <v>10690000</v>
      </c>
    </row>
    <row r="230" spans="1:5">
      <c r="A230" s="73" t="s">
        <v>235</v>
      </c>
      <c r="B230" s="11">
        <v>24880</v>
      </c>
      <c r="C230" s="11">
        <v>6825</v>
      </c>
      <c r="D230" s="11">
        <v>10700000</v>
      </c>
    </row>
    <row r="231" spans="1:5">
      <c r="A231" s="73" t="s">
        <v>236</v>
      </c>
      <c r="B231" s="11">
        <v>24880</v>
      </c>
      <c r="C231" s="11">
        <v>6825</v>
      </c>
      <c r="D231" s="11">
        <v>10700000</v>
      </c>
    </row>
    <row r="233" spans="1:5">
      <c r="A233" s="87" t="s">
        <v>266</v>
      </c>
      <c r="B233" s="87"/>
      <c r="C233" s="87"/>
      <c r="D233" s="87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72">
        <v>0.45833333333333298</v>
      </c>
      <c r="B235" s="11">
        <v>24890</v>
      </c>
      <c r="C235" s="11">
        <v>6850</v>
      </c>
      <c r="D235" s="11">
        <v>10680000</v>
      </c>
      <c r="E235" s="77"/>
    </row>
    <row r="236" spans="1:5">
      <c r="A236" s="73" t="s">
        <v>232</v>
      </c>
      <c r="B236" s="11">
        <v>24880</v>
      </c>
      <c r="C236" s="11">
        <v>6850</v>
      </c>
      <c r="D236" s="11">
        <v>10680000</v>
      </c>
    </row>
    <row r="237" spans="1:5">
      <c r="A237" s="74" t="s">
        <v>233</v>
      </c>
      <c r="B237" s="11">
        <v>24910</v>
      </c>
      <c r="C237" s="11">
        <v>6825</v>
      </c>
      <c r="D237" s="11">
        <v>10670000</v>
      </c>
    </row>
    <row r="238" spans="1:5">
      <c r="A238" s="72" t="s">
        <v>234</v>
      </c>
      <c r="B238" s="11">
        <v>24920</v>
      </c>
      <c r="C238" s="11">
        <v>6820</v>
      </c>
      <c r="D238" s="11">
        <v>10670000</v>
      </c>
    </row>
    <row r="239" spans="1:5">
      <c r="A239" s="72">
        <v>0.625</v>
      </c>
      <c r="B239" s="11">
        <v>24920</v>
      </c>
      <c r="C239" s="11">
        <v>6820</v>
      </c>
      <c r="D239" s="11">
        <v>10680000</v>
      </c>
    </row>
    <row r="240" spans="1:5">
      <c r="A240" s="73" t="s">
        <v>235</v>
      </c>
      <c r="B240" s="11">
        <v>24920</v>
      </c>
      <c r="C240" s="11">
        <v>6820</v>
      </c>
      <c r="D240" s="11">
        <v>10680000</v>
      </c>
    </row>
    <row r="241" spans="1:4">
      <c r="A241" s="73" t="s">
        <v>236</v>
      </c>
      <c r="B241" s="11">
        <v>24920</v>
      </c>
      <c r="C241" s="11">
        <v>6820</v>
      </c>
      <c r="D241" s="11">
        <v>10680000</v>
      </c>
    </row>
    <row r="243" spans="1:4">
      <c r="A243" s="87" t="s">
        <v>267</v>
      </c>
      <c r="B243" s="87"/>
      <c r="C243" s="87"/>
      <c r="D243" s="87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72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73" t="s">
        <v>232</v>
      </c>
      <c r="B246" s="11">
        <v>24830</v>
      </c>
      <c r="C246" s="11">
        <v>6790</v>
      </c>
      <c r="D246" s="11">
        <v>10620000</v>
      </c>
    </row>
    <row r="247" spans="1:4">
      <c r="A247" s="74" t="s">
        <v>233</v>
      </c>
      <c r="B247" s="11">
        <v>24740</v>
      </c>
      <c r="C247" s="11">
        <v>6770</v>
      </c>
      <c r="D247" s="11">
        <v>10590000</v>
      </c>
    </row>
    <row r="248" spans="1:4">
      <c r="A248" s="72" t="s">
        <v>234</v>
      </c>
      <c r="B248" s="11">
        <v>24720</v>
      </c>
      <c r="C248" s="11">
        <v>6770</v>
      </c>
      <c r="D248" s="11">
        <v>10610000</v>
      </c>
    </row>
    <row r="249" spans="1:4">
      <c r="A249" s="72">
        <v>0.625</v>
      </c>
      <c r="B249" s="11">
        <v>24750</v>
      </c>
      <c r="C249" s="11">
        <v>6765</v>
      </c>
      <c r="D249" s="11">
        <v>10600000</v>
      </c>
    </row>
    <row r="250" spans="1:4">
      <c r="A250" s="73" t="s">
        <v>235</v>
      </c>
      <c r="B250" s="11">
        <v>24750</v>
      </c>
      <c r="C250" s="11">
        <v>6765</v>
      </c>
      <c r="D250" s="11">
        <v>10590000</v>
      </c>
    </row>
    <row r="251" spans="1:4">
      <c r="A251" s="73" t="s">
        <v>236</v>
      </c>
      <c r="B251" s="11">
        <v>24750</v>
      </c>
      <c r="C251" s="11">
        <v>6765</v>
      </c>
      <c r="D251" s="11">
        <v>10610000</v>
      </c>
    </row>
    <row r="252" spans="1:4">
      <c r="D252" s="77"/>
    </row>
    <row r="253" spans="1:4">
      <c r="A253" s="87" t="s">
        <v>268</v>
      </c>
      <c r="B253" s="87"/>
      <c r="C253" s="87"/>
      <c r="D253" s="87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72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73" t="s">
        <v>232</v>
      </c>
      <c r="B256" s="11">
        <v>24440</v>
      </c>
      <c r="C256" s="11">
        <v>6700</v>
      </c>
      <c r="D256" s="11">
        <v>10480000</v>
      </c>
    </row>
    <row r="257" spans="1:4">
      <c r="A257" s="74" t="s">
        <v>233</v>
      </c>
      <c r="B257" s="11">
        <v>24470</v>
      </c>
      <c r="C257" s="11">
        <v>6735</v>
      </c>
      <c r="D257" s="11">
        <v>10500000</v>
      </c>
    </row>
    <row r="258" spans="1:4">
      <c r="A258" s="72" t="s">
        <v>234</v>
      </c>
      <c r="B258" s="11">
        <v>24520</v>
      </c>
      <c r="C258" s="11">
        <v>6730</v>
      </c>
      <c r="D258" s="11">
        <v>10490000</v>
      </c>
    </row>
    <row r="259" spans="1:4">
      <c r="A259" s="72">
        <v>0.625</v>
      </c>
      <c r="B259" s="11">
        <v>24520</v>
      </c>
      <c r="C259" s="11">
        <v>6725</v>
      </c>
      <c r="D259" s="11">
        <v>10470000</v>
      </c>
    </row>
    <row r="260" spans="1:4">
      <c r="A260" s="73" t="s">
        <v>235</v>
      </c>
      <c r="B260" s="11">
        <v>24520</v>
      </c>
      <c r="C260" s="11">
        <v>6725</v>
      </c>
      <c r="D260" s="11">
        <v>10480000</v>
      </c>
    </row>
    <row r="261" spans="1:4">
      <c r="A261" s="73" t="s">
        <v>236</v>
      </c>
      <c r="B261" s="11">
        <v>24520</v>
      </c>
      <c r="C261" s="11">
        <v>6725</v>
      </c>
      <c r="D261" s="11">
        <v>10500000</v>
      </c>
    </row>
    <row r="263" spans="1:4">
      <c r="A263" s="87" t="s">
        <v>269</v>
      </c>
      <c r="B263" s="87"/>
      <c r="C263" s="87"/>
      <c r="D263" s="87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72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73" t="s">
        <v>232</v>
      </c>
      <c r="B266" s="11">
        <v>24740</v>
      </c>
      <c r="C266" s="11">
        <v>6780</v>
      </c>
      <c r="D266" s="11">
        <v>10610000</v>
      </c>
    </row>
    <row r="267" spans="1:4">
      <c r="A267" s="74" t="s">
        <v>233</v>
      </c>
      <c r="B267" s="11">
        <v>24720</v>
      </c>
      <c r="C267" s="11">
        <v>6770</v>
      </c>
      <c r="D267" s="11">
        <v>10610000</v>
      </c>
    </row>
    <row r="268" spans="1:4">
      <c r="A268" s="72" t="s">
        <v>234</v>
      </c>
      <c r="B268" s="11">
        <v>24700</v>
      </c>
      <c r="C268" s="11">
        <v>6760</v>
      </c>
      <c r="D268" s="11">
        <v>10600000</v>
      </c>
    </row>
    <row r="269" spans="1:4">
      <c r="A269" s="72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73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73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87" t="s">
        <v>270</v>
      </c>
      <c r="B273" s="87"/>
      <c r="C273" s="87"/>
      <c r="D273" s="87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72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73" t="s">
        <v>232</v>
      </c>
      <c r="B276" s="11">
        <v>24700</v>
      </c>
      <c r="C276" s="11">
        <v>6760</v>
      </c>
      <c r="D276" s="11">
        <v>10580000</v>
      </c>
    </row>
    <row r="277" spans="1:4">
      <c r="A277" s="74" t="s">
        <v>233</v>
      </c>
      <c r="B277" s="11">
        <v>24720</v>
      </c>
      <c r="C277" s="11">
        <v>6755</v>
      </c>
      <c r="D277" s="11">
        <v>10540000</v>
      </c>
    </row>
    <row r="278" spans="1:4">
      <c r="A278" s="72" t="s">
        <v>234</v>
      </c>
      <c r="B278" s="11">
        <v>24670</v>
      </c>
      <c r="C278" s="11">
        <v>6755</v>
      </c>
      <c r="D278" s="11">
        <v>10550000</v>
      </c>
    </row>
    <row r="279" spans="1:4">
      <c r="A279" s="72">
        <v>0.625</v>
      </c>
      <c r="B279" s="11">
        <v>24670</v>
      </c>
      <c r="C279" s="11">
        <v>6775</v>
      </c>
      <c r="D279" s="11">
        <v>10540000</v>
      </c>
    </row>
    <row r="280" spans="1:4">
      <c r="A280" s="73" t="s">
        <v>235</v>
      </c>
      <c r="B280" s="11">
        <v>24670</v>
      </c>
      <c r="C280" s="11">
        <v>6765</v>
      </c>
      <c r="D280" s="11">
        <v>10530000</v>
      </c>
    </row>
    <row r="281" spans="1:4">
      <c r="A281" s="73" t="s">
        <v>236</v>
      </c>
      <c r="B281" s="11">
        <v>24670</v>
      </c>
      <c r="C281" s="11">
        <v>6765</v>
      </c>
      <c r="D281" s="11">
        <v>10540000</v>
      </c>
    </row>
    <row r="283" spans="1:4">
      <c r="A283" s="87" t="s">
        <v>271</v>
      </c>
      <c r="B283" s="87"/>
      <c r="C283" s="87"/>
      <c r="D283" s="87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72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73" t="s">
        <v>232</v>
      </c>
      <c r="B286" s="11">
        <v>24700</v>
      </c>
      <c r="C286" s="11">
        <v>6740</v>
      </c>
      <c r="D286" s="11">
        <v>10510000</v>
      </c>
    </row>
    <row r="287" spans="1:4">
      <c r="A287" s="74" t="s">
        <v>233</v>
      </c>
      <c r="B287" s="11">
        <v>24650</v>
      </c>
      <c r="C287" s="11">
        <v>6730</v>
      </c>
      <c r="D287" s="11">
        <v>10500000</v>
      </c>
    </row>
    <row r="288" spans="1:4">
      <c r="A288" s="72" t="s">
        <v>234</v>
      </c>
      <c r="B288" s="11">
        <v>24650</v>
      </c>
      <c r="C288" s="11">
        <v>6730</v>
      </c>
      <c r="D288" s="11">
        <v>10500000</v>
      </c>
    </row>
    <row r="289" spans="1:6">
      <c r="A289" s="72">
        <v>0.625</v>
      </c>
      <c r="B289" s="11">
        <v>24650</v>
      </c>
      <c r="C289" s="11">
        <v>6720</v>
      </c>
      <c r="D289" s="11">
        <v>10510000</v>
      </c>
    </row>
    <row r="290" spans="1:6">
      <c r="A290" s="73" t="s">
        <v>235</v>
      </c>
      <c r="B290" s="11">
        <v>24650</v>
      </c>
      <c r="C290" s="11">
        <v>6730</v>
      </c>
      <c r="D290" s="11">
        <v>10530000</v>
      </c>
    </row>
    <row r="291" spans="1:6">
      <c r="A291" s="73" t="s">
        <v>236</v>
      </c>
      <c r="B291" s="11">
        <v>24650</v>
      </c>
      <c r="C291" s="11">
        <v>6730</v>
      </c>
      <c r="D291" s="11">
        <v>10520000</v>
      </c>
    </row>
    <row r="293" spans="1:6">
      <c r="A293" s="87" t="s">
        <v>272</v>
      </c>
      <c r="B293" s="87"/>
      <c r="C293" s="87"/>
      <c r="D293" s="87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72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73" t="s">
        <v>232</v>
      </c>
      <c r="B296" s="11">
        <v>24470</v>
      </c>
      <c r="C296" s="11">
        <v>6700</v>
      </c>
      <c r="D296" s="11">
        <v>10490000</v>
      </c>
    </row>
    <row r="297" spans="1:6">
      <c r="A297" s="74" t="s">
        <v>233</v>
      </c>
      <c r="B297" s="11">
        <v>24400</v>
      </c>
      <c r="C297" s="11">
        <v>6700</v>
      </c>
      <c r="D297" s="11">
        <v>10510000</v>
      </c>
    </row>
    <row r="298" spans="1:6">
      <c r="A298" s="72" t="s">
        <v>234</v>
      </c>
      <c r="B298" s="11">
        <v>24390</v>
      </c>
      <c r="C298" s="11">
        <v>6700</v>
      </c>
      <c r="D298" s="11">
        <v>10500000</v>
      </c>
    </row>
    <row r="299" spans="1:6">
      <c r="A299" s="72">
        <v>0.625</v>
      </c>
      <c r="B299" s="11">
        <v>24400</v>
      </c>
      <c r="C299" s="11">
        <v>6700</v>
      </c>
      <c r="D299" s="11">
        <v>10510000</v>
      </c>
      <c r="E299" s="77"/>
    </row>
    <row r="300" spans="1:6">
      <c r="A300" s="73" t="s">
        <v>235</v>
      </c>
      <c r="B300" s="11">
        <v>24400</v>
      </c>
      <c r="C300" s="11">
        <v>6700</v>
      </c>
      <c r="D300" s="11">
        <v>10500000</v>
      </c>
      <c r="E300" s="78"/>
    </row>
    <row r="301" spans="1:6">
      <c r="A301" s="73" t="s">
        <v>236</v>
      </c>
      <c r="B301" s="11">
        <v>24400</v>
      </c>
      <c r="C301" s="11">
        <v>6700</v>
      </c>
      <c r="D301" s="11">
        <v>10510000</v>
      </c>
      <c r="E301" s="78"/>
      <c r="F301" s="78"/>
    </row>
    <row r="303" spans="1:6">
      <c r="A303" s="87" t="s">
        <v>273</v>
      </c>
      <c r="B303" s="87"/>
      <c r="C303" s="87"/>
      <c r="D303" s="87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72">
        <v>0.45833333333333298</v>
      </c>
      <c r="B305" s="11" t="s">
        <v>274</v>
      </c>
      <c r="C305" s="11"/>
      <c r="D305" s="11">
        <v>10560000</v>
      </c>
    </row>
    <row r="306" spans="1:6">
      <c r="A306" s="73" t="s">
        <v>232</v>
      </c>
      <c r="B306" s="11" t="s">
        <v>275</v>
      </c>
      <c r="C306" s="11"/>
      <c r="D306" s="11">
        <v>10550000</v>
      </c>
    </row>
    <row r="307" spans="1:6">
      <c r="A307" s="74" t="s">
        <v>233</v>
      </c>
      <c r="B307" s="11" t="s">
        <v>276</v>
      </c>
      <c r="C307" s="11"/>
      <c r="D307" s="11">
        <v>10560000</v>
      </c>
    </row>
    <row r="308" spans="1:6">
      <c r="A308" s="72" t="s">
        <v>234</v>
      </c>
      <c r="B308" s="11"/>
      <c r="C308" s="11"/>
      <c r="D308" s="11"/>
    </row>
    <row r="309" spans="1:6">
      <c r="A309" s="72">
        <v>0.625</v>
      </c>
      <c r="B309" s="11"/>
      <c r="C309" s="11"/>
      <c r="D309" s="11"/>
    </row>
    <row r="310" spans="1:6">
      <c r="A310" s="73" t="s">
        <v>235</v>
      </c>
      <c r="B310" s="11"/>
      <c r="C310" s="11"/>
      <c r="D310" s="11"/>
    </row>
    <row r="311" spans="1:6">
      <c r="A311" s="73" t="s">
        <v>236</v>
      </c>
      <c r="B311" s="11"/>
      <c r="C311" s="11"/>
      <c r="D311" s="11"/>
    </row>
    <row r="313" spans="1:6">
      <c r="A313" s="87" t="s">
        <v>277</v>
      </c>
      <c r="B313" s="87"/>
      <c r="C313" s="87"/>
      <c r="D313" s="87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72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73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4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72" t="s">
        <v>234</v>
      </c>
      <c r="B318" s="11"/>
      <c r="C318" s="11"/>
      <c r="D318" s="11"/>
    </row>
    <row r="319" spans="1:6">
      <c r="A319" s="72">
        <v>0.625</v>
      </c>
      <c r="B319" s="11"/>
      <c r="C319" s="11"/>
      <c r="D319" s="11"/>
    </row>
    <row r="320" spans="1:6">
      <c r="A320" s="73" t="s">
        <v>235</v>
      </c>
      <c r="B320" s="11"/>
      <c r="C320" s="11"/>
      <c r="D320" s="11"/>
    </row>
    <row r="321" spans="1:6">
      <c r="A321" s="73" t="s">
        <v>236</v>
      </c>
      <c r="B321" s="11"/>
      <c r="C321" s="11"/>
      <c r="D321" s="11"/>
    </row>
    <row r="324" spans="1:6">
      <c r="A324" s="87" t="s">
        <v>281</v>
      </c>
      <c r="B324" s="87"/>
      <c r="C324" s="87"/>
      <c r="D324" s="87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72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73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4" t="s">
        <v>233</v>
      </c>
      <c r="B328" s="11"/>
      <c r="C328" s="11"/>
      <c r="D328" s="11"/>
    </row>
    <row r="329" spans="1:6">
      <c r="A329" s="72" t="s">
        <v>234</v>
      </c>
      <c r="B329" s="11"/>
      <c r="C329" s="11"/>
      <c r="D329" s="11"/>
    </row>
    <row r="330" spans="1:6">
      <c r="A330" s="72">
        <v>0.625</v>
      </c>
      <c r="B330" s="11"/>
      <c r="C330" s="11"/>
      <c r="D330" s="11"/>
    </row>
    <row r="331" spans="1:6">
      <c r="A331" s="73" t="s">
        <v>235</v>
      </c>
      <c r="B331" s="11"/>
      <c r="C331" s="11"/>
      <c r="D331" s="11"/>
    </row>
    <row r="332" spans="1:6">
      <c r="A332" s="73" t="s">
        <v>236</v>
      </c>
      <c r="B332" s="11"/>
      <c r="C332" s="11"/>
      <c r="D332" s="11"/>
    </row>
    <row r="335" spans="1:6">
      <c r="A335" s="87" t="s">
        <v>284</v>
      </c>
      <c r="B335" s="87"/>
      <c r="C335" s="87"/>
      <c r="D335" s="87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72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73" t="s">
        <v>232</v>
      </c>
      <c r="B338" s="11">
        <v>24780</v>
      </c>
      <c r="C338" s="11">
        <v>6820</v>
      </c>
      <c r="D338" s="11">
        <v>10730000</v>
      </c>
    </row>
    <row r="339" spans="1:4">
      <c r="A339" s="74" t="s">
        <v>233</v>
      </c>
      <c r="B339" s="11">
        <v>24890</v>
      </c>
      <c r="C339" s="11">
        <v>6815</v>
      </c>
      <c r="D339" s="11">
        <v>10790000</v>
      </c>
    </row>
    <row r="340" spans="1:4">
      <c r="A340" s="72" t="s">
        <v>234</v>
      </c>
      <c r="B340" s="11">
        <v>24980</v>
      </c>
      <c r="C340" s="11">
        <v>6830</v>
      </c>
      <c r="D340" s="11">
        <v>10800000</v>
      </c>
    </row>
    <row r="341" spans="1:4">
      <c r="A341" s="72">
        <v>0.625</v>
      </c>
      <c r="B341" s="11">
        <v>24980</v>
      </c>
      <c r="C341" s="11">
        <v>6840</v>
      </c>
      <c r="D341" s="11">
        <v>10880000</v>
      </c>
    </row>
    <row r="342" spans="1:4">
      <c r="A342" s="73" t="s">
        <v>235</v>
      </c>
      <c r="B342" s="11">
        <v>24980</v>
      </c>
      <c r="C342" s="11">
        <v>6840</v>
      </c>
      <c r="D342" s="11">
        <v>10890000</v>
      </c>
    </row>
    <row r="343" spans="1:4">
      <c r="A343" s="73" t="s">
        <v>236</v>
      </c>
      <c r="B343" s="11">
        <v>24980</v>
      </c>
      <c r="C343" s="11">
        <v>6840</v>
      </c>
      <c r="D343" s="11">
        <v>10930000</v>
      </c>
    </row>
    <row r="346" spans="1:4">
      <c r="A346" s="87" t="s">
        <v>285</v>
      </c>
      <c r="B346" s="87"/>
      <c r="C346" s="87"/>
      <c r="D346" s="87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72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73" t="s">
        <v>232</v>
      </c>
      <c r="B349" s="11">
        <v>25140</v>
      </c>
      <c r="C349" s="11">
        <v>6870</v>
      </c>
      <c r="D349" s="11">
        <v>11030000</v>
      </c>
    </row>
    <row r="350" spans="1:4">
      <c r="A350" s="74" t="s">
        <v>233</v>
      </c>
      <c r="B350" s="11">
        <v>25120</v>
      </c>
      <c r="C350" s="11">
        <v>6890</v>
      </c>
      <c r="D350" s="11">
        <v>10950000</v>
      </c>
    </row>
    <row r="351" spans="1:4">
      <c r="A351" s="72" t="s">
        <v>234</v>
      </c>
      <c r="B351" s="11">
        <v>25120</v>
      </c>
      <c r="C351" s="11">
        <v>6890</v>
      </c>
      <c r="D351" s="11">
        <v>10990000</v>
      </c>
    </row>
    <row r="352" spans="1:4">
      <c r="A352" s="72">
        <v>0.625</v>
      </c>
      <c r="B352" s="11">
        <v>25120</v>
      </c>
      <c r="C352" s="11">
        <v>6890</v>
      </c>
      <c r="D352" s="11">
        <v>10970000</v>
      </c>
    </row>
    <row r="353" spans="1:4">
      <c r="A353" s="73" t="s">
        <v>235</v>
      </c>
      <c r="B353" s="11">
        <v>25120</v>
      </c>
      <c r="C353" s="11">
        <v>6890</v>
      </c>
      <c r="D353" s="11">
        <v>10970000</v>
      </c>
    </row>
    <row r="354" spans="1:4">
      <c r="A354" s="73" t="s">
        <v>236</v>
      </c>
      <c r="B354" s="11">
        <v>25120</v>
      </c>
      <c r="C354" s="11">
        <v>6890</v>
      </c>
      <c r="D354" s="11">
        <v>11000000</v>
      </c>
    </row>
    <row r="357" spans="1:4">
      <c r="A357" s="87" t="s">
        <v>286</v>
      </c>
      <c r="B357" s="87"/>
      <c r="C357" s="87"/>
      <c r="D357" s="87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72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73" t="s">
        <v>232</v>
      </c>
      <c r="B360" s="11">
        <v>25250</v>
      </c>
      <c r="C360" s="11">
        <v>6930</v>
      </c>
      <c r="D360" s="11">
        <v>11100000</v>
      </c>
    </row>
    <row r="361" spans="1:4">
      <c r="A361" s="74" t="s">
        <v>233</v>
      </c>
      <c r="B361" s="11">
        <v>25300</v>
      </c>
      <c r="C361" s="11">
        <v>6945</v>
      </c>
      <c r="D361" s="11">
        <v>11110000</v>
      </c>
    </row>
    <row r="362" spans="1:4">
      <c r="A362" s="72" t="s">
        <v>234</v>
      </c>
      <c r="B362" s="11">
        <v>25290</v>
      </c>
      <c r="C362" s="11">
        <v>6930</v>
      </c>
      <c r="D362" s="11">
        <v>11170000</v>
      </c>
    </row>
    <row r="363" spans="1:4">
      <c r="A363" s="72">
        <v>0.625</v>
      </c>
      <c r="B363" s="11">
        <v>25290</v>
      </c>
      <c r="C363" s="11">
        <v>6930</v>
      </c>
      <c r="D363" s="11">
        <v>11200000</v>
      </c>
    </row>
    <row r="364" spans="1:4">
      <c r="A364" s="73" t="s">
        <v>235</v>
      </c>
      <c r="B364" s="11">
        <v>25290</v>
      </c>
      <c r="C364" s="11">
        <v>6930</v>
      </c>
      <c r="D364" s="11">
        <v>11200000</v>
      </c>
    </row>
    <row r="365" spans="1:4">
      <c r="A365" s="73" t="s">
        <v>236</v>
      </c>
      <c r="B365" s="11">
        <v>25290</v>
      </c>
      <c r="C365" s="11">
        <v>6930</v>
      </c>
      <c r="D365" s="11">
        <v>11190000</v>
      </c>
    </row>
    <row r="368" spans="1:4">
      <c r="A368" s="87" t="s">
        <v>287</v>
      </c>
      <c r="B368" s="87"/>
      <c r="C368" s="87"/>
      <c r="D368" s="87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72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73" t="s">
        <v>232</v>
      </c>
      <c r="B371" s="11">
        <v>25680</v>
      </c>
      <c r="C371" s="11">
        <v>7040</v>
      </c>
      <c r="D371" s="11">
        <v>11370000</v>
      </c>
    </row>
    <row r="372" spans="1:7">
      <c r="A372" s="74" t="s">
        <v>233</v>
      </c>
      <c r="B372" s="11">
        <v>25710</v>
      </c>
      <c r="C372" s="11">
        <v>7100</v>
      </c>
      <c r="D372" s="11">
        <v>11510000</v>
      </c>
    </row>
    <row r="373" spans="1:7">
      <c r="A373" s="72" t="s">
        <v>234</v>
      </c>
      <c r="B373" s="11">
        <v>25980</v>
      </c>
      <c r="C373" s="11">
        <v>7095</v>
      </c>
      <c r="D373" s="11">
        <v>15700000</v>
      </c>
    </row>
    <row r="374" spans="1:7">
      <c r="A374" s="72">
        <v>0.625</v>
      </c>
      <c r="B374" s="11">
        <v>25980</v>
      </c>
      <c r="C374" s="11">
        <v>7070</v>
      </c>
      <c r="D374" s="11">
        <v>11560000</v>
      </c>
    </row>
    <row r="375" spans="1:7">
      <c r="A375" s="73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73" t="s">
        <v>236</v>
      </c>
      <c r="B376" s="11">
        <v>25980</v>
      </c>
      <c r="C376" s="11">
        <v>7060</v>
      </c>
      <c r="D376" s="11">
        <v>11430000</v>
      </c>
    </row>
    <row r="379" spans="1:7">
      <c r="A379" s="87" t="s">
        <v>288</v>
      </c>
      <c r="B379" s="87"/>
      <c r="C379" s="87"/>
      <c r="D379" s="87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72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73" t="s">
        <v>232</v>
      </c>
      <c r="B382" s="11">
        <v>25750</v>
      </c>
      <c r="C382" s="11">
        <v>7060</v>
      </c>
      <c r="D382" s="11">
        <v>11380000</v>
      </c>
    </row>
    <row r="383" spans="1:7">
      <c r="A383" s="74" t="s">
        <v>233</v>
      </c>
      <c r="B383" s="11">
        <v>25700</v>
      </c>
      <c r="C383" s="11">
        <v>7015</v>
      </c>
      <c r="D383" s="11">
        <v>11300000</v>
      </c>
    </row>
    <row r="384" spans="1:7">
      <c r="A384" s="72" t="s">
        <v>234</v>
      </c>
      <c r="B384" s="11">
        <v>25620</v>
      </c>
      <c r="C384" s="11">
        <v>7005</v>
      </c>
      <c r="D384" s="11">
        <v>11190000</v>
      </c>
    </row>
    <row r="385" spans="1:4">
      <c r="A385" s="72">
        <v>0.625</v>
      </c>
      <c r="B385" s="11">
        <v>25620</v>
      </c>
      <c r="C385" s="11">
        <v>6970</v>
      </c>
      <c r="D385" s="11">
        <v>11200000</v>
      </c>
    </row>
    <row r="386" spans="1:4">
      <c r="A386" s="73" t="s">
        <v>235</v>
      </c>
      <c r="B386" s="11">
        <v>25620</v>
      </c>
      <c r="C386" s="11">
        <v>6965</v>
      </c>
      <c r="D386" s="11">
        <v>11230000</v>
      </c>
    </row>
    <row r="387" spans="1:4">
      <c r="A387" s="73" t="s">
        <v>236</v>
      </c>
      <c r="B387" s="11">
        <v>25620</v>
      </c>
      <c r="C387" s="11">
        <v>6965</v>
      </c>
      <c r="D387" s="11">
        <v>11240000</v>
      </c>
    </row>
    <row r="390" spans="1:4">
      <c r="A390" s="87" t="s">
        <v>289</v>
      </c>
      <c r="B390" s="87"/>
      <c r="C390" s="87"/>
      <c r="D390" s="87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72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73" t="s">
        <v>232</v>
      </c>
      <c r="B393" s="11">
        <v>25550</v>
      </c>
      <c r="C393" s="11">
        <v>6985</v>
      </c>
      <c r="D393" s="11">
        <v>11250000</v>
      </c>
    </row>
    <row r="394" spans="1:4">
      <c r="A394" s="74" t="s">
        <v>233</v>
      </c>
      <c r="B394" s="11">
        <v>25500</v>
      </c>
      <c r="C394" s="11">
        <v>6970</v>
      </c>
      <c r="D394" s="11">
        <v>11260000</v>
      </c>
    </row>
    <row r="395" spans="1:4">
      <c r="A395" s="72" t="s">
        <v>234</v>
      </c>
      <c r="B395" s="11">
        <v>25480</v>
      </c>
      <c r="C395" s="11">
        <v>6975</v>
      </c>
      <c r="D395" s="11">
        <v>11200000</v>
      </c>
    </row>
    <row r="396" spans="1:4">
      <c r="A396" s="72">
        <v>0.625</v>
      </c>
      <c r="B396" s="11">
        <v>25480</v>
      </c>
      <c r="C396" s="11">
        <v>6965</v>
      </c>
      <c r="D396" s="11">
        <v>11220000</v>
      </c>
    </row>
    <row r="397" spans="1:4">
      <c r="A397" s="73" t="s">
        <v>235</v>
      </c>
      <c r="B397" s="11">
        <v>25480</v>
      </c>
      <c r="C397" s="11">
        <v>6965</v>
      </c>
      <c r="D397" s="11">
        <v>11200000</v>
      </c>
    </row>
    <row r="398" spans="1:4">
      <c r="A398" s="73" t="s">
        <v>236</v>
      </c>
      <c r="B398" s="11">
        <v>25480</v>
      </c>
      <c r="C398" s="11">
        <v>6965</v>
      </c>
      <c r="D398" s="11">
        <v>11180000</v>
      </c>
    </row>
    <row r="401" spans="1:4">
      <c r="A401" s="87" t="s">
        <v>290</v>
      </c>
      <c r="B401" s="87"/>
      <c r="C401" s="87"/>
      <c r="D401" s="87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72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73" t="s">
        <v>232</v>
      </c>
      <c r="B404" s="11">
        <v>25580</v>
      </c>
      <c r="C404" s="11">
        <v>7000</v>
      </c>
      <c r="D404" s="11">
        <v>11370000</v>
      </c>
    </row>
    <row r="405" spans="1:4">
      <c r="A405" s="74" t="s">
        <v>233</v>
      </c>
      <c r="B405" s="11">
        <v>25700</v>
      </c>
      <c r="C405" s="11">
        <v>7010</v>
      </c>
      <c r="D405" s="11">
        <v>11310000</v>
      </c>
    </row>
    <row r="406" spans="1:4">
      <c r="A406" s="72" t="s">
        <v>234</v>
      </c>
      <c r="B406" s="11">
        <v>25630</v>
      </c>
      <c r="C406" s="11">
        <v>7005</v>
      </c>
      <c r="D406" s="11">
        <v>11330000</v>
      </c>
    </row>
    <row r="407" spans="1:4">
      <c r="A407" s="72">
        <v>0.625</v>
      </c>
      <c r="B407" s="11">
        <v>25630</v>
      </c>
      <c r="C407" s="11">
        <v>7000</v>
      </c>
      <c r="D407" s="11">
        <v>11390000</v>
      </c>
    </row>
    <row r="408" spans="1:4">
      <c r="A408" s="73" t="s">
        <v>235</v>
      </c>
      <c r="B408" s="11">
        <v>25630</v>
      </c>
      <c r="C408" s="11">
        <v>7000</v>
      </c>
      <c r="D408" s="11">
        <v>11360000</v>
      </c>
    </row>
    <row r="409" spans="1:4">
      <c r="A409" s="73" t="s">
        <v>236</v>
      </c>
      <c r="B409" s="11">
        <v>25630</v>
      </c>
      <c r="C409" s="11">
        <v>7000</v>
      </c>
      <c r="D409" s="11">
        <v>11380000</v>
      </c>
    </row>
    <row r="412" spans="1:4">
      <c r="A412" s="87" t="s">
        <v>291</v>
      </c>
      <c r="B412" s="87"/>
      <c r="C412" s="87"/>
      <c r="D412" s="87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72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73" t="s">
        <v>232</v>
      </c>
      <c r="B415" s="11">
        <v>25500</v>
      </c>
      <c r="C415" s="11">
        <v>6980</v>
      </c>
      <c r="D415" s="11">
        <v>11230000</v>
      </c>
    </row>
    <row r="416" spans="1:4">
      <c r="A416" s="74" t="s">
        <v>233</v>
      </c>
      <c r="B416" s="11">
        <v>25460</v>
      </c>
      <c r="C416" s="11">
        <v>6975</v>
      </c>
      <c r="D416" s="11">
        <v>11220000</v>
      </c>
    </row>
    <row r="417" spans="1:6">
      <c r="A417" s="72" t="s">
        <v>234</v>
      </c>
      <c r="B417" s="11">
        <v>25510</v>
      </c>
      <c r="C417" s="11">
        <v>6990</v>
      </c>
      <c r="D417" s="11">
        <v>11270000</v>
      </c>
    </row>
    <row r="418" spans="1:6">
      <c r="A418" s="72">
        <v>0.625</v>
      </c>
      <c r="B418" s="11">
        <v>25510</v>
      </c>
      <c r="C418" s="11">
        <v>6980</v>
      </c>
      <c r="D418" s="11">
        <v>11260000</v>
      </c>
    </row>
    <row r="419" spans="1:6">
      <c r="A419" s="73" t="s">
        <v>235</v>
      </c>
      <c r="B419" s="11">
        <v>25510</v>
      </c>
      <c r="C419" s="11">
        <v>6980</v>
      </c>
      <c r="D419" s="11">
        <v>11260000</v>
      </c>
    </row>
    <row r="420" spans="1:6">
      <c r="A420" s="73" t="s">
        <v>236</v>
      </c>
      <c r="B420" s="11">
        <v>25510</v>
      </c>
      <c r="C420" s="11">
        <v>6980</v>
      </c>
      <c r="D420" s="11">
        <v>11300000</v>
      </c>
    </row>
    <row r="423" spans="1:6">
      <c r="A423" s="87" t="s">
        <v>292</v>
      </c>
      <c r="B423" s="87"/>
      <c r="C423" s="87"/>
      <c r="D423" s="87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72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73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4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72" t="s">
        <v>234</v>
      </c>
      <c r="B428" s="11"/>
      <c r="C428" s="11"/>
      <c r="D428" s="11"/>
    </row>
    <row r="429" spans="1:6">
      <c r="A429" s="72">
        <v>0.625</v>
      </c>
      <c r="B429" s="11"/>
      <c r="C429" s="11"/>
      <c r="D429" s="11"/>
    </row>
    <row r="430" spans="1:6">
      <c r="A430" s="73" t="s">
        <v>235</v>
      </c>
      <c r="B430" s="11"/>
      <c r="C430" s="11"/>
      <c r="D430" s="11"/>
    </row>
    <row r="431" spans="1:6">
      <c r="A431" s="73" t="s">
        <v>236</v>
      </c>
      <c r="B431" s="11"/>
      <c r="C431" s="11"/>
      <c r="D431" s="11"/>
    </row>
    <row r="434" spans="1:4">
      <c r="A434" s="87" t="s">
        <v>296</v>
      </c>
      <c r="B434" s="87"/>
      <c r="C434" s="87"/>
      <c r="D434" s="87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72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73" t="s">
        <v>232</v>
      </c>
      <c r="B437" s="11">
        <v>25380</v>
      </c>
      <c r="C437" s="11">
        <v>6950</v>
      </c>
      <c r="D437" s="11">
        <v>11050000</v>
      </c>
    </row>
    <row r="438" spans="1:4">
      <c r="A438" s="74" t="s">
        <v>233</v>
      </c>
      <c r="B438" s="11">
        <v>25500</v>
      </c>
      <c r="C438" s="11">
        <v>6970</v>
      </c>
      <c r="D438" s="11">
        <v>11070000</v>
      </c>
    </row>
    <row r="439" spans="1:4">
      <c r="A439" s="72" t="s">
        <v>234</v>
      </c>
      <c r="B439" s="11">
        <v>25550</v>
      </c>
      <c r="C439" s="11">
        <v>7000</v>
      </c>
      <c r="D439" s="11">
        <v>11130000</v>
      </c>
    </row>
    <row r="440" spans="1:4">
      <c r="A440" s="72">
        <v>0.625</v>
      </c>
      <c r="B440" s="11">
        <v>25550</v>
      </c>
      <c r="C440" s="11">
        <v>6995</v>
      </c>
      <c r="D440" s="11">
        <v>11160000</v>
      </c>
    </row>
    <row r="441" spans="1:4">
      <c r="A441" s="73" t="s">
        <v>235</v>
      </c>
      <c r="B441" s="11">
        <v>25550</v>
      </c>
      <c r="C441" s="11">
        <v>6995</v>
      </c>
      <c r="D441" s="11">
        <v>11170000</v>
      </c>
    </row>
    <row r="442" spans="1:4">
      <c r="A442" s="73" t="s">
        <v>236</v>
      </c>
      <c r="B442" s="11">
        <v>25550</v>
      </c>
      <c r="C442" s="11">
        <v>6995</v>
      </c>
      <c r="D442" s="11">
        <v>11180000</v>
      </c>
    </row>
    <row r="445" spans="1:4">
      <c r="A445" s="87" t="s">
        <v>297</v>
      </c>
      <c r="B445" s="87"/>
      <c r="C445" s="87"/>
      <c r="D445" s="87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72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73" t="s">
        <v>232</v>
      </c>
      <c r="B448" s="11">
        <v>25720</v>
      </c>
      <c r="C448" s="11">
        <v>7010</v>
      </c>
      <c r="D448" s="11">
        <v>11200000</v>
      </c>
    </row>
    <row r="449" spans="1:4">
      <c r="A449" s="74" t="s">
        <v>233</v>
      </c>
      <c r="B449" s="11">
        <v>25650</v>
      </c>
      <c r="C449" s="11">
        <v>7020</v>
      </c>
      <c r="D449" s="11">
        <v>11210000</v>
      </c>
    </row>
    <row r="450" spans="1:4">
      <c r="A450" s="72" t="s">
        <v>234</v>
      </c>
      <c r="B450" s="11">
        <v>25720</v>
      </c>
      <c r="C450" s="11">
        <v>7030</v>
      </c>
      <c r="D450" s="11">
        <v>11240000</v>
      </c>
    </row>
    <row r="451" spans="1:4">
      <c r="A451" s="72">
        <v>0.625</v>
      </c>
      <c r="B451" s="11">
        <v>25720</v>
      </c>
      <c r="C451" s="11">
        <v>7025</v>
      </c>
      <c r="D451" s="11">
        <v>11240000</v>
      </c>
    </row>
    <row r="452" spans="1:4">
      <c r="A452" s="73" t="s">
        <v>235</v>
      </c>
      <c r="B452" s="11">
        <v>25720</v>
      </c>
      <c r="C452" s="11">
        <v>7020</v>
      </c>
      <c r="D452" s="11">
        <v>11220000</v>
      </c>
    </row>
    <row r="453" spans="1:4">
      <c r="A453" s="73" t="s">
        <v>236</v>
      </c>
      <c r="B453" s="11">
        <v>25720</v>
      </c>
      <c r="C453" s="11">
        <v>7015</v>
      </c>
      <c r="D453" s="11">
        <v>11260000</v>
      </c>
    </row>
    <row r="456" spans="1:4">
      <c r="A456" s="87" t="s">
        <v>298</v>
      </c>
      <c r="B456" s="87"/>
      <c r="C456" s="87"/>
      <c r="D456" s="87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72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73" t="s">
        <v>232</v>
      </c>
      <c r="B459" s="11">
        <v>25720</v>
      </c>
      <c r="C459" s="11">
        <v>7025</v>
      </c>
      <c r="D459" s="11">
        <v>11160000</v>
      </c>
    </row>
    <row r="460" spans="1:4">
      <c r="A460" s="74" t="s">
        <v>233</v>
      </c>
      <c r="B460" s="11">
        <v>25750</v>
      </c>
      <c r="C460" s="11">
        <v>7040</v>
      </c>
      <c r="D460" s="11">
        <v>11190000</v>
      </c>
    </row>
    <row r="461" spans="1:4">
      <c r="A461" s="72" t="s">
        <v>234</v>
      </c>
      <c r="B461" s="11">
        <v>25780</v>
      </c>
      <c r="C461" s="11">
        <v>7070</v>
      </c>
      <c r="D461" s="11">
        <v>11170000</v>
      </c>
    </row>
    <row r="462" spans="1:4">
      <c r="A462" s="72">
        <v>0.625</v>
      </c>
      <c r="B462" s="11">
        <v>25780</v>
      </c>
      <c r="C462" s="11">
        <v>7070</v>
      </c>
      <c r="D462" s="11">
        <v>11190000</v>
      </c>
    </row>
    <row r="463" spans="1:4">
      <c r="A463" s="73" t="s">
        <v>235</v>
      </c>
      <c r="B463" s="11">
        <v>25780</v>
      </c>
      <c r="C463" s="11">
        <v>7070</v>
      </c>
      <c r="D463" s="11">
        <v>11230000</v>
      </c>
    </row>
    <row r="464" spans="1:4">
      <c r="A464" s="73" t="s">
        <v>236</v>
      </c>
      <c r="B464" s="11">
        <v>25780</v>
      </c>
      <c r="C464" s="11">
        <v>7070</v>
      </c>
      <c r="D464" s="11">
        <v>11290000</v>
      </c>
    </row>
    <row r="467" spans="1:4">
      <c r="A467" s="87" t="s">
        <v>299</v>
      </c>
      <c r="B467" s="87"/>
      <c r="C467" s="87"/>
      <c r="D467" s="87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72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73" t="s">
        <v>232</v>
      </c>
      <c r="B470" s="11">
        <v>26000</v>
      </c>
      <c r="C470" s="11">
        <v>7120</v>
      </c>
      <c r="D470" s="11">
        <v>11280000</v>
      </c>
    </row>
    <row r="471" spans="1:4">
      <c r="A471" s="74" t="s">
        <v>233</v>
      </c>
      <c r="B471" s="11">
        <v>26100</v>
      </c>
      <c r="C471" s="11">
        <v>7180</v>
      </c>
      <c r="D471" s="11">
        <v>11290000</v>
      </c>
    </row>
    <row r="472" spans="1:4">
      <c r="A472" s="72" t="s">
        <v>234</v>
      </c>
      <c r="B472" s="11">
        <v>26120</v>
      </c>
      <c r="C472" s="11">
        <v>7150</v>
      </c>
      <c r="D472" s="11">
        <v>11280000</v>
      </c>
    </row>
    <row r="473" spans="1:4">
      <c r="A473" s="72">
        <v>0.625</v>
      </c>
      <c r="B473" s="11">
        <v>26070</v>
      </c>
      <c r="C473" s="11">
        <v>7160</v>
      </c>
      <c r="D473" s="11">
        <v>11290000</v>
      </c>
    </row>
    <row r="474" spans="1:4">
      <c r="A474" s="73" t="s">
        <v>235</v>
      </c>
      <c r="B474" s="11">
        <v>26070</v>
      </c>
      <c r="C474" s="11">
        <v>7165</v>
      </c>
      <c r="D474" s="11">
        <v>11290000</v>
      </c>
    </row>
    <row r="475" spans="1:4">
      <c r="A475" s="73" t="s">
        <v>236</v>
      </c>
      <c r="B475" s="11">
        <v>26070</v>
      </c>
      <c r="C475" s="11">
        <v>7165</v>
      </c>
      <c r="D475" s="11">
        <v>11400000</v>
      </c>
    </row>
    <row r="478" spans="1:4">
      <c r="A478" s="87" t="s">
        <v>300</v>
      </c>
      <c r="B478" s="87"/>
      <c r="C478" s="87"/>
      <c r="D478" s="87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72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73" t="s">
        <v>232</v>
      </c>
      <c r="B481" s="11">
        <v>26420</v>
      </c>
      <c r="C481" s="11">
        <v>7275</v>
      </c>
      <c r="D481" s="11">
        <v>11510000</v>
      </c>
    </row>
    <row r="482" spans="1:6">
      <c r="A482" s="74" t="s">
        <v>233</v>
      </c>
      <c r="B482" s="11">
        <v>26520</v>
      </c>
      <c r="C482" s="11">
        <v>7265</v>
      </c>
      <c r="D482" s="11">
        <v>11530000</v>
      </c>
    </row>
    <row r="483" spans="1:6">
      <c r="A483" s="72" t="s">
        <v>234</v>
      </c>
      <c r="B483" s="11">
        <v>26520</v>
      </c>
      <c r="C483" s="11">
        <v>7325</v>
      </c>
      <c r="D483" s="11">
        <v>11610000</v>
      </c>
    </row>
    <row r="484" spans="1:6">
      <c r="A484" s="72">
        <v>0.625</v>
      </c>
      <c r="B484" s="11">
        <v>26520</v>
      </c>
      <c r="C484" s="11">
        <v>7320</v>
      </c>
      <c r="D484" s="11">
        <v>11560000</v>
      </c>
    </row>
    <row r="485" spans="1:6">
      <c r="A485" s="73" t="s">
        <v>235</v>
      </c>
      <c r="B485" s="11">
        <v>26520</v>
      </c>
      <c r="C485" s="11">
        <v>7320</v>
      </c>
      <c r="D485" s="11">
        <v>11590000</v>
      </c>
    </row>
    <row r="486" spans="1:6">
      <c r="A486" s="73" t="s">
        <v>236</v>
      </c>
      <c r="B486" s="11">
        <v>26520</v>
      </c>
      <c r="C486" s="11">
        <v>7320</v>
      </c>
      <c r="D486" s="11">
        <v>11630000</v>
      </c>
    </row>
    <row r="489" spans="1:6">
      <c r="A489" s="87" t="s">
        <v>301</v>
      </c>
      <c r="B489" s="87"/>
      <c r="C489" s="87"/>
      <c r="D489" s="87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72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73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4" t="s">
        <v>233</v>
      </c>
      <c r="B493" s="11"/>
      <c r="C493" s="11"/>
      <c r="D493" s="11"/>
    </row>
    <row r="494" spans="1:6">
      <c r="A494" s="72" t="s">
        <v>234</v>
      </c>
      <c r="B494" s="11"/>
      <c r="C494" s="11"/>
      <c r="D494" s="11"/>
    </row>
    <row r="495" spans="1:6">
      <c r="A495" s="72">
        <v>0.625</v>
      </c>
      <c r="B495" s="11"/>
      <c r="C495" s="11"/>
      <c r="D495" s="11"/>
    </row>
    <row r="496" spans="1:6">
      <c r="A496" s="73" t="s">
        <v>235</v>
      </c>
      <c r="B496" s="11"/>
      <c r="C496" s="11"/>
      <c r="D496" s="11"/>
    </row>
    <row r="497" spans="1:4">
      <c r="A497" s="73" t="s">
        <v>236</v>
      </c>
      <c r="B497" s="11"/>
      <c r="C497" s="11"/>
      <c r="D497" s="11"/>
    </row>
    <row r="500" spans="1:4">
      <c r="A500" s="87" t="s">
        <v>304</v>
      </c>
      <c r="B500" s="87"/>
      <c r="C500" s="87"/>
      <c r="D500" s="87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72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73" t="s">
        <v>232</v>
      </c>
      <c r="B503" s="11">
        <v>26530</v>
      </c>
      <c r="C503" s="11">
        <v>7310</v>
      </c>
      <c r="D503" s="11">
        <v>11790000</v>
      </c>
    </row>
    <row r="504" spans="1:4">
      <c r="A504" s="74" t="s">
        <v>233</v>
      </c>
      <c r="B504" s="11">
        <v>26550</v>
      </c>
      <c r="C504" s="11">
        <v>7300</v>
      </c>
      <c r="D504" s="11">
        <v>11770000</v>
      </c>
    </row>
    <row r="505" spans="1:4">
      <c r="A505" s="72" t="s">
        <v>234</v>
      </c>
      <c r="B505" s="11">
        <v>26620</v>
      </c>
      <c r="C505" s="11">
        <v>7285</v>
      </c>
      <c r="D505" s="11">
        <v>11710000</v>
      </c>
    </row>
    <row r="506" spans="1:4">
      <c r="A506" s="72">
        <v>0.625</v>
      </c>
      <c r="B506" s="11">
        <v>26580</v>
      </c>
      <c r="C506" s="11">
        <v>7285</v>
      </c>
      <c r="D506" s="11">
        <v>11730000</v>
      </c>
    </row>
    <row r="507" spans="1:4">
      <c r="A507" s="73" t="s">
        <v>235</v>
      </c>
      <c r="B507" s="11">
        <v>26580</v>
      </c>
      <c r="C507" s="11">
        <v>7285</v>
      </c>
      <c r="D507" s="11">
        <v>11700000</v>
      </c>
    </row>
    <row r="508" spans="1:4">
      <c r="A508" s="73" t="s">
        <v>236</v>
      </c>
      <c r="B508" s="11">
        <v>26580</v>
      </c>
      <c r="C508" s="11">
        <v>7285</v>
      </c>
      <c r="D508" s="11">
        <v>11690000</v>
      </c>
    </row>
    <row r="511" spans="1:4">
      <c r="A511" s="87" t="s">
        <v>305</v>
      </c>
      <c r="B511" s="87"/>
      <c r="C511" s="87"/>
      <c r="D511" s="87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72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73" t="s">
        <v>232</v>
      </c>
      <c r="B514" s="11">
        <v>26650</v>
      </c>
      <c r="C514" s="11">
        <v>7320</v>
      </c>
      <c r="D514" s="11">
        <v>11830000</v>
      </c>
    </row>
    <row r="515" spans="1:4">
      <c r="A515" s="74" t="s">
        <v>233</v>
      </c>
      <c r="B515" s="11">
        <v>26620</v>
      </c>
      <c r="C515" s="11">
        <v>7320</v>
      </c>
      <c r="D515" s="11">
        <v>11820000</v>
      </c>
    </row>
    <row r="516" spans="1:4">
      <c r="A516" s="72" t="s">
        <v>234</v>
      </c>
      <c r="B516" s="11">
        <v>26660</v>
      </c>
      <c r="C516" s="11">
        <v>7320</v>
      </c>
      <c r="D516" s="11">
        <v>11820000</v>
      </c>
    </row>
    <row r="517" spans="1:4">
      <c r="A517" s="72">
        <v>0.625</v>
      </c>
      <c r="B517" s="11">
        <v>26660</v>
      </c>
      <c r="C517" s="11">
        <v>7320</v>
      </c>
      <c r="D517" s="11">
        <v>11850000</v>
      </c>
    </row>
    <row r="518" spans="1:4">
      <c r="A518" s="73" t="s">
        <v>235</v>
      </c>
      <c r="B518" s="11">
        <v>26660</v>
      </c>
      <c r="C518" s="11">
        <v>7320</v>
      </c>
      <c r="D518" s="11">
        <v>11950000</v>
      </c>
    </row>
    <row r="519" spans="1:4">
      <c r="A519" s="73" t="s">
        <v>236</v>
      </c>
      <c r="B519" s="11">
        <v>26660</v>
      </c>
      <c r="C519" s="11">
        <v>7320</v>
      </c>
      <c r="D519" s="11">
        <v>11920000</v>
      </c>
    </row>
    <row r="522" spans="1:4">
      <c r="A522" s="87" t="s">
        <v>306</v>
      </c>
      <c r="B522" s="87"/>
      <c r="C522" s="87"/>
      <c r="D522" s="87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72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73" t="s">
        <v>232</v>
      </c>
      <c r="B525" s="11">
        <v>27500</v>
      </c>
      <c r="C525" s="11">
        <v>7560</v>
      </c>
      <c r="D525" s="11">
        <v>12100000</v>
      </c>
    </row>
    <row r="526" spans="1:4">
      <c r="A526" s="74" t="s">
        <v>233</v>
      </c>
      <c r="B526" s="11">
        <v>27400</v>
      </c>
      <c r="C526" s="11">
        <v>7505</v>
      </c>
      <c r="D526" s="11">
        <v>12120000</v>
      </c>
    </row>
    <row r="527" spans="1:4">
      <c r="A527" s="72" t="s">
        <v>234</v>
      </c>
      <c r="B527" s="11">
        <v>27390</v>
      </c>
      <c r="C527" s="11">
        <v>7485</v>
      </c>
      <c r="D527" s="11">
        <v>12070000</v>
      </c>
    </row>
    <row r="528" spans="1:4">
      <c r="A528" s="72">
        <v>0.625</v>
      </c>
      <c r="B528" s="11">
        <v>27390</v>
      </c>
      <c r="C528" s="11">
        <v>7500</v>
      </c>
      <c r="D528" s="11">
        <v>12030000</v>
      </c>
    </row>
    <row r="529" spans="1:4">
      <c r="A529" s="73" t="s">
        <v>235</v>
      </c>
      <c r="B529" s="11">
        <v>27390</v>
      </c>
      <c r="C529" s="11">
        <v>7500</v>
      </c>
      <c r="D529" s="11">
        <v>12020000</v>
      </c>
    </row>
    <row r="530" spans="1:4">
      <c r="A530" s="73" t="s">
        <v>236</v>
      </c>
      <c r="B530" s="11">
        <v>27390</v>
      </c>
      <c r="C530" s="11">
        <v>7500</v>
      </c>
      <c r="D530" s="11">
        <v>11970000</v>
      </c>
    </row>
    <row r="533" spans="1:4">
      <c r="A533" s="87" t="s">
        <v>307</v>
      </c>
      <c r="B533" s="87"/>
      <c r="C533" s="87"/>
      <c r="D533" s="87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72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73" t="s">
        <v>232</v>
      </c>
      <c r="B536" s="11">
        <v>27360</v>
      </c>
      <c r="C536" s="11">
        <v>7500</v>
      </c>
      <c r="D536" s="11">
        <v>11960000</v>
      </c>
    </row>
    <row r="537" spans="1:4">
      <c r="A537" s="74" t="s">
        <v>233</v>
      </c>
      <c r="B537" s="11">
        <v>27410</v>
      </c>
      <c r="C537" s="11">
        <v>7490</v>
      </c>
      <c r="D537" s="11">
        <v>12030000</v>
      </c>
    </row>
    <row r="538" spans="1:4">
      <c r="A538" s="72" t="s">
        <v>234</v>
      </c>
      <c r="B538" s="11">
        <v>27460</v>
      </c>
      <c r="C538" s="11">
        <v>7530</v>
      </c>
      <c r="D538" s="11">
        <v>12090000</v>
      </c>
    </row>
    <row r="539" spans="1:4">
      <c r="A539" s="72">
        <v>0.625</v>
      </c>
      <c r="B539" s="11">
        <v>27460</v>
      </c>
      <c r="C539" s="11">
        <v>7520</v>
      </c>
      <c r="D539" s="11">
        <v>12180000</v>
      </c>
    </row>
    <row r="540" spans="1:4">
      <c r="A540" s="73" t="s">
        <v>235</v>
      </c>
      <c r="B540" s="11">
        <v>27460</v>
      </c>
      <c r="C540" s="11">
        <v>7520</v>
      </c>
      <c r="D540" s="11">
        <v>12180000</v>
      </c>
    </row>
    <row r="541" spans="1:4">
      <c r="A541" s="73" t="s">
        <v>236</v>
      </c>
      <c r="B541" s="11">
        <v>27460</v>
      </c>
      <c r="C541" s="11">
        <v>7520</v>
      </c>
      <c r="D541" s="11">
        <v>12160000</v>
      </c>
    </row>
    <row r="544" spans="1:4">
      <c r="A544" s="87" t="s">
        <v>308</v>
      </c>
      <c r="B544" s="87"/>
      <c r="C544" s="87"/>
      <c r="D544" s="87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72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73" t="s">
        <v>232</v>
      </c>
      <c r="B547" s="11">
        <v>27750</v>
      </c>
      <c r="C547" s="11">
        <v>7580</v>
      </c>
      <c r="D547" s="11">
        <v>12240000</v>
      </c>
    </row>
    <row r="548" spans="1:6">
      <c r="A548" s="74" t="s">
        <v>233</v>
      </c>
      <c r="B548" s="11">
        <v>27730</v>
      </c>
      <c r="C548" s="11">
        <v>7590</v>
      </c>
      <c r="D548" s="11">
        <v>12250000</v>
      </c>
    </row>
    <row r="549" spans="1:6">
      <c r="A549" s="72" t="s">
        <v>234</v>
      </c>
      <c r="B549" s="11">
        <v>27730</v>
      </c>
      <c r="C549" s="11">
        <v>7570</v>
      </c>
      <c r="D549" s="11">
        <v>12240000</v>
      </c>
    </row>
    <row r="550" spans="1:6">
      <c r="A550" s="72">
        <v>0.625</v>
      </c>
      <c r="B550" s="11">
        <v>27730</v>
      </c>
      <c r="C550" s="11">
        <v>7570</v>
      </c>
      <c r="D550" s="11">
        <v>12150000</v>
      </c>
    </row>
    <row r="551" spans="1:6">
      <c r="A551" s="73" t="s">
        <v>235</v>
      </c>
      <c r="B551" s="11">
        <v>27730</v>
      </c>
      <c r="C551" s="11">
        <v>7570</v>
      </c>
      <c r="D551" s="11">
        <v>12160000</v>
      </c>
    </row>
    <row r="552" spans="1:6">
      <c r="A552" s="73" t="s">
        <v>236</v>
      </c>
      <c r="B552" s="11">
        <v>27730</v>
      </c>
      <c r="C552" s="11">
        <v>7570</v>
      </c>
      <c r="D552" s="11">
        <v>12100000</v>
      </c>
    </row>
    <row r="555" spans="1:6">
      <c r="A555" s="87" t="s">
        <v>309</v>
      </c>
      <c r="B555" s="87"/>
      <c r="C555" s="87"/>
      <c r="D555" s="87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72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73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4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72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72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73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73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87" t="s">
        <v>309</v>
      </c>
      <c r="B567" s="87"/>
      <c r="C567" s="87"/>
      <c r="D567" s="87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72">
        <v>0.45833333333333298</v>
      </c>
      <c r="B569" s="11">
        <v>27920</v>
      </c>
      <c r="C569" s="11"/>
      <c r="D569" s="11"/>
      <c r="E569" s="77">
        <v>12000000</v>
      </c>
      <c r="F569" s="77">
        <v>1100</v>
      </c>
    </row>
    <row r="570" spans="1:6">
      <c r="A570" s="73" t="s">
        <v>232</v>
      </c>
      <c r="B570" s="11">
        <v>27920</v>
      </c>
      <c r="C570" s="11"/>
      <c r="D570" s="11"/>
      <c r="E570" s="77">
        <v>12020000</v>
      </c>
      <c r="F570" t="s">
        <v>312</v>
      </c>
    </row>
    <row r="571" spans="1:6">
      <c r="A571" s="74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72" t="s">
        <v>234</v>
      </c>
      <c r="B572" s="11"/>
      <c r="C572" s="11"/>
      <c r="D572" s="11"/>
    </row>
    <row r="573" spans="1:6">
      <c r="A573" s="72">
        <v>0.625</v>
      </c>
      <c r="B573" s="11"/>
      <c r="C573" s="11"/>
      <c r="D573" s="11"/>
      <c r="E573">
        <f>230000/E563</f>
        <v>1.8806214227309895E-2</v>
      </c>
    </row>
    <row r="574" spans="1:6">
      <c r="A574" s="73" t="s">
        <v>235</v>
      </c>
      <c r="B574" s="11"/>
      <c r="C574" s="11"/>
      <c r="D574" s="11"/>
    </row>
    <row r="575" spans="1:6">
      <c r="A575" s="73" t="s">
        <v>236</v>
      </c>
      <c r="B575" s="11"/>
      <c r="C575" s="11"/>
      <c r="D575" s="11"/>
    </row>
    <row r="579" spans="1:5">
      <c r="A579" s="87" t="s">
        <v>314</v>
      </c>
      <c r="B579" s="87"/>
      <c r="C579" s="87"/>
      <c r="D579" s="87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72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73" t="s">
        <v>232</v>
      </c>
      <c r="B582" s="11">
        <v>28320</v>
      </c>
      <c r="C582" s="11">
        <v>7720</v>
      </c>
      <c r="D582" s="11">
        <v>12330000</v>
      </c>
    </row>
    <row r="583" spans="1:5">
      <c r="A583" s="74" t="s">
        <v>233</v>
      </c>
      <c r="B583" s="11">
        <v>28170</v>
      </c>
      <c r="C583" s="11">
        <v>7670</v>
      </c>
      <c r="D583" s="11">
        <v>12220000</v>
      </c>
    </row>
    <row r="584" spans="1:5">
      <c r="A584" s="72" t="s">
        <v>234</v>
      </c>
      <c r="B584" s="11">
        <v>28260</v>
      </c>
      <c r="C584" s="11">
        <v>7700</v>
      </c>
      <c r="D584" s="11">
        <v>12220000</v>
      </c>
    </row>
    <row r="585" spans="1:5">
      <c r="A585" s="72">
        <v>0.625</v>
      </c>
      <c r="B585" s="11">
        <v>28260</v>
      </c>
      <c r="C585" s="11">
        <v>7685</v>
      </c>
      <c r="D585" s="11">
        <v>12190000</v>
      </c>
      <c r="E585" s="77"/>
    </row>
    <row r="586" spans="1:5">
      <c r="A586" s="73" t="s">
        <v>235</v>
      </c>
      <c r="B586" s="11">
        <v>28260</v>
      </c>
      <c r="C586" s="11">
        <v>7685</v>
      </c>
      <c r="D586" s="11">
        <v>12200000</v>
      </c>
      <c r="E586" s="78"/>
    </row>
    <row r="587" spans="1:5">
      <c r="A587" s="73" t="s">
        <v>236</v>
      </c>
      <c r="B587" s="11">
        <v>28260</v>
      </c>
      <c r="C587" s="11">
        <v>7685</v>
      </c>
      <c r="D587" s="11">
        <v>12210000</v>
      </c>
    </row>
    <row r="590" spans="1:5">
      <c r="A590" s="87" t="s">
        <v>315</v>
      </c>
      <c r="B590" s="87"/>
      <c r="C590" s="87"/>
      <c r="D590" s="87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72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73" t="s">
        <v>232</v>
      </c>
      <c r="B593" s="11">
        <v>27980</v>
      </c>
      <c r="C593" s="11">
        <v>7635</v>
      </c>
      <c r="D593" s="11">
        <v>12040000</v>
      </c>
    </row>
    <row r="594" spans="1:5">
      <c r="A594" s="74" t="s">
        <v>233</v>
      </c>
      <c r="B594" s="11">
        <v>27850</v>
      </c>
      <c r="C594" s="11">
        <v>7600</v>
      </c>
      <c r="D594" s="11">
        <v>12060000</v>
      </c>
    </row>
    <row r="595" spans="1:5">
      <c r="A595" s="72" t="s">
        <v>234</v>
      </c>
      <c r="B595" s="11">
        <v>27830</v>
      </c>
      <c r="C595" s="11">
        <v>7600</v>
      </c>
      <c r="D595" s="11">
        <v>12030000</v>
      </c>
    </row>
    <row r="596" spans="1:5">
      <c r="A596" s="72">
        <v>0.625</v>
      </c>
      <c r="B596" s="11">
        <v>27830</v>
      </c>
      <c r="C596" s="11">
        <v>7540</v>
      </c>
      <c r="D596" s="11">
        <v>12000000</v>
      </c>
      <c r="E596" s="77"/>
    </row>
    <row r="597" spans="1:5">
      <c r="A597" s="73" t="s">
        <v>235</v>
      </c>
      <c r="B597" s="11">
        <v>27830</v>
      </c>
      <c r="C597" s="11">
        <v>7540</v>
      </c>
      <c r="D597" s="11">
        <v>12000000</v>
      </c>
      <c r="E597" s="78"/>
    </row>
    <row r="598" spans="1:5">
      <c r="A598" s="73" t="s">
        <v>236</v>
      </c>
      <c r="B598" s="11">
        <v>27830</v>
      </c>
      <c r="C598" s="11">
        <v>7540</v>
      </c>
      <c r="D598" s="11">
        <v>12020000</v>
      </c>
    </row>
    <row r="601" spans="1:5">
      <c r="A601" s="87" t="s">
        <v>316</v>
      </c>
      <c r="B601" s="87"/>
      <c r="C601" s="87"/>
      <c r="D601" s="87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72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73" t="s">
        <v>232</v>
      </c>
      <c r="B604" s="11">
        <v>27150</v>
      </c>
      <c r="C604" s="11">
        <v>7435</v>
      </c>
      <c r="D604">
        <v>11850000</v>
      </c>
    </row>
    <row r="605" spans="1:5">
      <c r="A605" s="74" t="s">
        <v>233</v>
      </c>
      <c r="B605" s="11">
        <v>26900</v>
      </c>
      <c r="C605" s="11">
        <v>7380</v>
      </c>
      <c r="D605">
        <v>11780000</v>
      </c>
    </row>
    <row r="606" spans="1:5">
      <c r="A606" s="72" t="s">
        <v>234</v>
      </c>
      <c r="B606" s="11">
        <v>26900</v>
      </c>
      <c r="C606" s="11">
        <v>7420</v>
      </c>
      <c r="D606">
        <v>11800000</v>
      </c>
    </row>
    <row r="607" spans="1:5">
      <c r="A607" s="72">
        <v>0.625</v>
      </c>
      <c r="B607" s="11">
        <v>26900</v>
      </c>
      <c r="C607" s="11">
        <v>7420</v>
      </c>
      <c r="D607">
        <v>11850000</v>
      </c>
    </row>
    <row r="608" spans="1:5">
      <c r="A608" s="73" t="s">
        <v>235</v>
      </c>
      <c r="B608" s="11">
        <v>26900</v>
      </c>
      <c r="C608" s="11">
        <v>7420</v>
      </c>
      <c r="D608">
        <v>11820000</v>
      </c>
    </row>
    <row r="609" spans="1:4">
      <c r="A609" s="73" t="s">
        <v>236</v>
      </c>
      <c r="B609" s="11">
        <v>26900</v>
      </c>
      <c r="C609" s="11">
        <v>7420</v>
      </c>
      <c r="D609">
        <v>11850000</v>
      </c>
    </row>
    <row r="612" spans="1:4">
      <c r="A612" s="87" t="s">
        <v>317</v>
      </c>
      <c r="B612" s="87"/>
      <c r="C612" s="87"/>
      <c r="D612" s="87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72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73" t="s">
        <v>232</v>
      </c>
      <c r="B615" s="11">
        <v>27310</v>
      </c>
      <c r="C615" s="11">
        <v>7490</v>
      </c>
      <c r="D615">
        <v>12010000</v>
      </c>
    </row>
    <row r="616" spans="1:4">
      <c r="A616" s="74" t="s">
        <v>233</v>
      </c>
      <c r="B616" s="11">
        <v>27260</v>
      </c>
      <c r="C616" s="11">
        <v>7445</v>
      </c>
      <c r="D616">
        <v>11990000</v>
      </c>
    </row>
    <row r="617" spans="1:4">
      <c r="A617" s="72" t="s">
        <v>234</v>
      </c>
      <c r="B617" s="11">
        <v>27250</v>
      </c>
      <c r="C617" s="11">
        <v>7440</v>
      </c>
      <c r="D617">
        <v>11980000</v>
      </c>
    </row>
    <row r="618" spans="1:4">
      <c r="A618" s="72">
        <v>0.625</v>
      </c>
      <c r="B618" s="11">
        <v>27250</v>
      </c>
      <c r="C618" s="11">
        <v>7440</v>
      </c>
      <c r="D618">
        <v>11960000</v>
      </c>
    </row>
    <row r="619" spans="1:4">
      <c r="A619" s="73" t="s">
        <v>235</v>
      </c>
      <c r="B619" s="11">
        <v>27250</v>
      </c>
      <c r="C619" s="11">
        <v>7440</v>
      </c>
      <c r="D619">
        <v>11980000</v>
      </c>
    </row>
    <row r="620" spans="1:4">
      <c r="A620" s="73" t="s">
        <v>236</v>
      </c>
      <c r="B620" s="11">
        <v>27250</v>
      </c>
      <c r="C620" s="11">
        <v>7440</v>
      </c>
      <c r="D620">
        <v>11990000</v>
      </c>
    </row>
    <row r="623" spans="1:4">
      <c r="A623" s="87" t="s">
        <v>318</v>
      </c>
      <c r="B623" s="87"/>
      <c r="C623" s="87"/>
      <c r="D623" s="87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72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73" t="s">
        <v>232</v>
      </c>
      <c r="B626" s="11">
        <v>27240</v>
      </c>
      <c r="C626" s="11">
        <v>7410</v>
      </c>
      <c r="D626">
        <v>11970000</v>
      </c>
    </row>
    <row r="627" spans="1:6">
      <c r="A627" s="74" t="s">
        <v>233</v>
      </c>
      <c r="B627" s="11">
        <v>27170</v>
      </c>
      <c r="C627" s="11">
        <v>7410</v>
      </c>
      <c r="D627">
        <v>11930000</v>
      </c>
    </row>
    <row r="628" spans="1:6">
      <c r="A628" s="72" t="s">
        <v>234</v>
      </c>
      <c r="B628" s="11">
        <v>27130</v>
      </c>
      <c r="C628" s="11">
        <v>7400</v>
      </c>
      <c r="D628">
        <v>11880000</v>
      </c>
    </row>
    <row r="629" spans="1:6">
      <c r="A629" s="72">
        <v>0.625</v>
      </c>
      <c r="B629" s="11">
        <v>27130</v>
      </c>
      <c r="C629" s="11">
        <v>7375</v>
      </c>
      <c r="D629">
        <v>11890000</v>
      </c>
    </row>
    <row r="630" spans="1:6">
      <c r="A630" s="73" t="s">
        <v>235</v>
      </c>
      <c r="B630" s="11">
        <v>27130</v>
      </c>
      <c r="C630" s="11">
        <v>7375</v>
      </c>
      <c r="D630">
        <v>11890000</v>
      </c>
    </row>
    <row r="631" spans="1:6">
      <c r="A631" s="73" t="s">
        <v>236</v>
      </c>
      <c r="B631" s="11">
        <v>27130</v>
      </c>
      <c r="C631" s="11">
        <v>7375</v>
      </c>
      <c r="D631">
        <v>11890000</v>
      </c>
    </row>
    <row r="635" spans="1:6">
      <c r="A635" s="87" t="s">
        <v>319</v>
      </c>
      <c r="B635" s="87"/>
      <c r="C635" s="87"/>
      <c r="D635" s="87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72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73" t="s">
        <v>232</v>
      </c>
      <c r="B638" s="11">
        <v>27190</v>
      </c>
      <c r="C638" s="11"/>
    </row>
    <row r="639" spans="1:6">
      <c r="A639" s="74" t="s">
        <v>233</v>
      </c>
      <c r="B639" s="11"/>
      <c r="C639" s="11"/>
    </row>
    <row r="640" spans="1:6">
      <c r="A640" s="72" t="s">
        <v>234</v>
      </c>
      <c r="B640" s="11"/>
      <c r="C640" s="11"/>
    </row>
    <row r="641" spans="1:4">
      <c r="A641" s="72">
        <v>0.625</v>
      </c>
      <c r="B641" s="11"/>
      <c r="C641" s="11"/>
    </row>
    <row r="642" spans="1:4">
      <c r="A642" s="73" t="s">
        <v>235</v>
      </c>
      <c r="B642" s="11"/>
      <c r="C642" s="11"/>
    </row>
    <row r="643" spans="1:4">
      <c r="A643" s="73" t="s">
        <v>236</v>
      </c>
      <c r="B643" s="11"/>
      <c r="C643" s="11"/>
    </row>
    <row r="647" spans="1:4">
      <c r="A647" s="87" t="s">
        <v>321</v>
      </c>
      <c r="B647" s="87"/>
      <c r="C647" s="87"/>
      <c r="D647" s="87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72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73" t="s">
        <v>232</v>
      </c>
      <c r="B650" s="11">
        <v>27150</v>
      </c>
      <c r="C650" s="11">
        <v>7420</v>
      </c>
      <c r="D650">
        <v>11930000</v>
      </c>
    </row>
    <row r="651" spans="1:4">
      <c r="A651" s="74" t="s">
        <v>233</v>
      </c>
      <c r="B651" s="11">
        <v>27180</v>
      </c>
      <c r="C651" s="11">
        <v>7410</v>
      </c>
      <c r="D651">
        <v>11990000</v>
      </c>
    </row>
    <row r="652" spans="1:4">
      <c r="A652" s="72" t="s">
        <v>234</v>
      </c>
      <c r="B652" s="11">
        <v>27050</v>
      </c>
      <c r="C652" s="11">
        <v>7405</v>
      </c>
      <c r="D652">
        <v>12010000</v>
      </c>
    </row>
    <row r="653" spans="1:4">
      <c r="A653" s="72">
        <v>0.625</v>
      </c>
      <c r="B653" s="11">
        <v>27050</v>
      </c>
      <c r="C653" s="11">
        <v>7390</v>
      </c>
      <c r="D653">
        <v>11900000</v>
      </c>
    </row>
    <row r="654" spans="1:4">
      <c r="A654" s="73" t="s">
        <v>235</v>
      </c>
      <c r="B654" s="11">
        <v>27050</v>
      </c>
      <c r="C654" s="11">
        <v>7390</v>
      </c>
      <c r="D654">
        <v>11980000</v>
      </c>
    </row>
    <row r="655" spans="1:4">
      <c r="A655" s="73" t="s">
        <v>236</v>
      </c>
      <c r="B655" s="11">
        <v>27050</v>
      </c>
      <c r="C655" s="11">
        <v>7390</v>
      </c>
      <c r="D655">
        <v>11990000</v>
      </c>
    </row>
    <row r="658" spans="1:4">
      <c r="A658" s="87" t="s">
        <v>322</v>
      </c>
      <c r="B658" s="87"/>
      <c r="C658" s="87"/>
      <c r="D658" s="87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72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73" t="s">
        <v>232</v>
      </c>
      <c r="B661" s="11">
        <v>27210</v>
      </c>
      <c r="C661" s="11">
        <v>7400</v>
      </c>
      <c r="D661">
        <v>12090000</v>
      </c>
    </row>
    <row r="662" spans="1:4">
      <c r="A662" s="74" t="s">
        <v>233</v>
      </c>
      <c r="B662" s="11">
        <v>27220</v>
      </c>
      <c r="C662" s="11">
        <v>7420</v>
      </c>
      <c r="D662">
        <v>12150000</v>
      </c>
    </row>
    <row r="663" spans="1:4">
      <c r="A663" s="72" t="s">
        <v>234</v>
      </c>
      <c r="B663" s="11">
        <v>27190</v>
      </c>
      <c r="C663" s="11">
        <v>7410</v>
      </c>
      <c r="D663">
        <v>12140000</v>
      </c>
    </row>
    <row r="664" spans="1:4">
      <c r="A664" s="72">
        <v>0.625</v>
      </c>
      <c r="B664" s="11">
        <v>27190</v>
      </c>
      <c r="C664" s="11">
        <v>7410</v>
      </c>
      <c r="D664">
        <v>12110000</v>
      </c>
    </row>
    <row r="665" spans="1:4">
      <c r="A665" s="73" t="s">
        <v>235</v>
      </c>
      <c r="B665" s="11">
        <v>27190</v>
      </c>
      <c r="C665" s="11">
        <v>7410</v>
      </c>
      <c r="D665">
        <v>12090000</v>
      </c>
    </row>
    <row r="666" spans="1:4">
      <c r="A666" s="73" t="s">
        <v>236</v>
      </c>
      <c r="B666" s="11">
        <v>27190</v>
      </c>
      <c r="C666" s="11">
        <v>7410</v>
      </c>
      <c r="D666">
        <v>12130000</v>
      </c>
    </row>
    <row r="670" spans="1:4">
      <c r="A670" s="87" t="s">
        <v>323</v>
      </c>
      <c r="B670" s="87"/>
      <c r="C670" s="87"/>
      <c r="D670" s="87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72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73" t="s">
        <v>232</v>
      </c>
      <c r="B673" s="11">
        <v>27050</v>
      </c>
      <c r="C673" s="11">
        <v>7400</v>
      </c>
      <c r="D673">
        <v>12070000</v>
      </c>
    </row>
    <row r="674" spans="1:4">
      <c r="A674" s="74" t="s">
        <v>233</v>
      </c>
      <c r="B674" s="11">
        <v>27000</v>
      </c>
      <c r="C674" s="11">
        <v>7370</v>
      </c>
      <c r="D674">
        <v>12040000</v>
      </c>
    </row>
    <row r="675" spans="1:4">
      <c r="A675" s="72" t="s">
        <v>234</v>
      </c>
      <c r="B675" s="11">
        <v>27020</v>
      </c>
      <c r="C675" s="11">
        <v>7390</v>
      </c>
      <c r="D675">
        <v>12030000</v>
      </c>
    </row>
    <row r="676" spans="1:4">
      <c r="A676" s="72">
        <v>0.625</v>
      </c>
      <c r="B676" s="11">
        <v>27010</v>
      </c>
      <c r="C676" s="11">
        <v>7385</v>
      </c>
      <c r="D676">
        <v>12060000</v>
      </c>
    </row>
    <row r="677" spans="1:4">
      <c r="A677" s="73" t="s">
        <v>235</v>
      </c>
      <c r="B677" s="11">
        <v>27010</v>
      </c>
      <c r="C677" s="11">
        <v>7385</v>
      </c>
      <c r="D677">
        <v>12030000</v>
      </c>
    </row>
    <row r="678" spans="1:4">
      <c r="A678" s="73" t="s">
        <v>236</v>
      </c>
      <c r="B678" s="11">
        <v>27010</v>
      </c>
      <c r="C678" s="11">
        <v>7385</v>
      </c>
      <c r="D678">
        <v>12050000</v>
      </c>
    </row>
    <row r="681" spans="1:4">
      <c r="A681" s="87" t="s">
        <v>324</v>
      </c>
      <c r="B681" s="87"/>
      <c r="C681" s="87"/>
      <c r="D681" s="87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72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73" t="s">
        <v>232</v>
      </c>
      <c r="B684" s="11">
        <v>27170</v>
      </c>
      <c r="C684" s="11">
        <v>7405</v>
      </c>
      <c r="D684">
        <v>12110000</v>
      </c>
    </row>
    <row r="685" spans="1:4">
      <c r="A685" s="74" t="s">
        <v>233</v>
      </c>
      <c r="B685" s="11">
        <v>27080</v>
      </c>
      <c r="C685" s="11">
        <v>7420</v>
      </c>
      <c r="D685">
        <v>12080000</v>
      </c>
    </row>
    <row r="686" spans="1:4">
      <c r="A686" s="72" t="s">
        <v>234</v>
      </c>
      <c r="B686" s="11">
        <v>27120</v>
      </c>
      <c r="C686" s="11">
        <v>7410</v>
      </c>
      <c r="D686">
        <v>12080000</v>
      </c>
    </row>
    <row r="687" spans="1:4">
      <c r="A687" s="72">
        <v>0.625</v>
      </c>
      <c r="B687" s="11">
        <v>27120</v>
      </c>
      <c r="C687" s="11">
        <v>7410</v>
      </c>
      <c r="D687">
        <v>12080000</v>
      </c>
    </row>
    <row r="688" spans="1:4">
      <c r="A688" s="73" t="s">
        <v>235</v>
      </c>
      <c r="B688" s="11">
        <v>27120</v>
      </c>
      <c r="C688" s="11">
        <v>7410</v>
      </c>
      <c r="D688">
        <v>12110000</v>
      </c>
    </row>
    <row r="689" spans="1:4">
      <c r="A689" s="73" t="s">
        <v>236</v>
      </c>
      <c r="B689" s="11">
        <v>27120</v>
      </c>
      <c r="C689" s="11">
        <v>7410</v>
      </c>
      <c r="D689">
        <v>12140000</v>
      </c>
    </row>
    <row r="692" spans="1:4">
      <c r="A692" s="87" t="s">
        <v>325</v>
      </c>
      <c r="B692" s="87"/>
      <c r="C692" s="87"/>
      <c r="D692" s="87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72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73" t="s">
        <v>232</v>
      </c>
      <c r="B695" s="11">
        <v>27510</v>
      </c>
      <c r="C695" s="11">
        <v>7530</v>
      </c>
      <c r="D695">
        <v>12160000</v>
      </c>
    </row>
    <row r="696" spans="1:4">
      <c r="A696" s="74" t="s">
        <v>233</v>
      </c>
      <c r="B696" s="11">
        <v>27560</v>
      </c>
      <c r="C696" s="11">
        <v>7540</v>
      </c>
      <c r="D696">
        <v>12190000</v>
      </c>
    </row>
    <row r="697" spans="1:4">
      <c r="A697" s="72" t="s">
        <v>234</v>
      </c>
      <c r="B697" s="11">
        <v>27530</v>
      </c>
      <c r="C697" s="11">
        <v>7545</v>
      </c>
      <c r="D697">
        <v>12180000</v>
      </c>
    </row>
    <row r="698" spans="1:4">
      <c r="A698" s="72">
        <v>0.625</v>
      </c>
      <c r="B698" s="11">
        <v>27530</v>
      </c>
      <c r="C698" s="11">
        <v>7550</v>
      </c>
      <c r="D698">
        <v>12190000</v>
      </c>
    </row>
    <row r="699" spans="1:4">
      <c r="A699" s="73" t="s">
        <v>235</v>
      </c>
      <c r="B699" s="11">
        <v>27530</v>
      </c>
      <c r="C699" s="11">
        <v>7570</v>
      </c>
      <c r="D699">
        <v>12210000</v>
      </c>
    </row>
    <row r="700" spans="1:4">
      <c r="A700" s="73" t="s">
        <v>236</v>
      </c>
      <c r="B700" s="11">
        <v>27530</v>
      </c>
      <c r="C700" s="11">
        <v>7570</v>
      </c>
      <c r="D700">
        <v>12200000</v>
      </c>
    </row>
    <row r="703" spans="1:4">
      <c r="A703" s="87" t="s">
        <v>326</v>
      </c>
      <c r="B703" s="87"/>
      <c r="C703" s="87"/>
      <c r="D703" s="87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72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73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4" t="s">
        <v>233</v>
      </c>
      <c r="B707" s="11">
        <v>27620</v>
      </c>
      <c r="C707" s="11"/>
    </row>
    <row r="708" spans="1:6">
      <c r="A708" s="72" t="s">
        <v>234</v>
      </c>
      <c r="B708" s="11">
        <v>27820</v>
      </c>
      <c r="C708" s="11"/>
    </row>
    <row r="709" spans="1:6">
      <c r="A709" s="72">
        <v>0.625</v>
      </c>
      <c r="B709" s="11"/>
      <c r="C709" s="11"/>
    </row>
    <row r="710" spans="1:6">
      <c r="A710" s="73" t="s">
        <v>235</v>
      </c>
      <c r="B710" s="11"/>
      <c r="C710" s="11"/>
    </row>
    <row r="711" spans="1:6">
      <c r="A711" s="73" t="s">
        <v>236</v>
      </c>
      <c r="B711" s="11"/>
      <c r="C711" s="11"/>
    </row>
    <row r="715" spans="1:6">
      <c r="A715" s="87" t="s">
        <v>329</v>
      </c>
      <c r="B715" s="87"/>
      <c r="C715" s="87"/>
      <c r="D715" s="87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72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73" t="s">
        <v>232</v>
      </c>
      <c r="B718" s="11">
        <v>27780</v>
      </c>
      <c r="C718" s="11">
        <v>7595</v>
      </c>
      <c r="D718">
        <v>12040000</v>
      </c>
    </row>
    <row r="719" spans="1:6">
      <c r="A719" s="74" t="s">
        <v>233</v>
      </c>
      <c r="B719" s="11">
        <v>27750</v>
      </c>
      <c r="C719" s="11">
        <v>7585</v>
      </c>
      <c r="D719">
        <v>12070000</v>
      </c>
    </row>
    <row r="720" spans="1:6">
      <c r="A720" s="72" t="s">
        <v>234</v>
      </c>
      <c r="B720" s="11">
        <v>27830</v>
      </c>
      <c r="C720" s="11">
        <v>7595</v>
      </c>
      <c r="D720">
        <v>12050000</v>
      </c>
    </row>
    <row r="721" spans="1:4">
      <c r="A721" s="72">
        <v>0.625</v>
      </c>
      <c r="B721" s="11">
        <v>27830</v>
      </c>
      <c r="C721" s="11">
        <v>7590</v>
      </c>
      <c r="D721">
        <v>12080000</v>
      </c>
    </row>
    <row r="722" spans="1:4">
      <c r="A722" s="73" t="s">
        <v>235</v>
      </c>
      <c r="B722" s="11">
        <v>27830</v>
      </c>
      <c r="C722" s="11">
        <v>7590</v>
      </c>
      <c r="D722">
        <v>12080000</v>
      </c>
    </row>
    <row r="723" spans="1:4">
      <c r="A723" s="73" t="s">
        <v>236</v>
      </c>
      <c r="B723" s="11">
        <v>27830</v>
      </c>
      <c r="C723" s="11">
        <v>7590</v>
      </c>
      <c r="D723">
        <v>12020000</v>
      </c>
    </row>
    <row r="726" spans="1:4">
      <c r="A726" s="87" t="s">
        <v>330</v>
      </c>
      <c r="B726" s="87"/>
      <c r="C726" s="87"/>
      <c r="D726" s="87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72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73" t="s">
        <v>232</v>
      </c>
      <c r="B729" s="11">
        <v>27550</v>
      </c>
      <c r="C729" s="11">
        <v>7550</v>
      </c>
      <c r="D729">
        <v>11990000</v>
      </c>
    </row>
    <row r="730" spans="1:4">
      <c r="A730" s="74" t="s">
        <v>233</v>
      </c>
      <c r="B730" s="11">
        <v>27560</v>
      </c>
      <c r="C730" s="11">
        <v>7545</v>
      </c>
      <c r="D730">
        <v>12010000</v>
      </c>
    </row>
    <row r="731" spans="1:4">
      <c r="A731" s="72" t="s">
        <v>234</v>
      </c>
      <c r="B731" s="11">
        <v>27500</v>
      </c>
      <c r="C731" s="11">
        <v>7525</v>
      </c>
      <c r="D731">
        <v>11990000</v>
      </c>
    </row>
    <row r="732" spans="1:4">
      <c r="A732" s="72">
        <v>0.625</v>
      </c>
      <c r="B732" s="11">
        <v>27500</v>
      </c>
      <c r="C732" s="11">
        <v>7530</v>
      </c>
      <c r="D732">
        <v>12020000</v>
      </c>
    </row>
    <row r="733" spans="1:4">
      <c r="A733" s="73" t="s">
        <v>235</v>
      </c>
      <c r="B733" s="11">
        <v>27500</v>
      </c>
      <c r="C733" s="11">
        <v>7535</v>
      </c>
      <c r="D733">
        <v>12000000</v>
      </c>
    </row>
    <row r="734" spans="1:4">
      <c r="A734" s="73" t="s">
        <v>236</v>
      </c>
      <c r="B734" s="11">
        <v>27500</v>
      </c>
      <c r="C734" s="11">
        <v>7535</v>
      </c>
      <c r="D734">
        <v>11990000</v>
      </c>
    </row>
    <row r="738" spans="1:4">
      <c r="A738" s="87" t="s">
        <v>331</v>
      </c>
      <c r="B738" s="87"/>
      <c r="C738" s="87"/>
      <c r="D738" s="87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72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73" t="s">
        <v>232</v>
      </c>
      <c r="B741" s="11">
        <v>26900</v>
      </c>
      <c r="C741" s="11">
        <v>7390</v>
      </c>
      <c r="D741">
        <v>11780000</v>
      </c>
    </row>
    <row r="742" spans="1:4">
      <c r="A742" s="74" t="s">
        <v>233</v>
      </c>
      <c r="B742" s="11">
        <v>26990</v>
      </c>
      <c r="C742" s="11">
        <v>7430</v>
      </c>
      <c r="D742">
        <v>11790000</v>
      </c>
    </row>
    <row r="743" spans="1:4">
      <c r="A743" s="72" t="s">
        <v>234</v>
      </c>
      <c r="B743" s="11">
        <v>27100</v>
      </c>
      <c r="C743" s="11">
        <v>7430</v>
      </c>
      <c r="D743">
        <v>11810000</v>
      </c>
    </row>
    <row r="744" spans="1:4">
      <c r="A744" s="72">
        <v>0.625</v>
      </c>
      <c r="B744" s="11">
        <v>27100</v>
      </c>
      <c r="C744" s="11">
        <v>7450</v>
      </c>
      <c r="D744">
        <v>11840000</v>
      </c>
    </row>
    <row r="745" spans="1:4">
      <c r="A745" s="73" t="s">
        <v>235</v>
      </c>
      <c r="B745" s="11">
        <v>27100</v>
      </c>
      <c r="C745" s="11">
        <v>7450</v>
      </c>
      <c r="D745">
        <v>11840000</v>
      </c>
    </row>
    <row r="746" spans="1:4">
      <c r="A746" s="73" t="s">
        <v>236</v>
      </c>
      <c r="B746" s="11">
        <v>27100</v>
      </c>
      <c r="C746" s="11">
        <v>7450</v>
      </c>
      <c r="D746">
        <v>11850000</v>
      </c>
    </row>
    <row r="749" spans="1:4">
      <c r="A749" s="87" t="s">
        <v>332</v>
      </c>
      <c r="B749" s="87"/>
      <c r="C749" s="87"/>
      <c r="D749" s="87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72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73" t="s">
        <v>232</v>
      </c>
      <c r="B752" s="11">
        <v>27390</v>
      </c>
      <c r="C752" s="11">
        <v>7520</v>
      </c>
      <c r="D752">
        <v>11880000</v>
      </c>
    </row>
    <row r="753" spans="1:4">
      <c r="A753" s="74" t="s">
        <v>233</v>
      </c>
      <c r="B753" s="11">
        <v>27420</v>
      </c>
      <c r="C753" s="11">
        <v>7500</v>
      </c>
      <c r="D753">
        <v>11870000</v>
      </c>
    </row>
    <row r="754" spans="1:4">
      <c r="A754" s="72" t="s">
        <v>234</v>
      </c>
      <c r="B754" s="11">
        <v>27370</v>
      </c>
      <c r="C754" s="11">
        <v>7510</v>
      </c>
      <c r="D754">
        <v>11830000</v>
      </c>
    </row>
    <row r="755" spans="1:4">
      <c r="A755" s="72">
        <v>0.625</v>
      </c>
      <c r="B755" s="11">
        <v>27370</v>
      </c>
      <c r="C755" s="11">
        <v>7520</v>
      </c>
      <c r="D755">
        <v>11840000</v>
      </c>
    </row>
    <row r="756" spans="1:4">
      <c r="A756" s="73" t="s">
        <v>235</v>
      </c>
      <c r="B756" s="11">
        <v>27370</v>
      </c>
      <c r="C756" s="11">
        <v>7535</v>
      </c>
      <c r="D756">
        <v>11940000</v>
      </c>
    </row>
    <row r="757" spans="1:4">
      <c r="A757" s="73" t="s">
        <v>236</v>
      </c>
      <c r="B757" s="11">
        <v>27370</v>
      </c>
      <c r="C757" s="11">
        <v>7535</v>
      </c>
      <c r="D757">
        <v>11930000</v>
      </c>
    </row>
    <row r="760" spans="1:4">
      <c r="A760" s="87" t="s">
        <v>333</v>
      </c>
      <c r="B760" s="87"/>
      <c r="C760" s="87"/>
      <c r="D760" s="87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72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73" t="s">
        <v>232</v>
      </c>
      <c r="B763" s="11">
        <v>27380</v>
      </c>
      <c r="C763" s="11">
        <v>7520</v>
      </c>
      <c r="D763">
        <v>11880000</v>
      </c>
    </row>
    <row r="764" spans="1:4">
      <c r="A764" s="74" t="s">
        <v>233</v>
      </c>
      <c r="B764" s="11">
        <v>27350</v>
      </c>
      <c r="C764" s="11">
        <v>7495</v>
      </c>
      <c r="D764">
        <v>11890000</v>
      </c>
    </row>
    <row r="765" spans="1:4">
      <c r="A765" s="72" t="s">
        <v>234</v>
      </c>
      <c r="B765" s="11">
        <v>27320</v>
      </c>
      <c r="C765" s="11">
        <v>7485</v>
      </c>
      <c r="D765">
        <v>11840000</v>
      </c>
    </row>
    <row r="766" spans="1:4">
      <c r="A766" s="72">
        <v>0.625</v>
      </c>
      <c r="B766" s="11">
        <v>27320</v>
      </c>
      <c r="C766" s="11">
        <v>7485</v>
      </c>
      <c r="D766">
        <v>11830000</v>
      </c>
    </row>
    <row r="767" spans="1:4">
      <c r="A767" s="73" t="s">
        <v>235</v>
      </c>
      <c r="B767" s="11">
        <v>27320</v>
      </c>
      <c r="C767" s="11">
        <v>7485</v>
      </c>
      <c r="D767">
        <v>11840000</v>
      </c>
    </row>
    <row r="768" spans="1:4">
      <c r="A768" s="73" t="s">
        <v>236</v>
      </c>
      <c r="B768" s="11">
        <v>27320</v>
      </c>
      <c r="C768" s="11">
        <v>7485</v>
      </c>
      <c r="D768">
        <v>11840000</v>
      </c>
    </row>
    <row r="772" spans="1:6">
      <c r="A772" s="87" t="s">
        <v>341</v>
      </c>
      <c r="B772" s="87"/>
      <c r="C772" s="87"/>
      <c r="D772" s="87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72">
        <v>0.45833333333333298</v>
      </c>
      <c r="B774" s="11"/>
      <c r="C774" s="11"/>
      <c r="E774">
        <v>11720000</v>
      </c>
      <c r="F774">
        <v>1047</v>
      </c>
    </row>
    <row r="775" spans="1:6">
      <c r="A775" s="73" t="s">
        <v>232</v>
      </c>
      <c r="B775" s="11"/>
      <c r="C775" s="11"/>
      <c r="E775">
        <v>11730000</v>
      </c>
      <c r="F775">
        <v>1202</v>
      </c>
    </row>
    <row r="776" spans="1:6">
      <c r="A776" s="74" t="s">
        <v>233</v>
      </c>
      <c r="B776" s="11"/>
      <c r="C776" s="11"/>
      <c r="E776">
        <v>11710000</v>
      </c>
      <c r="F776" t="s">
        <v>342</v>
      </c>
    </row>
    <row r="777" spans="1:6">
      <c r="A777" s="72" t="s">
        <v>234</v>
      </c>
      <c r="B777" s="11"/>
      <c r="C777" s="11"/>
    </row>
    <row r="778" spans="1:6">
      <c r="A778" s="72">
        <v>0.625</v>
      </c>
      <c r="B778" s="11"/>
      <c r="C778" s="11"/>
    </row>
    <row r="779" spans="1:6">
      <c r="A779" s="73" t="s">
        <v>235</v>
      </c>
      <c r="B779" s="11"/>
      <c r="C779" s="11"/>
    </row>
    <row r="780" spans="1:6">
      <c r="A780" s="73" t="s">
        <v>236</v>
      </c>
      <c r="B780" s="11"/>
      <c r="C780" s="11"/>
    </row>
  </sheetData>
  <mergeCells count="73">
    <mergeCell ref="A749:D749"/>
    <mergeCell ref="A760:D760"/>
    <mergeCell ref="A772:D772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303:D303"/>
    <mergeCell ref="A313:D313"/>
    <mergeCell ref="A324:D324"/>
    <mergeCell ref="A335:D335"/>
    <mergeCell ref="A346:D346"/>
    <mergeCell ref="A253:D253"/>
    <mergeCell ref="A263:D263"/>
    <mergeCell ref="A273:D273"/>
    <mergeCell ref="A283:D283"/>
    <mergeCell ref="A293:D293"/>
    <mergeCell ref="A203:D203"/>
    <mergeCell ref="A213:D21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103:D103"/>
    <mergeCell ref="A113:D113"/>
    <mergeCell ref="A123:D123"/>
    <mergeCell ref="A133:D133"/>
    <mergeCell ref="A143:D143"/>
    <mergeCell ref="A51:D51"/>
    <mergeCell ref="A61:D61"/>
    <mergeCell ref="A71:D71"/>
    <mergeCell ref="A81:D81"/>
    <mergeCell ref="A93:D93"/>
    <mergeCell ref="A1:D1"/>
    <mergeCell ref="A11:D11"/>
    <mergeCell ref="A21:D21"/>
    <mergeCell ref="A31:D31"/>
    <mergeCell ref="A41:D41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70"/>
  <sheetViews>
    <sheetView zoomScaleNormal="100" workbookViewId="0">
      <selection activeCell="M71" sqref="M71"/>
    </sheetView>
  </sheetViews>
  <sheetFormatPr defaultColWidth="8.5546875" defaultRowHeight="14.4"/>
  <cols>
    <col min="4" max="4" width="13.5546875" customWidth="1"/>
    <col min="5" max="5" width="20.109375" customWidth="1"/>
    <col min="6" max="6" width="12.6640625" customWidth="1"/>
    <col min="7" max="7" width="15.88671875" customWidth="1"/>
    <col min="8" max="8" width="17.44140625" customWidth="1"/>
    <col min="9" max="9" width="15.441406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0" si="3">(C35-C34)*100/C34</f>
        <v>-1.0141987829614605</v>
      </c>
      <c r="G35">
        <f t="shared" ref="G35:G70" si="4">(D35-D34)*100/D34</f>
        <v>-9.5057034220532313E-2</v>
      </c>
      <c r="H35">
        <f t="shared" ref="H35:H70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9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80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80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80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80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  <c r="J70">
        <v>-0.18</v>
      </c>
      <c r="K70">
        <v>-0.75</v>
      </c>
      <c r="L70">
        <v>-0.26</v>
      </c>
      <c r="M70">
        <v>-0.57999999999999996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LEGION</cp:lastModifiedBy>
  <cp:revision>1</cp:revision>
  <dcterms:created xsi:type="dcterms:W3CDTF">2021-04-05T10:39:57Z</dcterms:created>
  <dcterms:modified xsi:type="dcterms:W3CDTF">2021-09-16T14:49:26Z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