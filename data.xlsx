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set'!$A$1:$BN$215</definedName>
    <definedName name="_xlnm._FilterDatabase" localSheetId="1" hidden="1">weekly!$A$1:$K$52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X215" i="1" l="1"/>
  <c r="H139" i="5" l="1"/>
  <c r="G139" i="5"/>
  <c r="F139" i="5"/>
  <c r="O214" i="1" l="1"/>
  <c r="D214" i="1"/>
  <c r="G213" i="1" l="1"/>
  <c r="F216" i="1" s="1"/>
  <c r="K213" i="1" l="1"/>
  <c r="M211" i="1"/>
  <c r="L211" i="1"/>
  <c r="BI211" i="1"/>
  <c r="H138" i="5" l="1"/>
  <c r="G138" i="5"/>
  <c r="F138" i="5"/>
  <c r="E42" i="2" l="1"/>
  <c r="D40" i="2"/>
  <c r="G39" i="2"/>
  <c r="E39" i="2"/>
  <c r="BI210" i="1"/>
  <c r="G216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E217" i="1"/>
  <c r="BI208" i="1"/>
  <c r="H136" i="5" l="1"/>
  <c r="G136" i="5"/>
  <c r="F136" i="5"/>
  <c r="H219" i="1"/>
  <c r="N214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15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16" i="1"/>
  <c r="N217" i="1"/>
  <c r="N218" i="1"/>
  <c r="N219" i="1"/>
  <c r="N220" i="1"/>
  <c r="N221" i="1"/>
  <c r="N222" i="1"/>
  <c r="N223" i="1"/>
  <c r="N224" i="1"/>
  <c r="N225" i="1"/>
  <c r="N215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3" i="2" l="1"/>
  <c r="J42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1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1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2" i="2"/>
  <c r="G51" i="2"/>
  <c r="G50" i="2"/>
  <c r="G49" i="2"/>
  <c r="G48" i="2"/>
  <c r="G47" i="2"/>
  <c r="G46" i="2"/>
  <c r="G45" i="2"/>
  <c r="G44" i="2"/>
  <c r="C40" i="2"/>
  <c r="B40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4" i="2" s="1"/>
  <c r="G16" i="2"/>
  <c r="E16" i="2"/>
  <c r="C46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13" i="1" l="1"/>
  <c r="S1" i="1" s="1"/>
  <c r="M213" i="1"/>
  <c r="U1" i="1" s="1"/>
</calcChain>
</file>

<file path=xl/sharedStrings.xml><?xml version="1.0" encoding="utf-8"?>
<sst xmlns="http://schemas.openxmlformats.org/spreadsheetml/2006/main" count="1898" uniqueCount="546">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</sst>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3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1" fillId="8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6" borderId="0" xfId="0" applyFont="1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99098544"/>
        <c:axId val="-1099098000"/>
      </c:lineChart>
      <c:catAx>
        <c:axId val="-109909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99098000"/>
        <c:crosses val="autoZero"/>
        <c:auto val="1"/>
        <c:lblAlgn val="ctr"/>
        <c:lblOffset val="100"/>
        <c:noMultiLvlLbl val="0"/>
      </c:catAx>
      <c:valAx>
        <c:axId val="-10990980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9909854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12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weekly!$B$27:$B$39</c15:sqref>
                  </c15:fullRef>
                </c:ext>
              </c:extLst>
              <c:f>weekly!$B$28:$B$39</c:f>
              <c:numCache>
                <c:formatCode>General</c:formatCode>
                <c:ptCount val="12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weekly!$H$27:$H$39</c15:sqref>
                  </c15:fullRef>
                </c:ext>
              </c:extLst>
              <c:f>weekly!$H$28:$H$39</c:f>
              <c:numCache>
                <c:formatCode>General</c:formatCode>
                <c:ptCount val="12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01853616"/>
        <c:axId val="-110185198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weekly!$A$27:$A$39</c15:sqref>
                        </c15:fullRef>
                        <c15:formulaRef>
                          <c15:sqref>weekly!$A$28:$A$39</c15:sqref>
                        </c15:formulaRef>
                      </c:ext>
                    </c:extLst>
                    <c:strCache>
                      <c:ptCount val="12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101853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1851984"/>
        <c:crosses val="autoZero"/>
        <c:auto val="1"/>
        <c:lblAlgn val="ctr"/>
        <c:lblOffset val="100"/>
        <c:noMultiLvlLbl val="0"/>
      </c:catAx>
      <c:valAx>
        <c:axId val="-1101851984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185361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نهم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1.3029732962221526E-16"/>
                  <c:y val="-2.85734752364061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weekly!$A$2:$A$39</c:f>
              <c:strCache>
                <c:ptCount val="3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</c:strCache>
            </c:strRef>
          </c:cat>
          <c:val>
            <c:numRef>
              <c:f>weekly!$D$2:$D$39</c:f>
              <c:numCache>
                <c:formatCode>General</c:formatCode>
                <c:ptCount val="38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01856336"/>
        <c:axId val="-1101854160"/>
      </c:lineChart>
      <c:catAx>
        <c:axId val="-110185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1854160"/>
        <c:crosses val="autoZero"/>
        <c:auto val="1"/>
        <c:lblAlgn val="ctr"/>
        <c:lblOffset val="100"/>
        <c:noMultiLvlLbl val="0"/>
      </c:catAx>
      <c:valAx>
        <c:axId val="-11018541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185633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01857424"/>
        <c:axId val="-1101855792"/>
      </c:lineChart>
      <c:catAx>
        <c:axId val="-1101857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1855792"/>
        <c:crosses val="autoZero"/>
        <c:auto val="1"/>
        <c:lblAlgn val="ctr"/>
        <c:lblOffset val="100"/>
        <c:noMultiLvlLbl val="0"/>
      </c:catAx>
      <c:valAx>
        <c:axId val="-11018557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185742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نهم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weekly!$A$2:$A$39</c:f>
              <c:strCache>
                <c:ptCount val="3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</c:strCache>
            </c:strRef>
          </c:cat>
          <c:val>
            <c:numRef>
              <c:f>weekly!$F$2:$F$39</c:f>
              <c:numCache>
                <c:formatCode>General</c:formatCode>
                <c:ptCount val="38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01855248"/>
        <c:axId val="-1101854704"/>
      </c:lineChart>
      <c:catAx>
        <c:axId val="-1101855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1854704"/>
        <c:crosses val="autoZero"/>
        <c:auto val="1"/>
        <c:lblAlgn val="ctr"/>
        <c:lblOffset val="100"/>
        <c:noMultiLvlLbl val="0"/>
      </c:catAx>
      <c:valAx>
        <c:axId val="-11018547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018552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12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weekly!$C$27:$C$39</c15:sqref>
                  </c15:fullRef>
                </c:ext>
              </c:extLst>
              <c:f>weekly!$C$28:$C$39</c:f>
              <c:numCache>
                <c:formatCode>General</c:formatCode>
                <c:ptCount val="12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weekly!$I$27:$I$39</c15:sqref>
                  </c15:fullRef>
                </c:ext>
              </c:extLst>
              <c:f>weekly!$I$28:$I$39</c:f>
              <c:numCache>
                <c:formatCode>General</c:formatCode>
                <c:ptCount val="12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94997408"/>
        <c:axId val="-139500012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weekly!$A$27:$A$39</c15:sqref>
                        </c15:fullRef>
                        <c15:formulaRef>
                          <c15:sqref>weekly!$A$28:$A$39</c15:sqref>
                        </c15:formulaRef>
                      </c:ext>
                    </c:extLst>
                    <c:strCache>
                      <c:ptCount val="12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394997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95000128"/>
        <c:crosses val="autoZero"/>
        <c:auto val="1"/>
        <c:lblAlgn val="ctr"/>
        <c:lblOffset val="100"/>
        <c:noMultiLvlLbl val="0"/>
      </c:catAx>
      <c:valAx>
        <c:axId val="-1395000128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949974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394996864"/>
        <c:axId val="-1394997952"/>
      </c:barChart>
      <c:catAx>
        <c:axId val="-139499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94997952"/>
        <c:crosses val="autoZero"/>
        <c:auto val="1"/>
        <c:lblAlgn val="ctr"/>
        <c:lblOffset val="100"/>
        <c:noMultiLvlLbl val="0"/>
      </c:catAx>
      <c:valAx>
        <c:axId val="-13949979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9499686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یکشنبه 05 دی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57"/>
          <c:order val="57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change'!$F$139:$I$139</c:f>
              <c:numCache>
                <c:formatCode>General</c:formatCode>
                <c:ptCount val="4"/>
                <c:pt idx="0">
                  <c:v>-0.46713380046713382</c:v>
                </c:pt>
                <c:pt idx="1">
                  <c:v>0.34509202453987731</c:v>
                </c:pt>
                <c:pt idx="2">
                  <c:v>-0.35471930906847626</c:v>
                </c:pt>
                <c:pt idx="3">
                  <c:v>-0.11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394999584"/>
        <c:axId val="-139499904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394999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94999040"/>
        <c:crosses val="autoZero"/>
        <c:auto val="1"/>
        <c:lblAlgn val="ctr"/>
        <c:lblOffset val="100"/>
        <c:noMultiLvlLbl val="0"/>
      </c:catAx>
      <c:valAx>
        <c:axId val="-13949990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9499958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594</xdr:row>
      <xdr:rowOff>102960</xdr:rowOff>
    </xdr:from>
    <xdr:to>
      <xdr:col>11</xdr:col>
      <xdr:colOff>279360</xdr:colOff>
      <xdr:row>624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174</xdr:row>
      <xdr:rowOff>27711</xdr:rowOff>
    </xdr:from>
    <xdr:to>
      <xdr:col>41</xdr:col>
      <xdr:colOff>533400</xdr:colOff>
      <xdr:row>279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310</xdr:row>
      <xdr:rowOff>0</xdr:rowOff>
    </xdr:from>
    <xdr:to>
      <xdr:col>82</xdr:col>
      <xdr:colOff>0</xdr:colOff>
      <xdr:row>386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629</xdr:row>
      <xdr:rowOff>0</xdr:rowOff>
    </xdr:from>
    <xdr:to>
      <xdr:col>13</xdr:col>
      <xdr:colOff>354240</xdr:colOff>
      <xdr:row>659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409</xdr:row>
      <xdr:rowOff>0</xdr:rowOff>
    </xdr:from>
    <xdr:to>
      <xdr:col>83</xdr:col>
      <xdr:colOff>533400</xdr:colOff>
      <xdr:row>508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57</xdr:row>
      <xdr:rowOff>76321</xdr:rowOff>
    </xdr:from>
    <xdr:to>
      <xdr:col>44</xdr:col>
      <xdr:colOff>533400</xdr:colOff>
      <xdr:row>156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28"/>
  <sheetViews>
    <sheetView tabSelected="1" topLeftCell="B199" zoomScaleNormal="100" workbookViewId="0">
      <selection activeCell="B212" sqref="B212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L213/G213</f>
        <v>5351091.402207274</v>
      </c>
      <c r="T1" s="3" t="s">
        <v>15</v>
      </c>
      <c r="U1" s="3">
        <f>M213/K213</f>
        <v>29370.470435372485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hidden="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hidden="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hidden="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hidden="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hidden="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hidden="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hidden="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hidden="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hidden="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 hidden="1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hidden="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hidden="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hidden="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hidden="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hidden="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hidden="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hidden="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hidden="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hidden="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hidden="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hidden="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hidden="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hidden="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hidden="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hidden="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hidden="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hidden="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hidden="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hidden="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hidden="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hidden="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hidden="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hidden="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hidden="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hidden="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hidden="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hidden="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hidden="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hidden="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1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hidden="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hidden="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hidden="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hidden="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hidden="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hidden="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hidden="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hidden="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hidden="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hidden="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hidden="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hidden="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hidden="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hidden="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hidden="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hidden="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hidden="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hidden="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hidden="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hidden="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hidden="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hidden="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hidden="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hidden="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hidden="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hidden="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hidden="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hidden="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hidden="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hidden="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1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1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hidden="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hidden="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 hidden="1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 hidden="1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203" customFormat="1" ht="18">
      <c r="B211" s="148" t="s">
        <v>543</v>
      </c>
      <c r="C211" s="114">
        <v>4</v>
      </c>
      <c r="D211" s="204">
        <v>27195</v>
      </c>
      <c r="E211" s="203">
        <v>27200</v>
      </c>
      <c r="F211" s="203">
        <v>27194</v>
      </c>
      <c r="G211" s="203">
        <v>7978700</v>
      </c>
      <c r="H211" s="203">
        <v>30749</v>
      </c>
      <c r="I211" s="203">
        <v>30189</v>
      </c>
      <c r="J211" s="203">
        <v>30250</v>
      </c>
      <c r="K211" s="203">
        <v>899800</v>
      </c>
      <c r="L211" s="149">
        <f t="shared" si="35"/>
        <v>216972767800</v>
      </c>
      <c r="M211" s="149">
        <f t="shared" si="36"/>
        <v>27218950000</v>
      </c>
      <c r="N211" s="203">
        <v>27472</v>
      </c>
      <c r="O211" s="203">
        <v>30491</v>
      </c>
      <c r="P211" s="203">
        <v>27470</v>
      </c>
      <c r="Q211" s="203">
        <v>30871</v>
      </c>
      <c r="V211" s="203">
        <v>30150</v>
      </c>
      <c r="X211" s="203">
        <v>29970</v>
      </c>
      <c r="Y211" s="203">
        <v>34107</v>
      </c>
      <c r="Z211" s="205"/>
      <c r="AB211" s="204"/>
      <c r="AS211" s="204"/>
      <c r="AW211" s="204"/>
      <c r="BI211" s="206">
        <f t="shared" si="37"/>
        <v>10.208134147238361</v>
      </c>
      <c r="BO211" s="207"/>
      <c r="BP211" s="207"/>
      <c r="BQ211" s="207"/>
    </row>
    <row r="212" spans="2:69" s="136" customFormat="1" ht="18">
      <c r="B212" s="131" t="s">
        <v>544</v>
      </c>
      <c r="C212" s="104">
        <v>5</v>
      </c>
      <c r="D212" s="137">
        <v>27178</v>
      </c>
      <c r="H212" s="136">
        <v>30699</v>
      </c>
      <c r="L212" s="202"/>
      <c r="M212" s="202"/>
      <c r="N212" s="136">
        <v>27452</v>
      </c>
      <c r="O212" s="136">
        <v>30463</v>
      </c>
      <c r="P212" s="136">
        <v>27449</v>
      </c>
      <c r="Q212" s="136">
        <v>31006</v>
      </c>
      <c r="V212" s="136">
        <v>29880</v>
      </c>
      <c r="X212" s="136">
        <v>29830</v>
      </c>
      <c r="Y212" s="136">
        <v>33768</v>
      </c>
      <c r="Z212" s="138"/>
      <c r="AB212" s="137"/>
      <c r="AS212" s="137"/>
      <c r="AW212" s="137"/>
      <c r="BI212" s="177"/>
      <c r="BO212" s="151"/>
      <c r="BP212" s="151"/>
      <c r="BQ212" s="151"/>
    </row>
    <row r="213" spans="2:69" ht="18">
      <c r="D213" s="26"/>
      <c r="G213">
        <f>SUM(G2:G211)/210</f>
        <v>6992078.0904761907</v>
      </c>
      <c r="K213">
        <f>SUM(K2:K211)</f>
        <v>206528900</v>
      </c>
      <c r="L213" s="142">
        <f>SUM(L2:L211)</f>
        <v>37415248953509</v>
      </c>
      <c r="M213" s="142">
        <f>SUM(M2:M211)</f>
        <v>6065850951500</v>
      </c>
      <c r="V213" s="144">
        <v>29870</v>
      </c>
      <c r="Z213" s="25"/>
      <c r="AS213" s="26"/>
      <c r="AW213" s="30"/>
    </row>
    <row r="214" spans="2:69" ht="18">
      <c r="D214">
        <f>D212-F211</f>
        <v>-16</v>
      </c>
      <c r="N214">
        <f>P208-N207</f>
        <v>52</v>
      </c>
      <c r="O214">
        <f>P212-N211</f>
        <v>-23</v>
      </c>
      <c r="V214" s="144"/>
      <c r="Z214" s="25"/>
      <c r="AS214" s="26"/>
      <c r="AW214" s="30"/>
    </row>
    <row r="215" spans="2:69" ht="18">
      <c r="J215">
        <f>J206-J205</f>
        <v>-347</v>
      </c>
      <c r="N215">
        <f t="shared" ref="N215:N224" si="38">N194-N193</f>
        <v>-180</v>
      </c>
      <c r="V215" s="144"/>
      <c r="X215">
        <f>X212-X211</f>
        <v>-140</v>
      </c>
      <c r="Z215" s="25"/>
      <c r="AS215" s="26"/>
      <c r="AW215" s="30"/>
    </row>
    <row r="216" spans="2:69" ht="18">
      <c r="D216" s="93"/>
      <c r="F216">
        <f>(G211-G213)/G213</f>
        <v>0.14110567656097447</v>
      </c>
      <c r="G216">
        <f>(G209-G213)/G209</f>
        <v>0.11485959813704956</v>
      </c>
      <c r="N216">
        <f t="shared" si="38"/>
        <v>59</v>
      </c>
      <c r="V216" s="129"/>
      <c r="Z216" s="25"/>
      <c r="AW216" s="30"/>
    </row>
    <row r="217" spans="2:69" ht="17.25" customHeight="1">
      <c r="D217" s="93"/>
      <c r="E217">
        <f>D209-F208</f>
        <v>92</v>
      </c>
      <c r="N217">
        <f t="shared" si="38"/>
        <v>-16</v>
      </c>
      <c r="P217" t="s">
        <v>523</v>
      </c>
      <c r="Q217" t="s">
        <v>524</v>
      </c>
      <c r="V217" s="25"/>
      <c r="Z217" s="25"/>
    </row>
    <row r="218" spans="2:69" ht="18">
      <c r="D218" s="93"/>
      <c r="N218">
        <f t="shared" si="38"/>
        <v>-165</v>
      </c>
      <c r="O218" s="126" t="s">
        <v>503</v>
      </c>
      <c r="P218">
        <v>-178</v>
      </c>
      <c r="Q218">
        <v>-180</v>
      </c>
      <c r="V218" s="25"/>
      <c r="W218" s="144"/>
      <c r="Z218" s="25"/>
    </row>
    <row r="219" spans="2:69" ht="18">
      <c r="D219" s="93"/>
      <c r="H219">
        <f>(27376-26532)/26532</f>
        <v>3.1810643750942259E-2</v>
      </c>
      <c r="N219">
        <f t="shared" si="38"/>
        <v>50</v>
      </c>
      <c r="O219" s="132" t="s">
        <v>505</v>
      </c>
      <c r="P219">
        <v>59</v>
      </c>
      <c r="Q219">
        <v>59</v>
      </c>
      <c r="V219" s="25"/>
      <c r="W219" s="144"/>
    </row>
    <row r="220" spans="2:69" ht="18">
      <c r="D220" s="93"/>
      <c r="N220">
        <f t="shared" si="38"/>
        <v>-15</v>
      </c>
      <c r="O220" s="132" t="s">
        <v>507</v>
      </c>
      <c r="P220">
        <v>-17</v>
      </c>
      <c r="Q220">
        <v>-16</v>
      </c>
      <c r="V220" s="25"/>
      <c r="W220" s="144"/>
    </row>
    <row r="221" spans="2:69" ht="18">
      <c r="D221" s="107"/>
      <c r="N221">
        <f t="shared" si="38"/>
        <v>-12</v>
      </c>
      <c r="O221" s="132" t="s">
        <v>509</v>
      </c>
      <c r="P221">
        <v>-163</v>
      </c>
      <c r="Q221">
        <v>-165</v>
      </c>
      <c r="W221" s="144"/>
    </row>
    <row r="222" spans="2:69" ht="18">
      <c r="D222" s="107"/>
      <c r="N222">
        <f t="shared" si="38"/>
        <v>-137</v>
      </c>
      <c r="O222" s="132" t="s">
        <v>511</v>
      </c>
      <c r="P222">
        <v>50</v>
      </c>
      <c r="Q222">
        <v>50</v>
      </c>
      <c r="W222" s="144"/>
      <c r="X222" s="109"/>
    </row>
    <row r="223" spans="2:69" ht="18">
      <c r="D223" s="113"/>
      <c r="N223">
        <f t="shared" si="38"/>
        <v>-138</v>
      </c>
      <c r="O223" s="145" t="s">
        <v>513</v>
      </c>
      <c r="P223">
        <v>-15</v>
      </c>
      <c r="Q223">
        <v>-15</v>
      </c>
      <c r="W223" s="144"/>
      <c r="X223" s="109"/>
    </row>
    <row r="224" spans="2:69" ht="18">
      <c r="D224" s="107"/>
      <c r="G224" s="9"/>
      <c r="N224">
        <f t="shared" si="38"/>
        <v>-43</v>
      </c>
      <c r="O224" s="145" t="s">
        <v>515</v>
      </c>
      <c r="P224">
        <v>-12</v>
      </c>
      <c r="Q224">
        <v>-12</v>
      </c>
      <c r="X224" s="109"/>
    </row>
    <row r="225" spans="4:24" ht="18">
      <c r="D225" s="103"/>
      <c r="G225" s="9"/>
      <c r="N225">
        <f>N213-N203</f>
        <v>-27379</v>
      </c>
      <c r="O225" s="148" t="s">
        <v>517</v>
      </c>
      <c r="P225">
        <v>-136</v>
      </c>
      <c r="Q225">
        <v>-137</v>
      </c>
      <c r="X225" s="109"/>
    </row>
    <row r="226" spans="4:24" ht="18">
      <c r="G226" s="9"/>
      <c r="O226" s="145" t="s">
        <v>519</v>
      </c>
      <c r="P226">
        <v>-137</v>
      </c>
      <c r="Q226">
        <v>-138</v>
      </c>
      <c r="X226" s="109"/>
    </row>
    <row r="227" spans="4:24" ht="18">
      <c r="G227" s="9"/>
      <c r="O227" s="131" t="s">
        <v>521</v>
      </c>
      <c r="P227">
        <v>-42</v>
      </c>
      <c r="Q227">
        <v>-43</v>
      </c>
      <c r="X227" s="109"/>
    </row>
    <row r="228" spans="4:24" ht="18">
      <c r="G228" s="9"/>
    </row>
  </sheetData>
  <autoFilter ref="A1:BN215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2"/>
  <sheetViews>
    <sheetView topLeftCell="C13" zoomScale="85" zoomScaleNormal="85" workbookViewId="0">
      <selection activeCell="D31" sqref="D31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39" si="0">D29/6</f>
        <v>7281166.666666667</v>
      </c>
      <c r="F29" s="67">
        <v>5993000</v>
      </c>
      <c r="G29" s="67">
        <f t="shared" ref="G29:G39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>
      <c r="B40">
        <f>(B2-B8)/B2</f>
        <v>0.15346494762288476</v>
      </c>
      <c r="C40">
        <f>(C2-C8)/C2</f>
        <v>0.1154959674639829</v>
      </c>
      <c r="D40">
        <f>SUM(D2:D39)/38</f>
        <v>37702089.447368421</v>
      </c>
    </row>
    <row r="42" spans="1:11">
      <c r="E42">
        <f>(D39-D40)/D40</f>
        <v>0.21324840799221964</v>
      </c>
      <c r="J42">
        <f>(D36-D35)/D35</f>
        <v>-0.50773339408667473</v>
      </c>
    </row>
    <row r="43" spans="1:11">
      <c r="F43">
        <f>(F36-F35)/F35</f>
        <v>-0.62892307692307692</v>
      </c>
    </row>
    <row r="44" spans="1:11">
      <c r="D44">
        <v>5375132</v>
      </c>
      <c r="E44">
        <f>(E17-D44)/D44</f>
        <v>4.5958809321644006E-2</v>
      </c>
      <c r="G44">
        <f t="shared" ref="G44:G52" si="2">B3-B2</f>
        <v>-554</v>
      </c>
    </row>
    <row r="45" spans="1:11">
      <c r="G45">
        <f t="shared" si="2"/>
        <v>-302</v>
      </c>
    </row>
    <row r="46" spans="1:11">
      <c r="C46">
        <f>(D44-E16)/E16</f>
        <v>0.17110375179746395</v>
      </c>
      <c r="G46">
        <f t="shared" si="2"/>
        <v>-511</v>
      </c>
    </row>
    <row r="47" spans="1:11">
      <c r="G47">
        <f t="shared" si="2"/>
        <v>-362</v>
      </c>
    </row>
    <row r="48" spans="1:11">
      <c r="G48">
        <f t="shared" si="2"/>
        <v>-1699</v>
      </c>
    </row>
    <row r="49" spans="6:10">
      <c r="G49">
        <f t="shared" si="2"/>
        <v>-381</v>
      </c>
    </row>
    <row r="50" spans="6:10">
      <c r="G50">
        <f t="shared" si="2"/>
        <v>1075</v>
      </c>
    </row>
    <row r="51" spans="6:10">
      <c r="F51">
        <f>(F33-F32)/F32</f>
        <v>0.23948268173034043</v>
      </c>
      <c r="G51">
        <f t="shared" si="2"/>
        <v>151</v>
      </c>
      <c r="J51">
        <f>(F34-F35)/F34</f>
        <v>0.13877341459779063</v>
      </c>
    </row>
    <row r="52" spans="6:10">
      <c r="G52">
        <f t="shared" si="2"/>
        <v>1043</v>
      </c>
    </row>
  </sheetData>
  <autoFilter ref="A1:K52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99"/>
  <sheetViews>
    <sheetView topLeftCell="A1782" zoomScaleNormal="100" workbookViewId="0">
      <selection activeCell="D1800" sqref="D1800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08" t="s">
        <v>246</v>
      </c>
      <c r="B1" s="208"/>
      <c r="C1" s="208"/>
      <c r="D1" s="20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08" t="s">
        <v>256</v>
      </c>
      <c r="B11" s="208"/>
      <c r="C11" s="208"/>
      <c r="D11" s="20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08" t="s">
        <v>258</v>
      </c>
      <c r="B21" s="208"/>
      <c r="C21" s="208"/>
      <c r="D21" s="20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08" t="s">
        <v>259</v>
      </c>
      <c r="B31" s="208"/>
      <c r="C31" s="208"/>
      <c r="D31" s="20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08" t="s">
        <v>260</v>
      </c>
      <c r="B41" s="208"/>
      <c r="C41" s="208"/>
      <c r="D41" s="20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08" t="s">
        <v>262</v>
      </c>
      <c r="B51" s="208"/>
      <c r="C51" s="208"/>
      <c r="D51" s="20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08" t="s">
        <v>263</v>
      </c>
      <c r="B61" s="208"/>
      <c r="C61" s="208"/>
      <c r="D61" s="20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08" t="s">
        <v>264</v>
      </c>
      <c r="B71" s="208"/>
      <c r="C71" s="208"/>
      <c r="D71" s="20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08" t="s">
        <v>265</v>
      </c>
      <c r="B81" s="208"/>
      <c r="C81" s="208"/>
      <c r="D81" s="20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08" t="s">
        <v>269</v>
      </c>
      <c r="B93" s="208"/>
      <c r="C93" s="208"/>
      <c r="D93" s="20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08" t="s">
        <v>270</v>
      </c>
      <c r="B103" s="208"/>
      <c r="C103" s="208"/>
      <c r="D103" s="20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08" t="s">
        <v>272</v>
      </c>
      <c r="B113" s="208"/>
      <c r="C113" s="208"/>
      <c r="D113" s="20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08" t="s">
        <v>273</v>
      </c>
      <c r="B123" s="208"/>
      <c r="C123" s="208"/>
      <c r="D123" s="20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08" t="s">
        <v>274</v>
      </c>
      <c r="B133" s="208"/>
      <c r="C133" s="208"/>
      <c r="D133" s="20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08" t="s">
        <v>275</v>
      </c>
      <c r="B143" s="208"/>
      <c r="C143" s="208"/>
      <c r="D143" s="20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08" t="s">
        <v>277</v>
      </c>
      <c r="B153" s="208"/>
      <c r="C153" s="208"/>
      <c r="D153" s="20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08" t="s">
        <v>278</v>
      </c>
      <c r="B163" s="208"/>
      <c r="C163" s="208"/>
      <c r="D163" s="20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08" t="s">
        <v>279</v>
      </c>
      <c r="B173" s="208"/>
      <c r="C173" s="208"/>
      <c r="D173" s="20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08" t="s">
        <v>280</v>
      </c>
      <c r="B183" s="208"/>
      <c r="C183" s="208"/>
      <c r="D183" s="20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08" t="s">
        <v>281</v>
      </c>
      <c r="B193" s="208"/>
      <c r="C193" s="208"/>
      <c r="D193" s="20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08" t="s">
        <v>282</v>
      </c>
      <c r="B203" s="208"/>
      <c r="C203" s="208"/>
      <c r="D203" s="20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08" t="s">
        <v>283</v>
      </c>
      <c r="B213" s="208"/>
      <c r="C213" s="208"/>
      <c r="D213" s="20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08" t="s">
        <v>284</v>
      </c>
      <c r="B223" s="208"/>
      <c r="C223" s="208"/>
      <c r="D223" s="20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08" t="s">
        <v>285</v>
      </c>
      <c r="B233" s="208"/>
      <c r="C233" s="208"/>
      <c r="D233" s="20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08" t="s">
        <v>286</v>
      </c>
      <c r="B243" s="208"/>
      <c r="C243" s="208"/>
      <c r="D243" s="20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08" t="s">
        <v>287</v>
      </c>
      <c r="B253" s="208"/>
      <c r="C253" s="208"/>
      <c r="D253" s="20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08" t="s">
        <v>288</v>
      </c>
      <c r="B263" s="208"/>
      <c r="C263" s="208"/>
      <c r="D263" s="20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08" t="s">
        <v>289</v>
      </c>
      <c r="B273" s="208"/>
      <c r="C273" s="208"/>
      <c r="D273" s="20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08" t="s">
        <v>290</v>
      </c>
      <c r="B283" s="208"/>
      <c r="C283" s="208"/>
      <c r="D283" s="20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08" t="s">
        <v>291</v>
      </c>
      <c r="B293" s="208"/>
      <c r="C293" s="208"/>
      <c r="D293" s="20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08" t="s">
        <v>292</v>
      </c>
      <c r="B303" s="208"/>
      <c r="C303" s="208"/>
      <c r="D303" s="20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08" t="s">
        <v>296</v>
      </c>
      <c r="B313" s="208"/>
      <c r="C313" s="208"/>
      <c r="D313" s="20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08" t="s">
        <v>300</v>
      </c>
      <c r="B324" s="208"/>
      <c r="C324" s="208"/>
      <c r="D324" s="20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08" t="s">
        <v>303</v>
      </c>
      <c r="B335" s="208"/>
      <c r="C335" s="208"/>
      <c r="D335" s="20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08" t="s">
        <v>304</v>
      </c>
      <c r="B346" s="208"/>
      <c r="C346" s="208"/>
      <c r="D346" s="20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08" t="s">
        <v>305</v>
      </c>
      <c r="B357" s="208"/>
      <c r="C357" s="208"/>
      <c r="D357" s="20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08" t="s">
        <v>306</v>
      </c>
      <c r="B368" s="208"/>
      <c r="C368" s="208"/>
      <c r="D368" s="20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08" t="s">
        <v>307</v>
      </c>
      <c r="B379" s="208"/>
      <c r="C379" s="208"/>
      <c r="D379" s="20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08" t="s">
        <v>308</v>
      </c>
      <c r="B390" s="208"/>
      <c r="C390" s="208"/>
      <c r="D390" s="20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08" t="s">
        <v>309</v>
      </c>
      <c r="B401" s="208"/>
      <c r="C401" s="208"/>
      <c r="D401" s="20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08" t="s">
        <v>310</v>
      </c>
      <c r="B412" s="208"/>
      <c r="C412" s="208"/>
      <c r="D412" s="20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08" t="s">
        <v>311</v>
      </c>
      <c r="B423" s="208"/>
      <c r="C423" s="208"/>
      <c r="D423" s="20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08" t="s">
        <v>315</v>
      </c>
      <c r="B434" s="208"/>
      <c r="C434" s="208"/>
      <c r="D434" s="20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08" t="s">
        <v>316</v>
      </c>
      <c r="B445" s="208"/>
      <c r="C445" s="208"/>
      <c r="D445" s="20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08" t="s">
        <v>317</v>
      </c>
      <c r="B456" s="208"/>
      <c r="C456" s="208"/>
      <c r="D456" s="20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08" t="s">
        <v>318</v>
      </c>
      <c r="B467" s="208"/>
      <c r="C467" s="208"/>
      <c r="D467" s="20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08" t="s">
        <v>319</v>
      </c>
      <c r="B478" s="208"/>
      <c r="C478" s="208"/>
      <c r="D478" s="20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08" t="s">
        <v>320</v>
      </c>
      <c r="B489" s="208"/>
      <c r="C489" s="208"/>
      <c r="D489" s="20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08" t="s">
        <v>323</v>
      </c>
      <c r="B500" s="208"/>
      <c r="C500" s="208"/>
      <c r="D500" s="20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08" t="s">
        <v>324</v>
      </c>
      <c r="B511" s="208"/>
      <c r="C511" s="208"/>
      <c r="D511" s="20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08" t="s">
        <v>325</v>
      </c>
      <c r="B522" s="208"/>
      <c r="C522" s="208"/>
      <c r="D522" s="20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08" t="s">
        <v>326</v>
      </c>
      <c r="B533" s="208"/>
      <c r="C533" s="208"/>
      <c r="D533" s="20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08" t="s">
        <v>327</v>
      </c>
      <c r="B544" s="208"/>
      <c r="C544" s="208"/>
      <c r="D544" s="20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08" t="s">
        <v>328</v>
      </c>
      <c r="B555" s="208"/>
      <c r="C555" s="208"/>
      <c r="D555" s="20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08" t="s">
        <v>328</v>
      </c>
      <c r="B567" s="208"/>
      <c r="C567" s="208"/>
      <c r="D567" s="20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08" t="s">
        <v>333</v>
      </c>
      <c r="B579" s="208"/>
      <c r="C579" s="208"/>
      <c r="D579" s="20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08" t="s">
        <v>334</v>
      </c>
      <c r="B590" s="208"/>
      <c r="C590" s="208"/>
      <c r="D590" s="20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08" t="s">
        <v>335</v>
      </c>
      <c r="B601" s="208"/>
      <c r="C601" s="208"/>
      <c r="D601" s="20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08" t="s">
        <v>336</v>
      </c>
      <c r="B612" s="208"/>
      <c r="C612" s="208"/>
      <c r="D612" s="20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08" t="s">
        <v>337</v>
      </c>
      <c r="B623" s="208"/>
      <c r="C623" s="208"/>
      <c r="D623" s="20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08" t="s">
        <v>338</v>
      </c>
      <c r="B635" s="208"/>
      <c r="C635" s="208"/>
      <c r="D635" s="20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08" t="s">
        <v>340</v>
      </c>
      <c r="B647" s="208"/>
      <c r="C647" s="208"/>
      <c r="D647" s="20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08" t="s">
        <v>341</v>
      </c>
      <c r="B658" s="208"/>
      <c r="C658" s="208"/>
      <c r="D658" s="20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08" t="s">
        <v>342</v>
      </c>
      <c r="B670" s="208"/>
      <c r="C670" s="208"/>
      <c r="D670" s="20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08" t="s">
        <v>343</v>
      </c>
      <c r="B681" s="208"/>
      <c r="C681" s="208"/>
      <c r="D681" s="20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08" t="s">
        <v>344</v>
      </c>
      <c r="B692" s="208"/>
      <c r="C692" s="208"/>
      <c r="D692" s="20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08" t="s">
        <v>345</v>
      </c>
      <c r="B703" s="208"/>
      <c r="C703" s="208"/>
      <c r="D703" s="20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08" t="s">
        <v>348</v>
      </c>
      <c r="B715" s="208"/>
      <c r="C715" s="208"/>
      <c r="D715" s="20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08" t="s">
        <v>349</v>
      </c>
      <c r="B726" s="208"/>
      <c r="C726" s="208"/>
      <c r="D726" s="20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08" t="s">
        <v>350</v>
      </c>
      <c r="B738" s="208"/>
      <c r="C738" s="208"/>
      <c r="D738" s="20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08" t="s">
        <v>351</v>
      </c>
      <c r="B749" s="208"/>
      <c r="C749" s="208"/>
      <c r="D749" s="20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08" t="s">
        <v>352</v>
      </c>
      <c r="B760" s="208"/>
      <c r="C760" s="208"/>
      <c r="D760" s="20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08" t="s">
        <v>353</v>
      </c>
      <c r="B772" s="208"/>
      <c r="C772" s="208"/>
      <c r="D772" s="20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08" t="s">
        <v>355</v>
      </c>
      <c r="B784" s="208"/>
      <c r="C784" s="208"/>
      <c r="D784" s="20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08" t="s">
        <v>356</v>
      </c>
      <c r="B796" s="208"/>
      <c r="C796" s="208"/>
      <c r="D796" s="20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08" t="s">
        <v>357</v>
      </c>
      <c r="B809" s="208"/>
      <c r="C809" s="208"/>
      <c r="D809" s="20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08" t="s">
        <v>358</v>
      </c>
      <c r="B820" s="208"/>
      <c r="C820" s="208"/>
      <c r="D820" s="20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08" t="s">
        <v>359</v>
      </c>
      <c r="B831" s="208"/>
      <c r="C831" s="208"/>
      <c r="D831" s="20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08" t="s">
        <v>360</v>
      </c>
      <c r="B842" s="208"/>
      <c r="C842" s="208"/>
      <c r="D842" s="20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08" t="s">
        <v>361</v>
      </c>
      <c r="B854" s="208"/>
      <c r="C854" s="208"/>
      <c r="D854" s="20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08" t="s">
        <v>363</v>
      </c>
      <c r="B865" s="208"/>
      <c r="C865" s="208"/>
      <c r="D865" s="20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08" t="s">
        <v>364</v>
      </c>
      <c r="B876" s="208"/>
      <c r="C876" s="208"/>
      <c r="D876" s="20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08" t="s">
        <v>367</v>
      </c>
      <c r="B888" s="208"/>
      <c r="C888" s="208"/>
      <c r="D888" s="20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08" t="s">
        <v>368</v>
      </c>
      <c r="B901" s="208"/>
      <c r="C901" s="208"/>
      <c r="D901" s="20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08" t="s">
        <v>369</v>
      </c>
      <c r="B913" s="208"/>
      <c r="C913" s="208"/>
      <c r="D913" s="20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08" t="s">
        <v>370</v>
      </c>
      <c r="B925" s="208"/>
      <c r="C925" s="208"/>
      <c r="D925" s="20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08" t="s">
        <v>371</v>
      </c>
      <c r="B937" s="208"/>
      <c r="C937" s="208"/>
      <c r="D937" s="20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08" t="s">
        <v>372</v>
      </c>
      <c r="B949" s="208"/>
      <c r="C949" s="208"/>
      <c r="D949" s="20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08" t="s">
        <v>400</v>
      </c>
      <c r="B961" s="208"/>
      <c r="C961" s="208"/>
      <c r="D961" s="208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08" t="s">
        <v>402</v>
      </c>
      <c r="B974" s="208"/>
      <c r="C974" s="208"/>
      <c r="D974" s="208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08" t="s">
        <v>404</v>
      </c>
      <c r="B987" s="208"/>
      <c r="C987" s="208"/>
      <c r="D987" s="208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08" t="s">
        <v>405</v>
      </c>
      <c r="B1000" s="208"/>
      <c r="C1000" s="208"/>
      <c r="D1000" s="208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08" t="s">
        <v>408</v>
      </c>
      <c r="B1012" s="208"/>
      <c r="C1012" s="208"/>
      <c r="D1012" s="208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08" t="s">
        <v>410</v>
      </c>
      <c r="B1025" s="208"/>
      <c r="C1025" s="208"/>
      <c r="D1025" s="208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08" t="s">
        <v>413</v>
      </c>
      <c r="B1037" s="208"/>
      <c r="C1037" s="208"/>
      <c r="D1037" s="208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08" t="s">
        <v>415</v>
      </c>
      <c r="B1049" s="208"/>
      <c r="C1049" s="208"/>
      <c r="D1049" s="208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08" t="s">
        <v>417</v>
      </c>
      <c r="B1061" s="208"/>
      <c r="C1061" s="208"/>
      <c r="D1061" s="208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08" t="s">
        <v>419</v>
      </c>
      <c r="B1073" s="208"/>
      <c r="C1073" s="208"/>
      <c r="D1073" s="208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08" t="s">
        <v>421</v>
      </c>
      <c r="B1085" s="208"/>
      <c r="C1085" s="208"/>
      <c r="D1085" s="208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08" t="s">
        <v>423</v>
      </c>
      <c r="B1098" s="208"/>
      <c r="C1098" s="208"/>
      <c r="D1098" s="208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08" t="s">
        <v>426</v>
      </c>
      <c r="B1110" s="208"/>
      <c r="C1110" s="208"/>
      <c r="D1110" s="208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08" t="s">
        <v>428</v>
      </c>
      <c r="B1123" s="208"/>
      <c r="C1123" s="208"/>
      <c r="D1123" s="208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08" t="s">
        <v>430</v>
      </c>
      <c r="B1136" s="208"/>
      <c r="C1136" s="208"/>
      <c r="D1136" s="208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08" t="s">
        <v>432</v>
      </c>
      <c r="B1149" s="208"/>
      <c r="C1149" s="208"/>
      <c r="D1149" s="208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08" t="s">
        <v>434</v>
      </c>
      <c r="B1162" s="208"/>
      <c r="C1162" s="208"/>
      <c r="D1162" s="208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08" t="s">
        <v>437</v>
      </c>
      <c r="B1173" s="208"/>
      <c r="C1173" s="208"/>
      <c r="D1173" s="208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08" t="s">
        <v>439</v>
      </c>
      <c r="B1185" s="208"/>
      <c r="C1185" s="208"/>
      <c r="D1185" s="208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08" t="s">
        <v>441</v>
      </c>
      <c r="B1197" s="208"/>
      <c r="C1197" s="208"/>
      <c r="D1197" s="208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08" t="s">
        <v>443</v>
      </c>
      <c r="B1209" s="208"/>
      <c r="C1209" s="208"/>
      <c r="D1209" s="208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08" t="s">
        <v>445</v>
      </c>
      <c r="B1222" s="208"/>
      <c r="C1222" s="208"/>
      <c r="D1222" s="208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08" t="s">
        <v>447</v>
      </c>
      <c r="B1234" s="208"/>
      <c r="C1234" s="208"/>
      <c r="D1234" s="208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08" t="s">
        <v>449</v>
      </c>
      <c r="B1246" s="208"/>
      <c r="C1246" s="208"/>
      <c r="D1246" s="208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08" t="s">
        <v>452</v>
      </c>
      <c r="B1258" s="208"/>
      <c r="C1258" s="208"/>
      <c r="D1258" s="208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08" t="s">
        <v>454</v>
      </c>
      <c r="B1270" s="208"/>
      <c r="C1270" s="208"/>
      <c r="D1270" s="208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08" t="s">
        <v>456</v>
      </c>
      <c r="B1282" s="208"/>
      <c r="C1282" s="208"/>
      <c r="D1282" s="208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08" t="s">
        <v>458</v>
      </c>
      <c r="B1294" s="208"/>
      <c r="C1294" s="208"/>
      <c r="D1294" s="208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08" t="s">
        <v>460</v>
      </c>
      <c r="B1306" s="208"/>
      <c r="C1306" s="208"/>
      <c r="D1306" s="208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08" t="s">
        <v>462</v>
      </c>
      <c r="B1318" s="208"/>
      <c r="C1318" s="208"/>
      <c r="D1318" s="208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08" t="s">
        <v>464</v>
      </c>
      <c r="B1330" s="208"/>
      <c r="C1330" s="208"/>
      <c r="D1330" s="208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08" t="s">
        <v>467</v>
      </c>
      <c r="B1343" s="208"/>
      <c r="C1343" s="208"/>
      <c r="D1343" s="208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08" t="s">
        <v>469</v>
      </c>
      <c r="B1355" s="208"/>
      <c r="C1355" s="208"/>
      <c r="D1355" s="208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08" t="s">
        <v>471</v>
      </c>
      <c r="B1368" s="208"/>
      <c r="C1368" s="208"/>
      <c r="D1368" s="208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08" t="s">
        <v>473</v>
      </c>
      <c r="B1380" s="208"/>
      <c r="C1380" s="208"/>
      <c r="D1380" s="208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08" t="s">
        <v>476</v>
      </c>
      <c r="B1392" s="208"/>
      <c r="C1392" s="208"/>
      <c r="D1392" s="208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08" t="s">
        <v>478</v>
      </c>
      <c r="B1404" s="208"/>
      <c r="C1404" s="208"/>
      <c r="D1404" s="208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08" t="s">
        <v>479</v>
      </c>
      <c r="B1416" s="208"/>
      <c r="C1416" s="208"/>
      <c r="D1416" s="208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08" t="s">
        <v>480</v>
      </c>
      <c r="B1428" s="208"/>
      <c r="C1428" s="208"/>
      <c r="D1428" s="208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08" t="s">
        <v>481</v>
      </c>
      <c r="B1441" s="208"/>
      <c r="C1441" s="208"/>
      <c r="D1441" s="208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08" t="s">
        <v>482</v>
      </c>
      <c r="B1453" s="208"/>
      <c r="C1453" s="208"/>
      <c r="D1453" s="208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08" t="s">
        <v>489</v>
      </c>
      <c r="B1465" s="208"/>
      <c r="C1465" s="208"/>
      <c r="D1465" s="208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08" t="s">
        <v>491</v>
      </c>
      <c r="B1477" s="208"/>
      <c r="C1477" s="208"/>
      <c r="D1477" s="208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08" t="s">
        <v>493</v>
      </c>
      <c r="B1490" s="208"/>
      <c r="C1490" s="208"/>
      <c r="D1490" s="208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08" t="s">
        <v>495</v>
      </c>
      <c r="B1502" s="208"/>
      <c r="C1502" s="208"/>
      <c r="D1502" s="208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08" t="s">
        <v>497</v>
      </c>
      <c r="B1514" s="208"/>
      <c r="C1514" s="208"/>
      <c r="D1514" s="208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08" t="s">
        <v>499</v>
      </c>
      <c r="B1526" s="208"/>
      <c r="C1526" s="208"/>
      <c r="D1526" s="208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08" t="s">
        <v>502</v>
      </c>
      <c r="B1539" s="208"/>
      <c r="C1539" s="208"/>
      <c r="D1539" s="208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08" t="s">
        <v>504</v>
      </c>
      <c r="B1551" s="208"/>
      <c r="C1551" s="208"/>
      <c r="D1551" s="208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08" t="s">
        <v>506</v>
      </c>
      <c r="B1563" s="208"/>
      <c r="C1563" s="208"/>
      <c r="D1563" s="208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08" t="s">
        <v>508</v>
      </c>
      <c r="B1576" s="208"/>
      <c r="C1576" s="208"/>
      <c r="D1576" s="208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08" t="s">
        <v>510</v>
      </c>
      <c r="B1589" s="208"/>
      <c r="C1589" s="208"/>
      <c r="D1589" s="208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09" t="s">
        <v>510</v>
      </c>
      <c r="B1601" s="209"/>
      <c r="C1601" s="209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09" t="s">
        <v>510</v>
      </c>
      <c r="B1613" s="209"/>
      <c r="C1613" s="209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09" t="s">
        <v>514</v>
      </c>
      <c r="B1629" s="209"/>
      <c r="C1629" s="209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09" t="s">
        <v>516</v>
      </c>
      <c r="B1640" s="209"/>
      <c r="C1640" s="209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09" t="s">
        <v>518</v>
      </c>
      <c r="B1653" s="209"/>
      <c r="C1653" s="209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09" t="s">
        <v>520</v>
      </c>
      <c r="B1665" s="209"/>
      <c r="C1665" s="209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09" t="s">
        <v>522</v>
      </c>
      <c r="B1677" s="209"/>
      <c r="C1677" s="209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09" t="s">
        <v>526</v>
      </c>
      <c r="B1690" s="209"/>
      <c r="C1690" s="209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09" t="s">
        <v>529</v>
      </c>
      <c r="B1703" s="209"/>
      <c r="C1703" s="209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09" t="s">
        <v>531</v>
      </c>
      <c r="B1716" s="209"/>
      <c r="C1716" s="209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09" t="s">
        <v>533</v>
      </c>
      <c r="B1729" s="209"/>
      <c r="C1729" s="209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09" t="s">
        <v>536</v>
      </c>
      <c r="B1742" s="209"/>
      <c r="C1742" s="209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09" t="s">
        <v>538</v>
      </c>
      <c r="B1754" s="209"/>
      <c r="C1754" s="209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09" t="s">
        <v>540</v>
      </c>
      <c r="B1767" s="209"/>
      <c r="C1767" s="209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09" t="s">
        <v>542</v>
      </c>
      <c r="B1779" s="209"/>
      <c r="C1779" s="209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09" t="s">
        <v>545</v>
      </c>
      <c r="B1791" s="209"/>
      <c r="C1791" s="209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</sheetData>
  <mergeCells count="156">
    <mergeCell ref="A1791:C1791"/>
    <mergeCell ref="A1779:C1779"/>
    <mergeCell ref="A1754:C1754"/>
    <mergeCell ref="A1742:C1742"/>
    <mergeCell ref="A1729:C1729"/>
    <mergeCell ref="A1716:C1716"/>
    <mergeCell ref="A1703:C1703"/>
    <mergeCell ref="A1453:D1453"/>
    <mergeCell ref="A1318:D1318"/>
    <mergeCell ref="A1563:D1563"/>
    <mergeCell ref="A1767:C1767"/>
    <mergeCell ref="A1441:D1441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209:D1209"/>
    <mergeCell ref="A1222:D1222"/>
    <mergeCell ref="A1234:D1234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B8" sqref="B8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0" t="s">
        <v>373</v>
      </c>
      <c r="B1" s="210"/>
      <c r="C1" s="210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39"/>
  <sheetViews>
    <sheetView zoomScale="85" zoomScaleNormal="85" workbookViewId="0">
      <selection activeCell="F133" sqref="F133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39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39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39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2021-12-26T12:25:41Z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