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60" windowHeight="7680" activeTab="1"/>
  </bookViews>
  <sheets>
    <sheet name="Sheet1" sheetId="1" r:id="rId1"/>
    <sheet name="std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1" l="1"/>
  <c r="H10" i="1"/>
  <c r="H9" i="1"/>
</calcChain>
</file>

<file path=xl/sharedStrings.xml><?xml version="1.0" encoding="utf-8"?>
<sst xmlns="http://schemas.openxmlformats.org/spreadsheetml/2006/main" count="21" uniqueCount="17">
  <si>
    <t>متوسط قیمت دلار متشکل (تومان)</t>
  </si>
  <si>
    <t>متوسط قیمت یورو متشکل (تومان)</t>
  </si>
  <si>
    <t>اردیبهشت</t>
  </si>
  <si>
    <t>خرداد</t>
  </si>
  <si>
    <t xml:space="preserve">حجم عرضه دلار متشکل </t>
  </si>
  <si>
    <t>متوسط قیمت یورو سنا (تومان)</t>
  </si>
  <si>
    <t>متوسط قیمت دلار سنا (تومان)</t>
  </si>
  <si>
    <t>متوسط قیمت بازار دلار آزاد (تومان)</t>
  </si>
  <si>
    <t>متوسط قیمت یورو بازار آزاد (تومان)</t>
  </si>
  <si>
    <t>تیر</t>
  </si>
  <si>
    <t>حجم عرضه یورو  متشکل</t>
  </si>
  <si>
    <t>مرداد</t>
  </si>
  <si>
    <t>انحراف معیار</t>
  </si>
  <si>
    <t>کمترین قیمت دلار (تومان)</t>
  </si>
  <si>
    <t>انحراف کعیار قیمت دلار (تومان)</t>
  </si>
  <si>
    <t>بیشترین قیمت دلار (تومان)</t>
  </si>
  <si>
    <t>میانگین قیمت دلار (تومان)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</si>
</sst>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17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دلار متشکل، آزاد و سنا (تومان)</a:t>
            </a:r>
            <a:r>
              <a:rPr lang="en-US" baseline="0"/>
              <a:t> </a:t>
            </a:r>
            <a:r>
              <a:rPr lang="fa-IR" baseline="0"/>
              <a:t> 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(Sheet1!$B$2,Sheet1!$F$2,Sheet1!$H$2)</c:f>
              <c:numCache>
                <c:formatCode>General</c:formatCode>
                <c:ptCount val="3"/>
                <c:pt idx="0">
                  <c:v>22032</c:v>
                </c:pt>
                <c:pt idx="1">
                  <c:v>22353</c:v>
                </c:pt>
                <c:pt idx="2">
                  <c:v>22755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(Sheet1!$B$3,Sheet1!$F$3,Sheet1!$H$3)</c:f>
              <c:numCache>
                <c:formatCode>General</c:formatCode>
                <c:ptCount val="3"/>
                <c:pt idx="0">
                  <c:v>23028</c:v>
                </c:pt>
                <c:pt idx="1">
                  <c:v>23279</c:v>
                </c:pt>
                <c:pt idx="2">
                  <c:v>23775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(Sheet1!$B$4,Sheet1!$F$4,Sheet1!$H$4)</c:f>
              <c:numCache>
                <c:formatCode>General</c:formatCode>
                <c:ptCount val="3"/>
                <c:pt idx="0">
                  <c:v>24167</c:v>
                </c:pt>
                <c:pt idx="1">
                  <c:v>24445</c:v>
                </c:pt>
                <c:pt idx="2">
                  <c:v>24757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(Sheet1!$B$5,Sheet1!$F$5,Sheet1!$H$5)</c:f>
              <c:numCache>
                <c:formatCode>General</c:formatCode>
                <c:ptCount val="3"/>
                <c:pt idx="0">
                  <c:v>25016</c:v>
                </c:pt>
                <c:pt idx="1">
                  <c:v>25273</c:v>
                </c:pt>
                <c:pt idx="2">
                  <c:v>25766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94497888"/>
        <c:axId val="594491904"/>
        <c:extLst/>
      </c:barChart>
      <c:catAx>
        <c:axId val="59449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491904"/>
        <c:crosses val="autoZero"/>
        <c:auto val="1"/>
        <c:lblAlgn val="ctr"/>
        <c:lblOffset val="100"/>
        <c:noMultiLvlLbl val="0"/>
      </c:catAx>
      <c:valAx>
        <c:axId val="59449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49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یورو متشکل، آزاد و سنا (تومان) </a:t>
            </a:r>
            <a:endParaRPr lang="en-US"/>
          </a:p>
        </c:rich>
      </c:tx>
      <c:layout>
        <c:manualLayout>
          <c:xMode val="edge"/>
          <c:yMode val="edge"/>
          <c:x val="0.15722546934779286"/>
          <c:y val="3.92734474077514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(Sheet1!$D$2,Sheet1!$G$2,Sheet1!$I$2)</c:f>
              <c:numCache>
                <c:formatCode>General</c:formatCode>
                <c:ptCount val="3"/>
                <c:pt idx="0">
                  <c:v>26659</c:v>
                </c:pt>
                <c:pt idx="1">
                  <c:v>26814</c:v>
                </c:pt>
                <c:pt idx="2">
                  <c:v>27655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(Sheet1!$D$3,Sheet1!$G$3,Sheet1!$I$3)</c:f>
              <c:numCache>
                <c:formatCode>General</c:formatCode>
                <c:ptCount val="3"/>
                <c:pt idx="0">
                  <c:v>27913</c:v>
                </c:pt>
                <c:pt idx="1">
                  <c:v>28202</c:v>
                </c:pt>
                <c:pt idx="2">
                  <c:v>28837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(Sheet1!$D$4,Sheet1!$G$4,Sheet1!$I$4)</c:f>
              <c:numCache>
                <c:formatCode>General</c:formatCode>
                <c:ptCount val="3"/>
                <c:pt idx="0">
                  <c:v>28641</c:v>
                </c:pt>
                <c:pt idx="1">
                  <c:v>29141</c:v>
                </c:pt>
                <c:pt idx="2">
                  <c:v>29399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(Sheet1!$D$5,Sheet1!$G$5,Sheet1!$I$5)</c:f>
              <c:numCache>
                <c:formatCode>General</c:formatCode>
                <c:ptCount val="3"/>
                <c:pt idx="0">
                  <c:v>29333</c:v>
                </c:pt>
                <c:pt idx="1">
                  <c:v>29702</c:v>
                </c:pt>
                <c:pt idx="2">
                  <c:v>30353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94499520"/>
        <c:axId val="594485376"/>
        <c:extLst/>
      </c:barChart>
      <c:catAx>
        <c:axId val="59449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485376"/>
        <c:crosses val="autoZero"/>
        <c:auto val="1"/>
        <c:lblAlgn val="ctr"/>
        <c:lblOffset val="100"/>
        <c:noMultiLvlLbl val="0"/>
      </c:catAx>
      <c:valAx>
        <c:axId val="59448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49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عرضه ماهانه</a:t>
            </a:r>
            <a:r>
              <a:rPr lang="fa-IR" baseline="0"/>
              <a:t> دلار و یورو در بازار متشکل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(Sheet1!$C$2,Sheet1!$E$2)</c:f>
              <c:numCache>
                <c:formatCode>General</c:formatCode>
                <c:ptCount val="2"/>
                <c:pt idx="0">
                  <c:v>127796800</c:v>
                </c:pt>
                <c:pt idx="1">
                  <c:v>36658100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(Sheet1!$C$3,Sheet1!$E$3)</c:f>
              <c:numCache>
                <c:formatCode>General</c:formatCode>
                <c:ptCount val="2"/>
                <c:pt idx="0">
                  <c:v>171280800</c:v>
                </c:pt>
                <c:pt idx="1">
                  <c:v>14823700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(Sheet1!$C$4,Sheet1!$E$4)</c:f>
              <c:numCache>
                <c:formatCode>General</c:formatCode>
                <c:ptCount val="2"/>
                <c:pt idx="0">
                  <c:v>111014500</c:v>
                </c:pt>
                <c:pt idx="1">
                  <c:v>8320900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(Sheet1!$C$5,Sheet1!$E$5)</c:f>
              <c:numCache>
                <c:formatCode>General</c:formatCode>
                <c:ptCount val="2"/>
                <c:pt idx="0">
                  <c:v>107764700</c:v>
                </c:pt>
                <c:pt idx="1">
                  <c:v>13828400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94488640"/>
        <c:axId val="373164864"/>
        <c:extLst/>
      </c:barChart>
      <c:catAx>
        <c:axId val="59448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3164864"/>
        <c:crosses val="autoZero"/>
        <c:auto val="1"/>
        <c:lblAlgn val="ctr"/>
        <c:lblOffset val="100"/>
        <c:noMultiLvlLbl val="0"/>
      </c:catAx>
      <c:valAx>
        <c:axId val="37316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48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1698048</xdr:colOff>
      <xdr:row>11</xdr:row>
      <xdr:rowOff>152400</xdr:rowOff>
    </xdr:from>
    <xdr:to>
      <xdr:col>5</xdr:col>
      <xdr:colOff>133350</xdr:colOff>
      <xdr:row>30</xdr:row>
      <xdr:rowOff>77931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131619</xdr:colOff>
      <xdr:row>25</xdr:row>
      <xdr:rowOff>136814</xdr:rowOff>
    </xdr:from>
    <xdr:to>
      <xdr:col>3</xdr:col>
      <xdr:colOff>1700645</xdr:colOff>
      <xdr:row>42</xdr:row>
      <xdr:rowOff>132051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530802</xdr:colOff>
      <xdr:row>49</xdr:row>
      <xdr:rowOff>83995</xdr:rowOff>
    </xdr:from>
    <xdr:to>
      <xdr:col>5</xdr:col>
      <xdr:colOff>38100</xdr:colOff>
      <xdr:row>69</xdr:row>
      <xdr:rowOff>123825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topLeftCell="J1" zoomScaleNormal="100" workbookViewId="0">
      <selection activeCell="J5" sqref="J5"/>
    </sheetView>
  </sheetViews>
  <sheetFormatPr defaultRowHeight="15" x14ac:dyDescent="0.25"/>
  <cols>
    <col min="2" max="2" width="28.7109375" customWidth="1"/>
    <col min="3" max="3" width="24.7109375" customWidth="1"/>
    <col min="4" max="4" width="26.42578125" customWidth="1"/>
    <col min="5" max="5" width="24.140625" customWidth="1"/>
    <col min="6" max="7" width="26.28515625" customWidth="1"/>
    <col min="8" max="8" width="31.28515625" customWidth="1"/>
    <col min="9" max="9" width="30.42578125" customWidth="1"/>
    <col min="10" max="10" width="20.140625" customWidth="1"/>
  </cols>
  <sheetData>
    <row r="1" spans="1:10" x14ac:dyDescent="0.25">
      <c r="B1" t="s">
        <v>0</v>
      </c>
      <c r="C1" t="s">
        <v>4</v>
      </c>
      <c r="D1" t="s">
        <v>1</v>
      </c>
      <c r="E1" t="s">
        <v>10</v>
      </c>
      <c r="F1" t="s">
        <v>6</v>
      </c>
      <c r="G1" t="s">
        <v>5</v>
      </c>
      <c r="H1" t="s">
        <v>7</v>
      </c>
      <c r="I1" t="s">
        <v>8</v>
      </c>
      <c r="J1" t="s">
        <v>12</v>
      </c>
    </row>
    <row r="2" spans="1:10" x14ac:dyDescent="0.25">
      <c r="A2" t="s">
        <v>2</v>
      </c>
      <c r="B2">
        <v>22032</v>
      </c>
      <c r="C2">
        <v>127796800</v>
      </c>
      <c r="D2">
        <v>26659</v>
      </c>
      <c r="E2">
        <v>36658100</v>
      </c>
      <c r="F2">
        <v>22353</v>
      </c>
      <c r="G2">
        <v>26814</v>
      </c>
      <c r="H2">
        <v>22755</v>
      </c>
      <c r="I2">
        <v>27655</v>
      </c>
      <c r="J2">
        <v>934.63</v>
      </c>
    </row>
    <row r="3" spans="1:10" x14ac:dyDescent="0.25">
      <c r="A3" t="s">
        <v>3</v>
      </c>
      <c r="B3">
        <v>23028</v>
      </c>
      <c r="C3">
        <v>171280800</v>
      </c>
      <c r="D3">
        <v>27913</v>
      </c>
      <c r="E3">
        <v>14823700</v>
      </c>
      <c r="F3">
        <v>23279</v>
      </c>
      <c r="G3">
        <v>28202</v>
      </c>
      <c r="H3">
        <v>23775</v>
      </c>
      <c r="I3">
        <v>28837</v>
      </c>
      <c r="J3">
        <v>429.75</v>
      </c>
    </row>
    <row r="4" spans="1:10" x14ac:dyDescent="0.25">
      <c r="A4" t="s">
        <v>9</v>
      </c>
      <c r="B4">
        <v>24167</v>
      </c>
      <c r="C4">
        <v>111014500</v>
      </c>
      <c r="D4">
        <v>28641</v>
      </c>
      <c r="E4">
        <v>8320900</v>
      </c>
      <c r="F4">
        <v>24445</v>
      </c>
      <c r="G4">
        <v>29141</v>
      </c>
      <c r="H4">
        <v>24757</v>
      </c>
      <c r="I4">
        <v>29399</v>
      </c>
      <c r="J4">
        <v>352.99</v>
      </c>
    </row>
    <row r="5" spans="1:10" x14ac:dyDescent="0.25">
      <c r="A5" t="s">
        <v>11</v>
      </c>
      <c r="B5">
        <v>25016</v>
      </c>
      <c r="C5">
        <v>107764700</v>
      </c>
      <c r="D5">
        <v>29333</v>
      </c>
      <c r="E5">
        <v>13828400</v>
      </c>
      <c r="F5">
        <v>25273</v>
      </c>
      <c r="G5">
        <v>29702</v>
      </c>
      <c r="H5">
        <v>25766</v>
      </c>
      <c r="I5">
        <v>30353</v>
      </c>
      <c r="J5">
        <v>628.74</v>
      </c>
    </row>
    <row r="6" spans="1:10" x14ac:dyDescent="0.25">
      <c r="F6">
        <f>(E2-E4)/E2</f>
        <v>0.77301333129649386</v>
      </c>
    </row>
    <row r="9" spans="1:10" x14ac:dyDescent="0.25">
      <c r="H9">
        <f>(H3-H2)/H2</f>
        <v>4.4825313117996042E-2</v>
      </c>
    </row>
    <row r="10" spans="1:10" x14ac:dyDescent="0.25">
      <c r="H10">
        <f>(H4-H3)/H3</f>
        <v>4.1303890641430072E-2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tabSelected="1" workbookViewId="0">
      <selection activeCell="F5" sqref="F5"/>
    </sheetView>
  </sheetViews>
  <sheetFormatPr defaultRowHeight="15" x14ac:dyDescent="0.25"/>
  <cols>
    <col min="2" max="2" width="28" customWidth="1"/>
    <col min="3" max="3" width="31.7109375" customWidth="1"/>
    <col min="4" max="4" width="23.7109375" customWidth="1"/>
    <col min="5" max="5" width="40.5703125" customWidth="1"/>
  </cols>
  <sheetData>
    <row r="1" spans="1:5" s="2" customFormat="1" ht="24.95" customHeight="1" x14ac:dyDescent="0.25">
      <c r="A1" s="1"/>
      <c r="B1" s="1" t="s">
        <v>16</v>
      </c>
      <c r="C1" s="1" t="s">
        <v>15</v>
      </c>
      <c r="D1" s="1" t="s">
        <v>13</v>
      </c>
      <c r="E1" s="1" t="s">
        <v>14</v>
      </c>
    </row>
    <row r="2" spans="1:5" s="2" customFormat="1" ht="24.95" customHeight="1" x14ac:dyDescent="0.25">
      <c r="A2" s="1" t="s">
        <v>2</v>
      </c>
      <c r="B2" s="3">
        <v>22755</v>
      </c>
      <c r="C2" s="3">
        <v>24040</v>
      </c>
      <c r="D2" s="3">
        <v>20800</v>
      </c>
      <c r="E2" s="3">
        <v>955</v>
      </c>
    </row>
    <row r="3" spans="1:5" s="2" customFormat="1" ht="24.95" customHeight="1" x14ac:dyDescent="0.25">
      <c r="A3" s="1" t="s">
        <v>3</v>
      </c>
      <c r="B3" s="3">
        <v>23775</v>
      </c>
      <c r="C3" s="3">
        <v>24430</v>
      </c>
      <c r="D3" s="3">
        <v>22880</v>
      </c>
      <c r="E3" s="3">
        <v>439</v>
      </c>
    </row>
    <row r="4" spans="1:5" s="2" customFormat="1" ht="24.95" customHeight="1" x14ac:dyDescent="0.25">
      <c r="A4" s="1" t="s">
        <v>9</v>
      </c>
      <c r="B4" s="3">
        <v>24757</v>
      </c>
      <c r="C4" s="3">
        <v>24100</v>
      </c>
      <c r="D4" s="3">
        <v>25370</v>
      </c>
      <c r="E4" s="3">
        <v>361</v>
      </c>
    </row>
    <row r="5" spans="1:5" s="2" customFormat="1" ht="24.95" customHeight="1" x14ac:dyDescent="0.25">
      <c r="A5" s="1" t="s">
        <v>11</v>
      </c>
      <c r="B5" s="3">
        <v>25871</v>
      </c>
      <c r="C5" s="3">
        <v>27500</v>
      </c>
      <c r="D5" s="3">
        <v>24980</v>
      </c>
      <c r="E5" s="3">
        <v>629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2021-06-26T11:05:25Z</dcterms:created>
  <dcterms:modified xsi:type="dcterms:W3CDTF">2021-08-22T07:59:57Z</dcterms:modified>
</cp:coreProperties>
</file>