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C40FAEF5-421D-4C3A-92CA-AB63B70A1039}" xr6:coauthVersionLast="47" xr6:coauthVersionMax="47" xr10:uidLastSave="{00000000-0000-0000-0000-000000000000}"/>
  <bookViews>
    <workbookView xWindow="-11244" yWindow="2496" windowWidth="17280" windowHeight="8964" activeTab="1" xr2:uid="{00000000-000D-0000-FFFF-FFFF00000000}"/>
  </bookViews>
  <sheets>
    <sheet name="Sheet1" sheetId="1" r:id="rId1"/>
    <sheet name="std" sheetId="2" r:id="rId2"/>
    <sheet name="seasonal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1" l="1"/>
  <c r="D14" i="1"/>
  <c r="F12" i="1"/>
  <c r="B12" i="1"/>
</calcChain>
</file>

<file path=xl/sharedStrings.xml><?xml version="1.0" encoding="utf-8"?>
<sst xmlns="http://schemas.openxmlformats.org/spreadsheetml/2006/main" count="47" uniqueCount="33">
  <si>
    <t>متوسط قیمت دلار متشکل (تومان)</t>
  </si>
  <si>
    <t>متوسط قیمت یورو متشکل (تومان)</t>
  </si>
  <si>
    <t>اردیبهشت</t>
  </si>
  <si>
    <t>خرداد</t>
  </si>
  <si>
    <t xml:space="preserve">حجم عرضه دلار متشکل </t>
  </si>
  <si>
    <t>متوسط قیمت یورو سنا (تومان)</t>
  </si>
  <si>
    <t>متوسط قیمت دلار سنا (تومان)</t>
  </si>
  <si>
    <t>متوسط قیمت بازار دلار آزاد (تومان)</t>
  </si>
  <si>
    <t>متوسط قیمت یورو بازار آزاد (تومان)</t>
  </si>
  <si>
    <t>تیر</t>
  </si>
  <si>
    <t>حجم عرضه یورو  متشکل</t>
  </si>
  <si>
    <t>مرداد</t>
  </si>
  <si>
    <t>انحراف معیار</t>
  </si>
  <si>
    <t>کمترین قیمت دلار (تومان)</t>
  </si>
  <si>
    <t>بیشترین قیمت دلار (تومان)</t>
  </si>
  <si>
    <t>میانگین قیمت دلار (تومان)</t>
  </si>
  <si>
    <t>شهریور</t>
  </si>
  <si>
    <t>انحراف معیار قیمت دلار (تومان)</t>
  </si>
  <si>
    <t>مهر</t>
  </si>
  <si>
    <t>آبان</t>
  </si>
  <si>
    <t>آذر</t>
  </si>
  <si>
    <t>تابستان</t>
  </si>
  <si>
    <t>پاییز</t>
  </si>
  <si>
    <t>قیمت دلار متشکل</t>
  </si>
  <si>
    <t>قیمت دلار سنا</t>
  </si>
  <si>
    <t>قیمت یورو متشکل</t>
  </si>
  <si>
    <t>قیمت یورو سنا</t>
  </si>
  <si>
    <t>تغییر متشکل نسبت به فصل قبل</t>
  </si>
  <si>
    <t>عرضه یورو در بازار متشکل</t>
  </si>
  <si>
    <t>عرضه دلار در بازار متشکل</t>
  </si>
  <si>
    <t>تغییر عرضه دلار نسبت به فصل قبل</t>
  </si>
  <si>
    <t>تغییر عرضه یورو نسبت به فصل قبل</t>
  </si>
  <si>
    <t>دی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</si>
</sst>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7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دلار متشکل، آزاد و سنا (تومان)</a:t>
            </a:r>
            <a:r>
              <a:rPr lang="en-US" baseline="0"/>
              <a:t> </a:t>
            </a:r>
            <a:r>
              <a:rPr lang="fa-IR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(Sheet1!$B$2,Sheet1!$F$2)</c:f>
              <c:numCache>
                <c:formatCode>General</c:formatCode>
                <c:ptCount val="2"/>
                <c:pt idx="0">
                  <c:v>22032</c:v>
                </c:pt>
                <c:pt idx="1">
                  <c:v>22353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2-4750-9CE5-CEC14EA90E1C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(Sheet1!$B$3,Sheet1!$F$3)</c:f>
              <c:numCache>
                <c:formatCode>General</c:formatCode>
                <c:ptCount val="2"/>
                <c:pt idx="0">
                  <c:v>23028</c:v>
                </c:pt>
                <c:pt idx="1">
                  <c:v>23279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62-4750-9CE5-CEC14EA90E1C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(Sheet1!$B$4,Sheet1!$F$4)</c:f>
              <c:numCache>
                <c:formatCode>General</c:formatCode>
                <c:ptCount val="2"/>
                <c:pt idx="0">
                  <c:v>24167</c:v>
                </c:pt>
                <c:pt idx="1">
                  <c:v>24445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62-4750-9CE5-CEC14EA90E1C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(Sheet1!$B$5,Sheet1!$F$5)</c:f>
              <c:numCache>
                <c:formatCode>General</c:formatCode>
                <c:ptCount val="2"/>
                <c:pt idx="0">
                  <c:v>25016</c:v>
                </c:pt>
                <c:pt idx="1">
                  <c:v>25273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62-4750-9CE5-CEC14EA90E1C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(Sheet1!$B$6,Sheet1!$F$6)</c:f>
              <c:numCache>
                <c:formatCode>General</c:formatCode>
                <c:ptCount val="2"/>
                <c:pt idx="0">
                  <c:v>26504</c:v>
                </c:pt>
                <c:pt idx="1">
                  <c:v>26792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62-4750-9CE5-CEC14EA90E1C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مهر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(Sheet1!$B$7,Sheet1!$F$7)</c:f>
              <c:numCache>
                <c:formatCode>General</c:formatCode>
                <c:ptCount val="2"/>
                <c:pt idx="0">
                  <c:v>26733</c:v>
                </c:pt>
                <c:pt idx="1">
                  <c:v>27056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62-4750-9CE5-CEC14EA90E1C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آبان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Sheet1!$B$8:$J$8</c15:sqref>
                  </c15:fullRef>
                </c:ext>
              </c:extLst>
              <c:f>(Sheet1!$B$8,Sheet1!$F$8)</c:f>
              <c:numCache>
                <c:formatCode>General</c:formatCode>
                <c:ptCount val="2"/>
                <c:pt idx="0">
                  <c:v>26848</c:v>
                </c:pt>
                <c:pt idx="1">
                  <c:v>27121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62-4750-9CE5-CEC14EA90E1C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آذر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Sheet1!$B$9:$J$9</c15:sqref>
                  </c15:fullRef>
                </c:ext>
              </c:extLst>
              <c:f>(Sheet1!$B$9,Sheet1!$F$9)</c:f>
              <c:numCache>
                <c:formatCode>General</c:formatCode>
                <c:ptCount val="2"/>
                <c:pt idx="0">
                  <c:v>27141</c:v>
                </c:pt>
                <c:pt idx="1">
                  <c:v>27356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62-4750-9CE5-CEC14EA90E1C}"/>
            </c:ext>
          </c:extLst>
        </c:ser>
        <c:ser>
          <c:idx val="8"/>
          <c:order val="8"/>
          <c:tx>
            <c:strRef>
              <c:f>Sheet1!$A$10</c:f>
              <c:strCache>
                <c:ptCount val="1"/>
                <c:pt idx="0">
                  <c:v>دی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Sheet1!$B$10:$J$10</c15:sqref>
                  </c15:fullRef>
                </c:ext>
              </c:extLst>
              <c:f>(Sheet1!$B$10,Sheet1!$F$10)</c:f>
              <c:numCache>
                <c:formatCode>General</c:formatCode>
                <c:ptCount val="2"/>
                <c:pt idx="0">
                  <c:v>26392</c:v>
                </c:pt>
                <c:pt idx="1">
                  <c:v>26650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76-497E-ADEC-A265DFEDD6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425042400"/>
        <c:axId val="-1715264800"/>
        <c:extLst/>
      </c:barChart>
      <c:catAx>
        <c:axId val="-142504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715264800"/>
        <c:crosses val="autoZero"/>
        <c:auto val="1"/>
        <c:lblAlgn val="ctr"/>
        <c:lblOffset val="100"/>
        <c:noMultiLvlLbl val="0"/>
      </c:catAx>
      <c:valAx>
        <c:axId val="-171526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25042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یورو متشکل، آزاد و سنا (تومان) </a:t>
            </a:r>
            <a:endParaRPr lang="en-US"/>
          </a:p>
        </c:rich>
      </c:tx>
      <c:layout>
        <c:manualLayout>
          <c:xMode val="edge"/>
          <c:yMode val="edge"/>
          <c:x val="0.15722546934779286"/>
          <c:y val="3.92734474077514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(Sheet1!$D$2,Sheet1!$G$2)</c:f>
              <c:numCache>
                <c:formatCode>General</c:formatCode>
                <c:ptCount val="2"/>
                <c:pt idx="0">
                  <c:v>26659</c:v>
                </c:pt>
                <c:pt idx="1">
                  <c:v>26814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C6-40D9-96DF-BF89A4518DA4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(Sheet1!$D$3,Sheet1!$G$3)</c:f>
              <c:numCache>
                <c:formatCode>General</c:formatCode>
                <c:ptCount val="2"/>
                <c:pt idx="0">
                  <c:v>27913</c:v>
                </c:pt>
                <c:pt idx="1">
                  <c:v>28202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C6-40D9-96DF-BF89A4518DA4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(Sheet1!$D$4,Sheet1!$G$4)</c:f>
              <c:numCache>
                <c:formatCode>General</c:formatCode>
                <c:ptCount val="2"/>
                <c:pt idx="0">
                  <c:v>28641</c:v>
                </c:pt>
                <c:pt idx="1">
                  <c:v>29141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C6-40D9-96DF-BF89A4518DA4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(Sheet1!$D$5,Sheet1!$G$5)</c:f>
              <c:numCache>
                <c:formatCode>General</c:formatCode>
                <c:ptCount val="2"/>
                <c:pt idx="0">
                  <c:v>29333</c:v>
                </c:pt>
                <c:pt idx="1">
                  <c:v>29702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C6-40D9-96DF-BF89A4518DA4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(Sheet1!$D$6,Sheet1!$G$6)</c:f>
              <c:numCache>
                <c:formatCode>General</c:formatCode>
                <c:ptCount val="2"/>
                <c:pt idx="0">
                  <c:v>31234</c:v>
                </c:pt>
                <c:pt idx="1">
                  <c:v>31542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C6-40D9-96DF-BF89A4518DA4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مهر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(Sheet1!$D$7,Sheet1!$G$7)</c:f>
              <c:numCache>
                <c:formatCode>General</c:formatCode>
                <c:ptCount val="2"/>
                <c:pt idx="0">
                  <c:v>30773</c:v>
                </c:pt>
                <c:pt idx="1">
                  <c:v>31313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C6-40D9-96DF-BF89A4518DA4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آبان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Sheet1!$B$8:$J$8</c15:sqref>
                  </c15:fullRef>
                </c:ext>
              </c:extLst>
              <c:f>(Sheet1!$D$8,Sheet1!$G$8)</c:f>
              <c:numCache>
                <c:formatCode>General</c:formatCode>
                <c:ptCount val="2"/>
                <c:pt idx="0">
                  <c:v>30900</c:v>
                </c:pt>
                <c:pt idx="1">
                  <c:v>31234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C6-40D9-96DF-BF89A4518DA4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آذر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Sheet1!$B$9:$J$9</c15:sqref>
                  </c15:fullRef>
                </c:ext>
              </c:extLst>
              <c:f>(Sheet1!$D$9,Sheet1!$G$9)</c:f>
              <c:numCache>
                <c:formatCode>General</c:formatCode>
                <c:ptCount val="2"/>
                <c:pt idx="0">
                  <c:v>31009</c:v>
                </c:pt>
                <c:pt idx="1">
                  <c:v>31330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4C6-40D9-96DF-BF89A4518DA4}"/>
            </c:ext>
          </c:extLst>
        </c:ser>
        <c:ser>
          <c:idx val="8"/>
          <c:order val="8"/>
          <c:tx>
            <c:strRef>
              <c:f>Sheet1!$A$10</c:f>
              <c:strCache>
                <c:ptCount val="1"/>
                <c:pt idx="0">
                  <c:v>دی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Sheet1!$B$10:$J$10</c15:sqref>
                  </c15:fullRef>
                </c:ext>
              </c:extLst>
              <c:f>(Sheet1!$D$10,Sheet1!$G$10)</c:f>
              <c:numCache>
                <c:formatCode>General</c:formatCode>
                <c:ptCount val="2"/>
                <c:pt idx="0">
                  <c:v>29780</c:v>
                </c:pt>
                <c:pt idx="1">
                  <c:v>30005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2A-4BCB-B189-8990B80C6A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538795552"/>
        <c:axId val="-1715262080"/>
        <c:extLst/>
      </c:barChart>
      <c:catAx>
        <c:axId val="-153879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715262080"/>
        <c:crosses val="autoZero"/>
        <c:auto val="1"/>
        <c:lblAlgn val="ctr"/>
        <c:lblOffset val="100"/>
        <c:noMultiLvlLbl val="0"/>
      </c:catAx>
      <c:valAx>
        <c:axId val="-171526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53879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عرضه ماهانه</a:t>
            </a:r>
            <a:r>
              <a:rPr lang="fa-IR" baseline="0"/>
              <a:t> دلار و یورو در بازار متشکل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(Sheet1!$C$2,Sheet1!$E$2)</c:f>
              <c:numCache>
                <c:formatCode>General</c:formatCode>
                <c:ptCount val="2"/>
                <c:pt idx="0">
                  <c:v>127796800</c:v>
                </c:pt>
                <c:pt idx="1">
                  <c:v>36658100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8F-41C6-B7B0-B101E62BBAFD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(Sheet1!$C$3,Sheet1!$E$3)</c:f>
              <c:numCache>
                <c:formatCode>General</c:formatCode>
                <c:ptCount val="2"/>
                <c:pt idx="0">
                  <c:v>171280800</c:v>
                </c:pt>
                <c:pt idx="1">
                  <c:v>14823700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8F-41C6-B7B0-B101E62BBAFD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(Sheet1!$C$4,Sheet1!$E$4)</c:f>
              <c:numCache>
                <c:formatCode>General</c:formatCode>
                <c:ptCount val="2"/>
                <c:pt idx="0">
                  <c:v>111014500</c:v>
                </c:pt>
                <c:pt idx="1">
                  <c:v>8320900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8F-41C6-B7B0-B101E62BBAFD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(Sheet1!$C$5,Sheet1!$E$5)</c:f>
              <c:numCache>
                <c:formatCode>General</c:formatCode>
                <c:ptCount val="2"/>
                <c:pt idx="0">
                  <c:v>107764700</c:v>
                </c:pt>
                <c:pt idx="1">
                  <c:v>13828400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88F-41C6-B7B0-B101E62BBAFD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(Sheet1!$C$6,Sheet1!$E$6)</c:f>
              <c:numCache>
                <c:formatCode>General</c:formatCode>
                <c:ptCount val="2"/>
                <c:pt idx="0">
                  <c:v>206358300</c:v>
                </c:pt>
                <c:pt idx="1">
                  <c:v>26007000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88F-41C6-B7B0-B101E62BBAFD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مهر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(Sheet1!$C$7,Sheet1!$E$7)</c:f>
              <c:numCache>
                <c:formatCode>General</c:formatCode>
                <c:ptCount val="2"/>
                <c:pt idx="0">
                  <c:v>170570500</c:v>
                </c:pt>
                <c:pt idx="1">
                  <c:v>23660100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88F-41C6-B7B0-B101E62BBAFD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آبان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Sheet1!$B$8:$J$8</c15:sqref>
                  </c15:fullRef>
                </c:ext>
              </c:extLst>
              <c:f>(Sheet1!$C$8,Sheet1!$E$8)</c:f>
              <c:numCache>
                <c:formatCode>General</c:formatCode>
                <c:ptCount val="2"/>
                <c:pt idx="0">
                  <c:v>250390300</c:v>
                </c:pt>
                <c:pt idx="1">
                  <c:v>33484100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88F-41C6-B7B0-B101E62BBAFD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آذر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Sheet1!$B$9:$J$9</c15:sqref>
                  </c15:fullRef>
                </c:ext>
              </c:extLst>
              <c:f>(Sheet1!$C$9,Sheet1!$E$9)</c:f>
              <c:numCache>
                <c:formatCode>General</c:formatCode>
                <c:ptCount val="2"/>
                <c:pt idx="0">
                  <c:v>213419600</c:v>
                </c:pt>
                <c:pt idx="1">
                  <c:v>15425400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88F-41C6-B7B0-B101E62BBAF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399498448"/>
        <c:axId val="-1399488112"/>
        <c:extLst/>
      </c:barChart>
      <c:catAx>
        <c:axId val="-1399498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9488112"/>
        <c:crosses val="autoZero"/>
        <c:auto val="1"/>
        <c:lblAlgn val="ctr"/>
        <c:lblOffset val="100"/>
        <c:noMultiLvlLbl val="0"/>
      </c:catAx>
      <c:valAx>
        <c:axId val="-139948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9498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609600</xdr:colOff>
      <xdr:row>15</xdr:row>
      <xdr:rowOff>47625</xdr:rowOff>
    </xdr:from>
    <xdr:to>
      <xdr:col>6</xdr:col>
      <xdr:colOff>723900</xdr:colOff>
      <xdr:row>36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1133476</xdr:colOff>
      <xdr:row>39</xdr:row>
      <xdr:rowOff>47625</xdr:rowOff>
    </xdr:from>
    <xdr:to>
      <xdr:col>6</xdr:col>
      <xdr:colOff>1607820</xdr:colOff>
      <xdr:row>58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990600</xdr:colOff>
      <xdr:row>60</xdr:row>
      <xdr:rowOff>160195</xdr:rowOff>
    </xdr:from>
    <xdr:to>
      <xdr:col>6</xdr:col>
      <xdr:colOff>1714500</xdr:colOff>
      <xdr:row>81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"/>
  <sheetViews>
    <sheetView topLeftCell="A38" zoomScale="115" zoomScaleNormal="115" workbookViewId="0">
      <selection activeCell="H13" sqref="H13"/>
    </sheetView>
  </sheetViews>
  <sheetFormatPr defaultRowHeight="14.4" x14ac:dyDescent="0.3"/>
  <cols>
    <col min="2" max="2" width="28.6640625" customWidth="1"/>
    <col min="3" max="3" width="24.6640625" customWidth="1"/>
    <col min="4" max="4" width="26.44140625" customWidth="1"/>
    <col min="5" max="5" width="24.109375" customWidth="1"/>
    <col min="6" max="7" width="26.33203125" customWidth="1"/>
    <col min="8" max="8" width="31.33203125" customWidth="1"/>
    <col min="9" max="9" width="30.44140625" customWidth="1"/>
    <col min="10" max="10" width="20.109375" customWidth="1"/>
  </cols>
  <sheetData>
    <row r="1" spans="1:10" x14ac:dyDescent="0.3">
      <c r="B1" t="s">
        <v>0</v>
      </c>
      <c r="C1" t="s">
        <v>4</v>
      </c>
      <c r="D1" t="s">
        <v>1</v>
      </c>
      <c r="E1" t="s">
        <v>10</v>
      </c>
      <c r="F1" t="s">
        <v>6</v>
      </c>
      <c r="G1" t="s">
        <v>5</v>
      </c>
      <c r="H1" t="s">
        <v>7</v>
      </c>
      <c r="I1" t="s">
        <v>8</v>
      </c>
      <c r="J1" t="s">
        <v>12</v>
      </c>
    </row>
    <row r="2" spans="1:10" x14ac:dyDescent="0.3">
      <c r="A2" t="s">
        <v>2</v>
      </c>
      <c r="B2">
        <v>22032</v>
      </c>
      <c r="C2">
        <v>127796800</v>
      </c>
      <c r="D2">
        <v>26659</v>
      </c>
      <c r="E2">
        <v>36658100</v>
      </c>
      <c r="F2">
        <v>22353</v>
      </c>
      <c r="G2">
        <v>26814</v>
      </c>
      <c r="H2">
        <v>22755</v>
      </c>
      <c r="I2">
        <v>27655</v>
      </c>
      <c r="J2">
        <v>934.63</v>
      </c>
    </row>
    <row r="3" spans="1:10" x14ac:dyDescent="0.3">
      <c r="A3" t="s">
        <v>3</v>
      </c>
      <c r="B3">
        <v>23028</v>
      </c>
      <c r="C3">
        <v>171280800</v>
      </c>
      <c r="D3">
        <v>27913</v>
      </c>
      <c r="E3">
        <v>14823700</v>
      </c>
      <c r="F3">
        <v>23279</v>
      </c>
      <c r="G3">
        <v>28202</v>
      </c>
      <c r="H3">
        <v>23775</v>
      </c>
      <c r="I3">
        <v>28837</v>
      </c>
      <c r="J3">
        <v>429.75</v>
      </c>
    </row>
    <row r="4" spans="1:10" x14ac:dyDescent="0.3">
      <c r="A4" t="s">
        <v>9</v>
      </c>
      <c r="B4">
        <v>24167</v>
      </c>
      <c r="C4">
        <v>111014500</v>
      </c>
      <c r="D4">
        <v>28641</v>
      </c>
      <c r="E4">
        <v>8320900</v>
      </c>
      <c r="F4">
        <v>24445</v>
      </c>
      <c r="G4">
        <v>29141</v>
      </c>
      <c r="H4">
        <v>24757</v>
      </c>
      <c r="I4">
        <v>29399</v>
      </c>
      <c r="J4">
        <v>352.99</v>
      </c>
    </row>
    <row r="5" spans="1:10" x14ac:dyDescent="0.3">
      <c r="A5" t="s">
        <v>11</v>
      </c>
      <c r="B5">
        <v>25016</v>
      </c>
      <c r="C5">
        <v>107764700</v>
      </c>
      <c r="D5">
        <v>29333</v>
      </c>
      <c r="E5">
        <v>13828400</v>
      </c>
      <c r="F5">
        <v>25273</v>
      </c>
      <c r="G5">
        <v>29702</v>
      </c>
      <c r="H5">
        <v>25766</v>
      </c>
      <c r="I5">
        <v>30353</v>
      </c>
      <c r="J5">
        <v>628.74</v>
      </c>
    </row>
    <row r="6" spans="1:10" x14ac:dyDescent="0.3">
      <c r="A6" t="s">
        <v>16</v>
      </c>
      <c r="B6">
        <v>26504</v>
      </c>
      <c r="C6">
        <v>206358300</v>
      </c>
      <c r="D6">
        <v>31234</v>
      </c>
      <c r="E6">
        <v>26007000</v>
      </c>
      <c r="F6">
        <v>26792</v>
      </c>
      <c r="G6">
        <v>31542</v>
      </c>
      <c r="H6">
        <v>27432</v>
      </c>
      <c r="I6">
        <v>32393</v>
      </c>
      <c r="J6">
        <v>320</v>
      </c>
    </row>
    <row r="7" spans="1:10" x14ac:dyDescent="0.3">
      <c r="A7" t="s">
        <v>18</v>
      </c>
      <c r="B7">
        <v>26733</v>
      </c>
      <c r="C7">
        <v>170570500</v>
      </c>
      <c r="D7">
        <v>30773</v>
      </c>
      <c r="E7">
        <v>23660100</v>
      </c>
      <c r="F7">
        <v>27056</v>
      </c>
      <c r="G7">
        <v>31313</v>
      </c>
      <c r="H7">
        <v>27596</v>
      </c>
      <c r="I7">
        <v>32065</v>
      </c>
      <c r="J7">
        <v>405</v>
      </c>
    </row>
    <row r="8" spans="1:10" x14ac:dyDescent="0.3">
      <c r="A8" t="s">
        <v>19</v>
      </c>
      <c r="B8">
        <v>26848</v>
      </c>
      <c r="C8">
        <v>250390300</v>
      </c>
      <c r="D8">
        <v>30900</v>
      </c>
      <c r="E8">
        <v>33484100</v>
      </c>
      <c r="F8">
        <v>27121</v>
      </c>
      <c r="G8">
        <v>31234</v>
      </c>
      <c r="H8">
        <v>27950</v>
      </c>
      <c r="I8">
        <v>32126</v>
      </c>
      <c r="J8">
        <v>354</v>
      </c>
    </row>
    <row r="9" spans="1:10" x14ac:dyDescent="0.3">
      <c r="A9" t="s">
        <v>20</v>
      </c>
      <c r="B9">
        <v>27141</v>
      </c>
      <c r="C9">
        <v>213419600</v>
      </c>
      <c r="D9">
        <v>31009</v>
      </c>
      <c r="E9">
        <v>15425400</v>
      </c>
      <c r="F9">
        <v>27356</v>
      </c>
      <c r="G9">
        <v>31330</v>
      </c>
      <c r="H9">
        <v>29828</v>
      </c>
      <c r="I9">
        <v>33581</v>
      </c>
      <c r="J9">
        <v>694</v>
      </c>
    </row>
    <row r="10" spans="1:10" x14ac:dyDescent="0.3">
      <c r="A10" t="s">
        <v>32</v>
      </c>
      <c r="B10">
        <v>26392</v>
      </c>
      <c r="D10">
        <v>29780</v>
      </c>
      <c r="F10">
        <v>26650</v>
      </c>
      <c r="G10">
        <v>30005</v>
      </c>
      <c r="H10">
        <v>28789</v>
      </c>
      <c r="I10">
        <v>32745</v>
      </c>
      <c r="J10">
        <v>1009</v>
      </c>
    </row>
    <row r="12" spans="1:10" x14ac:dyDescent="0.3">
      <c r="B12">
        <f>(B9-B2)/B2</f>
        <v>0.23188997821350762</v>
      </c>
      <c r="F12">
        <f>(F9-F2)/F2</f>
        <v>0.22381783205833669</v>
      </c>
    </row>
    <row r="13" spans="1:10" x14ac:dyDescent="0.3">
      <c r="C13">
        <f>(D9/B9)</f>
        <v>1.1425150141851812</v>
      </c>
    </row>
    <row r="14" spans="1:10" x14ac:dyDescent="0.3">
      <c r="D14">
        <f>(D6/B6)</f>
        <v>1.1784636281316028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tabSelected="1" topLeftCell="C1" workbookViewId="0">
      <selection activeCell="C16" sqref="C16"/>
    </sheetView>
  </sheetViews>
  <sheetFormatPr defaultRowHeight="14.4" x14ac:dyDescent="0.3"/>
  <cols>
    <col min="2" max="2" width="28" customWidth="1"/>
    <col min="3" max="3" width="31.6640625" customWidth="1"/>
    <col min="4" max="4" width="23.6640625" customWidth="1"/>
    <col min="5" max="5" width="40.5546875" customWidth="1"/>
  </cols>
  <sheetData>
    <row r="1" spans="1:5" s="2" customFormat="1" ht="24.9" customHeight="1" x14ac:dyDescent="0.3">
      <c r="A1" s="1"/>
      <c r="B1" s="1" t="s">
        <v>15</v>
      </c>
      <c r="C1" s="1" t="s">
        <v>14</v>
      </c>
      <c r="D1" s="1" t="s">
        <v>13</v>
      </c>
      <c r="E1" s="1" t="s">
        <v>17</v>
      </c>
    </row>
    <row r="2" spans="1:5" s="2" customFormat="1" ht="24.9" customHeight="1" x14ac:dyDescent="0.3">
      <c r="A2" s="1" t="s">
        <v>2</v>
      </c>
      <c r="B2" s="3">
        <v>22755</v>
      </c>
      <c r="C2" s="3">
        <v>24040</v>
      </c>
      <c r="D2" s="3">
        <v>20800</v>
      </c>
      <c r="E2" s="3">
        <v>955</v>
      </c>
    </row>
    <row r="3" spans="1:5" s="2" customFormat="1" ht="24.9" customHeight="1" x14ac:dyDescent="0.3">
      <c r="A3" s="1" t="s">
        <v>3</v>
      </c>
      <c r="B3" s="3">
        <v>23775</v>
      </c>
      <c r="C3" s="3">
        <v>24430</v>
      </c>
      <c r="D3" s="3">
        <v>22880</v>
      </c>
      <c r="E3" s="3">
        <v>439</v>
      </c>
    </row>
    <row r="4" spans="1:5" s="2" customFormat="1" ht="24.9" customHeight="1" x14ac:dyDescent="0.3">
      <c r="A4" s="1" t="s">
        <v>9</v>
      </c>
      <c r="B4" s="3">
        <v>24757</v>
      </c>
      <c r="C4" s="3">
        <v>24100</v>
      </c>
      <c r="D4" s="3">
        <v>25370</v>
      </c>
      <c r="E4" s="3">
        <v>361</v>
      </c>
    </row>
    <row r="5" spans="1:5" s="2" customFormat="1" ht="24.9" customHeight="1" x14ac:dyDescent="0.3">
      <c r="A5" s="1" t="s">
        <v>11</v>
      </c>
      <c r="B5" s="3">
        <v>25871</v>
      </c>
      <c r="C5" s="3">
        <v>27500</v>
      </c>
      <c r="D5" s="3">
        <v>24980</v>
      </c>
      <c r="E5" s="3">
        <v>629</v>
      </c>
    </row>
    <row r="6" spans="1:5" ht="24.9" customHeight="1" x14ac:dyDescent="0.3">
      <c r="A6" s="1" t="s">
        <v>16</v>
      </c>
      <c r="B6" s="3">
        <v>27432</v>
      </c>
      <c r="C6" s="3">
        <v>28260</v>
      </c>
      <c r="D6" s="3">
        <v>26900</v>
      </c>
      <c r="E6" s="3">
        <v>320</v>
      </c>
    </row>
    <row r="7" spans="1:5" ht="24.9" customHeight="1" x14ac:dyDescent="0.3">
      <c r="A7" s="1" t="s">
        <v>18</v>
      </c>
      <c r="B7" s="3">
        <v>27596</v>
      </c>
      <c r="C7" s="3">
        <v>28390</v>
      </c>
      <c r="D7" s="3">
        <v>27020</v>
      </c>
      <c r="E7" s="3">
        <v>405</v>
      </c>
    </row>
    <row r="8" spans="1:5" ht="24.9" customHeight="1" x14ac:dyDescent="0.3">
      <c r="A8" s="1" t="s">
        <v>19</v>
      </c>
      <c r="B8" s="3">
        <v>27950</v>
      </c>
      <c r="C8" s="3">
        <v>28720</v>
      </c>
      <c r="D8" s="3">
        <v>27440</v>
      </c>
      <c r="E8" s="3">
        <v>354</v>
      </c>
    </row>
    <row r="9" spans="1:5" ht="24.9" customHeight="1" x14ac:dyDescent="0.3">
      <c r="A9" s="1" t="s">
        <v>20</v>
      </c>
      <c r="B9" s="3">
        <v>29828</v>
      </c>
      <c r="C9" s="3">
        <v>30920</v>
      </c>
      <c r="D9" s="3">
        <v>28400</v>
      </c>
      <c r="E9" s="3">
        <v>694</v>
      </c>
    </row>
    <row r="10" spans="1:5" x14ac:dyDescent="0.3">
      <c r="A10" s="1" t="s">
        <v>32</v>
      </c>
      <c r="B10" s="7">
        <v>28789</v>
      </c>
      <c r="C10" s="7">
        <v>30340</v>
      </c>
      <c r="D10" s="7">
        <v>27400</v>
      </c>
      <c r="E10" s="7">
        <v>1009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03CC3-6AFF-4AF3-B400-1D40618DBAE5}">
  <dimension ref="A2:E17"/>
  <sheetViews>
    <sheetView topLeftCell="A4" workbookViewId="0">
      <selection activeCell="A11" sqref="A11"/>
    </sheetView>
  </sheetViews>
  <sheetFormatPr defaultRowHeight="14.4" x14ac:dyDescent="0.3"/>
  <cols>
    <col min="2" max="2" width="26.21875" customWidth="1"/>
    <col min="3" max="3" width="34.6640625" customWidth="1"/>
    <col min="4" max="4" width="27.77734375" customWidth="1"/>
    <col min="5" max="5" width="40.44140625" customWidth="1"/>
  </cols>
  <sheetData>
    <row r="2" spans="1:5" ht="13.8" customHeight="1" x14ac:dyDescent="0.3"/>
    <row r="3" spans="1:5" s="2" customFormat="1" ht="25.05" customHeight="1" x14ac:dyDescent="0.3">
      <c r="A3" s="3"/>
      <c r="B3" s="6" t="s">
        <v>23</v>
      </c>
      <c r="C3" s="6" t="s">
        <v>24</v>
      </c>
      <c r="D3" s="6" t="s">
        <v>27</v>
      </c>
    </row>
    <row r="4" spans="1:5" s="2" customFormat="1" ht="25.05" customHeight="1" x14ac:dyDescent="0.3">
      <c r="A4" s="6" t="s">
        <v>21</v>
      </c>
      <c r="B4" s="3">
        <v>25538</v>
      </c>
      <c r="C4" s="3">
        <v>25649</v>
      </c>
      <c r="D4" s="3"/>
    </row>
    <row r="5" spans="1:5" s="2" customFormat="1" ht="25.05" customHeight="1" x14ac:dyDescent="0.3">
      <c r="A5" s="6" t="s">
        <v>22</v>
      </c>
      <c r="B5" s="3">
        <v>26916</v>
      </c>
      <c r="C5" s="3">
        <v>27185</v>
      </c>
      <c r="D5" s="4">
        <v>5.3999999999999999E-2</v>
      </c>
    </row>
    <row r="6" spans="1:5" s="2" customFormat="1" ht="25.05" customHeight="1" x14ac:dyDescent="0.3"/>
    <row r="7" spans="1:5" s="2" customFormat="1" ht="25.05" customHeight="1" x14ac:dyDescent="0.3"/>
    <row r="8" spans="1:5" s="2" customFormat="1" ht="25.05" customHeight="1" x14ac:dyDescent="0.3">
      <c r="A8" s="3"/>
      <c r="B8" s="6" t="s">
        <v>25</v>
      </c>
      <c r="C8" s="6" t="s">
        <v>26</v>
      </c>
      <c r="D8" s="6" t="s">
        <v>27</v>
      </c>
    </row>
    <row r="9" spans="1:5" s="2" customFormat="1" ht="25.05" customHeight="1" x14ac:dyDescent="0.3">
      <c r="A9" s="6" t="s">
        <v>21</v>
      </c>
      <c r="B9" s="3">
        <v>30254</v>
      </c>
      <c r="C9" s="3">
        <v>30307</v>
      </c>
      <c r="D9" s="3"/>
    </row>
    <row r="10" spans="1:5" s="2" customFormat="1" ht="25.05" customHeight="1" x14ac:dyDescent="0.3">
      <c r="A10" s="6" t="s">
        <v>22</v>
      </c>
      <c r="B10" s="3">
        <v>30882</v>
      </c>
      <c r="C10" s="3">
        <v>31292</v>
      </c>
      <c r="D10" s="4">
        <v>2.1000000000000001E-2</v>
      </c>
    </row>
    <row r="11" spans="1:5" s="2" customFormat="1" ht="25.05" customHeight="1" x14ac:dyDescent="0.3"/>
    <row r="12" spans="1:5" s="2" customFormat="1" ht="25.05" customHeight="1" x14ac:dyDescent="0.3"/>
    <row r="13" spans="1:5" s="2" customFormat="1" ht="25.05" customHeight="1" x14ac:dyDescent="0.3"/>
    <row r="14" spans="1:5" s="2" customFormat="1" ht="25.05" customHeight="1" x14ac:dyDescent="0.3"/>
    <row r="15" spans="1:5" s="2" customFormat="1" ht="25.05" customHeight="1" x14ac:dyDescent="0.3">
      <c r="A15" s="3"/>
      <c r="B15" s="6" t="s">
        <v>29</v>
      </c>
      <c r="C15" s="6" t="s">
        <v>28</v>
      </c>
      <c r="D15" s="6" t="s">
        <v>30</v>
      </c>
      <c r="E15" s="6" t="s">
        <v>31</v>
      </c>
    </row>
    <row r="16" spans="1:5" s="2" customFormat="1" ht="25.05" customHeight="1" x14ac:dyDescent="0.3">
      <c r="A16" s="6" t="s">
        <v>21</v>
      </c>
      <c r="B16" s="3">
        <v>433414000</v>
      </c>
      <c r="C16" s="3">
        <v>48820200</v>
      </c>
      <c r="D16" s="3"/>
      <c r="E16" s="3"/>
    </row>
    <row r="17" spans="1:5" s="2" customFormat="1" ht="25.05" customHeight="1" x14ac:dyDescent="0.3">
      <c r="A17" s="6" t="s">
        <v>22</v>
      </c>
      <c r="B17" s="3">
        <v>634380400</v>
      </c>
      <c r="C17" s="3">
        <v>72569600</v>
      </c>
      <c r="D17" s="5">
        <v>0.46</v>
      </c>
      <c r="E17" s="5">
        <v>0.49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std</vt:lpstr>
      <vt:lpstr>seasonal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2021-06-26T11:05:25Z</dcterms:created>
  <dcterms:modified xsi:type="dcterms:W3CDTF">2022-01-20T12:02:28Z</dcterms:modified>
</cp:coreProperties>
</file>