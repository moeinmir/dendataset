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en\"/>
    </mc:Choice>
  </mc:AlternateContent>
  <bookViews>
    <workbookView showHorizontalScroll="0" showVerticalScroll="0" showSheetTabs="0" xWindow="0" yWindow="0" windowWidth="19410" windowHeight="7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31" i="1" l="1"/>
  <c r="H943" i="1" l="1"/>
  <c r="G809" i="1" l="1"/>
  <c r="G801" i="1" l="1"/>
  <c r="F547" i="1" l="1"/>
  <c r="G703" i="1" l="1"/>
  <c r="H682" i="1" l="1"/>
  <c r="F678" i="1"/>
  <c r="I600" i="1" l="1"/>
  <c r="I596" i="1"/>
  <c r="G600" i="1"/>
  <c r="G597" i="1"/>
  <c r="F559" i="1" l="1"/>
  <c r="G557" i="1"/>
  <c r="H557" i="1"/>
  <c r="F526" i="1" l="1"/>
  <c r="H520" i="1"/>
  <c r="H515" i="1"/>
  <c r="I511" i="1"/>
  <c r="J511" i="1" s="1"/>
  <c r="I505" i="1"/>
  <c r="G505" i="1"/>
  <c r="F508" i="1"/>
  <c r="G509" i="1" s="1"/>
  <c r="I501" i="1" l="1"/>
  <c r="I497" i="1"/>
  <c r="G500" i="1"/>
  <c r="G497" i="1"/>
  <c r="I493" i="1" l="1"/>
  <c r="I487" i="1"/>
  <c r="H491" i="1"/>
  <c r="H488" i="1"/>
  <c r="H483" i="1"/>
  <c r="H479" i="1"/>
  <c r="G482" i="1"/>
  <c r="G478" i="1"/>
  <c r="H474" i="1"/>
  <c r="H469" i="1"/>
  <c r="G473" i="1"/>
  <c r="G470" i="1"/>
  <c r="G464" i="1" l="1"/>
  <c r="G460" i="1"/>
  <c r="H465" i="1"/>
  <c r="H461" i="1"/>
  <c r="H457" i="1" l="1"/>
  <c r="H451" i="1"/>
  <c r="G455" i="1"/>
  <c r="G451" i="1"/>
  <c r="H445" i="1" l="1"/>
  <c r="H443" i="1"/>
  <c r="F445" i="1"/>
  <c r="G446" i="1" s="1"/>
  <c r="F444" i="1"/>
  <c r="G442" i="1" s="1"/>
  <c r="H438" i="1" l="1"/>
  <c r="H434" i="1"/>
  <c r="G437" i="1"/>
  <c r="G433" i="1"/>
  <c r="I430" i="1"/>
  <c r="I424" i="1"/>
  <c r="H429" i="1"/>
  <c r="H425" i="1"/>
  <c r="G419" i="1" l="1"/>
  <c r="H418" i="1"/>
  <c r="H416" i="1"/>
  <c r="G415" i="1"/>
  <c r="H411" i="1" l="1"/>
  <c r="H406" i="1"/>
  <c r="G410" i="1"/>
  <c r="G407" i="1"/>
  <c r="I399" i="1" l="1"/>
  <c r="H401" i="1"/>
  <c r="H397" i="1"/>
  <c r="G392" i="1"/>
  <c r="G389" i="1"/>
  <c r="H392" i="1"/>
  <c r="H389" i="1"/>
  <c r="I384" i="1"/>
  <c r="I379" i="1"/>
  <c r="H383" i="1"/>
  <c r="H380" i="1"/>
  <c r="H375" i="1" l="1"/>
  <c r="H372" i="1"/>
  <c r="G371" i="1"/>
  <c r="G374" i="1"/>
  <c r="I368" i="1" l="1"/>
  <c r="I363" i="1"/>
  <c r="F366" i="1"/>
  <c r="G362" i="1"/>
  <c r="I358" i="1" l="1"/>
  <c r="I352" i="1"/>
  <c r="H356" i="1"/>
  <c r="H353" i="1"/>
  <c r="J346" i="1" l="1"/>
  <c r="H347" i="1"/>
  <c r="H344" i="1"/>
  <c r="H339" i="1"/>
  <c r="H336" i="1"/>
  <c r="G338" i="1"/>
  <c r="G335" i="1"/>
  <c r="H328" i="1" l="1"/>
  <c r="H325" i="1"/>
  <c r="G329" i="1"/>
  <c r="G326" i="1"/>
  <c r="I320" i="1" l="1"/>
  <c r="I318" i="1"/>
  <c r="G320" i="1"/>
  <c r="G317" i="1"/>
  <c r="H310" i="1" l="1"/>
  <c r="H309" i="1"/>
  <c r="G311" i="1"/>
  <c r="G308" i="1"/>
  <c r="H302" i="1"/>
  <c r="H300" i="1"/>
  <c r="G302" i="1"/>
  <c r="G299" i="1"/>
  <c r="G293" i="1"/>
  <c r="G290" i="1"/>
  <c r="H284" i="1"/>
  <c r="H281" i="1"/>
  <c r="G284" i="1"/>
  <c r="G281" i="1"/>
  <c r="G275" i="1"/>
  <c r="H273" i="1"/>
  <c r="G272" i="1"/>
  <c r="H266" i="1"/>
  <c r="H263" i="1"/>
  <c r="F266" i="1"/>
  <c r="G263" i="1"/>
  <c r="F258" i="1" l="1"/>
  <c r="G254" i="1"/>
  <c r="G248" i="1" l="1"/>
  <c r="G245" i="1"/>
  <c r="H241" i="1" l="1"/>
  <c r="H238" i="1"/>
  <c r="F240" i="1"/>
  <c r="G236" i="1"/>
  <c r="G230" i="1" l="1"/>
  <c r="G227" i="1"/>
  <c r="G221" i="1"/>
  <c r="G218" i="1"/>
  <c r="F212" i="1" l="1"/>
  <c r="I211" i="1"/>
  <c r="I210" i="1"/>
  <c r="H209" i="1"/>
  <c r="G200" i="1" l="1"/>
  <c r="I194" i="1" l="1"/>
  <c r="I192" i="1"/>
  <c r="H194" i="1"/>
  <c r="H191" i="1"/>
  <c r="H185" i="1"/>
  <c r="H183" i="1"/>
  <c r="G186" i="1"/>
  <c r="I178" i="1"/>
  <c r="I174" i="1"/>
  <c r="F175" i="1"/>
  <c r="H177" i="1" s="1"/>
  <c r="G173" i="1"/>
  <c r="G170" i="1"/>
  <c r="H168" i="1"/>
  <c r="H164" i="1"/>
  <c r="I160" i="1"/>
  <c r="H158" i="1"/>
  <c r="H155" i="1"/>
  <c r="H152" i="1" l="1"/>
  <c r="H151" i="1"/>
  <c r="G149" i="1"/>
  <c r="G146" i="1"/>
  <c r="F141" i="1"/>
  <c r="G137" i="1"/>
  <c r="H128" i="1"/>
  <c r="G133" i="1"/>
  <c r="G124" i="1" l="1"/>
  <c r="G120" i="1"/>
  <c r="G115" i="1" l="1"/>
  <c r="G111" i="1"/>
  <c r="G106" i="1" l="1"/>
  <c r="G102" i="1"/>
  <c r="H96" i="1" l="1"/>
  <c r="G93" i="1"/>
  <c r="G85" i="1"/>
  <c r="G84" i="1"/>
  <c r="G67" i="1"/>
  <c r="G66" i="1"/>
  <c r="G76" i="1"/>
  <c r="G75" i="1" l="1"/>
  <c r="E4" i="1" l="1"/>
</calcChain>
</file>

<file path=xl/sharedStrings.xml><?xml version="1.0" encoding="utf-8"?>
<sst xmlns="http://schemas.openxmlformats.org/spreadsheetml/2006/main" count="1587" uniqueCount="228">
  <si>
    <t>نرخ خرده فروشی در بازار سنا (ریال)</t>
  </si>
  <si>
    <t>دلار</t>
  </si>
  <si>
    <t>یورو</t>
  </si>
  <si>
    <t>تغییر نرخ متوسط نسبت به روز قبل</t>
  </si>
  <si>
    <t>درصد اختلاف نرخ متشکل و سنا</t>
  </si>
  <si>
    <t>نرخ انتهایی  (ریال)</t>
  </si>
  <si>
    <t>تغییر سنا نسبت به روز قبل</t>
  </si>
  <si>
    <t>بازار ارز متشکل و بازار سنا در 21 فروردین</t>
  </si>
  <si>
    <t>بازار ارز متشکل در 21 فروردین</t>
  </si>
  <si>
    <t>نرخ متوسط (ریال)</t>
  </si>
  <si>
    <t>حجم مبادلات</t>
  </si>
  <si>
    <t>درصد تغییر حجم مبادلات نسبت به روز قبل</t>
  </si>
  <si>
    <t>بازار ارز متشکل و بازار سنا در 22 فروردین</t>
  </si>
  <si>
    <t>بازار ارز متشکل در 22 فروردین</t>
  </si>
  <si>
    <t>نرخ انتهایی متشکل (تومان)</t>
  </si>
  <si>
    <t>نرخ خرده فروشی  سنا (تومان)</t>
  </si>
  <si>
    <t>نرخ متوسط متشکل(تومان)</t>
  </si>
  <si>
    <t>حجم مبادلات متشکل</t>
  </si>
  <si>
    <t>درصد تغییر حجم مبادلات متشکل نسبت به روز قبل</t>
  </si>
  <si>
    <t>تغییر نرخ متوسط متشکل نسبت به روز قبل (تومان)</t>
  </si>
  <si>
    <t>تغییر سنا نسبت به روز قبل (تومان)</t>
  </si>
  <si>
    <t>نرخ بازار آزاد (تومان)</t>
  </si>
  <si>
    <t>اختلاف خرده فروشی سنا وآزاد</t>
  </si>
  <si>
    <t>بازار ارز متشکل و بازار سنا در 23 فروردین سال 1400</t>
  </si>
  <si>
    <t>بازار ارز متشکل در 23 فروردین سال 1400</t>
  </si>
  <si>
    <t>بازار ارز متشکل و بازار سنا در 24 فروردین سال 1400</t>
  </si>
  <si>
    <t>بازار ارز متشکل در 24 فروردین سال 1400</t>
  </si>
  <si>
    <t>اختلاف بازار آزاد و سنا</t>
  </si>
  <si>
    <t>بازار ارز متشکل و بازار سنا در25 فروردین سال 1400</t>
  </si>
  <si>
    <t>بازار ارز متشکل در 25 فروردین سال 1400</t>
  </si>
  <si>
    <t>بازار ارز متشکل در 26 فروردین سال 1400</t>
  </si>
  <si>
    <t>بازار ارز متشکل و سامانه سنا در26 فروردین سال 1400</t>
  </si>
  <si>
    <t>بازار ارز متشکل و سامانه سنا در28 فروردین سال 1400</t>
  </si>
  <si>
    <t>بازار ارز متشکل در 28 فروردین سال 1400</t>
  </si>
  <si>
    <t>بازار ارز متشکل و سامانه سنا در29 فروردین سال 1400</t>
  </si>
  <si>
    <t>بازار ارز متشکل در 29 فروردین سال 1400</t>
  </si>
  <si>
    <t>بازار ارز متشکل و سامانه سنا در30 فروردین سال 1400</t>
  </si>
  <si>
    <t>بازار ارز متشکل در 30 فروردین سال 1400</t>
  </si>
  <si>
    <t>بازار ارز متشکل و سامانه سنا در31 فروردین سال 1400</t>
  </si>
  <si>
    <t>بازار ارز متشکل در 31 فروردین سال 1400</t>
  </si>
  <si>
    <t>بازار ارز متشکل و سامانه سنا در 1 اردیبهشت سال 1400</t>
  </si>
  <si>
    <t>بازار ارز متشکل در 1 اردیبهشت سال 1400</t>
  </si>
  <si>
    <t>بازار ارز متشکل و سامانه سنا در 2 اردیبهشت سال 1400</t>
  </si>
  <si>
    <t>بازار ارز متشکل در 2 اردیبهشت سال 1400</t>
  </si>
  <si>
    <t>بازار ارز متشکل و سامانه سنا در 4 اردیبهشت سال 1400</t>
  </si>
  <si>
    <t>بازار ارز متشکل در 4 اردیبهشت سال 1400</t>
  </si>
  <si>
    <t>بازار ارز متشکل و سامانه سنا در 5 اردیبهشت سال 1400</t>
  </si>
  <si>
    <t>بازار ارز متشکل در 5 اردیبهشت سال 1400</t>
  </si>
  <si>
    <t>بازار ارز متشکل و سامانه سنا در 6 اردیبهشت سال 1400</t>
  </si>
  <si>
    <t>بازار ارز متشکل در 6 اردیبهشت سال 1400</t>
  </si>
  <si>
    <t>بازار ارز متشکل و سامانه سنا در 7 اردیبهشت سال 1400</t>
  </si>
  <si>
    <t>بازار ارز متشکل در 7 اردیبهشت سال 1400</t>
  </si>
  <si>
    <t>بازار ارز متشکل و سامانه سنا در 8 اردیبهشت سال 1400</t>
  </si>
  <si>
    <t>بازار ارز متشکل در 8 اردیبهشت سال 1400</t>
  </si>
  <si>
    <t>بازار ارز متشکل و سامانه سنا در 9 اردیبهشت سال 1400</t>
  </si>
  <si>
    <t>بازار ارز متشکل در 9 اردیبهشت سال 1400</t>
  </si>
  <si>
    <t>بازار ارز متشکل و سامانه سنا در 11 اردیبهشت سال 1400</t>
  </si>
  <si>
    <t>بازار ارز متشکل در 11 اردیبهشت سال 1400</t>
  </si>
  <si>
    <t>بازار ارز متشکل و سامانه سنا در 12 اردیبهشت سال 1400</t>
  </si>
  <si>
    <t>بازار ارز متشکل در 12 اردیبهشت سال 1400</t>
  </si>
  <si>
    <t>بازار ارز متشکل و سامانه سنا در 13 اردیبهشت سال 1400</t>
  </si>
  <si>
    <t>بازار ارز متشکل در 13 اردیبهشت سال 1400</t>
  </si>
  <si>
    <t>بازار ارز متشکل و سامانه سنا در 15 اردیبهشت سال 1400</t>
  </si>
  <si>
    <t>بازار ارز متشکل در 15 اردیبهشت سال 1400</t>
  </si>
  <si>
    <t>بازار ارز متشکل و سامانه سنا در 16 اردیبهشت سال 1400</t>
  </si>
  <si>
    <t>بازار ارز متشکل در 16 اردیبهشت سال 1400</t>
  </si>
  <si>
    <t>بازار ارز متشکل و سامانه سنا در 17 اردیبهشت سال 1400</t>
  </si>
  <si>
    <t>بازار ارز متشکل در 17 اردیبهشت سال 1400</t>
  </si>
  <si>
    <t>بازار ارز متشکل و سامانه سنا در 20 اردیبهشت سال 1400</t>
  </si>
  <si>
    <t>بازار ارز متشکل در 20 اردیبهشت سال 1400</t>
  </si>
  <si>
    <t>بازار ارز متشکل و سامانه سنا در 21 اردیبهشت سال 1400</t>
  </si>
  <si>
    <t>بازار ارز متشکل در 21 اردیبهشت سال 1400</t>
  </si>
  <si>
    <t>بازار ارز متشکل و سامانه سنا در 22 اردیبهشت سال 1400</t>
  </si>
  <si>
    <t>بازار ارز متشکل در 22 اردیبهشت سال 1400</t>
  </si>
  <si>
    <t>بازار ارز متشکل و سامانه سنا در 25 اردیبهشت سال 1400</t>
  </si>
  <si>
    <t>بازار ارز متشکل در 25 اردیبهشت سال 1400</t>
  </si>
  <si>
    <t>بازار ارز متشکل و سامانه سنا در 26 اردیبهشت سال 1400</t>
  </si>
  <si>
    <t>بازار ارز متشکل در 26 اردیبهشت سال 1400</t>
  </si>
  <si>
    <t>بازار ارز متشکل و سامانه سنا در 27 اردیبهشت سال 1400</t>
  </si>
  <si>
    <t>بازار ارز متشکل در 27 اردیبهشت سال 1400</t>
  </si>
  <si>
    <t>بازار ارز متشکل و سامانه سنا در 28 اردیبهشت سال 1400</t>
  </si>
  <si>
    <t>بازار ارز متشکل در 28 اردیبهشت سال 1400</t>
  </si>
  <si>
    <t>بازار ارز متشکل و سامانه سنا در 29 اردیبهشت سال 1400</t>
  </si>
  <si>
    <t>بازار ارز متشکل در 29 اردیبهشت سال 1400</t>
  </si>
  <si>
    <t>بازار ارز متشکل و سامانه سنا در 30 اردیبهشت سال 1400</t>
  </si>
  <si>
    <t>بازار ارز متشکل در 30 اردیبهشت سال 1400</t>
  </si>
  <si>
    <t>بازار ارز متشکل و سامانه سنا در 01 خرداد سال 1400</t>
  </si>
  <si>
    <t>بازار ارز متشکل در01 خرداد سال 1400</t>
  </si>
  <si>
    <t>بازار ارز متشکل در02 خرداد سال 1400</t>
  </si>
  <si>
    <t>بازار ارز متشکل و سامانه سنا در 02 خرداد سال 1400</t>
  </si>
  <si>
    <t>بازار ارز متشکل و سامانه سنا در 03 خرداد سال 1400</t>
  </si>
  <si>
    <t>بازار ارز متشکل در03 خرداد سال 1400</t>
  </si>
  <si>
    <t>بازار ارز متشکل و سامانه سنا در 04 خرداد سال 1400</t>
  </si>
  <si>
    <t>بازار ارز متشکل در04 خرداد سال 1400</t>
  </si>
  <si>
    <t>بازار ارز متشکل و سامانه سنا در 05 خرداد سال 1400</t>
  </si>
  <si>
    <t>بازار ارز متشکل در05 خرداد سال 1400</t>
  </si>
  <si>
    <t>بازار ارز متشکل و سامانه سنا در 06 خرداد سال 1400</t>
  </si>
  <si>
    <t>بازار ارز متشکل در06 خرداد سال 1400</t>
  </si>
  <si>
    <t>بازار ارز متشکل و سامانه سنا در 08 خرداد سال 1400</t>
  </si>
  <si>
    <t>بازار ارز متشکل 08 خرداد سال 1400</t>
  </si>
  <si>
    <t>بازار ارز متشکل و سامانه سنا در 09 خرداد سال 1400</t>
  </si>
  <si>
    <t>بازار ارز متشکل و سامانه سنا در 10 خرداد سال 1400</t>
  </si>
  <si>
    <t>بازار ارز متشکل 10 خرداد سال 1400</t>
  </si>
  <si>
    <t>بازار ارز متشکل و سامانه سنا در 11 خرداد سال 1400</t>
  </si>
  <si>
    <t>بازار ارز متشکل 11 خرداد سال 1400</t>
  </si>
  <si>
    <t>بازار ارز متشکل و سامانه سنا در 12 خرداد سال 1400</t>
  </si>
  <si>
    <t>بازار ارز متشکل 12 خرداد سال 1400</t>
  </si>
  <si>
    <t>بازار ارز متشکل و سامانه سنا در 13 خرداد سال 1400</t>
  </si>
  <si>
    <t>بازار ارز متشکل 13 خرداد سال 1400</t>
  </si>
  <si>
    <t>بازار ارز متشکل و سامانه سنا در 17 خرداد سال 1400</t>
  </si>
  <si>
    <t>بازار ارز متشکل 17 خرداد سال 1400</t>
  </si>
  <si>
    <t>بازار ارز متشکل و سامانه سنا در 18 خرداد سال 1400</t>
  </si>
  <si>
    <t>بازار ارز متشکل 18 خرداد سال 1400</t>
  </si>
  <si>
    <t>بازار ارز متشکل و سامانه سنا در 19 خرداد سال 1400</t>
  </si>
  <si>
    <t>بازار ارز متشکل 19 خرداد سال 1400</t>
  </si>
  <si>
    <t>بازار ارز متشکل و سامانه سنا در 20 خرداد سال 1400</t>
  </si>
  <si>
    <t>بازار ارز متشکل 20 خرداد سال 1400</t>
  </si>
  <si>
    <t>بازار ارز متشکل و سامانه سنا در 22 خرداد سال 1400</t>
  </si>
  <si>
    <t>بازار ارز متشکل 22 خرداد سال 1400</t>
  </si>
  <si>
    <t>بازار ارز متشکل و سامانه سنا در 23 خرداد سال 1400</t>
  </si>
  <si>
    <t>بازار ارز متشکل 23 خرداد سال 1400</t>
  </si>
  <si>
    <t>بازار ارز متشکل و سامانه سنا در 24 خرداد سال 1400</t>
  </si>
  <si>
    <t>بازار ارز متشکل 24 خرداد سال 1400</t>
  </si>
  <si>
    <t>بازار ارز متشکل و سامانه سنا در 25 خرداد سال 1400</t>
  </si>
  <si>
    <t>بازار ارز متشکل 25 خرداد سال 1400</t>
  </si>
  <si>
    <t>بازار ارز متشکل و سامانه سنا در 26 خرداد سال 1400</t>
  </si>
  <si>
    <t>بازار ارز متشکل 26 خرداد سال 1400</t>
  </si>
  <si>
    <t>بازار ارز متشکل و سامانه سنا در 27 خرداد سال 1400</t>
  </si>
  <si>
    <t>بازار ارز متشکل و سامانه سنا در 29 خرداد سال 1400</t>
  </si>
  <si>
    <t>بازار ارز متشکل 29 خرداد سال 1400</t>
  </si>
  <si>
    <t>بازار ارز متشکل 27 خرداد سال 1400</t>
  </si>
  <si>
    <t>بازار ارز متشکل و سامانه سنا در 30 خرداد سال 1400</t>
  </si>
  <si>
    <t>بازار ارز متشکل و سامانه سنا در 31 خرداد سال 1400</t>
  </si>
  <si>
    <t>بازار ارز متشکل 30 خرداد سال 1400</t>
  </si>
  <si>
    <t>بازار ارز متشکل 31 خرداد سال 1400</t>
  </si>
  <si>
    <t>بازار ارز متشکل و سامانه سنا در 01 تیر سال 1400</t>
  </si>
  <si>
    <t>بازار ارز متشکل 01 تیر سال 1400</t>
  </si>
  <si>
    <t>بازار ارز متشکل و سامانه سنا در 02 تیر سال 1400</t>
  </si>
  <si>
    <t>بازار ارز متشکل 02 تیر سال 1400</t>
  </si>
  <si>
    <t>بازار ارز متشکل و سامانه سنا در 03 تیر سال 1400</t>
  </si>
  <si>
    <t>بازار ارز متشکل 03 تیر سال 1400</t>
  </si>
  <si>
    <t>بازار ارز متشکل و سامانه سنا در 05 تیر سال 1400</t>
  </si>
  <si>
    <t>بازار ارز متشکل 05 تیر سال 1400</t>
  </si>
  <si>
    <t>بازار ارز متشکل و سامانه سنا در 06 تیر سال 1400</t>
  </si>
  <si>
    <t>بازار ارز متشکل 06 تیر سال 1400</t>
  </si>
  <si>
    <t>بازار ارز متشکل و سامانه سنا در 07 تیر سال 1400</t>
  </si>
  <si>
    <t>بازار ارز متشکل 07 تیر سال 1400</t>
  </si>
  <si>
    <t>بازار ارز متشکل و سامانه سنا در 08 تیر سال 1400</t>
  </si>
  <si>
    <t>بازار ارز متشکل 08 تیر سال 1400</t>
  </si>
  <si>
    <t>بازار ارز متشکل و سامانه سنا در 09 تیر سال 1400</t>
  </si>
  <si>
    <t>بازار ارز متشکل 09 تیر سال 1400</t>
  </si>
  <si>
    <t>بازار ارز متشکل و سامانه سنا در 10 تیر سال 1400</t>
  </si>
  <si>
    <t>بازار ارز متشکل 10 تیر سال 1400</t>
  </si>
  <si>
    <t>بازار ارز متشکل و سامانه سنا در 12 تیر سال 1400</t>
  </si>
  <si>
    <t>بازار ارز متشکل 12 تیر سال 1400</t>
  </si>
  <si>
    <t>بازار ارز متشکل و سامانه سنا در 13 تیر سال 1400</t>
  </si>
  <si>
    <t>بازار ارز متشکل 13 تیر سال 1400</t>
  </si>
  <si>
    <t>بازار ارز متشکل و سامانه سنا در 14 تیر سال 1400</t>
  </si>
  <si>
    <t>بازار ارز متشکل 14 تیر سال 1400</t>
  </si>
  <si>
    <t>بازار ارز متشکل و سامانه سنا در 15 تیر سال 1400</t>
  </si>
  <si>
    <t>بازار ارز متشکل 15 تیر سال 1400</t>
  </si>
  <si>
    <t>بازار ارز متشکل و سامانه سنا در 16 تیر سال 1400</t>
  </si>
  <si>
    <t>بازار ارز متشکل 16 تیر سال 1400</t>
  </si>
  <si>
    <t>بازار ارز متشکل و سامانه سنا در 19 تیر سال 1400</t>
  </si>
  <si>
    <t>بازار ارز متشکل 19 تیر سال 1400</t>
  </si>
  <si>
    <t>بازار ارز متشکل و سامانه سنا در 20 تیر سال 1400</t>
  </si>
  <si>
    <t>بازار ارز متشکل 20 تیر سال 1400</t>
  </si>
  <si>
    <t>بازار ارز متشکل و سامانه سنا در 21 تیر سال 1400</t>
  </si>
  <si>
    <t>بازار ارز متشکل 21 تیر سال 1400</t>
  </si>
  <si>
    <t>بازار ارز متشکل و سامانه سنا در 22 تیر سال 1400</t>
  </si>
  <si>
    <t>بازار ارز متشکل 22 تیر سال 1400</t>
  </si>
  <si>
    <t>بازار ارز متشکل و سامانه سنا در 23 تیر سال 1400</t>
  </si>
  <si>
    <t>بازار ارز متشکل 23 تیر سال 1400</t>
  </si>
  <si>
    <t>بازار ارز متشکل و سامانه سنا در 26 تیر سال 1400</t>
  </si>
  <si>
    <t>بازار ارز متشکل و سامانه سنا در 27 تیر سال 1400</t>
  </si>
  <si>
    <t>بازار ارز متشکل 27 تیر سال 1400</t>
  </si>
  <si>
    <t>بازار ارز متشکل و سامانه سنا در 28 تیر سال 1400</t>
  </si>
  <si>
    <t>بازار ارز متشکل 28 تیر سال 1400</t>
  </si>
  <si>
    <t>بازار ارز متشکل و سامانه سنا در 04 مرداد سال 1400</t>
  </si>
  <si>
    <t>بازار ارز متشکل 04 مرداد سال 1400</t>
  </si>
  <si>
    <t>بازار ارز متشکل و سامانه سنا در 05 مرداد سال 1400</t>
  </si>
  <si>
    <t>بازار ارز متشکل 05 مرداد سال 1400</t>
  </si>
  <si>
    <t>بازار ارز متشکل و سامانه سنا در 06 مرداد سال 1400</t>
  </si>
  <si>
    <t>بازار ارز متشکل 06 مرداد سال 1400</t>
  </si>
  <si>
    <t>بازار ارز متشکل و سامانه سنا در 09 مرداد سال 1400</t>
  </si>
  <si>
    <t>بازار ارز متشکل 09 مرداد سال 1400</t>
  </si>
  <si>
    <t>بازار ارز متشکل و سامانه سنا در 10 مرداد سال 1400</t>
  </si>
  <si>
    <t>بازار ارز متشکل 10 مرداد سال 1400</t>
  </si>
  <si>
    <t>بازار ارز متشکل و سامانه سنا در 11 مرداد سال 1400</t>
  </si>
  <si>
    <t>بازار ارز متشکل و سامانه سنا در 12 مرداد سال 1400</t>
  </si>
  <si>
    <t>بازار ارز متشکل 12 مرداد سال 1400</t>
  </si>
  <si>
    <t>بازار ارز متشکل و سامانه سنا در 13 مرداد سال 1400</t>
  </si>
  <si>
    <t>بازار ارز متشکل 13 مرداد سال 1400</t>
  </si>
  <si>
    <t>بازار ارز متشکل و سامانه سنا در 16 مرداد سال 1400</t>
  </si>
  <si>
    <t>بازار ارز متشکل 16 مرداد سال 1400</t>
  </si>
  <si>
    <t>بازار ارز متشکل و سامانه سنا در 17 مرداد سال 1400</t>
  </si>
  <si>
    <t>بازار ارز متشکل و سامانه سنا در 18 مرداد سال 1400</t>
  </si>
  <si>
    <t>بازار ارز متشکل 18 مرداد سال 1400</t>
  </si>
  <si>
    <t>بازار ارز متشکل 19 مرداد سال 1400</t>
  </si>
  <si>
    <t>بازار ارز متشکل و سامانه سنا در 19 مرداد سال 1400</t>
  </si>
  <si>
    <t>بازار ارز متشکل و سامانه سنا در 20 مرداد سال 1400</t>
  </si>
  <si>
    <t>بازار ارز متشکل 20 مرداد سال 1400</t>
  </si>
  <si>
    <t>بازار ارز متشکل و سامانه سنا در 23 مرداد سال 1400</t>
  </si>
  <si>
    <t>بازار ارز متشکل 23 مرداد سال 1400</t>
  </si>
  <si>
    <t>بازار ارز متشکل و سامانه سنا در 24 مرداد سال 1400</t>
  </si>
  <si>
    <t>بازار ارز متشکل 24 مرداد سال 1400</t>
  </si>
  <si>
    <t>بازار ارز متشکل و سامانه سنا در 31 مرداد سال 1400</t>
  </si>
  <si>
    <t>بازار ارز متشکل 31 مرداد سال 1400</t>
  </si>
  <si>
    <t>بازار ارز متشکل و سامانه سنا در 01 شهریور سال 1400</t>
  </si>
  <si>
    <t>بازار ارز متشکل 01 شهریور سال 1400</t>
  </si>
  <si>
    <t>بازار ارز متشکل و سامانه سنا در 02 شهریور سال 1400</t>
  </si>
  <si>
    <t>بازار ارز متشکل 02 شهریور سال 1400</t>
  </si>
  <si>
    <t>بازار ارز متشکل و سامانه سنا در 03 شهریور سال 1400</t>
  </si>
  <si>
    <t>بازار ارز متشکل 03 شهریور سال 1400</t>
  </si>
  <si>
    <t>بازار ارز متشکل و سامانه سنا در 06 شهریور سال 1400</t>
  </si>
  <si>
    <t>بازار ارز متشکل 06 شهریور سال 1400</t>
  </si>
  <si>
    <t>بازار ارز متشکل و سامانه سنا در 07 شهریور سال 1400</t>
  </si>
  <si>
    <t>بازار ارز متشکل 07 شهریور سال 1400</t>
  </si>
  <si>
    <t>بازار ارز متشکل و سامانه سنا در 08 شهریور سال 1400</t>
  </si>
  <si>
    <t>بازار ارز متشکل 08 شهریور سال 1400</t>
  </si>
  <si>
    <t>بازار ارز متشکل و سامانه سنا در 09 شهریور سال 1400</t>
  </si>
  <si>
    <t>بازار ارز متشکل 09 شهریور سال 1400</t>
  </si>
  <si>
    <t>بازار ارز متشکل و سامانه سنا در 10 شهریور سال 1400</t>
  </si>
  <si>
    <t>بازار ارز متشکل 10 شهریور سال 1400</t>
  </si>
  <si>
    <t>بازار ارز متشکل و سامانه سنا در 13 شهریور سال 1400</t>
  </si>
  <si>
    <t>بازار ارز متشکل 13 شهریور سال 1400</t>
  </si>
  <si>
    <t>بازار ارز متشکل و سامانه سنا در 14 شهریور سال 1400</t>
  </si>
  <si>
    <t>بازار ارز متشکل 14 شهریور سال 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</si>
</sst>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2"/>
      <name val="B Mitra"/>
      <charset val="178"/>
    </font>
    <font>
      <sz val="11"/>
      <name val="Calibri"/>
      <family val="2"/>
      <charset val="17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1" xfId="0" applyFill="1" applyBorder="1"/>
    <xf numFmtId="3" fontId="0" fillId="3" borderId="1" xfId="0" applyNumberFormat="1" applyFill="1" applyBorder="1"/>
    <xf numFmtId="1" fontId="0" fillId="3" borderId="1" xfId="0" applyNumberFormat="1" applyFill="1" applyBorder="1"/>
    <xf numFmtId="9" fontId="0" fillId="3" borderId="1" xfId="0" applyNumberFormat="1" applyFill="1" applyBorder="1"/>
    <xf numFmtId="0" fontId="0" fillId="4" borderId="0" xfId="0" applyFill="1"/>
    <xf numFmtId="0" fontId="0" fillId="2" borderId="0" xfId="0" applyFill="1" applyAlignment="1"/>
    <xf numFmtId="0" fontId="0" fillId="3" borderId="2" xfId="0" applyFill="1" applyBorder="1"/>
    <xf numFmtId="3" fontId="0" fillId="0" borderId="1" xfId="0" applyNumberFormat="1" applyBorder="1"/>
    <xf numFmtId="3" fontId="0" fillId="0" borderId="0" xfId="0" applyNumberFormat="1"/>
    <xf numFmtId="0" fontId="1" fillId="3" borderId="1" xfId="0" applyFont="1" applyFill="1" applyBorder="1"/>
    <xf numFmtId="0" fontId="1" fillId="5" borderId="1" xfId="0" applyFont="1" applyFill="1" applyBorder="1"/>
    <xf numFmtId="3" fontId="0" fillId="0" borderId="0" xfId="0" applyNumberFormat="1" applyFill="1" applyBorder="1"/>
    <xf numFmtId="0" fontId="0" fillId="5" borderId="0" xfId="0" applyFill="1"/>
    <xf numFmtId="0" fontId="1" fillId="6" borderId="1" xfId="0" applyFont="1" applyFill="1" applyBorder="1"/>
    <xf numFmtId="0" fontId="0" fillId="6" borderId="0" xfId="0" applyFill="1"/>
    <xf numFmtId="0" fontId="0" fillId="3" borderId="0" xfId="0" applyFill="1"/>
    <xf numFmtId="0" fontId="1" fillId="7" borderId="1" xfId="0" applyFont="1" applyFill="1" applyBorder="1"/>
    <xf numFmtId="0" fontId="0" fillId="7" borderId="0" xfId="0" applyFill="1"/>
    <xf numFmtId="0" fontId="1" fillId="8" borderId="1" xfId="0" applyFont="1" applyFill="1" applyBorder="1"/>
    <xf numFmtId="0" fontId="0" fillId="8" borderId="0" xfId="0" applyFill="1"/>
    <xf numFmtId="0" fontId="1" fillId="9" borderId="1" xfId="0" applyFont="1" applyFill="1" applyBorder="1"/>
    <xf numFmtId="0" fontId="0" fillId="9" borderId="0" xfId="0" applyFill="1"/>
    <xf numFmtId="0" fontId="1" fillId="10" borderId="1" xfId="0" applyFont="1" applyFill="1" applyBorder="1"/>
    <xf numFmtId="0" fontId="0" fillId="10" borderId="0" xfId="0" applyFill="1"/>
    <xf numFmtId="0" fontId="1" fillId="11" borderId="1" xfId="0" applyFont="1" applyFill="1" applyBorder="1"/>
    <xf numFmtId="0" fontId="0" fillId="11" borderId="0" xfId="0" applyFill="1"/>
    <xf numFmtId="0" fontId="1" fillId="12" borderId="1" xfId="0" applyFont="1" applyFill="1" applyBorder="1"/>
    <xf numFmtId="0" fontId="0" fillId="12" borderId="0" xfId="0" applyFill="1"/>
    <xf numFmtId="0" fontId="1" fillId="13" borderId="1" xfId="0" applyFont="1" applyFill="1" applyBorder="1"/>
    <xf numFmtId="0" fontId="0" fillId="13" borderId="0" xfId="0" applyFill="1"/>
    <xf numFmtId="0" fontId="1" fillId="14" borderId="1" xfId="0" applyFont="1" applyFill="1" applyBorder="1"/>
    <xf numFmtId="0" fontId="0" fillId="14" borderId="0" xfId="0" applyFill="1"/>
    <xf numFmtId="0" fontId="0" fillId="0" borderId="3" xfId="0" applyBorder="1" applyAlignment="1"/>
    <xf numFmtId="0" fontId="0" fillId="0" borderId="0" xfId="0" applyAlignment="1"/>
    <xf numFmtId="0" fontId="0" fillId="10" borderId="1" xfId="0" applyFill="1" applyBorder="1"/>
    <xf numFmtId="0" fontId="0" fillId="9" borderId="1" xfId="0" applyFill="1" applyBorder="1"/>
    <xf numFmtId="0" fontId="0" fillId="13" borderId="1" xfId="0" applyFill="1" applyBorder="1"/>
    <xf numFmtId="0" fontId="1" fillId="15" borderId="1" xfId="0" applyFont="1" applyFill="1" applyBorder="1"/>
    <xf numFmtId="0" fontId="0" fillId="15" borderId="0" xfId="0" applyFill="1"/>
    <xf numFmtId="0" fontId="0" fillId="15" borderId="1" xfId="0" applyFill="1" applyBorder="1"/>
    <xf numFmtId="0" fontId="1" fillId="16" borderId="1" xfId="0" applyFont="1" applyFill="1" applyBorder="1"/>
    <xf numFmtId="0" fontId="0" fillId="16" borderId="0" xfId="0" applyFill="1"/>
    <xf numFmtId="0" fontId="1" fillId="17" borderId="1" xfId="0" applyFont="1" applyFill="1" applyBorder="1"/>
    <xf numFmtId="0" fontId="0" fillId="17" borderId="0" xfId="0" applyFill="1"/>
    <xf numFmtId="0" fontId="1" fillId="18" borderId="1" xfId="0" applyFont="1" applyFill="1" applyBorder="1"/>
    <xf numFmtId="0" fontId="0" fillId="18" borderId="0" xfId="0" applyFill="1"/>
    <xf numFmtId="0" fontId="1" fillId="19" borderId="1" xfId="0" applyFont="1" applyFill="1" applyBorder="1"/>
    <xf numFmtId="0" fontId="0" fillId="19" borderId="0" xfId="0" applyFill="1"/>
    <xf numFmtId="0" fontId="0" fillId="0" borderId="3" xfId="0" applyBorder="1"/>
    <xf numFmtId="0" fontId="0" fillId="2" borderId="0" xfId="0" applyFill="1" applyAlignment="1">
      <alignment horizontal="center"/>
    </xf>
    <xf numFmtId="0" fontId="2" fillId="13" borderId="1" xfId="0" applyFont="1" applyFill="1" applyBorder="1"/>
    <xf numFmtId="0" fontId="3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5"/>
  <sheetViews>
    <sheetView tabSelected="1" topLeftCell="A1022" zoomScaleNormal="100" workbookViewId="0">
      <selection activeCell="A1027" sqref="A1027:F1035"/>
    </sheetView>
  </sheetViews>
  <sheetFormatPr defaultRowHeight="15" x14ac:dyDescent="0.25"/>
  <cols>
    <col min="2" max="2" width="22.28515625" customWidth="1"/>
    <col min="3" max="3" width="29.85546875" customWidth="1"/>
    <col min="4" max="4" width="20.5703125" customWidth="1"/>
    <col min="5" max="5" width="36.42578125" customWidth="1"/>
    <col min="6" max="6" width="19.42578125" customWidth="1"/>
    <col min="7" max="7" width="15.7109375" customWidth="1"/>
  </cols>
  <sheetData>
    <row r="1" spans="1:5" x14ac:dyDescent="0.25">
      <c r="A1" s="51" t="s">
        <v>7</v>
      </c>
      <c r="B1" s="51"/>
      <c r="C1" s="51"/>
      <c r="D1" s="51"/>
      <c r="E1" s="51"/>
    </row>
    <row r="2" spans="1:5" x14ac:dyDescent="0.25">
      <c r="A2" s="1"/>
      <c r="B2" s="2" t="s">
        <v>5</v>
      </c>
      <c r="C2" s="2" t="s">
        <v>0</v>
      </c>
      <c r="D2" s="2" t="s">
        <v>6</v>
      </c>
      <c r="E2" s="2" t="s">
        <v>4</v>
      </c>
    </row>
    <row r="3" spans="1:5" x14ac:dyDescent="0.25">
      <c r="A3" s="1" t="s">
        <v>1</v>
      </c>
      <c r="B3" s="3">
        <v>24021</v>
      </c>
      <c r="C3" s="3">
        <v>24262</v>
      </c>
      <c r="D3" s="2">
        <v>-26</v>
      </c>
      <c r="E3" s="2">
        <v>0.99</v>
      </c>
    </row>
    <row r="4" spans="1:5" x14ac:dyDescent="0.25">
      <c r="A4" s="1" t="s">
        <v>2</v>
      </c>
      <c r="B4" s="3">
        <v>28100</v>
      </c>
      <c r="C4" s="3">
        <v>28381</v>
      </c>
      <c r="D4" s="2">
        <v>-169</v>
      </c>
      <c r="E4" s="2">
        <f>(C4-B4)/B4*100</f>
        <v>1</v>
      </c>
    </row>
    <row r="5" spans="1:5" x14ac:dyDescent="0.25">
      <c r="A5" s="51" t="s">
        <v>8</v>
      </c>
      <c r="B5" s="51"/>
      <c r="C5" s="51"/>
      <c r="D5" s="51"/>
      <c r="E5" s="51"/>
    </row>
    <row r="6" spans="1:5" x14ac:dyDescent="0.25">
      <c r="A6" s="1"/>
      <c r="B6" s="2" t="s">
        <v>9</v>
      </c>
      <c r="C6" s="2" t="s">
        <v>3</v>
      </c>
      <c r="D6" s="2" t="s">
        <v>10</v>
      </c>
      <c r="E6" s="2" t="s">
        <v>11</v>
      </c>
    </row>
    <row r="7" spans="1:5" x14ac:dyDescent="0.25">
      <c r="A7" s="1" t="s">
        <v>1</v>
      </c>
      <c r="B7" s="3">
        <v>24080</v>
      </c>
      <c r="C7" s="4">
        <v>-69</v>
      </c>
      <c r="D7" s="3">
        <v>4418700</v>
      </c>
      <c r="E7" s="5">
        <v>1.03</v>
      </c>
    </row>
    <row r="8" spans="1:5" x14ac:dyDescent="0.25">
      <c r="A8" s="1" t="s">
        <v>2</v>
      </c>
      <c r="B8" s="3">
        <v>28242</v>
      </c>
      <c r="C8" s="4">
        <v>-75</v>
      </c>
      <c r="D8" s="3">
        <v>1759400</v>
      </c>
      <c r="E8" s="5">
        <v>0.42</v>
      </c>
    </row>
    <row r="9" spans="1:5" s="6" customFormat="1" x14ac:dyDescent="0.25"/>
    <row r="10" spans="1:5" x14ac:dyDescent="0.25">
      <c r="A10" s="51" t="s">
        <v>12</v>
      </c>
      <c r="B10" s="51"/>
      <c r="C10" s="51"/>
      <c r="D10" s="51"/>
      <c r="E10" s="7"/>
    </row>
    <row r="11" spans="1:5" x14ac:dyDescent="0.25">
      <c r="A11" s="1"/>
      <c r="B11" s="2" t="s">
        <v>5</v>
      </c>
      <c r="C11" s="2" t="s">
        <v>0</v>
      </c>
      <c r="D11" s="2" t="s">
        <v>6</v>
      </c>
      <c r="E11" s="2"/>
    </row>
    <row r="12" spans="1:5" x14ac:dyDescent="0.25">
      <c r="A12" s="1" t="s">
        <v>1</v>
      </c>
      <c r="B12" s="3">
        <v>23996</v>
      </c>
      <c r="C12" s="3">
        <v>24235</v>
      </c>
      <c r="D12" s="3">
        <v>-26</v>
      </c>
      <c r="E12" s="2"/>
    </row>
    <row r="13" spans="1:5" x14ac:dyDescent="0.25">
      <c r="A13" s="1" t="s">
        <v>2</v>
      </c>
      <c r="B13" s="3">
        <v>28250</v>
      </c>
      <c r="C13" s="3">
        <v>28532</v>
      </c>
      <c r="D13" s="3">
        <v>151</v>
      </c>
      <c r="E13" s="2"/>
    </row>
    <row r="14" spans="1:5" x14ac:dyDescent="0.25">
      <c r="A14" s="51" t="s">
        <v>13</v>
      </c>
      <c r="B14" s="51"/>
      <c r="C14" s="51"/>
      <c r="D14" s="51"/>
      <c r="E14" s="51"/>
    </row>
    <row r="15" spans="1:5" x14ac:dyDescent="0.25">
      <c r="A15" s="1"/>
      <c r="B15" s="2" t="s">
        <v>9</v>
      </c>
      <c r="C15" s="2" t="s">
        <v>3</v>
      </c>
      <c r="D15" s="2" t="s">
        <v>10</v>
      </c>
      <c r="E15" s="2" t="s">
        <v>11</v>
      </c>
    </row>
    <row r="16" spans="1:5" x14ac:dyDescent="0.25">
      <c r="A16" s="1" t="s">
        <v>1</v>
      </c>
      <c r="B16" s="3">
        <v>24033</v>
      </c>
      <c r="C16" s="4">
        <v>-47</v>
      </c>
      <c r="D16" s="3">
        <v>3850400</v>
      </c>
      <c r="E16" s="5">
        <v>-0.13</v>
      </c>
    </row>
    <row r="17" spans="1:6" x14ac:dyDescent="0.25">
      <c r="A17" s="1" t="s">
        <v>2</v>
      </c>
      <c r="B17" s="3">
        <v>28171</v>
      </c>
      <c r="C17" s="4">
        <v>-70</v>
      </c>
      <c r="D17" s="3">
        <v>2273400</v>
      </c>
      <c r="E17" s="5">
        <v>0.28999999999999998</v>
      </c>
    </row>
    <row r="18" spans="1:6" s="6" customFormat="1" x14ac:dyDescent="0.25"/>
    <row r="19" spans="1:6" x14ac:dyDescent="0.25">
      <c r="A19" s="51" t="s">
        <v>23</v>
      </c>
      <c r="B19" s="51"/>
      <c r="C19" s="51"/>
      <c r="D19" s="51"/>
      <c r="E19" s="51"/>
      <c r="F19" s="51"/>
    </row>
    <row r="20" spans="1:6" x14ac:dyDescent="0.25">
      <c r="A20" s="1"/>
      <c r="B20" s="2" t="s">
        <v>14</v>
      </c>
      <c r="C20" s="2" t="s">
        <v>15</v>
      </c>
      <c r="D20" s="2" t="s">
        <v>20</v>
      </c>
      <c r="E20" s="8" t="s">
        <v>21</v>
      </c>
      <c r="F20" s="8" t="s">
        <v>22</v>
      </c>
    </row>
    <row r="21" spans="1:6" x14ac:dyDescent="0.25">
      <c r="A21" s="1" t="s">
        <v>1</v>
      </c>
      <c r="B21" s="3">
        <v>24060</v>
      </c>
      <c r="C21" s="3">
        <v>24301</v>
      </c>
      <c r="D21" s="3">
        <v>66</v>
      </c>
      <c r="E21" s="2">
        <v>25010</v>
      </c>
      <c r="F21" s="9">
        <v>71</v>
      </c>
    </row>
    <row r="22" spans="1:6" x14ac:dyDescent="0.25">
      <c r="A22" s="1" t="s">
        <v>2</v>
      </c>
      <c r="B22" s="3">
        <v>28000</v>
      </c>
      <c r="C22" s="3">
        <v>28280</v>
      </c>
      <c r="D22" s="3">
        <v>-252</v>
      </c>
      <c r="E22" s="2">
        <v>29881</v>
      </c>
      <c r="F22" s="9">
        <v>1601</v>
      </c>
    </row>
    <row r="23" spans="1:6" x14ac:dyDescent="0.25">
      <c r="A23" s="51" t="s">
        <v>24</v>
      </c>
      <c r="B23" s="51"/>
      <c r="C23" s="51"/>
      <c r="D23" s="51"/>
      <c r="E23" s="51"/>
    </row>
    <row r="24" spans="1:6" x14ac:dyDescent="0.25">
      <c r="A24" s="1"/>
      <c r="B24" s="2" t="s">
        <v>16</v>
      </c>
      <c r="C24" s="2" t="s">
        <v>19</v>
      </c>
      <c r="D24" s="2" t="s">
        <v>17</v>
      </c>
      <c r="E24" s="2" t="s">
        <v>18</v>
      </c>
    </row>
    <row r="25" spans="1:6" x14ac:dyDescent="0.25">
      <c r="A25" s="1" t="s">
        <v>1</v>
      </c>
      <c r="B25" s="3">
        <v>24076</v>
      </c>
      <c r="C25" s="4">
        <v>43</v>
      </c>
      <c r="D25" s="3">
        <v>4181400</v>
      </c>
      <c r="E25" s="5">
        <v>0.09</v>
      </c>
    </row>
    <row r="26" spans="1:6" x14ac:dyDescent="0.25">
      <c r="A26" s="1" t="s">
        <v>2</v>
      </c>
      <c r="B26" s="3">
        <v>28110</v>
      </c>
      <c r="C26" s="4">
        <v>-61</v>
      </c>
      <c r="D26" s="3">
        <v>3330100</v>
      </c>
      <c r="E26" s="5">
        <v>0.46</v>
      </c>
    </row>
    <row r="27" spans="1:6" s="6" customFormat="1" x14ac:dyDescent="0.25"/>
    <row r="28" spans="1:6" x14ac:dyDescent="0.25">
      <c r="A28" s="51" t="s">
        <v>25</v>
      </c>
      <c r="B28" s="51"/>
      <c r="C28" s="51"/>
      <c r="D28" s="51"/>
      <c r="E28" s="51"/>
      <c r="F28" s="51"/>
    </row>
    <row r="29" spans="1:6" x14ac:dyDescent="0.25">
      <c r="A29" s="1"/>
      <c r="B29" s="2" t="s">
        <v>14</v>
      </c>
      <c r="C29" s="2" t="s">
        <v>15</v>
      </c>
      <c r="D29" s="2" t="s">
        <v>20</v>
      </c>
      <c r="E29" s="8" t="s">
        <v>21</v>
      </c>
      <c r="F29" s="8" t="s">
        <v>27</v>
      </c>
    </row>
    <row r="30" spans="1:6" x14ac:dyDescent="0.25">
      <c r="A30" s="1" t="s">
        <v>1</v>
      </c>
      <c r="B30" s="3">
        <v>23850</v>
      </c>
      <c r="C30" s="3">
        <v>24089</v>
      </c>
      <c r="D30" s="3">
        <v>-212</v>
      </c>
      <c r="E30" s="3">
        <v>24920</v>
      </c>
      <c r="F30" s="9">
        <v>831</v>
      </c>
    </row>
    <row r="31" spans="1:6" x14ac:dyDescent="0.25">
      <c r="A31" s="1" t="s">
        <v>2</v>
      </c>
      <c r="B31" s="3">
        <v>28110</v>
      </c>
      <c r="C31" s="3">
        <v>28391</v>
      </c>
      <c r="D31" s="3">
        <v>111</v>
      </c>
      <c r="E31" s="3">
        <v>29774</v>
      </c>
      <c r="F31" s="9">
        <v>1383</v>
      </c>
    </row>
    <row r="32" spans="1:6" x14ac:dyDescent="0.25">
      <c r="A32" s="51" t="s">
        <v>26</v>
      </c>
      <c r="B32" s="51"/>
      <c r="C32" s="51"/>
      <c r="D32" s="51"/>
      <c r="E32" s="51"/>
    </row>
    <row r="33" spans="1:6" x14ac:dyDescent="0.25">
      <c r="A33" s="1"/>
      <c r="B33" s="2" t="s">
        <v>16</v>
      </c>
      <c r="C33" s="2" t="s">
        <v>19</v>
      </c>
      <c r="D33" s="2" t="s">
        <v>17</v>
      </c>
      <c r="E33" s="2" t="s">
        <v>18</v>
      </c>
    </row>
    <row r="34" spans="1:6" x14ac:dyDescent="0.25">
      <c r="A34" s="1" t="s">
        <v>1</v>
      </c>
      <c r="B34" s="3">
        <v>23948</v>
      </c>
      <c r="C34" s="4">
        <v>-128</v>
      </c>
      <c r="D34" s="3">
        <v>4131200</v>
      </c>
      <c r="E34" s="4">
        <v>-1</v>
      </c>
    </row>
    <row r="35" spans="1:6" x14ac:dyDescent="0.25">
      <c r="A35" s="1" t="s">
        <v>2</v>
      </c>
      <c r="B35" s="3">
        <v>28200</v>
      </c>
      <c r="C35" s="4">
        <v>90</v>
      </c>
      <c r="D35" s="3">
        <v>2382500</v>
      </c>
      <c r="E35" s="4">
        <v>-28</v>
      </c>
    </row>
    <row r="36" spans="1:6" s="6" customFormat="1" x14ac:dyDescent="0.25"/>
    <row r="37" spans="1:6" x14ac:dyDescent="0.25">
      <c r="A37" s="51" t="s">
        <v>28</v>
      </c>
      <c r="B37" s="51"/>
      <c r="C37" s="51"/>
      <c r="D37" s="51"/>
      <c r="E37" s="51"/>
      <c r="F37" s="51"/>
    </row>
    <row r="38" spans="1:6" x14ac:dyDescent="0.25">
      <c r="A38" s="1"/>
      <c r="B38" s="2" t="s">
        <v>14</v>
      </c>
      <c r="C38" s="2" t="s">
        <v>15</v>
      </c>
      <c r="D38" s="2" t="s">
        <v>20</v>
      </c>
      <c r="E38" s="8" t="s">
        <v>21</v>
      </c>
      <c r="F38" s="8" t="s">
        <v>27</v>
      </c>
    </row>
    <row r="39" spans="1:6" x14ac:dyDescent="0.25">
      <c r="A39" s="1" t="s">
        <v>1</v>
      </c>
      <c r="B39" s="3">
        <v>23994</v>
      </c>
      <c r="C39" s="3">
        <v>24234</v>
      </c>
      <c r="D39" s="3">
        <v>145</v>
      </c>
      <c r="E39" s="3">
        <v>24870</v>
      </c>
      <c r="F39" s="9">
        <v>636</v>
      </c>
    </row>
    <row r="40" spans="1:6" x14ac:dyDescent="0.25">
      <c r="A40" s="1" t="s">
        <v>2</v>
      </c>
      <c r="B40" s="3">
        <v>28100</v>
      </c>
      <c r="C40" s="3">
        <v>28381</v>
      </c>
      <c r="D40" s="3">
        <v>-10</v>
      </c>
      <c r="E40" s="3">
        <v>29787</v>
      </c>
      <c r="F40" s="9">
        <v>1406</v>
      </c>
    </row>
    <row r="41" spans="1:6" x14ac:dyDescent="0.25">
      <c r="A41" s="51" t="s">
        <v>29</v>
      </c>
      <c r="B41" s="51"/>
      <c r="C41" s="51"/>
      <c r="D41" s="51"/>
      <c r="E41" s="51"/>
    </row>
    <row r="42" spans="1:6" x14ac:dyDescent="0.25">
      <c r="A42" s="1"/>
      <c r="B42" s="2" t="s">
        <v>16</v>
      </c>
      <c r="C42" s="2" t="s">
        <v>19</v>
      </c>
      <c r="D42" s="2" t="s">
        <v>17</v>
      </c>
      <c r="E42" s="2" t="s">
        <v>18</v>
      </c>
    </row>
    <row r="43" spans="1:6" x14ac:dyDescent="0.25">
      <c r="A43" s="1" t="s">
        <v>1</v>
      </c>
      <c r="B43" s="3">
        <v>23893</v>
      </c>
      <c r="C43" s="4">
        <v>-55</v>
      </c>
      <c r="D43" s="3">
        <v>5173000</v>
      </c>
      <c r="E43" s="5">
        <v>0.25</v>
      </c>
    </row>
    <row r="44" spans="1:6" x14ac:dyDescent="0.25">
      <c r="A44" s="1" t="s">
        <v>2</v>
      </c>
      <c r="B44" s="3">
        <v>28170</v>
      </c>
      <c r="C44" s="4">
        <v>-30</v>
      </c>
      <c r="D44" s="3">
        <v>2504300</v>
      </c>
      <c r="E44" s="5">
        <v>0.05</v>
      </c>
    </row>
    <row r="45" spans="1:6" s="6" customFormat="1" x14ac:dyDescent="0.25"/>
    <row r="46" spans="1:6" x14ac:dyDescent="0.25">
      <c r="A46" s="51" t="s">
        <v>31</v>
      </c>
      <c r="B46" s="51"/>
      <c r="C46" s="51"/>
      <c r="D46" s="51"/>
      <c r="E46" s="51"/>
      <c r="F46" s="51"/>
    </row>
    <row r="47" spans="1:6" x14ac:dyDescent="0.25">
      <c r="A47" s="1"/>
      <c r="B47" s="2" t="s">
        <v>14</v>
      </c>
      <c r="C47" s="2" t="s">
        <v>15</v>
      </c>
      <c r="D47" s="2" t="s">
        <v>20</v>
      </c>
      <c r="E47" s="8" t="s">
        <v>21</v>
      </c>
      <c r="F47" s="8" t="s">
        <v>27</v>
      </c>
    </row>
    <row r="48" spans="1:6" x14ac:dyDescent="0.25">
      <c r="A48" s="1" t="s">
        <v>1</v>
      </c>
      <c r="B48" s="3">
        <v>23754</v>
      </c>
      <c r="C48" s="3">
        <v>23992</v>
      </c>
      <c r="D48" s="3">
        <v>-242</v>
      </c>
      <c r="E48" s="3">
        <v>24930</v>
      </c>
      <c r="F48" s="9">
        <v>938</v>
      </c>
    </row>
    <row r="49" spans="1:6" x14ac:dyDescent="0.25">
      <c r="A49" s="1" t="s">
        <v>2</v>
      </c>
      <c r="B49" s="3">
        <v>28300</v>
      </c>
      <c r="C49" s="3">
        <v>28583</v>
      </c>
      <c r="D49" s="3">
        <v>202</v>
      </c>
      <c r="E49" s="3">
        <v>29723</v>
      </c>
      <c r="F49" s="9">
        <v>1140</v>
      </c>
    </row>
    <row r="50" spans="1:6" x14ac:dyDescent="0.25">
      <c r="A50" s="51" t="s">
        <v>30</v>
      </c>
      <c r="B50" s="51"/>
      <c r="C50" s="51"/>
      <c r="D50" s="51"/>
      <c r="E50" s="51"/>
    </row>
    <row r="51" spans="1:6" x14ac:dyDescent="0.25">
      <c r="A51" s="1"/>
      <c r="B51" s="2" t="s">
        <v>16</v>
      </c>
      <c r="C51" s="2" t="s">
        <v>19</v>
      </c>
      <c r="D51" s="2" t="s">
        <v>17</v>
      </c>
      <c r="E51" s="2" t="s">
        <v>18</v>
      </c>
    </row>
    <row r="52" spans="1:6" x14ac:dyDescent="0.25">
      <c r="A52" s="1" t="s">
        <v>1</v>
      </c>
      <c r="B52" s="3">
        <v>23801</v>
      </c>
      <c r="C52" s="4">
        <v>-92</v>
      </c>
      <c r="D52" s="3">
        <v>4922700</v>
      </c>
      <c r="E52" s="5">
        <v>-0.05</v>
      </c>
    </row>
    <row r="53" spans="1:6" x14ac:dyDescent="0.25">
      <c r="A53" s="1" t="s">
        <v>2</v>
      </c>
      <c r="B53" s="3">
        <v>28259</v>
      </c>
      <c r="C53" s="4">
        <v>89</v>
      </c>
      <c r="D53" s="3">
        <v>1253300</v>
      </c>
      <c r="E53" s="5">
        <v>-0.5</v>
      </c>
    </row>
    <row r="54" spans="1:6" s="6" customFormat="1" x14ac:dyDescent="0.25"/>
    <row r="55" spans="1:6" x14ac:dyDescent="0.25">
      <c r="A55" s="51" t="s">
        <v>32</v>
      </c>
      <c r="B55" s="51"/>
      <c r="C55" s="51"/>
      <c r="D55" s="51"/>
      <c r="E55" s="51"/>
      <c r="F55" s="51"/>
    </row>
    <row r="56" spans="1:6" x14ac:dyDescent="0.25">
      <c r="A56" s="1"/>
      <c r="B56" s="2" t="s">
        <v>14</v>
      </c>
      <c r="C56" s="2" t="s">
        <v>15</v>
      </c>
      <c r="D56" s="2" t="s">
        <v>20</v>
      </c>
      <c r="E56" s="8" t="s">
        <v>21</v>
      </c>
      <c r="F56" s="8" t="s">
        <v>27</v>
      </c>
    </row>
    <row r="57" spans="1:6" x14ac:dyDescent="0.25">
      <c r="A57" s="1" t="s">
        <v>1</v>
      </c>
      <c r="B57" s="3">
        <v>23759</v>
      </c>
      <c r="C57" s="3">
        <v>23997</v>
      </c>
      <c r="D57" s="3">
        <v>5</v>
      </c>
      <c r="E57" s="3">
        <v>24770</v>
      </c>
      <c r="F57" s="9">
        <v>773</v>
      </c>
    </row>
    <row r="58" spans="1:6" x14ac:dyDescent="0.25">
      <c r="A58" s="1" t="s">
        <v>2</v>
      </c>
      <c r="B58" s="3">
        <v>28300</v>
      </c>
      <c r="C58" s="3">
        <v>28583</v>
      </c>
      <c r="D58" s="3">
        <v>0</v>
      </c>
      <c r="E58" s="3">
        <v>29701</v>
      </c>
      <c r="F58" s="9">
        <v>1118</v>
      </c>
    </row>
    <row r="59" spans="1:6" x14ac:dyDescent="0.25">
      <c r="A59" s="51" t="s">
        <v>33</v>
      </c>
      <c r="B59" s="51"/>
      <c r="C59" s="51"/>
      <c r="D59" s="51"/>
      <c r="E59" s="51"/>
    </row>
    <row r="60" spans="1:6" x14ac:dyDescent="0.25">
      <c r="A60" s="1"/>
      <c r="B60" s="2" t="s">
        <v>16</v>
      </c>
      <c r="C60" s="2" t="s">
        <v>19</v>
      </c>
      <c r="D60" s="2" t="s">
        <v>17</v>
      </c>
      <c r="E60" s="2" t="s">
        <v>18</v>
      </c>
    </row>
    <row r="61" spans="1:6" x14ac:dyDescent="0.25">
      <c r="A61" s="1" t="s">
        <v>1</v>
      </c>
      <c r="B61" s="3">
        <v>23756</v>
      </c>
      <c r="C61" s="4">
        <v>-45</v>
      </c>
      <c r="D61" s="3">
        <v>7112100</v>
      </c>
      <c r="E61" s="5">
        <v>0.44</v>
      </c>
    </row>
    <row r="62" spans="1:6" x14ac:dyDescent="0.25">
      <c r="A62" s="1" t="s">
        <v>2</v>
      </c>
      <c r="B62" s="3">
        <v>28314</v>
      </c>
      <c r="C62" s="4">
        <v>55</v>
      </c>
      <c r="D62" s="3">
        <v>1328900</v>
      </c>
      <c r="E62" s="5">
        <v>0.06</v>
      </c>
    </row>
    <row r="63" spans="1:6" s="6" customFormat="1" x14ac:dyDescent="0.25"/>
    <row r="64" spans="1:6" x14ac:dyDescent="0.25">
      <c r="A64" s="51" t="s">
        <v>34</v>
      </c>
      <c r="B64" s="51"/>
      <c r="C64" s="51"/>
      <c r="D64" s="51"/>
      <c r="E64" s="51"/>
      <c r="F64" s="51"/>
    </row>
    <row r="65" spans="1:7" x14ac:dyDescent="0.25">
      <c r="A65" s="1"/>
      <c r="B65" s="2" t="s">
        <v>14</v>
      </c>
      <c r="C65" s="2" t="s">
        <v>15</v>
      </c>
      <c r="D65" s="2" t="s">
        <v>20</v>
      </c>
      <c r="E65" s="8" t="s">
        <v>21</v>
      </c>
      <c r="F65" s="8" t="s">
        <v>27</v>
      </c>
    </row>
    <row r="66" spans="1:7" x14ac:dyDescent="0.25">
      <c r="A66" s="1" t="s">
        <v>1</v>
      </c>
      <c r="B66" s="3">
        <v>23653</v>
      </c>
      <c r="C66" s="3">
        <v>23889</v>
      </c>
      <c r="D66" s="3">
        <v>-108</v>
      </c>
      <c r="E66" s="3">
        <v>24470</v>
      </c>
      <c r="F66" s="9">
        <v>581</v>
      </c>
      <c r="G66">
        <f>F66/B66</f>
        <v>2.4563480319621189E-2</v>
      </c>
    </row>
    <row r="67" spans="1:7" x14ac:dyDescent="0.25">
      <c r="A67" s="1" t="s">
        <v>2</v>
      </c>
      <c r="B67" s="3">
        <v>28000</v>
      </c>
      <c r="C67" s="3">
        <v>28280</v>
      </c>
      <c r="D67" s="3">
        <v>-303</v>
      </c>
      <c r="E67" s="3">
        <v>29485</v>
      </c>
      <c r="F67" s="9">
        <v>1205</v>
      </c>
      <c r="G67">
        <f>F67/C67</f>
        <v>4.260961810466761E-2</v>
      </c>
    </row>
    <row r="68" spans="1:7" x14ac:dyDescent="0.25">
      <c r="A68" s="51" t="s">
        <v>35</v>
      </c>
      <c r="B68" s="51"/>
      <c r="C68" s="51"/>
      <c r="D68" s="51"/>
      <c r="E68" s="51"/>
    </row>
    <row r="69" spans="1:7" x14ac:dyDescent="0.25">
      <c r="A69" s="1"/>
      <c r="B69" s="2" t="s">
        <v>16</v>
      </c>
      <c r="C69" s="2" t="s">
        <v>19</v>
      </c>
      <c r="D69" s="2" t="s">
        <v>17</v>
      </c>
      <c r="E69" s="2" t="s">
        <v>18</v>
      </c>
    </row>
    <row r="70" spans="1:7" x14ac:dyDescent="0.25">
      <c r="A70" s="1" t="s">
        <v>1</v>
      </c>
      <c r="B70" s="3">
        <v>23648</v>
      </c>
      <c r="C70" s="4">
        <v>-108</v>
      </c>
      <c r="D70" s="3">
        <v>5862200</v>
      </c>
      <c r="E70" s="5">
        <v>-0.18</v>
      </c>
    </row>
    <row r="71" spans="1:7" x14ac:dyDescent="0.25">
      <c r="A71" s="1" t="s">
        <v>2</v>
      </c>
      <c r="B71" s="3">
        <v>28093</v>
      </c>
      <c r="C71" s="4">
        <v>-221</v>
      </c>
      <c r="D71" s="3">
        <v>1646700</v>
      </c>
      <c r="E71" s="5">
        <v>0.24</v>
      </c>
    </row>
    <row r="72" spans="1:7" s="6" customFormat="1" x14ac:dyDescent="0.25"/>
    <row r="73" spans="1:7" x14ac:dyDescent="0.25">
      <c r="A73" s="51" t="s">
        <v>36</v>
      </c>
      <c r="B73" s="51"/>
      <c r="C73" s="51"/>
      <c r="D73" s="51"/>
      <c r="E73" s="51"/>
      <c r="F73" s="51"/>
    </row>
    <row r="74" spans="1:7" x14ac:dyDescent="0.25">
      <c r="A74" s="1"/>
      <c r="B74" s="2" t="s">
        <v>14</v>
      </c>
      <c r="C74" s="2" t="s">
        <v>15</v>
      </c>
      <c r="D74" s="2" t="s">
        <v>20</v>
      </c>
      <c r="E74" s="8" t="s">
        <v>21</v>
      </c>
      <c r="F74" s="8" t="s">
        <v>27</v>
      </c>
    </row>
    <row r="75" spans="1:7" x14ac:dyDescent="0.25">
      <c r="A75" s="1" t="s">
        <v>1</v>
      </c>
      <c r="B75" s="3">
        <v>23300</v>
      </c>
      <c r="C75" s="3">
        <v>23533</v>
      </c>
      <c r="D75" s="3">
        <v>-356</v>
      </c>
      <c r="E75" s="3">
        <v>24180</v>
      </c>
      <c r="F75" s="9">
        <v>647</v>
      </c>
      <c r="G75">
        <f>F75/C75</f>
        <v>2.7493307270641226E-2</v>
      </c>
    </row>
    <row r="76" spans="1:7" x14ac:dyDescent="0.25">
      <c r="A76" s="1" t="s">
        <v>2</v>
      </c>
      <c r="B76" s="3">
        <v>28000</v>
      </c>
      <c r="C76" s="3">
        <v>28280</v>
      </c>
      <c r="D76" s="3">
        <v>0</v>
      </c>
      <c r="E76" s="3">
        <v>29576</v>
      </c>
      <c r="F76" s="9">
        <v>1296</v>
      </c>
      <c r="G76">
        <f>F76/C76</f>
        <v>4.582743988684583E-2</v>
      </c>
    </row>
    <row r="77" spans="1:7" x14ac:dyDescent="0.25">
      <c r="A77" s="51" t="s">
        <v>37</v>
      </c>
      <c r="B77" s="51"/>
      <c r="C77" s="51"/>
      <c r="D77" s="51"/>
      <c r="E77" s="51"/>
    </row>
    <row r="78" spans="1:7" x14ac:dyDescent="0.25">
      <c r="A78" s="1"/>
      <c r="B78" s="2" t="s">
        <v>16</v>
      </c>
      <c r="C78" s="2" t="s">
        <v>19</v>
      </c>
      <c r="D78" s="2" t="s">
        <v>17</v>
      </c>
      <c r="E78" s="2" t="s">
        <v>18</v>
      </c>
    </row>
    <row r="79" spans="1:7" x14ac:dyDescent="0.25">
      <c r="A79" s="1" t="s">
        <v>1</v>
      </c>
      <c r="B79" s="3">
        <v>23630</v>
      </c>
      <c r="C79" s="4">
        <v>-18</v>
      </c>
      <c r="D79" s="3">
        <v>5934400</v>
      </c>
      <c r="E79" s="5">
        <v>0.01</v>
      </c>
    </row>
    <row r="80" spans="1:7" x14ac:dyDescent="0.25">
      <c r="A80" s="1" t="s">
        <v>2</v>
      </c>
      <c r="B80" s="3">
        <v>28050</v>
      </c>
      <c r="C80" s="4">
        <v>-43</v>
      </c>
      <c r="D80" s="3">
        <v>1716700</v>
      </c>
      <c r="E80" s="5">
        <v>0.04</v>
      </c>
    </row>
    <row r="81" spans="1:8" s="6" customFormat="1" x14ac:dyDescent="0.25"/>
    <row r="82" spans="1:8" x14ac:dyDescent="0.25">
      <c r="A82" s="51" t="s">
        <v>38</v>
      </c>
      <c r="B82" s="51"/>
      <c r="C82" s="51"/>
      <c r="D82" s="51"/>
      <c r="E82" s="51"/>
      <c r="F82" s="51"/>
    </row>
    <row r="83" spans="1:8" x14ac:dyDescent="0.25">
      <c r="A83" s="1"/>
      <c r="B83" s="2" t="s">
        <v>14</v>
      </c>
      <c r="C83" s="2" t="s">
        <v>15</v>
      </c>
      <c r="D83" s="2" t="s">
        <v>20</v>
      </c>
      <c r="E83" s="8" t="s">
        <v>21</v>
      </c>
      <c r="F83" s="8" t="s">
        <v>27</v>
      </c>
    </row>
    <row r="84" spans="1:8" x14ac:dyDescent="0.25">
      <c r="A84" s="1" t="s">
        <v>1</v>
      </c>
      <c r="B84" s="3">
        <v>23136</v>
      </c>
      <c r="C84" s="3">
        <v>23368</v>
      </c>
      <c r="D84" s="3">
        <v>-165</v>
      </c>
      <c r="E84" s="3">
        <v>23750</v>
      </c>
      <c r="F84" s="9">
        <v>382</v>
      </c>
      <c r="G84">
        <f>F84/C84</f>
        <v>1.6347141389934955E-2</v>
      </c>
    </row>
    <row r="85" spans="1:8" x14ac:dyDescent="0.25">
      <c r="A85" s="1" t="s">
        <v>2</v>
      </c>
      <c r="B85" s="3">
        <v>27700</v>
      </c>
      <c r="C85" s="3">
        <v>27977</v>
      </c>
      <c r="D85" s="3">
        <v>-303</v>
      </c>
      <c r="E85" s="3">
        <v>28673</v>
      </c>
      <c r="F85" s="9">
        <v>696</v>
      </c>
      <c r="G85">
        <f>F85/C85</f>
        <v>2.4877578010508633E-2</v>
      </c>
    </row>
    <row r="86" spans="1:8" x14ac:dyDescent="0.25">
      <c r="A86" s="51" t="s">
        <v>39</v>
      </c>
      <c r="B86" s="51"/>
      <c r="C86" s="51"/>
      <c r="D86" s="51"/>
      <c r="E86" s="51"/>
    </row>
    <row r="87" spans="1:8" x14ac:dyDescent="0.25">
      <c r="A87" s="1"/>
      <c r="B87" s="2" t="s">
        <v>16</v>
      </c>
      <c r="C87" s="2" t="s">
        <v>19</v>
      </c>
      <c r="D87" s="2" t="s">
        <v>17</v>
      </c>
      <c r="E87" s="2" t="s">
        <v>18</v>
      </c>
    </row>
    <row r="88" spans="1:8" x14ac:dyDescent="0.25">
      <c r="A88" s="1" t="s">
        <v>1</v>
      </c>
      <c r="B88" s="3">
        <v>23179</v>
      </c>
      <c r="C88" s="4">
        <v>-451</v>
      </c>
      <c r="D88" s="3">
        <v>2536300</v>
      </c>
      <c r="E88" s="5">
        <v>-0.56999999999999995</v>
      </c>
    </row>
    <row r="89" spans="1:8" x14ac:dyDescent="0.25">
      <c r="A89" s="1" t="s">
        <v>2</v>
      </c>
      <c r="B89" s="3">
        <v>27743</v>
      </c>
      <c r="C89" s="4">
        <v>-307</v>
      </c>
      <c r="D89" s="3">
        <v>1794400</v>
      </c>
      <c r="E89" s="5">
        <v>0.05</v>
      </c>
    </row>
    <row r="90" spans="1:8" s="6" customFormat="1" x14ac:dyDescent="0.25"/>
    <row r="91" spans="1:8" x14ac:dyDescent="0.25">
      <c r="A91" s="51" t="s">
        <v>40</v>
      </c>
      <c r="B91" s="51"/>
      <c r="C91" s="51"/>
      <c r="D91" s="51"/>
      <c r="E91" s="51"/>
      <c r="F91" s="51"/>
    </row>
    <row r="92" spans="1:8" x14ac:dyDescent="0.25">
      <c r="A92" s="1"/>
      <c r="B92" s="2" t="s">
        <v>14</v>
      </c>
      <c r="C92" s="2" t="s">
        <v>15</v>
      </c>
      <c r="D92" s="2" t="s">
        <v>20</v>
      </c>
      <c r="E92" s="8" t="s">
        <v>21</v>
      </c>
      <c r="F92" s="8" t="s">
        <v>27</v>
      </c>
    </row>
    <row r="93" spans="1:8" x14ac:dyDescent="0.25">
      <c r="A93" s="1" t="s">
        <v>1</v>
      </c>
      <c r="B93" s="3">
        <v>23156</v>
      </c>
      <c r="C93" s="3">
        <v>23387</v>
      </c>
      <c r="D93" s="3">
        <v>19</v>
      </c>
      <c r="E93" s="3">
        <v>24040</v>
      </c>
      <c r="F93" s="9">
        <v>653</v>
      </c>
      <c r="G93">
        <f>F93/C93</f>
        <v>2.7921494847564888E-2</v>
      </c>
    </row>
    <row r="94" spans="1:8" x14ac:dyDescent="0.25">
      <c r="A94" s="1" t="s">
        <v>2</v>
      </c>
      <c r="B94" s="3">
        <v>27705</v>
      </c>
      <c r="C94" s="3">
        <v>27982</v>
      </c>
      <c r="D94" s="3">
        <v>5</v>
      </c>
      <c r="E94" s="3">
        <v>28989</v>
      </c>
      <c r="F94" s="9">
        <v>1007</v>
      </c>
      <c r="G94" s="10"/>
    </row>
    <row r="95" spans="1:8" x14ac:dyDescent="0.25">
      <c r="A95" s="51" t="s">
        <v>41</v>
      </c>
      <c r="B95" s="51"/>
      <c r="C95" s="51"/>
      <c r="D95" s="51"/>
      <c r="E95" s="51"/>
    </row>
    <row r="96" spans="1:8" x14ac:dyDescent="0.25">
      <c r="A96" s="1"/>
      <c r="B96" s="2" t="s">
        <v>16</v>
      </c>
      <c r="C96" s="2" t="s">
        <v>19</v>
      </c>
      <c r="D96" s="2" t="s">
        <v>17</v>
      </c>
      <c r="E96" s="2" t="s">
        <v>18</v>
      </c>
      <c r="H96">
        <f>F94/C94</f>
        <v>3.5987420484597243E-2</v>
      </c>
    </row>
    <row r="97" spans="1:7" x14ac:dyDescent="0.25">
      <c r="A97" s="1" t="s">
        <v>1</v>
      </c>
      <c r="B97" s="3">
        <v>23158</v>
      </c>
      <c r="C97" s="4">
        <v>-21</v>
      </c>
      <c r="D97" s="3">
        <v>7488900</v>
      </c>
      <c r="E97" s="5">
        <v>1.95</v>
      </c>
    </row>
    <row r="98" spans="1:7" x14ac:dyDescent="0.25">
      <c r="A98" s="1" t="s">
        <v>2</v>
      </c>
      <c r="B98" s="3">
        <v>27764</v>
      </c>
      <c r="C98" s="4">
        <v>21</v>
      </c>
      <c r="D98" s="3">
        <v>1582610</v>
      </c>
      <c r="E98" s="5">
        <v>-0.12</v>
      </c>
    </row>
    <row r="99" spans="1:7" s="6" customFormat="1" x14ac:dyDescent="0.25"/>
    <row r="100" spans="1:7" x14ac:dyDescent="0.25">
      <c r="A100" s="51" t="s">
        <v>42</v>
      </c>
      <c r="B100" s="51"/>
      <c r="C100" s="51"/>
      <c r="D100" s="51"/>
      <c r="E100" s="51"/>
      <c r="F100" s="51"/>
    </row>
    <row r="101" spans="1:7" x14ac:dyDescent="0.25">
      <c r="A101" s="1"/>
      <c r="B101" s="2" t="s">
        <v>14</v>
      </c>
      <c r="C101" s="2" t="s">
        <v>15</v>
      </c>
      <c r="D101" s="2" t="s">
        <v>20</v>
      </c>
      <c r="E101" s="8" t="s">
        <v>21</v>
      </c>
      <c r="F101" s="8" t="s">
        <v>27</v>
      </c>
    </row>
    <row r="102" spans="1:7" x14ac:dyDescent="0.25">
      <c r="A102" s="1" t="s">
        <v>1</v>
      </c>
      <c r="B102" s="3">
        <v>23129</v>
      </c>
      <c r="C102" s="3">
        <v>23360</v>
      </c>
      <c r="D102" s="10">
        <v>-27</v>
      </c>
      <c r="E102" s="3">
        <v>23840</v>
      </c>
      <c r="F102" s="9">
        <v>480</v>
      </c>
      <c r="G102">
        <f>F102/C102</f>
        <v>2.0547945205479451E-2</v>
      </c>
    </row>
    <row r="103" spans="1:7" x14ac:dyDescent="0.25">
      <c r="A103" s="1" t="s">
        <v>2</v>
      </c>
      <c r="B103" s="3">
        <v>27840</v>
      </c>
      <c r="C103" s="3">
        <v>27935</v>
      </c>
      <c r="D103" s="10">
        <v>-47</v>
      </c>
      <c r="E103" s="3">
        <v>28684</v>
      </c>
      <c r="F103" s="9">
        <v>749</v>
      </c>
      <c r="G103" s="10"/>
    </row>
    <row r="104" spans="1:7" x14ac:dyDescent="0.25">
      <c r="A104" s="51" t="s">
        <v>43</v>
      </c>
      <c r="B104" s="51"/>
      <c r="C104" s="51"/>
      <c r="D104" s="51"/>
      <c r="E104" s="51"/>
    </row>
    <row r="105" spans="1:7" x14ac:dyDescent="0.25">
      <c r="A105" s="1"/>
      <c r="B105" s="2" t="s">
        <v>16</v>
      </c>
      <c r="C105" s="2" t="s">
        <v>19</v>
      </c>
      <c r="D105" s="2" t="s">
        <v>17</v>
      </c>
      <c r="E105" s="2" t="s">
        <v>18</v>
      </c>
    </row>
    <row r="106" spans="1:7" x14ac:dyDescent="0.25">
      <c r="A106" s="1" t="s">
        <v>1</v>
      </c>
      <c r="B106" s="3">
        <v>23133</v>
      </c>
      <c r="C106" s="4">
        <v>-25</v>
      </c>
      <c r="D106" s="3">
        <v>4545600</v>
      </c>
      <c r="E106" s="5">
        <v>-0.39</v>
      </c>
      <c r="G106">
        <f>F103/C103</f>
        <v>2.6812242706282442E-2</v>
      </c>
    </row>
    <row r="107" spans="1:7" x14ac:dyDescent="0.25">
      <c r="A107" s="1" t="s">
        <v>2</v>
      </c>
      <c r="B107" s="3">
        <v>27691</v>
      </c>
      <c r="C107" s="4">
        <v>-73</v>
      </c>
      <c r="D107" s="3">
        <v>1088600</v>
      </c>
      <c r="E107" s="5">
        <v>-0.31</v>
      </c>
    </row>
    <row r="108" spans="1:7" s="6" customFormat="1" x14ac:dyDescent="0.25"/>
    <row r="109" spans="1:7" x14ac:dyDescent="0.25">
      <c r="A109" s="51" t="s">
        <v>44</v>
      </c>
      <c r="B109" s="51"/>
      <c r="C109" s="51"/>
      <c r="D109" s="51"/>
      <c r="E109" s="51"/>
      <c r="F109" s="51"/>
    </row>
    <row r="110" spans="1:7" x14ac:dyDescent="0.25">
      <c r="A110" s="1"/>
      <c r="B110" s="2" t="s">
        <v>14</v>
      </c>
      <c r="C110" s="2" t="s">
        <v>15</v>
      </c>
      <c r="D110" s="2" t="s">
        <v>20</v>
      </c>
      <c r="E110" s="8" t="s">
        <v>21</v>
      </c>
      <c r="F110" s="8" t="s">
        <v>27</v>
      </c>
    </row>
    <row r="111" spans="1:7" x14ac:dyDescent="0.25">
      <c r="A111" s="1" t="s">
        <v>1</v>
      </c>
      <c r="B111" s="3">
        <v>23140</v>
      </c>
      <c r="C111" s="3">
        <v>23371</v>
      </c>
      <c r="D111" s="10">
        <v>11</v>
      </c>
      <c r="E111" s="3">
        <v>23820</v>
      </c>
      <c r="F111" s="9">
        <v>449</v>
      </c>
      <c r="G111">
        <f>F111/C111</f>
        <v>1.9211843737965854E-2</v>
      </c>
    </row>
    <row r="112" spans="1:7" x14ac:dyDescent="0.25">
      <c r="A112" s="1" t="s">
        <v>2</v>
      </c>
      <c r="B112" s="3">
        <v>27697</v>
      </c>
      <c r="C112" s="3">
        <v>27974</v>
      </c>
      <c r="D112" s="10">
        <v>39</v>
      </c>
      <c r="E112" s="3">
        <v>28783</v>
      </c>
      <c r="F112" s="9">
        <v>809</v>
      </c>
      <c r="G112" s="10"/>
    </row>
    <row r="113" spans="1:8" x14ac:dyDescent="0.25">
      <c r="A113" s="51" t="s">
        <v>45</v>
      </c>
      <c r="B113" s="51"/>
      <c r="C113" s="51"/>
      <c r="D113" s="51"/>
      <c r="E113" s="51"/>
    </row>
    <row r="114" spans="1:8" x14ac:dyDescent="0.25">
      <c r="A114" s="1"/>
      <c r="B114" s="2" t="s">
        <v>16</v>
      </c>
      <c r="C114" s="2" t="s">
        <v>19</v>
      </c>
      <c r="D114" s="2" t="s">
        <v>17</v>
      </c>
      <c r="E114" s="2" t="s">
        <v>18</v>
      </c>
      <c r="G114" s="10"/>
    </row>
    <row r="115" spans="1:8" x14ac:dyDescent="0.25">
      <c r="A115" s="1" t="s">
        <v>1</v>
      </c>
      <c r="B115" s="3">
        <v>23129</v>
      </c>
      <c r="C115" s="4">
        <v>-4</v>
      </c>
      <c r="D115" s="3">
        <v>5642400</v>
      </c>
      <c r="E115" s="5">
        <v>0.24</v>
      </c>
      <c r="F115" s="10"/>
      <c r="G115">
        <f>F112/C112</f>
        <v>2.8919711160363196E-2</v>
      </c>
    </row>
    <row r="116" spans="1:8" x14ac:dyDescent="0.25">
      <c r="A116" s="1" t="s">
        <v>2</v>
      </c>
      <c r="B116" s="3">
        <v>27681</v>
      </c>
      <c r="C116" s="4">
        <v>-10</v>
      </c>
      <c r="D116" s="3">
        <v>2359000</v>
      </c>
      <c r="E116" s="5">
        <v>1.17</v>
      </c>
    </row>
    <row r="117" spans="1:8" s="6" customFormat="1" x14ac:dyDescent="0.25"/>
    <row r="118" spans="1:8" x14ac:dyDescent="0.25">
      <c r="A118" s="51" t="s">
        <v>46</v>
      </c>
      <c r="B118" s="51"/>
      <c r="C118" s="51"/>
      <c r="D118" s="51"/>
      <c r="E118" s="51"/>
      <c r="F118" s="51"/>
    </row>
    <row r="119" spans="1:8" x14ac:dyDescent="0.25">
      <c r="A119" s="1"/>
      <c r="B119" s="2" t="s">
        <v>14</v>
      </c>
      <c r="C119" s="2" t="s">
        <v>15</v>
      </c>
      <c r="D119" s="2" t="s">
        <v>20</v>
      </c>
      <c r="E119" s="8" t="s">
        <v>21</v>
      </c>
      <c r="F119" s="8" t="s">
        <v>27</v>
      </c>
    </row>
    <row r="120" spans="1:8" x14ac:dyDescent="0.25">
      <c r="A120" s="1" t="s">
        <v>1</v>
      </c>
      <c r="B120" s="3">
        <v>23141</v>
      </c>
      <c r="C120" s="3">
        <v>23373</v>
      </c>
      <c r="D120" s="10">
        <v>2</v>
      </c>
      <c r="E120" s="3">
        <v>23870</v>
      </c>
      <c r="F120" s="9">
        <v>497</v>
      </c>
      <c r="G120">
        <f>F120/C120</f>
        <v>2.1263851452530697E-2</v>
      </c>
    </row>
    <row r="121" spans="1:8" x14ac:dyDescent="0.25">
      <c r="A121" s="1" t="s">
        <v>2</v>
      </c>
      <c r="B121" s="3">
        <v>27700</v>
      </c>
      <c r="C121" s="3">
        <v>27977</v>
      </c>
      <c r="D121" s="10">
        <v>3</v>
      </c>
      <c r="E121" s="3">
        <v>28831</v>
      </c>
      <c r="F121" s="9">
        <v>854</v>
      </c>
      <c r="G121" s="10"/>
    </row>
    <row r="122" spans="1:8" x14ac:dyDescent="0.25">
      <c r="A122" s="51" t="s">
        <v>47</v>
      </c>
      <c r="B122" s="51"/>
      <c r="C122" s="51"/>
      <c r="D122" s="51"/>
      <c r="E122" s="51"/>
    </row>
    <row r="123" spans="1:8" x14ac:dyDescent="0.25">
      <c r="A123" s="1"/>
      <c r="B123" s="2" t="s">
        <v>16</v>
      </c>
      <c r="C123" s="2" t="s">
        <v>19</v>
      </c>
      <c r="D123" s="2" t="s">
        <v>17</v>
      </c>
      <c r="E123" s="2" t="s">
        <v>18</v>
      </c>
      <c r="G123" s="10"/>
    </row>
    <row r="124" spans="1:8" x14ac:dyDescent="0.25">
      <c r="A124" s="1" t="s">
        <v>1</v>
      </c>
      <c r="B124" s="3">
        <v>23135</v>
      </c>
      <c r="C124" s="4">
        <v>6</v>
      </c>
      <c r="D124" s="3">
        <v>6126600</v>
      </c>
      <c r="E124" s="5">
        <v>0.09</v>
      </c>
      <c r="F124" s="10"/>
      <c r="G124">
        <f>F121/C121</f>
        <v>3.0525074168066626E-2</v>
      </c>
    </row>
    <row r="125" spans="1:8" x14ac:dyDescent="0.25">
      <c r="A125" s="1" t="s">
        <v>2</v>
      </c>
      <c r="B125" s="3">
        <v>27719</v>
      </c>
      <c r="C125" s="4">
        <v>38</v>
      </c>
      <c r="D125" s="3">
        <v>2522000</v>
      </c>
      <c r="E125" s="5">
        <v>7.0000000000000007E-2</v>
      </c>
    </row>
    <row r="126" spans="1:8" s="6" customFormat="1" x14ac:dyDescent="0.25"/>
    <row r="127" spans="1:8" x14ac:dyDescent="0.25">
      <c r="A127" s="51" t="s">
        <v>48</v>
      </c>
      <c r="B127" s="51"/>
      <c r="C127" s="51"/>
      <c r="D127" s="51"/>
      <c r="E127" s="51"/>
      <c r="F127" s="51"/>
    </row>
    <row r="128" spans="1:8" x14ac:dyDescent="0.25">
      <c r="A128" s="1"/>
      <c r="B128" s="2" t="s">
        <v>14</v>
      </c>
      <c r="C128" s="2" t="s">
        <v>15</v>
      </c>
      <c r="D128" s="2" t="s">
        <v>20</v>
      </c>
      <c r="E128" s="8" t="s">
        <v>21</v>
      </c>
      <c r="F128" s="8" t="s">
        <v>27</v>
      </c>
      <c r="H128">
        <f>F129/C129</f>
        <v>1.4604810996563574E-2</v>
      </c>
    </row>
    <row r="129" spans="1:10" x14ac:dyDescent="0.25">
      <c r="A129" s="1" t="s">
        <v>1</v>
      </c>
      <c r="B129" s="3">
        <v>23050</v>
      </c>
      <c r="C129" s="3">
        <v>23280</v>
      </c>
      <c r="D129" s="10">
        <v>-93</v>
      </c>
      <c r="E129" s="3">
        <v>23620</v>
      </c>
      <c r="F129" s="9">
        <v>340</v>
      </c>
      <c r="G129" s="10"/>
    </row>
    <row r="130" spans="1:10" x14ac:dyDescent="0.25">
      <c r="A130" s="1" t="s">
        <v>2</v>
      </c>
      <c r="B130" s="3">
        <v>27600</v>
      </c>
      <c r="C130" s="3">
        <v>27876</v>
      </c>
      <c r="D130" s="10">
        <v>-101</v>
      </c>
      <c r="E130" s="3">
        <v>28682</v>
      </c>
      <c r="F130" s="9">
        <v>806</v>
      </c>
      <c r="G130" s="10"/>
    </row>
    <row r="131" spans="1:10" x14ac:dyDescent="0.25">
      <c r="A131" s="51" t="s">
        <v>49</v>
      </c>
      <c r="B131" s="51"/>
      <c r="C131" s="51"/>
      <c r="D131" s="51"/>
      <c r="E131" s="51"/>
      <c r="I131" s="10"/>
    </row>
    <row r="132" spans="1:10" x14ac:dyDescent="0.25">
      <c r="A132" s="1"/>
      <c r="B132" s="2" t="s">
        <v>16</v>
      </c>
      <c r="C132" s="2" t="s">
        <v>19</v>
      </c>
      <c r="D132" s="2" t="s">
        <v>17</v>
      </c>
      <c r="E132" s="2" t="s">
        <v>18</v>
      </c>
      <c r="G132" s="10"/>
    </row>
    <row r="133" spans="1:10" x14ac:dyDescent="0.25">
      <c r="A133" s="1" t="s">
        <v>1</v>
      </c>
      <c r="B133" s="3">
        <v>23127</v>
      </c>
      <c r="C133" s="4">
        <v>-8</v>
      </c>
      <c r="D133" s="3">
        <v>3602500</v>
      </c>
      <c r="E133" s="5">
        <v>-0.41</v>
      </c>
      <c r="F133" s="10"/>
      <c r="G133">
        <f>F130/C130</f>
        <v>2.8913760941311522E-2</v>
      </c>
    </row>
    <row r="134" spans="1:10" ht="28.15" customHeight="1" x14ac:dyDescent="0.25">
      <c r="A134" s="1" t="s">
        <v>2</v>
      </c>
      <c r="B134" s="3">
        <v>27697</v>
      </c>
      <c r="C134" s="4">
        <v>-22</v>
      </c>
      <c r="D134" s="3">
        <v>1919200</v>
      </c>
      <c r="E134" s="5">
        <v>-0.24</v>
      </c>
      <c r="J134" s="10"/>
    </row>
    <row r="135" spans="1:10" s="6" customFormat="1" x14ac:dyDescent="0.25"/>
    <row r="136" spans="1:10" x14ac:dyDescent="0.25">
      <c r="A136" s="51" t="s">
        <v>50</v>
      </c>
      <c r="B136" s="51"/>
      <c r="C136" s="51"/>
      <c r="D136" s="51"/>
      <c r="E136" s="51"/>
      <c r="F136" s="51"/>
    </row>
    <row r="137" spans="1:10" x14ac:dyDescent="0.25">
      <c r="A137" s="1"/>
      <c r="B137" s="2" t="s">
        <v>14</v>
      </c>
      <c r="C137" s="2" t="s">
        <v>15</v>
      </c>
      <c r="D137" s="2" t="s">
        <v>20</v>
      </c>
      <c r="E137" s="8" t="s">
        <v>21</v>
      </c>
      <c r="F137" s="8" t="s">
        <v>27</v>
      </c>
      <c r="G137">
        <f>F138/C138</f>
        <v>1.8916595012897677E-2</v>
      </c>
    </row>
    <row r="138" spans="1:10" x14ac:dyDescent="0.25">
      <c r="A138" s="1" t="s">
        <v>1</v>
      </c>
      <c r="B138" s="3">
        <v>23030</v>
      </c>
      <c r="C138" s="3">
        <v>23260</v>
      </c>
      <c r="D138" s="10">
        <v>-20</v>
      </c>
      <c r="E138" s="3">
        <v>23700</v>
      </c>
      <c r="F138" s="9">
        <v>440</v>
      </c>
      <c r="G138" s="10"/>
    </row>
    <row r="139" spans="1:10" x14ac:dyDescent="0.25">
      <c r="A139" s="1" t="s">
        <v>2</v>
      </c>
      <c r="B139" s="3">
        <v>27700</v>
      </c>
      <c r="C139" s="3">
        <v>27977</v>
      </c>
      <c r="D139" s="10">
        <v>101</v>
      </c>
      <c r="E139" s="3">
        <v>28724</v>
      </c>
      <c r="F139" s="9">
        <v>747</v>
      </c>
      <c r="G139" s="10"/>
    </row>
    <row r="140" spans="1:10" x14ac:dyDescent="0.25">
      <c r="A140" s="51" t="s">
        <v>51</v>
      </c>
      <c r="B140" s="51"/>
      <c r="C140" s="51"/>
      <c r="D140" s="51"/>
      <c r="E140" s="51"/>
      <c r="I140" s="10"/>
    </row>
    <row r="141" spans="1:10" x14ac:dyDescent="0.25">
      <c r="A141" s="1"/>
      <c r="B141" s="2" t="s">
        <v>16</v>
      </c>
      <c r="C141" s="2" t="s">
        <v>19</v>
      </c>
      <c r="D141" s="2" t="s">
        <v>17</v>
      </c>
      <c r="E141" s="2" t="s">
        <v>18</v>
      </c>
      <c r="F141">
        <f>F139/C139</f>
        <v>2.6700503985416593E-2</v>
      </c>
      <c r="G141" s="10"/>
    </row>
    <row r="142" spans="1:10" x14ac:dyDescent="0.25">
      <c r="A142" s="1" t="s">
        <v>1</v>
      </c>
      <c r="B142" s="3">
        <v>23108</v>
      </c>
      <c r="C142" s="4">
        <v>-19</v>
      </c>
      <c r="D142" s="3">
        <v>5365800</v>
      </c>
      <c r="E142" s="5">
        <v>0.49</v>
      </c>
      <c r="F142" s="10"/>
      <c r="H142" s="10"/>
    </row>
    <row r="143" spans="1:10" x14ac:dyDescent="0.25">
      <c r="A143" s="1" t="s">
        <v>2</v>
      </c>
      <c r="B143" s="3">
        <v>27763</v>
      </c>
      <c r="C143" s="4">
        <v>66</v>
      </c>
      <c r="D143" s="3">
        <v>1486500</v>
      </c>
      <c r="E143" s="5">
        <v>-0.23</v>
      </c>
      <c r="J143" s="10"/>
    </row>
    <row r="144" spans="1:10" s="6" customFormat="1" x14ac:dyDescent="0.25"/>
    <row r="145" spans="1:10" x14ac:dyDescent="0.25">
      <c r="A145" s="51" t="s">
        <v>52</v>
      </c>
      <c r="B145" s="51"/>
      <c r="C145" s="51"/>
      <c r="D145" s="51"/>
      <c r="E145" s="51"/>
      <c r="F145" s="51"/>
    </row>
    <row r="146" spans="1:10" x14ac:dyDescent="0.25">
      <c r="A146" s="1"/>
      <c r="B146" s="2" t="s">
        <v>14</v>
      </c>
      <c r="C146" s="2" t="s">
        <v>15</v>
      </c>
      <c r="D146" s="2" t="s">
        <v>20</v>
      </c>
      <c r="E146" s="8" t="s">
        <v>21</v>
      </c>
      <c r="F146" s="8" t="s">
        <v>27</v>
      </c>
      <c r="G146">
        <f>F147/C147</f>
        <v>1.6723270710631528E-2</v>
      </c>
    </row>
    <row r="147" spans="1:10" x14ac:dyDescent="0.25">
      <c r="A147" s="1" t="s">
        <v>1</v>
      </c>
      <c r="B147" s="3">
        <v>23031</v>
      </c>
      <c r="C147" s="3">
        <v>23261</v>
      </c>
      <c r="D147" s="10">
        <v>1</v>
      </c>
      <c r="E147" s="3">
        <v>23650</v>
      </c>
      <c r="F147" s="9">
        <v>389</v>
      </c>
      <c r="G147" s="10"/>
    </row>
    <row r="148" spans="1:10" x14ac:dyDescent="0.25">
      <c r="A148" s="1" t="s">
        <v>2</v>
      </c>
      <c r="B148" s="3">
        <v>27650</v>
      </c>
      <c r="C148" s="3">
        <v>27926</v>
      </c>
      <c r="D148" s="10">
        <v>-51</v>
      </c>
      <c r="E148" s="3">
        <v>28552</v>
      </c>
      <c r="F148" s="9">
        <v>626</v>
      </c>
      <c r="G148" s="10"/>
    </row>
    <row r="149" spans="1:10" x14ac:dyDescent="0.25">
      <c r="A149" s="51" t="s">
        <v>53</v>
      </c>
      <c r="B149" s="51"/>
      <c r="C149" s="51"/>
      <c r="D149" s="51"/>
      <c r="E149" s="51"/>
      <c r="G149">
        <f>F148/C148</f>
        <v>2.2416386163431928E-2</v>
      </c>
      <c r="I149" s="10"/>
    </row>
    <row r="150" spans="1:10" x14ac:dyDescent="0.25">
      <c r="A150" s="1"/>
      <c r="B150" s="2" t="s">
        <v>16</v>
      </c>
      <c r="C150" s="2" t="s">
        <v>19</v>
      </c>
      <c r="D150" s="2" t="s">
        <v>17</v>
      </c>
      <c r="E150" s="2" t="s">
        <v>18</v>
      </c>
      <c r="G150" s="10"/>
    </row>
    <row r="151" spans="1:10" x14ac:dyDescent="0.25">
      <c r="A151" s="1" t="s">
        <v>1</v>
      </c>
      <c r="B151" s="3">
        <v>23022</v>
      </c>
      <c r="C151" s="4">
        <v>-86</v>
      </c>
      <c r="D151" s="3">
        <v>6405700</v>
      </c>
      <c r="E151" s="5">
        <v>0.19</v>
      </c>
      <c r="F151" s="10"/>
      <c r="H151" s="10">
        <f>E147-E138</f>
        <v>-50</v>
      </c>
    </row>
    <row r="152" spans="1:10" x14ac:dyDescent="0.25">
      <c r="A152" s="1" t="s">
        <v>2</v>
      </c>
      <c r="B152" s="3">
        <v>27709</v>
      </c>
      <c r="C152" s="4">
        <v>-54</v>
      </c>
      <c r="D152" s="3">
        <v>895300</v>
      </c>
      <c r="E152" s="5">
        <v>-0.4</v>
      </c>
      <c r="H152" s="10">
        <f>E148-E139</f>
        <v>-172</v>
      </c>
      <c r="J152" s="10"/>
    </row>
    <row r="153" spans="1:10" s="6" customFormat="1" x14ac:dyDescent="0.25"/>
    <row r="154" spans="1:10" x14ac:dyDescent="0.25">
      <c r="A154" s="51" t="s">
        <v>54</v>
      </c>
      <c r="B154" s="51"/>
      <c r="C154" s="51"/>
      <c r="D154" s="51"/>
      <c r="E154" s="51"/>
      <c r="F154" s="51"/>
    </row>
    <row r="155" spans="1:10" x14ac:dyDescent="0.25">
      <c r="A155" s="1"/>
      <c r="B155" s="2" t="s">
        <v>14</v>
      </c>
      <c r="C155" s="2" t="s">
        <v>15</v>
      </c>
      <c r="D155" s="2" t="s">
        <v>20</v>
      </c>
      <c r="E155" s="8" t="s">
        <v>21</v>
      </c>
      <c r="F155" s="8" t="s">
        <v>27</v>
      </c>
      <c r="H155">
        <f>F156/C156</f>
        <v>1.0318142734307825E-2</v>
      </c>
    </row>
    <row r="156" spans="1:10" x14ac:dyDescent="0.25">
      <c r="A156" s="1" t="s">
        <v>1</v>
      </c>
      <c r="B156" s="3">
        <v>23030</v>
      </c>
      <c r="C156" s="3">
        <v>23260</v>
      </c>
      <c r="D156" s="10">
        <v>-1</v>
      </c>
      <c r="E156" s="3">
        <v>23500</v>
      </c>
      <c r="F156" s="9">
        <v>240</v>
      </c>
      <c r="G156" s="10"/>
      <c r="I156" s="10">
        <v>-150</v>
      </c>
    </row>
    <row r="157" spans="1:10" x14ac:dyDescent="0.25">
      <c r="A157" s="1" t="s">
        <v>2</v>
      </c>
      <c r="B157" s="3">
        <v>27644</v>
      </c>
      <c r="C157" s="3">
        <v>27920</v>
      </c>
      <c r="D157" s="10">
        <v>-6</v>
      </c>
      <c r="E157" s="3">
        <v>28639</v>
      </c>
      <c r="F157" s="9">
        <v>719</v>
      </c>
      <c r="G157" s="10"/>
    </row>
    <row r="158" spans="1:10" x14ac:dyDescent="0.25">
      <c r="A158" s="51" t="s">
        <v>55</v>
      </c>
      <c r="B158" s="51"/>
      <c r="C158" s="51"/>
      <c r="D158" s="51"/>
      <c r="E158" s="51"/>
      <c r="H158">
        <f>F157/C157</f>
        <v>2.5752148997134669E-2</v>
      </c>
      <c r="I158" s="10"/>
    </row>
    <row r="159" spans="1:10" x14ac:dyDescent="0.25">
      <c r="A159" s="1"/>
      <c r="B159" s="2" t="s">
        <v>16</v>
      </c>
      <c r="C159" s="2" t="s">
        <v>19</v>
      </c>
      <c r="D159" s="2" t="s">
        <v>17</v>
      </c>
      <c r="E159" s="2" t="s">
        <v>18</v>
      </c>
      <c r="G159" s="10"/>
    </row>
    <row r="160" spans="1:10" x14ac:dyDescent="0.25">
      <c r="A160" s="1" t="s">
        <v>1</v>
      </c>
      <c r="B160" s="3">
        <v>23030</v>
      </c>
      <c r="C160" s="4">
        <v>8</v>
      </c>
      <c r="D160" s="3">
        <v>4357800</v>
      </c>
      <c r="E160" s="5">
        <v>-0.32</v>
      </c>
      <c r="F160" s="10"/>
      <c r="H160" s="10"/>
      <c r="I160" s="10">
        <f>E157-E148</f>
        <v>87</v>
      </c>
    </row>
    <row r="161" spans="1:10" x14ac:dyDescent="0.25">
      <c r="A161" s="1" t="s">
        <v>2</v>
      </c>
      <c r="B161" s="3">
        <v>27688</v>
      </c>
      <c r="C161" s="4">
        <v>-21</v>
      </c>
      <c r="D161" s="3">
        <v>771300</v>
      </c>
      <c r="E161" s="5">
        <v>-0.14000000000000001</v>
      </c>
      <c r="H161" s="10"/>
      <c r="J161" s="10"/>
    </row>
    <row r="162" spans="1:10" s="6" customFormat="1" x14ac:dyDescent="0.25"/>
    <row r="163" spans="1:10" x14ac:dyDescent="0.25">
      <c r="A163" s="51" t="s">
        <v>56</v>
      </c>
      <c r="B163" s="51"/>
      <c r="C163" s="51"/>
      <c r="D163" s="51"/>
      <c r="E163" s="51"/>
      <c r="F163" s="51"/>
    </row>
    <row r="164" spans="1:10" x14ac:dyDescent="0.25">
      <c r="A164" s="1"/>
      <c r="B164" s="2" t="s">
        <v>14</v>
      </c>
      <c r="C164" s="2" t="s">
        <v>15</v>
      </c>
      <c r="D164" s="2" t="s">
        <v>20</v>
      </c>
      <c r="E164" s="8" t="s">
        <v>21</v>
      </c>
      <c r="F164" s="8" t="s">
        <v>27</v>
      </c>
      <c r="H164">
        <f>F165/C165</f>
        <v>3.1867987951281268E-3</v>
      </c>
    </row>
    <row r="165" spans="1:10" x14ac:dyDescent="0.25">
      <c r="A165" s="1" t="s">
        <v>1</v>
      </c>
      <c r="B165" s="3">
        <v>22680</v>
      </c>
      <c r="C165" s="3">
        <v>22907</v>
      </c>
      <c r="D165" s="10">
        <v>-353</v>
      </c>
      <c r="E165" s="3">
        <v>22980</v>
      </c>
      <c r="F165" s="9">
        <v>73</v>
      </c>
      <c r="G165" s="10"/>
      <c r="I165" s="10"/>
    </row>
    <row r="166" spans="1:10" x14ac:dyDescent="0.25">
      <c r="A166" s="1" t="s">
        <v>2</v>
      </c>
      <c r="B166" s="3">
        <v>27395</v>
      </c>
      <c r="C166" s="3">
        <v>27669</v>
      </c>
      <c r="D166" s="10">
        <v>-251</v>
      </c>
      <c r="E166" s="3">
        <v>28116</v>
      </c>
      <c r="F166" s="9">
        <v>447</v>
      </c>
      <c r="G166" s="10"/>
    </row>
    <row r="167" spans="1:10" x14ac:dyDescent="0.25">
      <c r="A167" s="51" t="s">
        <v>57</v>
      </c>
      <c r="B167" s="51"/>
      <c r="C167" s="51"/>
      <c r="D167" s="51"/>
      <c r="E167" s="51"/>
      <c r="I167" s="10"/>
    </row>
    <row r="168" spans="1:10" x14ac:dyDescent="0.25">
      <c r="A168" s="1"/>
      <c r="B168" s="2" t="s">
        <v>16</v>
      </c>
      <c r="C168" s="2" t="s">
        <v>19</v>
      </c>
      <c r="D168" s="2" t="s">
        <v>17</v>
      </c>
      <c r="E168" s="2" t="s">
        <v>18</v>
      </c>
      <c r="G168" s="10"/>
      <c r="H168">
        <f>F166/C166</f>
        <v>1.6155264013878349E-2</v>
      </c>
    </row>
    <row r="169" spans="1:10" x14ac:dyDescent="0.25">
      <c r="A169" s="1" t="s">
        <v>1</v>
      </c>
      <c r="B169" s="3">
        <v>22793</v>
      </c>
      <c r="C169" s="4">
        <v>-237</v>
      </c>
      <c r="D169" s="3">
        <v>2957300</v>
      </c>
      <c r="E169" s="5">
        <v>-0.32</v>
      </c>
      <c r="F169" s="10"/>
      <c r="H169" s="10"/>
      <c r="I169" s="10"/>
    </row>
    <row r="170" spans="1:10" x14ac:dyDescent="0.25">
      <c r="A170" s="1" t="s">
        <v>2</v>
      </c>
      <c r="B170" s="3">
        <v>27524</v>
      </c>
      <c r="C170" s="4">
        <v>-164</v>
      </c>
      <c r="D170" s="3">
        <v>196400</v>
      </c>
      <c r="E170" s="5">
        <v>-0.75</v>
      </c>
      <c r="G170" s="10">
        <f>E166-E157</f>
        <v>-523</v>
      </c>
      <c r="H170" s="10"/>
      <c r="J170" s="10"/>
    </row>
    <row r="171" spans="1:10" s="6" customFormat="1" x14ac:dyDescent="0.25"/>
    <row r="172" spans="1:10" x14ac:dyDescent="0.25">
      <c r="A172" s="51" t="s">
        <v>58</v>
      </c>
      <c r="B172" s="51"/>
      <c r="C172" s="51"/>
      <c r="D172" s="51"/>
      <c r="E172" s="51"/>
      <c r="F172" s="51"/>
    </row>
    <row r="173" spans="1:10" x14ac:dyDescent="0.25">
      <c r="A173" s="1"/>
      <c r="B173" s="2" t="s">
        <v>14</v>
      </c>
      <c r="C173" s="2" t="s">
        <v>15</v>
      </c>
      <c r="D173" s="2" t="s">
        <v>20</v>
      </c>
      <c r="E173" s="8" t="s">
        <v>21</v>
      </c>
      <c r="F173" s="8" t="s">
        <v>27</v>
      </c>
      <c r="G173">
        <f>F174/C174</f>
        <v>5.814219658471822E-3</v>
      </c>
    </row>
    <row r="174" spans="1:10" x14ac:dyDescent="0.25">
      <c r="A174" s="1" t="s">
        <v>1</v>
      </c>
      <c r="B174" s="3">
        <v>21627</v>
      </c>
      <c r="C174" s="3">
        <v>21843</v>
      </c>
      <c r="D174" s="10">
        <v>-1064</v>
      </c>
      <c r="E174" s="3">
        <v>21970</v>
      </c>
      <c r="F174" s="9">
        <v>127</v>
      </c>
      <c r="G174" s="10"/>
      <c r="I174" s="10">
        <f>E174-E165</f>
        <v>-1010</v>
      </c>
    </row>
    <row r="175" spans="1:10" x14ac:dyDescent="0.25">
      <c r="A175" s="1" t="s">
        <v>2</v>
      </c>
      <c r="B175" s="3">
        <v>26350</v>
      </c>
      <c r="C175" s="3">
        <v>26613</v>
      </c>
      <c r="D175" s="10">
        <v>-1056</v>
      </c>
      <c r="E175" s="3">
        <v>27137</v>
      </c>
      <c r="F175" s="9">
        <f>E175-C175</f>
        <v>524</v>
      </c>
      <c r="G175" s="10"/>
    </row>
    <row r="176" spans="1:10" x14ac:dyDescent="0.25">
      <c r="A176" s="51" t="s">
        <v>59</v>
      </c>
      <c r="B176" s="51"/>
      <c r="C176" s="51"/>
      <c r="D176" s="51"/>
      <c r="E176" s="51"/>
      <c r="I176" s="10"/>
    </row>
    <row r="177" spans="1:10" x14ac:dyDescent="0.25">
      <c r="A177" s="1"/>
      <c r="B177" s="2" t="s">
        <v>16</v>
      </c>
      <c r="C177" s="2" t="s">
        <v>19</v>
      </c>
      <c r="D177" s="2" t="s">
        <v>17</v>
      </c>
      <c r="E177" s="2" t="s">
        <v>18</v>
      </c>
      <c r="G177" s="10"/>
      <c r="H177">
        <f>F175/C175</f>
        <v>1.9689625371059255E-2</v>
      </c>
    </row>
    <row r="178" spans="1:10" x14ac:dyDescent="0.25">
      <c r="A178" s="1" t="s">
        <v>1</v>
      </c>
      <c r="B178" s="3">
        <v>21999</v>
      </c>
      <c r="C178" s="4">
        <v>-794</v>
      </c>
      <c r="D178" s="3">
        <v>1770900</v>
      </c>
      <c r="E178" s="5">
        <v>-0.4</v>
      </c>
      <c r="F178" s="10"/>
      <c r="H178" s="10"/>
      <c r="I178" s="10">
        <f>E175-E166</f>
        <v>-979</v>
      </c>
    </row>
    <row r="179" spans="1:10" x14ac:dyDescent="0.25">
      <c r="A179" s="1" t="s">
        <v>2</v>
      </c>
      <c r="B179" s="3">
        <v>26506</v>
      </c>
      <c r="C179" s="4">
        <v>-1018</v>
      </c>
      <c r="D179" s="3">
        <v>109300</v>
      </c>
      <c r="E179" s="5">
        <v>-0.44</v>
      </c>
      <c r="G179" s="10"/>
      <c r="H179" s="10"/>
      <c r="J179" s="10"/>
    </row>
    <row r="180" spans="1:10" s="6" customFormat="1" x14ac:dyDescent="0.25"/>
    <row r="181" spans="1:10" x14ac:dyDescent="0.25">
      <c r="A181" s="51" t="s">
        <v>60</v>
      </c>
      <c r="B181" s="51"/>
      <c r="C181" s="51"/>
      <c r="D181" s="51"/>
      <c r="E181" s="51"/>
      <c r="F181" s="51"/>
    </row>
    <row r="182" spans="1:10" x14ac:dyDescent="0.25">
      <c r="A182" s="1"/>
      <c r="B182" s="2" t="s">
        <v>14</v>
      </c>
      <c r="C182" s="2" t="s">
        <v>15</v>
      </c>
      <c r="D182" s="2" t="s">
        <v>20</v>
      </c>
      <c r="E182" s="8" t="s">
        <v>21</v>
      </c>
      <c r="F182" s="8" t="s">
        <v>27</v>
      </c>
    </row>
    <row r="183" spans="1:10" x14ac:dyDescent="0.25">
      <c r="A183" s="1" t="s">
        <v>1</v>
      </c>
      <c r="B183" s="3">
        <v>21510</v>
      </c>
      <c r="C183" s="3">
        <v>21725</v>
      </c>
      <c r="D183" s="10">
        <v>-118</v>
      </c>
      <c r="E183" s="3">
        <v>21800</v>
      </c>
      <c r="F183" s="9">
        <v>75</v>
      </c>
      <c r="G183" s="10"/>
      <c r="H183">
        <f>F183/C183</f>
        <v>3.4522439585730723E-3</v>
      </c>
      <c r="I183" s="10"/>
    </row>
    <row r="184" spans="1:10" x14ac:dyDescent="0.25">
      <c r="A184" s="1" t="s">
        <v>2</v>
      </c>
      <c r="B184" s="3">
        <v>25700</v>
      </c>
      <c r="C184" s="3">
        <v>25957</v>
      </c>
      <c r="D184" s="10">
        <v>-656</v>
      </c>
      <c r="E184" s="3">
        <v>26748</v>
      </c>
      <c r="F184" s="9">
        <v>791</v>
      </c>
      <c r="G184" s="10"/>
    </row>
    <row r="185" spans="1:10" x14ac:dyDescent="0.25">
      <c r="A185" s="51" t="s">
        <v>61</v>
      </c>
      <c r="B185" s="51"/>
      <c r="C185" s="51"/>
      <c r="D185" s="51"/>
      <c r="E185" s="51"/>
      <c r="H185">
        <f>F184/C184</f>
        <v>3.0473475363100511E-2</v>
      </c>
      <c r="I185" s="10"/>
    </row>
    <row r="186" spans="1:10" x14ac:dyDescent="0.25">
      <c r="A186" s="1"/>
      <c r="B186" s="2" t="s">
        <v>16</v>
      </c>
      <c r="C186" s="2" t="s">
        <v>19</v>
      </c>
      <c r="D186" s="2" t="s">
        <v>17</v>
      </c>
      <c r="E186" s="2" t="s">
        <v>18</v>
      </c>
      <c r="G186" s="10">
        <f>E183-E174</f>
        <v>-170</v>
      </c>
    </row>
    <row r="187" spans="1:10" x14ac:dyDescent="0.25">
      <c r="A187" s="1" t="s">
        <v>1</v>
      </c>
      <c r="B187" s="3">
        <v>21569</v>
      </c>
      <c r="C187" s="4">
        <v>-430</v>
      </c>
      <c r="D187" s="3">
        <v>3748300</v>
      </c>
      <c r="E187" s="5">
        <v>1.1200000000000001</v>
      </c>
      <c r="F187" s="10"/>
      <c r="H187" s="10"/>
      <c r="I187" s="10"/>
    </row>
    <row r="188" spans="1:10" x14ac:dyDescent="0.25">
      <c r="A188" s="1" t="s">
        <v>2</v>
      </c>
      <c r="B188" s="3">
        <v>25726</v>
      </c>
      <c r="C188" s="4">
        <v>-780</v>
      </c>
      <c r="D188" s="3">
        <v>271700</v>
      </c>
      <c r="E188" s="5">
        <v>1.49</v>
      </c>
      <c r="G188" s="10"/>
      <c r="H188" s="10"/>
      <c r="J188" s="10"/>
    </row>
    <row r="189" spans="1:10" s="6" customFormat="1" x14ac:dyDescent="0.25"/>
    <row r="190" spans="1:10" x14ac:dyDescent="0.25">
      <c r="A190" s="51" t="s">
        <v>62</v>
      </c>
      <c r="B190" s="51"/>
      <c r="C190" s="51"/>
      <c r="D190" s="51"/>
      <c r="E190" s="51"/>
      <c r="F190" s="51"/>
    </row>
    <row r="191" spans="1:10" x14ac:dyDescent="0.25">
      <c r="A191" s="1"/>
      <c r="B191" s="2" t="s">
        <v>14</v>
      </c>
      <c r="C191" s="2" t="s">
        <v>15</v>
      </c>
      <c r="D191" s="2" t="s">
        <v>20</v>
      </c>
      <c r="E191" s="8" t="s">
        <v>21</v>
      </c>
      <c r="F191" s="8" t="s">
        <v>27</v>
      </c>
      <c r="H191">
        <f>F192/C192</f>
        <v>8.3469250695577084E-3</v>
      </c>
    </row>
    <row r="192" spans="1:10" x14ac:dyDescent="0.25">
      <c r="A192" s="1" t="s">
        <v>1</v>
      </c>
      <c r="B192" s="3">
        <v>20640</v>
      </c>
      <c r="C192" s="3">
        <v>20846</v>
      </c>
      <c r="D192" s="10">
        <v>-879</v>
      </c>
      <c r="E192" s="3">
        <v>20820</v>
      </c>
      <c r="F192" s="9">
        <v>174</v>
      </c>
      <c r="G192" s="10"/>
      <c r="I192" s="10">
        <f>E192-E183</f>
        <v>-980</v>
      </c>
    </row>
    <row r="193" spans="1:10" x14ac:dyDescent="0.25">
      <c r="A193" s="1" t="s">
        <v>2</v>
      </c>
      <c r="B193" s="3">
        <v>24999</v>
      </c>
      <c r="C193" s="3">
        <v>25249</v>
      </c>
      <c r="D193" s="10">
        <v>-708</v>
      </c>
      <c r="E193" s="3">
        <v>25886</v>
      </c>
      <c r="F193" s="9">
        <v>637</v>
      </c>
      <c r="G193" s="10"/>
    </row>
    <row r="194" spans="1:10" x14ac:dyDescent="0.25">
      <c r="A194" s="51" t="s">
        <v>63</v>
      </c>
      <c r="B194" s="51"/>
      <c r="C194" s="51"/>
      <c r="D194" s="51"/>
      <c r="E194" s="51"/>
      <c r="H194">
        <f>F193/C193</f>
        <v>2.5228721929581369E-2</v>
      </c>
      <c r="I194" s="10">
        <f>E193-E184</f>
        <v>-862</v>
      </c>
    </row>
    <row r="195" spans="1:10" x14ac:dyDescent="0.25">
      <c r="A195" s="1"/>
      <c r="B195" s="2" t="s">
        <v>16</v>
      </c>
      <c r="C195" s="2" t="s">
        <v>19</v>
      </c>
      <c r="D195" s="2" t="s">
        <v>17</v>
      </c>
      <c r="E195" s="2" t="s">
        <v>18</v>
      </c>
      <c r="G195" s="10"/>
    </row>
    <row r="196" spans="1:10" x14ac:dyDescent="0.25">
      <c r="A196" s="1" t="s">
        <v>1</v>
      </c>
      <c r="B196" s="3">
        <v>20871</v>
      </c>
      <c r="C196" s="4">
        <v>-698</v>
      </c>
      <c r="D196" s="3">
        <v>2320200</v>
      </c>
      <c r="E196" s="5">
        <v>-0.38</v>
      </c>
      <c r="F196" s="10"/>
      <c r="H196" s="10"/>
      <c r="I196" s="10"/>
    </row>
    <row r="197" spans="1:10" x14ac:dyDescent="0.25">
      <c r="A197" s="1" t="s">
        <v>2</v>
      </c>
      <c r="B197" s="3">
        <v>25141</v>
      </c>
      <c r="C197" s="4">
        <v>-585</v>
      </c>
      <c r="D197" s="3">
        <v>167000</v>
      </c>
      <c r="E197" s="5">
        <v>-0.39</v>
      </c>
      <c r="G197" s="10"/>
      <c r="H197" s="10"/>
      <c r="J197" s="10"/>
    </row>
    <row r="198" spans="1:10" s="6" customFormat="1" x14ac:dyDescent="0.25"/>
    <row r="199" spans="1:10" x14ac:dyDescent="0.25">
      <c r="A199" s="51" t="s">
        <v>64</v>
      </c>
      <c r="B199" s="51"/>
      <c r="C199" s="51"/>
      <c r="D199" s="51"/>
      <c r="E199" s="51"/>
      <c r="F199" s="51"/>
    </row>
    <row r="200" spans="1:10" x14ac:dyDescent="0.25">
      <c r="A200" s="1"/>
      <c r="B200" s="2" t="s">
        <v>14</v>
      </c>
      <c r="C200" s="2" t="s">
        <v>15</v>
      </c>
      <c r="D200" s="2" t="s">
        <v>20</v>
      </c>
      <c r="E200" s="8" t="s">
        <v>21</v>
      </c>
      <c r="F200" s="8" t="s">
        <v>27</v>
      </c>
      <c r="G200">
        <f>F201/C201</f>
        <v>2.0032904287235073E-2</v>
      </c>
    </row>
    <row r="201" spans="1:10" x14ac:dyDescent="0.25">
      <c r="A201" s="1" t="s">
        <v>1</v>
      </c>
      <c r="B201" s="3">
        <v>20462</v>
      </c>
      <c r="C201" s="3">
        <v>20666</v>
      </c>
      <c r="D201" s="10">
        <v>-180</v>
      </c>
      <c r="E201" s="3">
        <v>21080</v>
      </c>
      <c r="F201" s="9">
        <v>414</v>
      </c>
      <c r="G201" s="10"/>
      <c r="I201" s="10"/>
    </row>
    <row r="202" spans="1:10" x14ac:dyDescent="0.25">
      <c r="A202" s="1" t="s">
        <v>2</v>
      </c>
      <c r="B202" s="3">
        <v>25461</v>
      </c>
      <c r="C202" s="3">
        <v>25716</v>
      </c>
      <c r="D202" s="10">
        <v>467</v>
      </c>
      <c r="E202" s="3">
        <v>25582</v>
      </c>
      <c r="F202" s="9">
        <v>-134</v>
      </c>
      <c r="G202" s="10"/>
      <c r="H202" s="10">
        <v>260</v>
      </c>
    </row>
    <row r="203" spans="1:10" x14ac:dyDescent="0.25">
      <c r="A203" s="51" t="s">
        <v>65</v>
      </c>
      <c r="B203" s="51"/>
      <c r="C203" s="51"/>
      <c r="D203" s="51"/>
      <c r="E203" s="51"/>
      <c r="I203" s="10"/>
    </row>
    <row r="204" spans="1:10" x14ac:dyDescent="0.25">
      <c r="A204" s="1"/>
      <c r="B204" s="2" t="s">
        <v>16</v>
      </c>
      <c r="C204" s="2" t="s">
        <v>19</v>
      </c>
      <c r="D204" s="2" t="s">
        <v>17</v>
      </c>
      <c r="E204" s="2" t="s">
        <v>18</v>
      </c>
      <c r="G204" s="10"/>
    </row>
    <row r="205" spans="1:10" x14ac:dyDescent="0.25">
      <c r="A205" s="1" t="s">
        <v>1</v>
      </c>
      <c r="B205" s="3">
        <v>20434</v>
      </c>
      <c r="C205" s="4">
        <v>-437</v>
      </c>
      <c r="D205" s="3">
        <v>4890700</v>
      </c>
      <c r="E205" s="5">
        <v>1.1100000000000001</v>
      </c>
      <c r="F205" s="10"/>
      <c r="H205" s="10">
        <v>-304</v>
      </c>
      <c r="I205" s="10"/>
    </row>
    <row r="206" spans="1:10" x14ac:dyDescent="0.25">
      <c r="A206" s="1" t="s">
        <v>2</v>
      </c>
      <c r="B206" s="3">
        <v>24837</v>
      </c>
      <c r="C206" s="4">
        <v>-304</v>
      </c>
      <c r="D206" s="3">
        <v>78000</v>
      </c>
      <c r="E206" s="5">
        <v>-0.53</v>
      </c>
      <c r="G206" s="10"/>
      <c r="H206" s="10"/>
      <c r="J206" s="10"/>
    </row>
    <row r="207" spans="1:10" s="6" customFormat="1" x14ac:dyDescent="0.25"/>
    <row r="208" spans="1:10" x14ac:dyDescent="0.25">
      <c r="A208" s="51" t="s">
        <v>66</v>
      </c>
      <c r="B208" s="51"/>
      <c r="C208" s="51"/>
      <c r="D208" s="51"/>
      <c r="E208" s="51"/>
      <c r="F208" s="51"/>
    </row>
    <row r="209" spans="1:10" x14ac:dyDescent="0.25">
      <c r="A209" s="1"/>
      <c r="B209" s="2" t="s">
        <v>14</v>
      </c>
      <c r="C209" s="2" t="s">
        <v>15</v>
      </c>
      <c r="D209" s="2" t="s">
        <v>20</v>
      </c>
      <c r="E209" s="8" t="s">
        <v>21</v>
      </c>
      <c r="F209" s="8" t="s">
        <v>27</v>
      </c>
      <c r="H209">
        <f>F210/C210</f>
        <v>3.6279428791972212E-2</v>
      </c>
    </row>
    <row r="210" spans="1:10" ht="18" x14ac:dyDescent="0.4">
      <c r="A210" s="1" t="s">
        <v>1</v>
      </c>
      <c r="B210" s="11">
        <v>20523</v>
      </c>
      <c r="C210" s="11">
        <v>20728</v>
      </c>
      <c r="D210" s="10">
        <v>62</v>
      </c>
      <c r="E210" s="11">
        <v>21480</v>
      </c>
      <c r="F210" s="9">
        <v>752</v>
      </c>
      <c r="G210" s="10"/>
      <c r="I210" s="10">
        <f>E210-E201</f>
        <v>400</v>
      </c>
    </row>
    <row r="211" spans="1:10" ht="18" x14ac:dyDescent="0.4">
      <c r="A211" s="1" t="s">
        <v>2</v>
      </c>
      <c r="B211" s="11">
        <v>24800</v>
      </c>
      <c r="C211" s="11">
        <v>25048</v>
      </c>
      <c r="D211" s="10">
        <v>-668</v>
      </c>
      <c r="E211" s="11">
        <v>26382</v>
      </c>
      <c r="F211" s="9">
        <v>1334</v>
      </c>
      <c r="G211" s="10"/>
      <c r="H211" s="10"/>
      <c r="I211" s="10">
        <f>E211-E202</f>
        <v>800</v>
      </c>
    </row>
    <row r="212" spans="1:10" x14ac:dyDescent="0.25">
      <c r="A212" s="51" t="s">
        <v>67</v>
      </c>
      <c r="B212" s="51"/>
      <c r="C212" s="51"/>
      <c r="D212" s="51"/>
      <c r="E212" s="51"/>
      <c r="F212">
        <f>F211/C211</f>
        <v>5.3257745129351643E-2</v>
      </c>
      <c r="I212" s="10"/>
    </row>
    <row r="213" spans="1:10" x14ac:dyDescent="0.25">
      <c r="A213" s="1"/>
      <c r="B213" s="2" t="s">
        <v>16</v>
      </c>
      <c r="C213" s="2" t="s">
        <v>19</v>
      </c>
      <c r="D213" s="2" t="s">
        <v>17</v>
      </c>
      <c r="E213" s="2" t="s">
        <v>18</v>
      </c>
      <c r="G213" s="10"/>
    </row>
    <row r="214" spans="1:10" ht="18" x14ac:dyDescent="0.4">
      <c r="A214" s="1" t="s">
        <v>1</v>
      </c>
      <c r="B214" s="11">
        <v>20458</v>
      </c>
      <c r="C214" s="4">
        <v>24</v>
      </c>
      <c r="D214" s="11">
        <v>11158300</v>
      </c>
      <c r="E214" s="5">
        <v>1.28</v>
      </c>
      <c r="F214" s="10"/>
      <c r="H214" s="10"/>
      <c r="I214" s="10"/>
    </row>
    <row r="215" spans="1:10" ht="18" x14ac:dyDescent="0.4">
      <c r="A215" s="1" t="s">
        <v>2</v>
      </c>
      <c r="B215" s="11">
        <v>24823</v>
      </c>
      <c r="C215" s="4">
        <v>-14</v>
      </c>
      <c r="D215" s="11">
        <v>619900</v>
      </c>
      <c r="E215" s="5">
        <v>6.95</v>
      </c>
      <c r="G215" s="10"/>
      <c r="H215" s="10"/>
      <c r="J215" s="10"/>
    </row>
    <row r="216" spans="1:10" s="6" customFormat="1" x14ac:dyDescent="0.25"/>
    <row r="217" spans="1:10" x14ac:dyDescent="0.25">
      <c r="A217" s="51" t="s">
        <v>68</v>
      </c>
      <c r="B217" s="51"/>
      <c r="C217" s="51"/>
      <c r="D217" s="51"/>
      <c r="E217" s="51"/>
      <c r="F217" s="51"/>
    </row>
    <row r="218" spans="1:10" x14ac:dyDescent="0.25">
      <c r="A218" s="1"/>
      <c r="B218" s="2" t="s">
        <v>14</v>
      </c>
      <c r="C218" s="2" t="s">
        <v>15</v>
      </c>
      <c r="D218" s="2" t="s">
        <v>20</v>
      </c>
      <c r="E218" s="8" t="s">
        <v>21</v>
      </c>
      <c r="F218" s="8" t="s">
        <v>27</v>
      </c>
      <c r="G218">
        <f>F219/C219</f>
        <v>9.5799557848194553E-3</v>
      </c>
    </row>
    <row r="219" spans="1:10" ht="18" x14ac:dyDescent="0.4">
      <c r="A219" s="1" t="s">
        <v>1</v>
      </c>
      <c r="B219" s="12">
        <v>21497</v>
      </c>
      <c r="C219" s="12">
        <v>21712</v>
      </c>
      <c r="D219" s="10">
        <v>706</v>
      </c>
      <c r="E219" s="11">
        <v>21920</v>
      </c>
      <c r="F219" s="9">
        <v>208</v>
      </c>
      <c r="G219" s="10"/>
      <c r="H219" s="13">
        <v>480</v>
      </c>
      <c r="I219" s="10"/>
    </row>
    <row r="220" spans="1:10" ht="18" x14ac:dyDescent="0.4">
      <c r="A220" s="1" t="s">
        <v>2</v>
      </c>
      <c r="B220" s="12">
        <v>25198</v>
      </c>
      <c r="C220" s="12">
        <v>25449</v>
      </c>
      <c r="D220" s="10">
        <v>199</v>
      </c>
      <c r="E220" s="11">
        <v>26796</v>
      </c>
      <c r="F220" s="9">
        <v>1347</v>
      </c>
      <c r="G220" s="10"/>
      <c r="H220" s="10">
        <v>718</v>
      </c>
      <c r="I220" s="10"/>
    </row>
    <row r="221" spans="1:10" x14ac:dyDescent="0.25">
      <c r="A221" s="51" t="s">
        <v>69</v>
      </c>
      <c r="B221" s="51"/>
      <c r="C221" s="51"/>
      <c r="D221" s="51"/>
      <c r="E221" s="51"/>
      <c r="G221">
        <f>F220/C220</f>
        <v>5.292938818814099E-2</v>
      </c>
      <c r="I221" s="10"/>
    </row>
    <row r="222" spans="1:10" x14ac:dyDescent="0.25">
      <c r="A222" s="1"/>
      <c r="B222" s="2" t="s">
        <v>16</v>
      </c>
      <c r="C222" s="2" t="s">
        <v>19</v>
      </c>
      <c r="D222" s="2" t="s">
        <v>17</v>
      </c>
      <c r="E222" s="2" t="s">
        <v>18</v>
      </c>
      <c r="G222" s="10"/>
    </row>
    <row r="223" spans="1:10" ht="18" x14ac:dyDescent="0.4">
      <c r="A223" s="1" t="s">
        <v>1</v>
      </c>
      <c r="B223" s="12">
        <v>21133</v>
      </c>
      <c r="C223" s="4">
        <v>415</v>
      </c>
      <c r="D223" s="12">
        <v>8722500</v>
      </c>
      <c r="E223" s="5">
        <v>-0.39</v>
      </c>
      <c r="F223" s="10"/>
      <c r="H223" s="10"/>
      <c r="I223" s="10"/>
    </row>
    <row r="224" spans="1:10" ht="18" x14ac:dyDescent="0.4">
      <c r="A224" s="1" t="s">
        <v>2</v>
      </c>
      <c r="B224" s="12">
        <v>25327</v>
      </c>
      <c r="C224" s="4">
        <v>314</v>
      </c>
      <c r="D224" s="12">
        <v>2052800</v>
      </c>
      <c r="E224" s="5">
        <v>0.97</v>
      </c>
      <c r="G224" s="10"/>
      <c r="H224" s="10"/>
      <c r="J224" s="10"/>
    </row>
    <row r="225" spans="1:10" s="6" customFormat="1" x14ac:dyDescent="0.25"/>
    <row r="226" spans="1:10" x14ac:dyDescent="0.25">
      <c r="A226" s="51" t="s">
        <v>70</v>
      </c>
      <c r="B226" s="51"/>
      <c r="C226" s="51"/>
      <c r="D226" s="51"/>
      <c r="E226" s="51"/>
      <c r="F226" s="51"/>
    </row>
    <row r="227" spans="1:10" x14ac:dyDescent="0.25">
      <c r="A227" s="1"/>
      <c r="B227" s="2" t="s">
        <v>14</v>
      </c>
      <c r="C227" s="2" t="s">
        <v>15</v>
      </c>
      <c r="D227" s="2" t="s">
        <v>20</v>
      </c>
      <c r="E227" s="8" t="s">
        <v>21</v>
      </c>
      <c r="F227" s="8" t="s">
        <v>27</v>
      </c>
      <c r="G227">
        <f>F228/C228</f>
        <v>1.7531176576902223E-2</v>
      </c>
    </row>
    <row r="228" spans="1:10" ht="18" x14ac:dyDescent="0.4">
      <c r="A228" s="1" t="s">
        <v>1</v>
      </c>
      <c r="B228" s="12">
        <v>21912</v>
      </c>
      <c r="C228" s="12">
        <v>22132</v>
      </c>
      <c r="D228" s="10">
        <v>420</v>
      </c>
      <c r="E228" s="14">
        <v>22520</v>
      </c>
      <c r="F228" s="9">
        <v>388</v>
      </c>
      <c r="G228" s="10"/>
      <c r="H228" s="13">
        <v>600</v>
      </c>
      <c r="I228" s="10"/>
    </row>
    <row r="229" spans="1:10" ht="18" x14ac:dyDescent="0.4">
      <c r="A229" s="1" t="s">
        <v>2</v>
      </c>
      <c r="B229" s="12">
        <v>25996</v>
      </c>
      <c r="C229" s="12">
        <v>26256</v>
      </c>
      <c r="D229" s="10">
        <v>807</v>
      </c>
      <c r="E229" s="14">
        <v>27339</v>
      </c>
      <c r="F229" s="9">
        <v>1083</v>
      </c>
      <c r="G229" s="10"/>
      <c r="H229" s="10"/>
      <c r="I229" s="10"/>
    </row>
    <row r="230" spans="1:10" x14ac:dyDescent="0.25">
      <c r="A230" s="51" t="s">
        <v>71</v>
      </c>
      <c r="B230" s="51"/>
      <c r="C230" s="51"/>
      <c r="D230" s="51"/>
      <c r="E230" s="51"/>
      <c r="G230">
        <f>F229/C229</f>
        <v>4.1247714808043873E-2</v>
      </c>
      <c r="I230" s="10"/>
    </row>
    <row r="231" spans="1:10" x14ac:dyDescent="0.25">
      <c r="A231" s="1"/>
      <c r="B231" s="2" t="s">
        <v>16</v>
      </c>
      <c r="C231" s="2" t="s">
        <v>19</v>
      </c>
      <c r="D231" s="2" t="s">
        <v>17</v>
      </c>
      <c r="E231" s="2" t="s">
        <v>18</v>
      </c>
      <c r="G231" s="10"/>
      <c r="H231">
        <v>543</v>
      </c>
    </row>
    <row r="232" spans="1:10" ht="18" x14ac:dyDescent="0.4">
      <c r="A232" s="1" t="s">
        <v>1</v>
      </c>
      <c r="B232" s="12">
        <v>21989</v>
      </c>
      <c r="C232" s="4">
        <v>856</v>
      </c>
      <c r="D232" s="12">
        <v>4093700</v>
      </c>
      <c r="E232" s="5">
        <v>-0.53</v>
      </c>
      <c r="F232" s="10"/>
      <c r="H232" s="10"/>
      <c r="I232" s="10"/>
    </row>
    <row r="233" spans="1:10" ht="18" x14ac:dyDescent="0.4">
      <c r="A233" s="1" t="s">
        <v>2</v>
      </c>
      <c r="B233" s="12">
        <v>25839</v>
      </c>
      <c r="C233" s="4">
        <v>512</v>
      </c>
      <c r="D233" s="12">
        <v>3466300</v>
      </c>
      <c r="E233" s="5">
        <v>0.69</v>
      </c>
      <c r="G233" s="10"/>
      <c r="H233" s="10"/>
      <c r="J233" s="10"/>
    </row>
    <row r="234" spans="1:10" s="6" customFormat="1" x14ac:dyDescent="0.25"/>
    <row r="235" spans="1:10" x14ac:dyDescent="0.25">
      <c r="A235" s="51" t="s">
        <v>72</v>
      </c>
      <c r="B235" s="51"/>
      <c r="C235" s="51"/>
      <c r="D235" s="51"/>
      <c r="E235" s="51"/>
      <c r="F235" s="51"/>
    </row>
    <row r="236" spans="1:10" x14ac:dyDescent="0.25">
      <c r="A236" s="1"/>
      <c r="B236" s="2" t="s">
        <v>14</v>
      </c>
      <c r="C236" s="2" t="s">
        <v>15</v>
      </c>
      <c r="D236" s="2" t="s">
        <v>20</v>
      </c>
      <c r="E236" s="8" t="s">
        <v>21</v>
      </c>
      <c r="F236" s="8" t="s">
        <v>27</v>
      </c>
      <c r="G236">
        <f>F237/C237</f>
        <v>8.2526013634732689E-3</v>
      </c>
    </row>
    <row r="237" spans="1:10" ht="18" x14ac:dyDescent="0.4">
      <c r="A237" s="1" t="s">
        <v>1</v>
      </c>
      <c r="B237" s="12">
        <v>22075</v>
      </c>
      <c r="C237" s="12">
        <v>22296</v>
      </c>
      <c r="D237" s="10">
        <v>164</v>
      </c>
      <c r="E237" s="14">
        <v>22480</v>
      </c>
      <c r="F237" s="9">
        <v>184</v>
      </c>
      <c r="G237" s="10"/>
      <c r="H237" s="13"/>
      <c r="I237" s="10"/>
    </row>
    <row r="238" spans="1:10" ht="18" x14ac:dyDescent="0.4">
      <c r="A238" s="1" t="s">
        <v>2</v>
      </c>
      <c r="B238" s="12">
        <v>26000</v>
      </c>
      <c r="C238" s="12">
        <v>26260</v>
      </c>
      <c r="D238" s="10">
        <v>4</v>
      </c>
      <c r="E238" s="14">
        <v>27192</v>
      </c>
      <c r="F238" s="9">
        <v>932</v>
      </c>
      <c r="G238" s="10"/>
      <c r="H238" s="10">
        <f>E237-E228</f>
        <v>-40</v>
      </c>
      <c r="I238" s="10"/>
    </row>
    <row r="239" spans="1:10" x14ac:dyDescent="0.25">
      <c r="A239" s="51" t="s">
        <v>73</v>
      </c>
      <c r="B239" s="51"/>
      <c r="C239" s="51"/>
      <c r="D239" s="51"/>
      <c r="E239" s="51"/>
      <c r="I239" s="10"/>
    </row>
    <row r="240" spans="1:10" x14ac:dyDescent="0.25">
      <c r="A240" s="1"/>
      <c r="B240" s="2" t="s">
        <v>16</v>
      </c>
      <c r="C240" s="2" t="s">
        <v>19</v>
      </c>
      <c r="D240" s="2" t="s">
        <v>17</v>
      </c>
      <c r="E240" s="2" t="s">
        <v>18</v>
      </c>
      <c r="F240">
        <f>F238/C238</f>
        <v>3.5491241431835491E-2</v>
      </c>
      <c r="G240" s="10"/>
    </row>
    <row r="241" spans="1:10" ht="18" x14ac:dyDescent="0.4">
      <c r="A241" s="1" t="s">
        <v>1</v>
      </c>
      <c r="B241" s="12">
        <v>21842</v>
      </c>
      <c r="C241" s="4">
        <v>-147</v>
      </c>
      <c r="D241" s="12">
        <v>4512900</v>
      </c>
      <c r="E241" s="5">
        <v>0.1</v>
      </c>
      <c r="F241" s="10"/>
      <c r="H241" s="10">
        <f>E238-E229</f>
        <v>-147</v>
      </c>
      <c r="I241" s="10"/>
    </row>
    <row r="242" spans="1:10" ht="18" x14ac:dyDescent="0.4">
      <c r="A242" s="1" t="s">
        <v>2</v>
      </c>
      <c r="B242" s="12">
        <v>26157</v>
      </c>
      <c r="C242" s="4">
        <v>318</v>
      </c>
      <c r="D242" s="12">
        <v>2587700</v>
      </c>
      <c r="E242" s="5">
        <v>-0.25</v>
      </c>
      <c r="G242" s="10"/>
      <c r="H242" s="10"/>
      <c r="J242" s="10"/>
    </row>
    <row r="243" spans="1:10" s="6" customFormat="1" x14ac:dyDescent="0.25"/>
    <row r="244" spans="1:10" x14ac:dyDescent="0.25">
      <c r="A244" s="51" t="s">
        <v>74</v>
      </c>
      <c r="B244" s="51"/>
      <c r="C244" s="51"/>
      <c r="D244" s="51"/>
      <c r="E244" s="51"/>
      <c r="F244" s="51"/>
    </row>
    <row r="245" spans="1:10" x14ac:dyDescent="0.25">
      <c r="A245" s="1"/>
      <c r="B245" s="2" t="s">
        <v>14</v>
      </c>
      <c r="C245" s="2" t="s">
        <v>15</v>
      </c>
      <c r="D245" s="2" t="s">
        <v>20</v>
      </c>
      <c r="E245" s="8" t="s">
        <v>21</v>
      </c>
      <c r="F245" s="8" t="s">
        <v>27</v>
      </c>
      <c r="G245">
        <f>F246/C246</f>
        <v>2.0225523536781816E-2</v>
      </c>
    </row>
    <row r="246" spans="1:10" ht="18" x14ac:dyDescent="0.4">
      <c r="A246" s="1" t="s">
        <v>1</v>
      </c>
      <c r="B246" s="15">
        <v>22126</v>
      </c>
      <c r="C246" s="15">
        <v>22348</v>
      </c>
      <c r="D246" s="10">
        <v>52</v>
      </c>
      <c r="E246" s="16">
        <v>22800</v>
      </c>
      <c r="F246" s="9">
        <v>452</v>
      </c>
      <c r="G246" s="10"/>
      <c r="H246" s="13">
        <v>320</v>
      </c>
      <c r="I246" s="10"/>
    </row>
    <row r="247" spans="1:10" ht="18" x14ac:dyDescent="0.4">
      <c r="A247" s="1" t="s">
        <v>2</v>
      </c>
      <c r="B247" s="15">
        <v>26040</v>
      </c>
      <c r="C247" s="15">
        <v>26300</v>
      </c>
      <c r="D247" s="10">
        <v>40</v>
      </c>
      <c r="E247" s="16">
        <v>27476</v>
      </c>
      <c r="F247" s="9">
        <v>1176</v>
      </c>
      <c r="G247" s="10"/>
      <c r="H247" s="10">
        <v>284</v>
      </c>
      <c r="I247" s="10"/>
    </row>
    <row r="248" spans="1:10" x14ac:dyDescent="0.25">
      <c r="A248" s="51" t="s">
        <v>75</v>
      </c>
      <c r="B248" s="51"/>
      <c r="C248" s="51"/>
      <c r="D248" s="51"/>
      <c r="E248" s="51"/>
      <c r="G248">
        <f>F247/C247</f>
        <v>4.4714828897338403E-2</v>
      </c>
      <c r="I248" s="10"/>
    </row>
    <row r="249" spans="1:10" x14ac:dyDescent="0.25">
      <c r="A249" s="1"/>
      <c r="B249" s="2" t="s">
        <v>16</v>
      </c>
      <c r="C249" s="2" t="s">
        <v>19</v>
      </c>
      <c r="D249" s="2" t="s">
        <v>17</v>
      </c>
      <c r="E249" s="2" t="s">
        <v>18</v>
      </c>
      <c r="G249" s="10"/>
    </row>
    <row r="250" spans="1:10" ht="18" x14ac:dyDescent="0.4">
      <c r="A250" s="1" t="s">
        <v>1</v>
      </c>
      <c r="B250" s="15">
        <v>21857</v>
      </c>
      <c r="C250" s="4">
        <v>15</v>
      </c>
      <c r="D250" s="15">
        <v>5168000</v>
      </c>
      <c r="E250" s="5">
        <v>0.15</v>
      </c>
      <c r="F250" s="10"/>
      <c r="H250" s="10"/>
      <c r="I250" s="10"/>
    </row>
    <row r="251" spans="1:10" ht="18" x14ac:dyDescent="0.4">
      <c r="A251" s="1" t="s">
        <v>2</v>
      </c>
      <c r="B251" s="15">
        <v>26182</v>
      </c>
      <c r="C251" s="4">
        <v>25</v>
      </c>
      <c r="D251" s="15">
        <v>2968800</v>
      </c>
      <c r="E251" s="5">
        <v>0.15</v>
      </c>
      <c r="G251" s="10"/>
      <c r="H251" s="10"/>
      <c r="J251" s="10"/>
    </row>
    <row r="252" spans="1:10" s="6" customFormat="1" x14ac:dyDescent="0.25"/>
    <row r="253" spans="1:10" x14ac:dyDescent="0.25">
      <c r="A253" s="51" t="s">
        <v>76</v>
      </c>
      <c r="B253" s="51"/>
      <c r="C253" s="51"/>
      <c r="D253" s="51"/>
      <c r="E253" s="51"/>
      <c r="F253" s="51"/>
    </row>
    <row r="254" spans="1:10" x14ac:dyDescent="0.25">
      <c r="A254" s="1"/>
      <c r="B254" s="2" t="s">
        <v>14</v>
      </c>
      <c r="C254" s="2" t="s">
        <v>15</v>
      </c>
      <c r="D254" s="2" t="s">
        <v>20</v>
      </c>
      <c r="E254" s="8" t="s">
        <v>21</v>
      </c>
      <c r="F254" s="8" t="s">
        <v>27</v>
      </c>
      <c r="G254">
        <f>F255/C255</f>
        <v>3.5973788614986853E-2</v>
      </c>
      <c r="H254">
        <v>440</v>
      </c>
    </row>
    <row r="255" spans="1:10" ht="18" x14ac:dyDescent="0.4">
      <c r="A255" s="1" t="s">
        <v>1</v>
      </c>
      <c r="B255" s="15">
        <v>22211</v>
      </c>
      <c r="C255" s="15">
        <v>22433</v>
      </c>
      <c r="D255" s="10">
        <v>85</v>
      </c>
      <c r="E255" s="16">
        <v>23240</v>
      </c>
      <c r="F255" s="9">
        <v>807</v>
      </c>
      <c r="G255" s="10"/>
      <c r="H255" s="13"/>
      <c r="I255" s="10"/>
    </row>
    <row r="256" spans="1:10" ht="18" x14ac:dyDescent="0.4">
      <c r="A256" s="1" t="s">
        <v>2</v>
      </c>
      <c r="B256" s="15">
        <v>26298</v>
      </c>
      <c r="C256" s="15">
        <v>26561</v>
      </c>
      <c r="D256" s="10">
        <v>261</v>
      </c>
      <c r="E256" s="16">
        <v>28059</v>
      </c>
      <c r="F256" s="9">
        <v>1498</v>
      </c>
      <c r="G256" s="10"/>
      <c r="H256" s="10">
        <v>583</v>
      </c>
      <c r="I256" s="10"/>
    </row>
    <row r="257" spans="1:10" x14ac:dyDescent="0.25">
      <c r="A257" s="51" t="s">
        <v>77</v>
      </c>
      <c r="B257" s="51"/>
      <c r="C257" s="51"/>
      <c r="D257" s="51"/>
      <c r="E257" s="51"/>
      <c r="I257" s="10"/>
    </row>
    <row r="258" spans="1:10" x14ac:dyDescent="0.25">
      <c r="A258" s="1"/>
      <c r="B258" s="2" t="s">
        <v>16</v>
      </c>
      <c r="C258" s="2" t="s">
        <v>19</v>
      </c>
      <c r="D258" s="2" t="s">
        <v>17</v>
      </c>
      <c r="E258" s="2" t="s">
        <v>18</v>
      </c>
      <c r="F258">
        <f>F256/C256</f>
        <v>5.6398478972930238E-2</v>
      </c>
      <c r="G258" s="10"/>
    </row>
    <row r="259" spans="1:10" ht="18" x14ac:dyDescent="0.4">
      <c r="A259" s="1" t="s">
        <v>1</v>
      </c>
      <c r="B259" s="15">
        <v>22070</v>
      </c>
      <c r="C259" s="4">
        <v>213</v>
      </c>
      <c r="D259" s="15">
        <v>6621700</v>
      </c>
      <c r="E259" s="5">
        <v>0.28000000000000003</v>
      </c>
      <c r="F259" s="10"/>
      <c r="H259" s="10"/>
      <c r="I259" s="10"/>
    </row>
    <row r="260" spans="1:10" ht="18" x14ac:dyDescent="0.4">
      <c r="A260" s="1" t="s">
        <v>2</v>
      </c>
      <c r="B260" s="15">
        <v>26307</v>
      </c>
      <c r="C260" s="4">
        <v>125</v>
      </c>
      <c r="D260" s="15">
        <v>2583500</v>
      </c>
      <c r="E260" s="5">
        <v>-0.13</v>
      </c>
      <c r="G260" s="10"/>
      <c r="H260" s="10"/>
      <c r="J260" s="10"/>
    </row>
    <row r="261" spans="1:10" s="6" customFormat="1" x14ac:dyDescent="0.25"/>
    <row r="262" spans="1:10" x14ac:dyDescent="0.25">
      <c r="A262" s="51" t="s">
        <v>78</v>
      </c>
      <c r="B262" s="51"/>
      <c r="C262" s="51"/>
      <c r="D262" s="51"/>
      <c r="E262" s="51"/>
      <c r="F262" s="51"/>
    </row>
    <row r="263" spans="1:10" x14ac:dyDescent="0.25">
      <c r="A263" s="1"/>
      <c r="B263" s="2" t="s">
        <v>14</v>
      </c>
      <c r="C263" s="2" t="s">
        <v>15</v>
      </c>
      <c r="D263" s="2" t="s">
        <v>20</v>
      </c>
      <c r="E263" s="8" t="s">
        <v>21</v>
      </c>
      <c r="F263" s="8" t="s">
        <v>27</v>
      </c>
      <c r="G263">
        <f>F264/C264</f>
        <v>2.8352835283528353E-2</v>
      </c>
      <c r="H263">
        <f>E264-E255</f>
        <v>-390</v>
      </c>
    </row>
    <row r="264" spans="1:10" ht="18" x14ac:dyDescent="0.4">
      <c r="A264" s="1" t="s">
        <v>1</v>
      </c>
      <c r="B264" s="15">
        <v>22000</v>
      </c>
      <c r="C264" s="15">
        <v>22220</v>
      </c>
      <c r="D264" s="10">
        <v>-213</v>
      </c>
      <c r="E264" s="16">
        <v>22850</v>
      </c>
      <c r="F264" s="9">
        <v>630</v>
      </c>
      <c r="G264" s="10"/>
      <c r="H264" s="13"/>
      <c r="I264" s="10"/>
    </row>
    <row r="265" spans="1:10" ht="18" x14ac:dyDescent="0.4">
      <c r="A265" s="1" t="s">
        <v>2</v>
      </c>
      <c r="B265" s="15">
        <v>26176</v>
      </c>
      <c r="C265" s="15">
        <v>26437</v>
      </c>
      <c r="D265" s="10">
        <v>-124</v>
      </c>
      <c r="E265" s="16">
        <v>28105</v>
      </c>
      <c r="F265" s="9">
        <v>1668</v>
      </c>
      <c r="G265" s="10"/>
      <c r="H265" s="10"/>
      <c r="I265" s="10"/>
    </row>
    <row r="266" spans="1:10" x14ac:dyDescent="0.25">
      <c r="A266" s="51" t="s">
        <v>79</v>
      </c>
      <c r="B266" s="51"/>
      <c r="C266" s="51"/>
      <c r="D266" s="51"/>
      <c r="E266" s="51"/>
      <c r="F266">
        <f>F265/C265</f>
        <v>6.3093391837197865E-2</v>
      </c>
      <c r="H266">
        <f>E265-E256</f>
        <v>46</v>
      </c>
      <c r="I266" s="10"/>
    </row>
    <row r="267" spans="1:10" x14ac:dyDescent="0.25">
      <c r="A267" s="1"/>
      <c r="B267" s="2" t="s">
        <v>16</v>
      </c>
      <c r="C267" s="2" t="s">
        <v>19</v>
      </c>
      <c r="D267" s="2" t="s">
        <v>17</v>
      </c>
      <c r="E267" s="2" t="s">
        <v>18</v>
      </c>
      <c r="G267" s="10"/>
    </row>
    <row r="268" spans="1:10" ht="18" x14ac:dyDescent="0.4">
      <c r="A268" s="1" t="s">
        <v>1</v>
      </c>
      <c r="B268" s="15">
        <v>22161</v>
      </c>
      <c r="C268" s="4">
        <v>91</v>
      </c>
      <c r="D268" s="15">
        <v>4271500</v>
      </c>
      <c r="E268" s="5">
        <v>-0.35</v>
      </c>
      <c r="F268" s="10"/>
      <c r="H268" s="10"/>
      <c r="I268" s="10"/>
    </row>
    <row r="269" spans="1:10" ht="18" x14ac:dyDescent="0.4">
      <c r="A269" s="1" t="s">
        <v>2</v>
      </c>
      <c r="B269" s="15">
        <v>26344</v>
      </c>
      <c r="C269" s="4">
        <v>37</v>
      </c>
      <c r="D269" s="15">
        <v>3262400</v>
      </c>
      <c r="E269" s="5">
        <v>0.26</v>
      </c>
      <c r="G269" s="10"/>
      <c r="H269" s="10"/>
      <c r="J269" s="10"/>
    </row>
    <row r="270" spans="1:10" s="6" customFormat="1" x14ac:dyDescent="0.25"/>
    <row r="271" spans="1:10" x14ac:dyDescent="0.25">
      <c r="A271" s="51" t="s">
        <v>80</v>
      </c>
      <c r="B271" s="51"/>
      <c r="C271" s="51"/>
      <c r="D271" s="51"/>
      <c r="E271" s="51"/>
      <c r="F271" s="51"/>
    </row>
    <row r="272" spans="1:10" x14ac:dyDescent="0.25">
      <c r="A272" s="1"/>
      <c r="B272" s="2" t="s">
        <v>14</v>
      </c>
      <c r="C272" s="2" t="s">
        <v>15</v>
      </c>
      <c r="D272" s="2" t="s">
        <v>20</v>
      </c>
      <c r="E272" s="8" t="s">
        <v>21</v>
      </c>
      <c r="F272" s="8" t="s">
        <v>27</v>
      </c>
      <c r="G272">
        <f>F273/C273</f>
        <v>2.4131060438344034E-2</v>
      </c>
    </row>
    <row r="273" spans="1:10" ht="18" x14ac:dyDescent="0.4">
      <c r="A273" s="1" t="s">
        <v>1</v>
      </c>
      <c r="B273" s="15">
        <v>22361</v>
      </c>
      <c r="C273" s="15">
        <v>22585</v>
      </c>
      <c r="D273" s="10">
        <v>365</v>
      </c>
      <c r="E273" s="16">
        <v>23130</v>
      </c>
      <c r="F273" s="9">
        <v>545</v>
      </c>
      <c r="G273" s="10"/>
      <c r="H273" s="13">
        <f>E273-E264</f>
        <v>280</v>
      </c>
      <c r="I273" s="10"/>
    </row>
    <row r="274" spans="1:10" ht="18" x14ac:dyDescent="0.4">
      <c r="A274" s="1" t="s">
        <v>2</v>
      </c>
      <c r="B274" s="15">
        <v>26850</v>
      </c>
      <c r="C274" s="15">
        <v>27118</v>
      </c>
      <c r="D274" s="10">
        <v>681</v>
      </c>
      <c r="E274" s="16">
        <v>27907</v>
      </c>
      <c r="F274" s="9">
        <v>789</v>
      </c>
      <c r="G274" s="10"/>
      <c r="H274" s="10">
        <v>-198</v>
      </c>
      <c r="I274" s="10"/>
    </row>
    <row r="275" spans="1:10" x14ac:dyDescent="0.25">
      <c r="A275" s="51" t="s">
        <v>81</v>
      </c>
      <c r="B275" s="51"/>
      <c r="C275" s="51"/>
      <c r="D275" s="51"/>
      <c r="E275" s="51"/>
      <c r="G275">
        <f>F274/C274</f>
        <v>2.9095066007817687E-2</v>
      </c>
      <c r="I275" s="10"/>
    </row>
    <row r="276" spans="1:10" x14ac:dyDescent="0.25">
      <c r="A276" s="1"/>
      <c r="B276" s="2" t="s">
        <v>16</v>
      </c>
      <c r="C276" s="2" t="s">
        <v>19</v>
      </c>
      <c r="D276" s="2" t="s">
        <v>17</v>
      </c>
      <c r="E276" s="2" t="s">
        <v>18</v>
      </c>
      <c r="G276" s="10"/>
    </row>
    <row r="277" spans="1:10" ht="18" x14ac:dyDescent="0.4">
      <c r="A277" s="1" t="s">
        <v>1</v>
      </c>
      <c r="B277" s="15">
        <v>22261</v>
      </c>
      <c r="C277" s="4">
        <v>100</v>
      </c>
      <c r="D277" s="15">
        <v>5202600</v>
      </c>
      <c r="E277" s="5">
        <v>0.22</v>
      </c>
      <c r="F277" s="10"/>
      <c r="H277" s="10"/>
      <c r="I277" s="10"/>
    </row>
    <row r="278" spans="1:10" ht="18" x14ac:dyDescent="0.4">
      <c r="A278" s="1" t="s">
        <v>2</v>
      </c>
      <c r="B278" s="15">
        <v>26683</v>
      </c>
      <c r="C278" s="4">
        <v>339</v>
      </c>
      <c r="D278" s="15">
        <v>2977000</v>
      </c>
      <c r="E278" s="5">
        <v>-0.09</v>
      </c>
      <c r="G278" s="10"/>
      <c r="H278" s="10"/>
      <c r="J278" s="10"/>
    </row>
    <row r="279" spans="1:10" s="6" customFormat="1" x14ac:dyDescent="0.25"/>
    <row r="280" spans="1:10" x14ac:dyDescent="0.25">
      <c r="A280" s="51" t="s">
        <v>82</v>
      </c>
      <c r="B280" s="51"/>
      <c r="C280" s="51"/>
      <c r="D280" s="51"/>
      <c r="E280" s="51"/>
      <c r="F280" s="51"/>
    </row>
    <row r="281" spans="1:10" x14ac:dyDescent="0.25">
      <c r="A281" s="1"/>
      <c r="B281" s="2" t="s">
        <v>14</v>
      </c>
      <c r="C281" s="2" t="s">
        <v>15</v>
      </c>
      <c r="D281" s="2" t="s">
        <v>20</v>
      </c>
      <c r="E281" s="8" t="s">
        <v>21</v>
      </c>
      <c r="F281" s="8" t="s">
        <v>27</v>
      </c>
      <c r="G281">
        <f>F282/C282</f>
        <v>1.9211689365924055E-2</v>
      </c>
      <c r="H281">
        <f>E282-E273</f>
        <v>-530</v>
      </c>
    </row>
    <row r="282" spans="1:10" ht="18" x14ac:dyDescent="0.4">
      <c r="A282" s="1" t="s">
        <v>1</v>
      </c>
      <c r="B282" s="15">
        <v>21954</v>
      </c>
      <c r="C282" s="15">
        <v>22174</v>
      </c>
      <c r="D282" s="10">
        <v>-411</v>
      </c>
      <c r="E282" s="16">
        <v>22600</v>
      </c>
      <c r="F282" s="9">
        <v>426</v>
      </c>
      <c r="G282" s="10"/>
      <c r="H282" s="13"/>
      <c r="I282" s="10"/>
    </row>
    <row r="283" spans="1:10" ht="18" x14ac:dyDescent="0.4">
      <c r="A283" s="1" t="s">
        <v>2</v>
      </c>
      <c r="B283" s="15">
        <v>21620</v>
      </c>
      <c r="C283" s="15">
        <v>26929</v>
      </c>
      <c r="D283" s="10">
        <v>-189</v>
      </c>
      <c r="E283" s="16">
        <v>27745</v>
      </c>
      <c r="F283" s="9">
        <v>816</v>
      </c>
      <c r="G283" s="10"/>
      <c r="H283" s="10"/>
      <c r="I283" s="10"/>
    </row>
    <row r="284" spans="1:10" x14ac:dyDescent="0.25">
      <c r="A284" s="51" t="s">
        <v>83</v>
      </c>
      <c r="B284" s="51"/>
      <c r="C284" s="51"/>
      <c r="D284" s="51"/>
      <c r="E284" s="51"/>
      <c r="G284">
        <f>F283/C283</f>
        <v>3.0301905009469346E-2</v>
      </c>
      <c r="H284">
        <f>E283-E274</f>
        <v>-162</v>
      </c>
      <c r="I284" s="10"/>
    </row>
    <row r="285" spans="1:10" x14ac:dyDescent="0.25">
      <c r="A285" s="1"/>
      <c r="B285" s="2" t="s">
        <v>16</v>
      </c>
      <c r="C285" s="2" t="s">
        <v>19</v>
      </c>
      <c r="D285" s="2" t="s">
        <v>17</v>
      </c>
      <c r="E285" s="2" t="s">
        <v>18</v>
      </c>
      <c r="G285" s="10"/>
    </row>
    <row r="286" spans="1:10" ht="18" x14ac:dyDescent="0.4">
      <c r="A286" s="1" t="s">
        <v>1</v>
      </c>
      <c r="B286" s="15">
        <v>22067</v>
      </c>
      <c r="C286" s="4">
        <v>-194</v>
      </c>
      <c r="D286" s="15">
        <v>3815100</v>
      </c>
      <c r="E286" s="5">
        <v>-0.27</v>
      </c>
      <c r="F286" s="10"/>
      <c r="H286" s="10"/>
      <c r="I286" s="10"/>
    </row>
    <row r="287" spans="1:10" ht="18" x14ac:dyDescent="0.4">
      <c r="A287" s="1" t="s">
        <v>2</v>
      </c>
      <c r="B287" s="15">
        <v>26812</v>
      </c>
      <c r="C287" s="4">
        <v>129</v>
      </c>
      <c r="D287" s="15">
        <v>1332600</v>
      </c>
      <c r="E287" s="5">
        <v>-0.55000000000000004</v>
      </c>
      <c r="G287" s="10"/>
      <c r="H287" s="10"/>
      <c r="J287" s="10"/>
    </row>
    <row r="288" spans="1:10" s="6" customFormat="1" x14ac:dyDescent="0.25"/>
    <row r="289" spans="1:10" x14ac:dyDescent="0.25">
      <c r="A289" s="51" t="s">
        <v>84</v>
      </c>
      <c r="B289" s="51"/>
      <c r="C289" s="51"/>
      <c r="D289" s="51"/>
      <c r="E289" s="51"/>
      <c r="F289" s="51"/>
    </row>
    <row r="290" spans="1:10" x14ac:dyDescent="0.25">
      <c r="A290" s="1"/>
      <c r="B290" s="2" t="s">
        <v>14</v>
      </c>
      <c r="C290" s="2" t="s">
        <v>15</v>
      </c>
      <c r="D290" s="2" t="s">
        <v>20</v>
      </c>
      <c r="E290" s="8" t="s">
        <v>21</v>
      </c>
      <c r="F290" s="8" t="s">
        <v>27</v>
      </c>
      <c r="G290">
        <f>F291/C291</f>
        <v>2.888410477215644E-2</v>
      </c>
    </row>
    <row r="291" spans="1:10" ht="18" x14ac:dyDescent="0.4">
      <c r="A291" s="1" t="s">
        <v>1</v>
      </c>
      <c r="B291" s="15">
        <v>22075</v>
      </c>
      <c r="C291" s="15">
        <v>22296</v>
      </c>
      <c r="D291" s="10">
        <v>122</v>
      </c>
      <c r="E291" s="16">
        <v>22940</v>
      </c>
      <c r="F291" s="9">
        <v>644</v>
      </c>
      <c r="G291" s="10"/>
      <c r="H291" s="13">
        <v>340</v>
      </c>
      <c r="I291" s="10"/>
    </row>
    <row r="292" spans="1:10" ht="18" x14ac:dyDescent="0.4">
      <c r="A292" s="1" t="s">
        <v>2</v>
      </c>
      <c r="B292" s="15">
        <v>26893</v>
      </c>
      <c r="C292" s="15">
        <v>27162</v>
      </c>
      <c r="D292" s="10">
        <v>233</v>
      </c>
      <c r="E292" s="16">
        <v>28025</v>
      </c>
      <c r="F292" s="9">
        <v>863</v>
      </c>
      <c r="G292" s="10"/>
      <c r="H292" s="10">
        <v>280</v>
      </c>
      <c r="I292" s="10"/>
    </row>
    <row r="293" spans="1:10" x14ac:dyDescent="0.25">
      <c r="A293" s="51" t="s">
        <v>85</v>
      </c>
      <c r="B293" s="51"/>
      <c r="C293" s="51"/>
      <c r="D293" s="51"/>
      <c r="E293" s="51"/>
      <c r="G293">
        <f>F292/C292</f>
        <v>3.1772328989028792E-2</v>
      </c>
      <c r="I293" s="10"/>
    </row>
    <row r="294" spans="1:10" x14ac:dyDescent="0.25">
      <c r="A294" s="1"/>
      <c r="B294" s="2" t="s">
        <v>16</v>
      </c>
      <c r="C294" s="2" t="s">
        <v>19</v>
      </c>
      <c r="D294" s="2" t="s">
        <v>17</v>
      </c>
      <c r="E294" s="2" t="s">
        <v>18</v>
      </c>
      <c r="G294" s="10"/>
    </row>
    <row r="295" spans="1:10" ht="18" x14ac:dyDescent="0.4">
      <c r="A295" s="1" t="s">
        <v>1</v>
      </c>
      <c r="B295" s="15">
        <v>22106</v>
      </c>
      <c r="C295" s="4">
        <v>39</v>
      </c>
      <c r="D295" s="15">
        <v>5932300</v>
      </c>
      <c r="E295" s="5">
        <v>0.55000000000000004</v>
      </c>
      <c r="F295" s="10"/>
      <c r="H295" s="10"/>
      <c r="I295" s="10"/>
    </row>
    <row r="296" spans="1:10" ht="18" x14ac:dyDescent="0.4">
      <c r="A296" s="1" t="s">
        <v>2</v>
      </c>
      <c r="B296" s="15">
        <v>26945</v>
      </c>
      <c r="C296" s="4">
        <v>133</v>
      </c>
      <c r="D296" s="15">
        <v>479000</v>
      </c>
      <c r="E296" s="5">
        <v>-0.64</v>
      </c>
      <c r="G296" s="10"/>
      <c r="H296" s="10"/>
      <c r="J296" s="10"/>
    </row>
    <row r="297" spans="1:10" s="6" customFormat="1" x14ac:dyDescent="0.25"/>
    <row r="298" spans="1:10" x14ac:dyDescent="0.25">
      <c r="A298" s="51" t="s">
        <v>86</v>
      </c>
      <c r="B298" s="51"/>
      <c r="C298" s="51"/>
      <c r="D298" s="51"/>
      <c r="E298" s="51"/>
      <c r="F298" s="51"/>
    </row>
    <row r="299" spans="1:10" x14ac:dyDescent="0.25">
      <c r="A299" s="1"/>
      <c r="B299" s="2" t="s">
        <v>14</v>
      </c>
      <c r="C299" s="2" t="s">
        <v>15</v>
      </c>
      <c r="D299" s="2" t="s">
        <v>20</v>
      </c>
      <c r="E299" s="8" t="s">
        <v>21</v>
      </c>
      <c r="F299" s="8" t="s">
        <v>27</v>
      </c>
      <c r="G299">
        <f>F300/C300</f>
        <v>2.2706955122474521E-2</v>
      </c>
    </row>
    <row r="300" spans="1:10" ht="18" x14ac:dyDescent="0.4">
      <c r="A300" s="1" t="s">
        <v>1</v>
      </c>
      <c r="B300" s="11">
        <v>22151</v>
      </c>
      <c r="C300" s="11">
        <v>22372</v>
      </c>
      <c r="D300" s="10">
        <v>76</v>
      </c>
      <c r="E300" s="17">
        <v>22880</v>
      </c>
      <c r="F300" s="9">
        <v>508</v>
      </c>
      <c r="G300" s="10"/>
      <c r="H300" s="13">
        <f>E300-E291</f>
        <v>-60</v>
      </c>
      <c r="I300" s="10"/>
    </row>
    <row r="301" spans="1:10" ht="18" x14ac:dyDescent="0.4">
      <c r="A301" s="1" t="s">
        <v>2</v>
      </c>
      <c r="B301" s="11">
        <v>27115</v>
      </c>
      <c r="C301" s="11">
        <v>27386</v>
      </c>
      <c r="D301" s="10">
        <v>224</v>
      </c>
      <c r="E301" s="17">
        <v>27927</v>
      </c>
      <c r="F301" s="9">
        <v>541</v>
      </c>
      <c r="G301" s="10"/>
      <c r="H301" s="10"/>
      <c r="I301" s="10"/>
    </row>
    <row r="302" spans="1:10" x14ac:dyDescent="0.25">
      <c r="A302" s="51" t="s">
        <v>87</v>
      </c>
      <c r="B302" s="51"/>
      <c r="C302" s="51"/>
      <c r="D302" s="51"/>
      <c r="E302" s="51"/>
      <c r="G302">
        <f>F301/C301</f>
        <v>1.9754619148470022E-2</v>
      </c>
      <c r="H302">
        <f>E301-E292</f>
        <v>-98</v>
      </c>
      <c r="I302" s="10"/>
    </row>
    <row r="303" spans="1:10" x14ac:dyDescent="0.25">
      <c r="A303" s="1"/>
      <c r="B303" s="2" t="s">
        <v>16</v>
      </c>
      <c r="C303" s="2" t="s">
        <v>19</v>
      </c>
      <c r="D303" s="2" t="s">
        <v>17</v>
      </c>
      <c r="E303" s="2" t="s">
        <v>18</v>
      </c>
      <c r="G303" s="10"/>
    </row>
    <row r="304" spans="1:10" ht="18" x14ac:dyDescent="0.4">
      <c r="A304" s="1" t="s">
        <v>1</v>
      </c>
      <c r="B304" s="11">
        <v>22145</v>
      </c>
      <c r="C304" s="4">
        <v>39</v>
      </c>
      <c r="D304" s="11">
        <v>6080900</v>
      </c>
      <c r="E304" s="5">
        <v>0.03</v>
      </c>
      <c r="F304" s="10"/>
      <c r="H304" s="10"/>
      <c r="I304" s="10"/>
    </row>
    <row r="305" spans="1:10" ht="18" x14ac:dyDescent="0.4">
      <c r="A305" s="1" t="s">
        <v>2</v>
      </c>
      <c r="B305" s="11">
        <v>27064</v>
      </c>
      <c r="C305" s="4">
        <v>119</v>
      </c>
      <c r="D305" s="11">
        <v>467600</v>
      </c>
      <c r="E305" s="5">
        <v>-0.02</v>
      </c>
      <c r="G305" s="10"/>
      <c r="H305" s="10"/>
      <c r="J305" s="10"/>
    </row>
    <row r="306" spans="1:10" s="6" customFormat="1" x14ac:dyDescent="0.25"/>
    <row r="307" spans="1:10" x14ac:dyDescent="0.25">
      <c r="A307" s="51" t="s">
        <v>89</v>
      </c>
      <c r="B307" s="51"/>
      <c r="C307" s="51"/>
      <c r="D307" s="51"/>
      <c r="E307" s="51"/>
      <c r="F307" s="51"/>
    </row>
    <row r="308" spans="1:10" x14ac:dyDescent="0.25">
      <c r="A308" s="1"/>
      <c r="B308" s="2" t="s">
        <v>14</v>
      </c>
      <c r="C308" s="2" t="s">
        <v>15</v>
      </c>
      <c r="D308" s="2" t="s">
        <v>20</v>
      </c>
      <c r="E308" s="8" t="s">
        <v>21</v>
      </c>
      <c r="F308" s="8" t="s">
        <v>27</v>
      </c>
      <c r="G308">
        <f>F309/C309</f>
        <v>2.284898250624777E-2</v>
      </c>
    </row>
    <row r="309" spans="1:10" ht="18" x14ac:dyDescent="0.4">
      <c r="A309" s="1" t="s">
        <v>1</v>
      </c>
      <c r="B309" s="11">
        <v>22186</v>
      </c>
      <c r="C309" s="11">
        <v>22408</v>
      </c>
      <c r="D309">
        <v>36</v>
      </c>
      <c r="E309" s="17">
        <v>22920</v>
      </c>
      <c r="F309" s="9">
        <v>512</v>
      </c>
      <c r="G309" s="10"/>
      <c r="H309" s="13">
        <f>E309-E300</f>
        <v>40</v>
      </c>
      <c r="I309" s="10"/>
    </row>
    <row r="310" spans="1:10" ht="18" x14ac:dyDescent="0.4">
      <c r="A310" s="1" t="s">
        <v>2</v>
      </c>
      <c r="B310" s="11">
        <v>27030</v>
      </c>
      <c r="C310" s="11">
        <v>27301</v>
      </c>
      <c r="D310">
        <v>-85</v>
      </c>
      <c r="E310" s="17">
        <v>27950</v>
      </c>
      <c r="F310" s="9">
        <v>649</v>
      </c>
      <c r="G310" s="10"/>
      <c r="H310" s="10">
        <f>E310-E301</f>
        <v>23</v>
      </c>
      <c r="I310" s="10"/>
    </row>
    <row r="311" spans="1:10" x14ac:dyDescent="0.25">
      <c r="A311" s="51" t="s">
        <v>88</v>
      </c>
      <c r="B311" s="51"/>
      <c r="C311" s="51"/>
      <c r="D311" s="51"/>
      <c r="E311" s="51"/>
      <c r="G311">
        <f>F310/C310</f>
        <v>2.377202300282041E-2</v>
      </c>
      <c r="I311" s="10"/>
    </row>
    <row r="312" spans="1:10" x14ac:dyDescent="0.25">
      <c r="A312" s="1"/>
      <c r="B312" s="2" t="s">
        <v>16</v>
      </c>
      <c r="C312" s="2" t="s">
        <v>19</v>
      </c>
      <c r="D312" s="2" t="s">
        <v>17</v>
      </c>
      <c r="E312" s="2" t="s">
        <v>18</v>
      </c>
      <c r="G312" s="10"/>
    </row>
    <row r="313" spans="1:10" ht="18" x14ac:dyDescent="0.4">
      <c r="A313" s="1" t="s">
        <v>1</v>
      </c>
      <c r="B313" s="11">
        <v>22176</v>
      </c>
      <c r="C313" s="4">
        <v>31</v>
      </c>
      <c r="D313" s="11">
        <v>7356200</v>
      </c>
      <c r="E313" s="5">
        <v>0.21</v>
      </c>
      <c r="F313" s="10"/>
      <c r="H313" s="10"/>
      <c r="I313" s="10"/>
    </row>
    <row r="314" spans="1:10" ht="18" x14ac:dyDescent="0.4">
      <c r="A314" s="1" t="s">
        <v>2</v>
      </c>
      <c r="B314" s="11">
        <v>27088</v>
      </c>
      <c r="C314" s="4">
        <v>24</v>
      </c>
      <c r="D314" s="11">
        <v>611800</v>
      </c>
      <c r="E314" s="5">
        <v>0.31</v>
      </c>
      <c r="G314" s="10"/>
      <c r="H314" s="10"/>
      <c r="J314" s="10"/>
    </row>
    <row r="315" spans="1:10" s="6" customFormat="1" x14ac:dyDescent="0.25"/>
    <row r="316" spans="1:10" x14ac:dyDescent="0.25">
      <c r="A316" s="51" t="s">
        <v>90</v>
      </c>
      <c r="B316" s="51"/>
      <c r="C316" s="51"/>
      <c r="D316" s="51"/>
      <c r="E316" s="51"/>
      <c r="F316" s="51"/>
    </row>
    <row r="317" spans="1:10" x14ac:dyDescent="0.25">
      <c r="A317" s="1"/>
      <c r="B317" s="2" t="s">
        <v>14</v>
      </c>
      <c r="C317" s="2" t="s">
        <v>15</v>
      </c>
      <c r="D317" s="2" t="s">
        <v>20</v>
      </c>
      <c r="E317" s="8" t="s">
        <v>21</v>
      </c>
      <c r="F317" s="8" t="s">
        <v>27</v>
      </c>
      <c r="G317">
        <f>F318/C318</f>
        <v>3.5097890558801234E-2</v>
      </c>
    </row>
    <row r="318" spans="1:10" ht="18" x14ac:dyDescent="0.4">
      <c r="A318" s="1" t="s">
        <v>1</v>
      </c>
      <c r="B318" s="18">
        <v>22201</v>
      </c>
      <c r="C318" s="18">
        <v>22423</v>
      </c>
      <c r="D318">
        <v>15</v>
      </c>
      <c r="E318" s="19">
        <v>23210</v>
      </c>
      <c r="F318" s="9">
        <v>787</v>
      </c>
      <c r="G318" s="10"/>
      <c r="H318" s="13"/>
      <c r="I318" s="10">
        <f>E318-E309</f>
        <v>290</v>
      </c>
    </row>
    <row r="319" spans="1:10" ht="18" x14ac:dyDescent="0.4">
      <c r="A319" s="1" t="s">
        <v>2</v>
      </c>
      <c r="B319" s="18">
        <v>27047</v>
      </c>
      <c r="C319" s="18">
        <v>27318</v>
      </c>
      <c r="D319">
        <v>17</v>
      </c>
      <c r="E319" s="19">
        <v>28259</v>
      </c>
      <c r="F319" s="9">
        <v>941</v>
      </c>
      <c r="G319" s="10"/>
      <c r="H319" s="10"/>
      <c r="I319" s="10"/>
    </row>
    <row r="320" spans="1:10" x14ac:dyDescent="0.25">
      <c r="A320" s="51" t="s">
        <v>91</v>
      </c>
      <c r="B320" s="51"/>
      <c r="C320" s="51"/>
      <c r="D320" s="51"/>
      <c r="E320" s="51"/>
      <c r="G320">
        <f>F319/C319</f>
        <v>3.4446152719818435E-2</v>
      </c>
      <c r="I320" s="10">
        <f>E319-E310</f>
        <v>309</v>
      </c>
    </row>
    <row r="321" spans="1:10" x14ac:dyDescent="0.25">
      <c r="A321" s="1"/>
      <c r="B321" s="2" t="s">
        <v>16</v>
      </c>
      <c r="C321" s="2" t="s">
        <v>19</v>
      </c>
      <c r="D321" s="2" t="s">
        <v>17</v>
      </c>
      <c r="E321" s="2" t="s">
        <v>18</v>
      </c>
      <c r="G321" s="10"/>
    </row>
    <row r="322" spans="1:10" ht="18" x14ac:dyDescent="0.4">
      <c r="A322" s="1" t="s">
        <v>1</v>
      </c>
      <c r="B322" s="18">
        <v>22265</v>
      </c>
      <c r="C322" s="4">
        <v>89</v>
      </c>
      <c r="D322" s="18">
        <v>8787200</v>
      </c>
      <c r="E322" s="5">
        <v>0.19</v>
      </c>
      <c r="F322" s="10"/>
      <c r="H322" s="10"/>
      <c r="I322" s="10"/>
    </row>
    <row r="323" spans="1:10" ht="18" x14ac:dyDescent="0.4">
      <c r="A323" s="1" t="s">
        <v>2</v>
      </c>
      <c r="B323" s="18">
        <v>27150</v>
      </c>
      <c r="C323" s="4">
        <v>62</v>
      </c>
      <c r="D323" s="18">
        <v>668900</v>
      </c>
      <c r="E323" s="5">
        <v>0.09</v>
      </c>
      <c r="G323" s="10"/>
      <c r="H323" s="10"/>
      <c r="J323" s="10"/>
    </row>
    <row r="324" spans="1:10" s="6" customFormat="1" x14ac:dyDescent="0.25"/>
    <row r="325" spans="1:10" x14ac:dyDescent="0.25">
      <c r="A325" s="51" t="s">
        <v>92</v>
      </c>
      <c r="B325" s="51"/>
      <c r="C325" s="51"/>
      <c r="D325" s="51"/>
      <c r="E325" s="51"/>
      <c r="F325" s="51"/>
      <c r="H325">
        <f>E327-E318</f>
        <v>-230</v>
      </c>
    </row>
    <row r="326" spans="1:10" x14ac:dyDescent="0.25">
      <c r="A326" s="1"/>
      <c r="B326" s="2" t="s">
        <v>14</v>
      </c>
      <c r="C326" s="2" t="s">
        <v>15</v>
      </c>
      <c r="D326" s="2" t="s">
        <v>20</v>
      </c>
      <c r="E326" s="8" t="s">
        <v>21</v>
      </c>
      <c r="F326" s="8" t="s">
        <v>27</v>
      </c>
      <c r="G326">
        <f>F327/C327</f>
        <v>2.4383720411893194E-2</v>
      </c>
    </row>
    <row r="327" spans="1:10" ht="18" x14ac:dyDescent="0.4">
      <c r="A327" s="1" t="s">
        <v>1</v>
      </c>
      <c r="B327" s="20">
        <v>22211</v>
      </c>
      <c r="C327" s="20">
        <v>22433</v>
      </c>
      <c r="D327">
        <v>10</v>
      </c>
      <c r="E327" s="21">
        <v>22980</v>
      </c>
      <c r="F327" s="9">
        <v>547</v>
      </c>
      <c r="G327" s="10"/>
      <c r="H327" s="13"/>
      <c r="I327" s="10"/>
    </row>
    <row r="328" spans="1:10" ht="18" x14ac:dyDescent="0.4">
      <c r="A328" s="1" t="s">
        <v>2</v>
      </c>
      <c r="B328" s="20">
        <v>27091</v>
      </c>
      <c r="C328" s="20">
        <v>27362</v>
      </c>
      <c r="D328">
        <v>44</v>
      </c>
      <c r="E328" s="21">
        <v>28003</v>
      </c>
      <c r="F328" s="9">
        <v>641</v>
      </c>
      <c r="G328" s="10"/>
      <c r="H328" s="10">
        <f>E328-E319</f>
        <v>-256</v>
      </c>
      <c r="I328" s="10"/>
    </row>
    <row r="329" spans="1:10" x14ac:dyDescent="0.25">
      <c r="A329" s="51" t="s">
        <v>93</v>
      </c>
      <c r="B329" s="51"/>
      <c r="C329" s="51"/>
      <c r="D329" s="51"/>
      <c r="E329" s="51"/>
      <c r="G329">
        <f>F328/C328</f>
        <v>2.3426650098676997E-2</v>
      </c>
      <c r="I329" s="10"/>
    </row>
    <row r="330" spans="1:10" x14ac:dyDescent="0.25">
      <c r="A330" s="1"/>
      <c r="B330" s="2" t="s">
        <v>16</v>
      </c>
      <c r="C330" s="2" t="s">
        <v>19</v>
      </c>
      <c r="D330" s="2" t="s">
        <v>17</v>
      </c>
      <c r="E330" s="2" t="s">
        <v>18</v>
      </c>
      <c r="G330" s="10"/>
    </row>
    <row r="331" spans="1:10" ht="18" x14ac:dyDescent="0.4">
      <c r="A331" s="1" t="s">
        <v>1</v>
      </c>
      <c r="B331" s="20">
        <v>22155</v>
      </c>
      <c r="C331" s="4">
        <v>-110</v>
      </c>
      <c r="D331" s="20">
        <v>7704000</v>
      </c>
      <c r="E331" s="5">
        <v>-0.12</v>
      </c>
      <c r="F331" s="10"/>
      <c r="H331" s="10"/>
      <c r="I331" s="10"/>
    </row>
    <row r="332" spans="1:10" ht="18" x14ac:dyDescent="0.4">
      <c r="A332" s="1" t="s">
        <v>2</v>
      </c>
      <c r="B332" s="20">
        <v>27091</v>
      </c>
      <c r="C332" s="4">
        <v>-59</v>
      </c>
      <c r="D332" s="20">
        <v>746700</v>
      </c>
      <c r="E332" s="5">
        <v>0.12</v>
      </c>
      <c r="G332" s="10"/>
      <c r="H332" s="10"/>
      <c r="J332" s="10"/>
    </row>
    <row r="333" spans="1:10" s="6" customFormat="1" x14ac:dyDescent="0.25"/>
    <row r="334" spans="1:10" x14ac:dyDescent="0.25">
      <c r="A334" s="51" t="s">
        <v>94</v>
      </c>
      <c r="B334" s="51"/>
      <c r="C334" s="51"/>
      <c r="D334" s="51"/>
      <c r="E334" s="51"/>
      <c r="F334" s="51"/>
    </row>
    <row r="335" spans="1:10" x14ac:dyDescent="0.25">
      <c r="A335" s="1"/>
      <c r="B335" s="2" t="s">
        <v>14</v>
      </c>
      <c r="C335" s="2" t="s">
        <v>15</v>
      </c>
      <c r="D335" s="2" t="s">
        <v>20</v>
      </c>
      <c r="E335" s="8" t="s">
        <v>21</v>
      </c>
      <c r="F335" s="8" t="s">
        <v>27</v>
      </c>
      <c r="G335">
        <f>F336/C336</f>
        <v>3.5830040403143457E-2</v>
      </c>
    </row>
    <row r="336" spans="1:10" ht="18" x14ac:dyDescent="0.4">
      <c r="A336" s="1" t="s">
        <v>1</v>
      </c>
      <c r="B336" s="22">
        <v>22300</v>
      </c>
      <c r="C336" s="22">
        <v>22523</v>
      </c>
      <c r="D336">
        <v>90</v>
      </c>
      <c r="E336" s="23">
        <v>23330</v>
      </c>
      <c r="F336" s="9">
        <v>807</v>
      </c>
      <c r="G336" s="10"/>
      <c r="H336" s="13">
        <f>E336-E327</f>
        <v>350</v>
      </c>
      <c r="I336" s="10"/>
    </row>
    <row r="337" spans="1:10" ht="18" x14ac:dyDescent="0.4">
      <c r="A337" s="1" t="s">
        <v>2</v>
      </c>
      <c r="B337" s="22">
        <v>27234</v>
      </c>
      <c r="C337" s="22">
        <v>27506</v>
      </c>
      <c r="D337">
        <v>144</v>
      </c>
      <c r="E337" s="23">
        <v>28422</v>
      </c>
      <c r="F337" s="9">
        <v>916</v>
      </c>
      <c r="G337" s="10"/>
      <c r="H337" s="10"/>
      <c r="I337" s="10"/>
    </row>
    <row r="338" spans="1:10" x14ac:dyDescent="0.25">
      <c r="A338" s="51" t="s">
        <v>95</v>
      </c>
      <c r="B338" s="51"/>
      <c r="C338" s="51"/>
      <c r="D338" s="51"/>
      <c r="E338" s="51"/>
      <c r="G338">
        <f>F337/C337</f>
        <v>3.330182505635134E-2</v>
      </c>
      <c r="I338" s="10"/>
    </row>
    <row r="339" spans="1:10" x14ac:dyDescent="0.25">
      <c r="A339" s="1"/>
      <c r="B339" s="2" t="s">
        <v>16</v>
      </c>
      <c r="C339" s="2" t="s">
        <v>19</v>
      </c>
      <c r="D339" s="2" t="s">
        <v>17</v>
      </c>
      <c r="E339" s="2" t="s">
        <v>18</v>
      </c>
      <c r="G339" s="10"/>
      <c r="H339">
        <f>E337-E328</f>
        <v>419</v>
      </c>
    </row>
    <row r="340" spans="1:10" ht="18" x14ac:dyDescent="0.4">
      <c r="A340" s="1" t="s">
        <v>1</v>
      </c>
      <c r="B340" s="22">
        <v>22270</v>
      </c>
      <c r="C340" s="4">
        <v>115</v>
      </c>
      <c r="D340" s="22">
        <v>10087200</v>
      </c>
      <c r="E340" s="5">
        <v>0.31</v>
      </c>
      <c r="F340" s="10"/>
      <c r="H340" s="10"/>
      <c r="I340" s="10"/>
    </row>
    <row r="341" spans="1:10" ht="18" x14ac:dyDescent="0.4">
      <c r="A341" s="1" t="s">
        <v>2</v>
      </c>
      <c r="B341" s="22">
        <v>27259</v>
      </c>
      <c r="C341" s="4">
        <v>168</v>
      </c>
      <c r="D341" s="22">
        <v>661100</v>
      </c>
      <c r="E341" s="5">
        <v>-0.11</v>
      </c>
      <c r="G341" s="10"/>
      <c r="H341" s="10"/>
      <c r="J341" s="10"/>
    </row>
    <row r="342" spans="1:10" s="6" customFormat="1" x14ac:dyDescent="0.25"/>
    <row r="343" spans="1:10" x14ac:dyDescent="0.25">
      <c r="A343" s="51" t="s">
        <v>96</v>
      </c>
      <c r="B343" s="51"/>
      <c r="C343" s="51"/>
      <c r="D343" s="51"/>
      <c r="E343" s="51"/>
      <c r="F343" s="51"/>
    </row>
    <row r="344" spans="1:10" x14ac:dyDescent="0.25">
      <c r="A344" s="1"/>
      <c r="B344" s="2" t="s">
        <v>14</v>
      </c>
      <c r="C344" s="2" t="s">
        <v>15</v>
      </c>
      <c r="D344" s="2" t="s">
        <v>20</v>
      </c>
      <c r="E344" s="8" t="s">
        <v>21</v>
      </c>
      <c r="F344" s="8" t="s">
        <v>27</v>
      </c>
      <c r="H344">
        <f>F345/C345</f>
        <v>2.3243505491112777E-2</v>
      </c>
    </row>
    <row r="345" spans="1:10" ht="18" x14ac:dyDescent="0.4">
      <c r="A345" s="1" t="s">
        <v>1</v>
      </c>
      <c r="B345" s="24">
        <v>22448</v>
      </c>
      <c r="C345" s="24">
        <v>22673</v>
      </c>
      <c r="D345">
        <v>150</v>
      </c>
      <c r="E345" s="25">
        <v>23200</v>
      </c>
      <c r="F345" s="9">
        <v>527</v>
      </c>
      <c r="G345" s="10"/>
      <c r="H345" s="13"/>
      <c r="I345" s="10"/>
      <c r="J345">
        <v>-130</v>
      </c>
    </row>
    <row r="346" spans="1:10" ht="18" x14ac:dyDescent="0.4">
      <c r="A346" s="1" t="s">
        <v>2</v>
      </c>
      <c r="B346" s="24">
        <v>27263</v>
      </c>
      <c r="C346" s="24">
        <v>27535</v>
      </c>
      <c r="D346">
        <v>29</v>
      </c>
      <c r="E346" s="25">
        <v>28410</v>
      </c>
      <c r="F346" s="9">
        <v>875</v>
      </c>
      <c r="G346" s="10"/>
      <c r="H346" s="10"/>
      <c r="I346" s="10"/>
      <c r="J346">
        <f>E346-E337</f>
        <v>-12</v>
      </c>
    </row>
    <row r="347" spans="1:10" x14ac:dyDescent="0.25">
      <c r="A347" s="51" t="s">
        <v>97</v>
      </c>
      <c r="B347" s="51"/>
      <c r="C347" s="51"/>
      <c r="D347" s="51"/>
      <c r="E347" s="51"/>
      <c r="H347">
        <f>F346/C346</f>
        <v>3.1777737425095334E-2</v>
      </c>
      <c r="I347" s="10"/>
    </row>
    <row r="348" spans="1:10" x14ac:dyDescent="0.25">
      <c r="A348" s="1"/>
      <c r="B348" s="2" t="s">
        <v>16</v>
      </c>
      <c r="C348" s="2" t="s">
        <v>19</v>
      </c>
      <c r="D348" s="2" t="s">
        <v>17</v>
      </c>
      <c r="E348" s="2" t="s">
        <v>18</v>
      </c>
      <c r="G348" s="10"/>
    </row>
    <row r="349" spans="1:10" ht="18" x14ac:dyDescent="0.4">
      <c r="A349" s="1" t="s">
        <v>1</v>
      </c>
      <c r="B349" s="24">
        <v>22403</v>
      </c>
      <c r="C349" s="4">
        <v>133</v>
      </c>
      <c r="D349" s="24">
        <v>6515600</v>
      </c>
      <c r="E349" s="5">
        <v>-0.35</v>
      </c>
      <c r="F349" s="10"/>
      <c r="H349" s="10"/>
      <c r="I349" s="10"/>
    </row>
    <row r="350" spans="1:10" ht="18" x14ac:dyDescent="0.4">
      <c r="A350" s="1" t="s">
        <v>2</v>
      </c>
      <c r="B350" s="24">
        <v>27354</v>
      </c>
      <c r="C350" s="4">
        <v>95</v>
      </c>
      <c r="D350" s="24">
        <v>415800</v>
      </c>
      <c r="E350" s="5">
        <v>-0.37</v>
      </c>
      <c r="G350" s="10"/>
      <c r="H350" s="10"/>
      <c r="J350" s="10"/>
    </row>
    <row r="351" spans="1:10" s="6" customFormat="1" x14ac:dyDescent="0.25"/>
    <row r="352" spans="1:10" x14ac:dyDescent="0.25">
      <c r="A352" s="51" t="s">
        <v>98</v>
      </c>
      <c r="B352" s="51"/>
      <c r="C352" s="51"/>
      <c r="D352" s="51"/>
      <c r="E352" s="51"/>
      <c r="F352" s="51"/>
      <c r="I352">
        <f>E354-E345</f>
        <v>750</v>
      </c>
    </row>
    <row r="353" spans="1:10" x14ac:dyDescent="0.25">
      <c r="A353" s="1"/>
      <c r="B353" s="2" t="s">
        <v>14</v>
      </c>
      <c r="C353" s="2" t="s">
        <v>15</v>
      </c>
      <c r="D353" s="2" t="s">
        <v>20</v>
      </c>
      <c r="E353" s="8" t="s">
        <v>21</v>
      </c>
      <c r="F353" s="8" t="s">
        <v>27</v>
      </c>
      <c r="H353">
        <f>F354/C354</f>
        <v>2.0843101317079407E-2</v>
      </c>
    </row>
    <row r="354" spans="1:10" ht="18" x14ac:dyDescent="0.4">
      <c r="A354" s="1" t="s">
        <v>1</v>
      </c>
      <c r="B354" s="22">
        <v>23228</v>
      </c>
      <c r="C354" s="22">
        <v>23461</v>
      </c>
      <c r="D354">
        <v>788</v>
      </c>
      <c r="E354" s="23">
        <v>23950</v>
      </c>
      <c r="F354" s="9">
        <v>489</v>
      </c>
      <c r="G354" s="10"/>
      <c r="H354" s="13"/>
      <c r="I354" s="10"/>
    </row>
    <row r="355" spans="1:10" ht="18" x14ac:dyDescent="0.4">
      <c r="A355" s="1" t="s">
        <v>2</v>
      </c>
      <c r="B355" s="22">
        <v>28030</v>
      </c>
      <c r="C355" s="22">
        <v>28310</v>
      </c>
      <c r="D355">
        <v>775</v>
      </c>
      <c r="E355" s="23">
        <v>29211</v>
      </c>
      <c r="F355" s="9">
        <v>901</v>
      </c>
      <c r="G355" s="10"/>
      <c r="H355" s="10"/>
      <c r="I355" s="10"/>
    </row>
    <row r="356" spans="1:10" x14ac:dyDescent="0.25">
      <c r="A356" s="51" t="s">
        <v>99</v>
      </c>
      <c r="B356" s="51"/>
      <c r="C356" s="51"/>
      <c r="D356" s="51"/>
      <c r="E356" s="51"/>
      <c r="H356">
        <f>F355/C355</f>
        <v>3.1826209819851639E-2</v>
      </c>
      <c r="I356" s="10"/>
    </row>
    <row r="357" spans="1:10" x14ac:dyDescent="0.25">
      <c r="A357" s="1"/>
      <c r="B357" s="2" t="s">
        <v>16</v>
      </c>
      <c r="C357" s="2" t="s">
        <v>19</v>
      </c>
      <c r="D357" s="2" t="s">
        <v>17</v>
      </c>
      <c r="E357" s="2" t="s">
        <v>18</v>
      </c>
      <c r="G357" s="10"/>
    </row>
    <row r="358" spans="1:10" ht="18" x14ac:dyDescent="0.4">
      <c r="A358" s="1" t="s">
        <v>1</v>
      </c>
      <c r="B358" s="22">
        <v>23153</v>
      </c>
      <c r="C358" s="4">
        <v>750</v>
      </c>
      <c r="D358" s="22">
        <v>10435700</v>
      </c>
      <c r="E358" s="5">
        <v>0.6</v>
      </c>
      <c r="F358" s="10"/>
      <c r="H358" s="10"/>
      <c r="I358" s="10">
        <f>E355-E346</f>
        <v>801</v>
      </c>
    </row>
    <row r="359" spans="1:10" ht="18" x14ac:dyDescent="0.4">
      <c r="A359" s="1" t="s">
        <v>2</v>
      </c>
      <c r="B359" s="22">
        <v>27964</v>
      </c>
      <c r="C359" s="4">
        <v>610</v>
      </c>
      <c r="D359" s="22">
        <v>1130800</v>
      </c>
      <c r="E359" s="5">
        <v>1.72</v>
      </c>
      <c r="G359" s="10"/>
      <c r="H359" s="10"/>
      <c r="J359" s="10"/>
    </row>
    <row r="360" spans="1:10" s="6" customFormat="1" x14ac:dyDescent="0.25"/>
    <row r="361" spans="1:10" x14ac:dyDescent="0.25">
      <c r="A361" s="51" t="s">
        <v>100</v>
      </c>
      <c r="B361" s="51"/>
      <c r="C361" s="51"/>
      <c r="D361" s="51"/>
      <c r="E361" s="51"/>
      <c r="F361" s="51"/>
    </row>
    <row r="362" spans="1:10" x14ac:dyDescent="0.25">
      <c r="A362" s="1"/>
      <c r="B362" s="2" t="s">
        <v>14</v>
      </c>
      <c r="C362" s="2" t="s">
        <v>15</v>
      </c>
      <c r="D362" s="2" t="s">
        <v>20</v>
      </c>
      <c r="E362" s="8" t="s">
        <v>21</v>
      </c>
      <c r="F362" s="8" t="s">
        <v>27</v>
      </c>
      <c r="G362">
        <f>F363/C363</f>
        <v>4.1835472728048106E-2</v>
      </c>
    </row>
    <row r="363" spans="1:10" ht="18" x14ac:dyDescent="0.4">
      <c r="A363" s="1" t="s">
        <v>1</v>
      </c>
      <c r="B363" s="26">
        <v>23217</v>
      </c>
      <c r="C363" s="26">
        <v>23449</v>
      </c>
      <c r="D363">
        <v>-12</v>
      </c>
      <c r="E363" s="27">
        <v>24430</v>
      </c>
      <c r="F363" s="9">
        <v>981</v>
      </c>
      <c r="G363" s="10"/>
      <c r="H363" s="13"/>
      <c r="I363" s="10">
        <f>E363-E354</f>
        <v>480</v>
      </c>
    </row>
    <row r="364" spans="1:10" ht="18" x14ac:dyDescent="0.4">
      <c r="A364" s="1" t="s">
        <v>2</v>
      </c>
      <c r="B364" s="26">
        <v>28036</v>
      </c>
      <c r="C364" s="26">
        <v>28316</v>
      </c>
      <c r="D364">
        <v>6</v>
      </c>
      <c r="E364" s="27">
        <v>30077</v>
      </c>
      <c r="F364" s="9">
        <v>1761</v>
      </c>
      <c r="G364" s="10"/>
      <c r="H364" s="10"/>
      <c r="I364" s="10"/>
    </row>
    <row r="365" spans="1:10" x14ac:dyDescent="0.25">
      <c r="A365" s="51" t="s">
        <v>99</v>
      </c>
      <c r="B365" s="51"/>
      <c r="C365" s="51"/>
      <c r="D365" s="51"/>
      <c r="E365" s="51"/>
      <c r="I365" s="10"/>
    </row>
    <row r="366" spans="1:10" x14ac:dyDescent="0.25">
      <c r="A366" s="1"/>
      <c r="B366" s="2" t="s">
        <v>16</v>
      </c>
      <c r="C366" s="2" t="s">
        <v>19</v>
      </c>
      <c r="D366" s="2" t="s">
        <v>17</v>
      </c>
      <c r="E366" s="2" t="s">
        <v>18</v>
      </c>
      <c r="F366">
        <f>F364/C364</f>
        <v>6.2190987427602769E-2</v>
      </c>
      <c r="G366" s="10"/>
    </row>
    <row r="367" spans="1:10" ht="18" x14ac:dyDescent="0.4">
      <c r="A367" s="1" t="s">
        <v>1</v>
      </c>
      <c r="B367" s="26">
        <v>23835</v>
      </c>
      <c r="C367" s="4">
        <v>682</v>
      </c>
      <c r="D367" s="26">
        <v>7157400</v>
      </c>
      <c r="E367" s="5">
        <v>-0.31</v>
      </c>
      <c r="F367" s="10"/>
      <c r="H367" s="10"/>
      <c r="I367" s="10"/>
    </row>
    <row r="368" spans="1:10" ht="18" x14ac:dyDescent="0.4">
      <c r="A368" s="1" t="s">
        <v>2</v>
      </c>
      <c r="B368" s="26">
        <v>28534</v>
      </c>
      <c r="C368" s="4">
        <v>570</v>
      </c>
      <c r="D368" s="26">
        <v>676100</v>
      </c>
      <c r="E368" s="5">
        <v>-0.4</v>
      </c>
      <c r="G368" s="10"/>
      <c r="H368" s="10"/>
      <c r="I368">
        <f>E364-E355</f>
        <v>866</v>
      </c>
      <c r="J368" s="10"/>
    </row>
    <row r="369" spans="1:10" s="6" customFormat="1" x14ac:dyDescent="0.25"/>
    <row r="370" spans="1:10" x14ac:dyDescent="0.25">
      <c r="A370" s="51" t="s">
        <v>101</v>
      </c>
      <c r="B370" s="51"/>
      <c r="C370" s="51"/>
      <c r="D370" s="51"/>
      <c r="E370" s="51"/>
      <c r="F370" s="51"/>
    </row>
    <row r="371" spans="1:10" x14ac:dyDescent="0.25">
      <c r="A371" s="1"/>
      <c r="B371" s="2" t="s">
        <v>14</v>
      </c>
      <c r="C371" s="2" t="s">
        <v>15</v>
      </c>
      <c r="D371" s="2" t="s">
        <v>20</v>
      </c>
      <c r="E371" s="8" t="s">
        <v>21</v>
      </c>
      <c r="F371" s="8" t="s">
        <v>27</v>
      </c>
      <c r="G371">
        <f>F372/C372</f>
        <v>1.4783797641428816E-2</v>
      </c>
    </row>
    <row r="372" spans="1:10" ht="18" x14ac:dyDescent="0.4">
      <c r="A372" s="1" t="s">
        <v>1</v>
      </c>
      <c r="B372" s="28">
        <v>23172</v>
      </c>
      <c r="C372" s="28">
        <v>23404</v>
      </c>
      <c r="D372">
        <v>-45</v>
      </c>
      <c r="E372" s="29">
        <v>23750</v>
      </c>
      <c r="F372" s="9">
        <v>346</v>
      </c>
      <c r="G372" s="10"/>
      <c r="H372" s="13">
        <f>E372-E363</f>
        <v>-680</v>
      </c>
      <c r="I372" s="10"/>
    </row>
    <row r="373" spans="1:10" ht="18" x14ac:dyDescent="0.4">
      <c r="A373" s="1" t="s">
        <v>2</v>
      </c>
      <c r="B373" s="28">
        <v>27978</v>
      </c>
      <c r="C373" s="28">
        <v>28258</v>
      </c>
      <c r="D373">
        <v>-58</v>
      </c>
      <c r="E373" s="29">
        <v>29116</v>
      </c>
      <c r="F373" s="9">
        <v>858</v>
      </c>
      <c r="G373" s="10"/>
      <c r="H373" s="10"/>
      <c r="I373" s="10"/>
    </row>
    <row r="374" spans="1:10" x14ac:dyDescent="0.25">
      <c r="A374" s="51" t="s">
        <v>102</v>
      </c>
      <c r="B374" s="51"/>
      <c r="C374" s="51"/>
      <c r="D374" s="51"/>
      <c r="E374" s="51"/>
      <c r="G374">
        <f>F373/C373</f>
        <v>3.0363083020737491E-2</v>
      </c>
      <c r="I374" s="10"/>
    </row>
    <row r="375" spans="1:10" x14ac:dyDescent="0.25">
      <c r="A375" s="1"/>
      <c r="B375" s="2" t="s">
        <v>16</v>
      </c>
      <c r="C375" s="2" t="s">
        <v>19</v>
      </c>
      <c r="D375" s="2" t="s">
        <v>17</v>
      </c>
      <c r="E375" s="2" t="s">
        <v>18</v>
      </c>
      <c r="G375" s="10"/>
      <c r="H375">
        <f>E373-E364</f>
        <v>-961</v>
      </c>
    </row>
    <row r="376" spans="1:10" ht="18" x14ac:dyDescent="0.4">
      <c r="A376" s="1" t="s">
        <v>1</v>
      </c>
      <c r="B376" s="28">
        <v>23104</v>
      </c>
      <c r="C376" s="4">
        <v>-731</v>
      </c>
      <c r="D376" s="28">
        <v>6255100</v>
      </c>
      <c r="E376" s="5">
        <v>-0.13</v>
      </c>
      <c r="F376" s="10"/>
      <c r="H376" s="10"/>
      <c r="I376" s="10"/>
    </row>
    <row r="377" spans="1:10" ht="18" x14ac:dyDescent="0.4">
      <c r="A377" s="1" t="s">
        <v>2</v>
      </c>
      <c r="B377" s="28">
        <v>27984</v>
      </c>
      <c r="C377" s="4">
        <v>-550</v>
      </c>
      <c r="D377" s="28">
        <v>404200</v>
      </c>
      <c r="E377" s="5">
        <v>-0.4</v>
      </c>
      <c r="G377" s="10"/>
      <c r="H377" s="10"/>
      <c r="J377" s="10"/>
    </row>
    <row r="378" spans="1:10" s="6" customFormat="1" x14ac:dyDescent="0.25"/>
    <row r="379" spans="1:10" x14ac:dyDescent="0.25">
      <c r="A379" s="51" t="s">
        <v>103</v>
      </c>
      <c r="B379" s="51"/>
      <c r="C379" s="51"/>
      <c r="D379" s="51"/>
      <c r="E379" s="51"/>
      <c r="F379" s="51"/>
      <c r="I379">
        <f>E381-E372</f>
        <v>230</v>
      </c>
    </row>
    <row r="380" spans="1:10" x14ac:dyDescent="0.25">
      <c r="A380" s="1"/>
      <c r="B380" s="2" t="s">
        <v>14</v>
      </c>
      <c r="C380" s="2" t="s">
        <v>15</v>
      </c>
      <c r="D380" s="2" t="s">
        <v>20</v>
      </c>
      <c r="E380" s="8" t="s">
        <v>21</v>
      </c>
      <c r="F380" s="8" t="s">
        <v>27</v>
      </c>
      <c r="H380">
        <f>F381/C381</f>
        <v>2.0599250936329586E-2</v>
      </c>
    </row>
    <row r="381" spans="1:10" ht="18" x14ac:dyDescent="0.4">
      <c r="A381" s="1" t="s">
        <v>1</v>
      </c>
      <c r="B381" s="24">
        <v>23263</v>
      </c>
      <c r="C381" s="24">
        <v>23496</v>
      </c>
      <c r="D381">
        <v>92</v>
      </c>
      <c r="E381" s="25">
        <v>23980</v>
      </c>
      <c r="F381" s="9">
        <v>484</v>
      </c>
      <c r="G381" s="10"/>
      <c r="H381" s="13"/>
      <c r="I381" s="10"/>
    </row>
    <row r="382" spans="1:10" ht="18" x14ac:dyDescent="0.4">
      <c r="A382" s="1" t="s">
        <v>2</v>
      </c>
      <c r="B382" s="24">
        <v>28232</v>
      </c>
      <c r="C382" s="24">
        <v>28514</v>
      </c>
      <c r="D382">
        <v>256</v>
      </c>
      <c r="E382" s="25">
        <v>29360</v>
      </c>
      <c r="F382" s="9">
        <v>846</v>
      </c>
      <c r="G382" s="10"/>
      <c r="H382" s="10"/>
      <c r="I382" s="10"/>
    </row>
    <row r="383" spans="1:10" x14ac:dyDescent="0.25">
      <c r="A383" s="51" t="s">
        <v>104</v>
      </c>
      <c r="B383" s="51"/>
      <c r="C383" s="51"/>
      <c r="D383" s="51"/>
      <c r="E383" s="51"/>
      <c r="H383">
        <f>F382/C382</f>
        <v>2.9669635968296276E-2</v>
      </c>
      <c r="I383" s="10"/>
    </row>
    <row r="384" spans="1:10" x14ac:dyDescent="0.25">
      <c r="A384" s="1"/>
      <c r="B384" s="2" t="s">
        <v>16</v>
      </c>
      <c r="C384" s="2" t="s">
        <v>19</v>
      </c>
      <c r="D384" s="2" t="s">
        <v>17</v>
      </c>
      <c r="E384" s="2" t="s">
        <v>18</v>
      </c>
      <c r="G384" s="10"/>
      <c r="I384">
        <f>E382-E373</f>
        <v>244</v>
      </c>
    </row>
    <row r="385" spans="1:10" ht="18" x14ac:dyDescent="0.4">
      <c r="A385" s="1" t="s">
        <v>1</v>
      </c>
      <c r="B385" s="24">
        <v>23284</v>
      </c>
      <c r="C385" s="4">
        <v>180</v>
      </c>
      <c r="D385" s="24">
        <v>7440200</v>
      </c>
      <c r="E385" s="5">
        <v>0.19</v>
      </c>
      <c r="F385" s="10"/>
      <c r="H385" s="10"/>
      <c r="I385" s="10"/>
    </row>
    <row r="386" spans="1:10" ht="18" x14ac:dyDescent="0.4">
      <c r="A386" s="1" t="s">
        <v>2</v>
      </c>
      <c r="B386" s="24">
        <v>28257</v>
      </c>
      <c r="C386" s="4">
        <v>273</v>
      </c>
      <c r="D386" s="24">
        <v>651200</v>
      </c>
      <c r="E386" s="5">
        <v>0.61</v>
      </c>
      <c r="G386" s="10"/>
      <c r="H386" s="10"/>
      <c r="J386" s="10"/>
    </row>
    <row r="387" spans="1:10" s="6" customFormat="1" x14ac:dyDescent="0.25"/>
    <row r="388" spans="1:10" x14ac:dyDescent="0.25">
      <c r="A388" s="51" t="s">
        <v>105</v>
      </c>
      <c r="B388" s="51"/>
      <c r="C388" s="51"/>
      <c r="D388" s="51"/>
      <c r="E388" s="51"/>
      <c r="F388" s="51"/>
    </row>
    <row r="389" spans="1:10" x14ac:dyDescent="0.25">
      <c r="A389" s="1"/>
      <c r="B389" s="2" t="s">
        <v>14</v>
      </c>
      <c r="C389" s="2" t="s">
        <v>15</v>
      </c>
      <c r="D389" s="2" t="s">
        <v>20</v>
      </c>
      <c r="E389" s="8" t="s">
        <v>21</v>
      </c>
      <c r="F389" s="8" t="s">
        <v>27</v>
      </c>
      <c r="G389">
        <f>F390/C390</f>
        <v>2.7608677012775442E-2</v>
      </c>
      <c r="H389">
        <f>E390-E381</f>
        <v>-10</v>
      </c>
    </row>
    <row r="390" spans="1:10" ht="18" x14ac:dyDescent="0.4">
      <c r="A390" s="1" t="s">
        <v>1</v>
      </c>
      <c r="B390" s="30">
        <v>23095</v>
      </c>
      <c r="C390" s="30">
        <v>23326</v>
      </c>
      <c r="D390">
        <v>-170</v>
      </c>
      <c r="E390" s="31">
        <v>23970</v>
      </c>
      <c r="F390" s="9">
        <v>644</v>
      </c>
      <c r="G390" s="10"/>
      <c r="H390" s="13"/>
      <c r="I390" s="10"/>
    </row>
    <row r="391" spans="1:10" ht="18" x14ac:dyDescent="0.4">
      <c r="A391" s="1" t="s">
        <v>2</v>
      </c>
      <c r="B391" s="30">
        <v>28074</v>
      </c>
      <c r="C391" s="30">
        <v>28355</v>
      </c>
      <c r="D391">
        <v>-159</v>
      </c>
      <c r="E391" s="31">
        <v>29055</v>
      </c>
      <c r="F391" s="9">
        <v>700</v>
      </c>
      <c r="G391" s="10"/>
      <c r="H391" s="10"/>
      <c r="I391" s="10"/>
    </row>
    <row r="392" spans="1:10" x14ac:dyDescent="0.25">
      <c r="A392" s="51" t="s">
        <v>106</v>
      </c>
      <c r="B392" s="51"/>
      <c r="C392" s="51"/>
      <c r="D392" s="51"/>
      <c r="E392" s="51"/>
      <c r="G392">
        <f>F391/C391</f>
        <v>2.4687004055722096E-2</v>
      </c>
      <c r="H392">
        <f>E391-E382</f>
        <v>-305</v>
      </c>
      <c r="I392" s="10"/>
    </row>
    <row r="393" spans="1:10" x14ac:dyDescent="0.25">
      <c r="A393" s="1"/>
      <c r="B393" s="2" t="s">
        <v>16</v>
      </c>
      <c r="C393" s="2" t="s">
        <v>19</v>
      </c>
      <c r="D393" s="2" t="s">
        <v>17</v>
      </c>
      <c r="E393" s="2" t="s">
        <v>18</v>
      </c>
      <c r="G393" s="10"/>
    </row>
    <row r="394" spans="1:10" ht="18" x14ac:dyDescent="0.4">
      <c r="A394" s="1" t="s">
        <v>1</v>
      </c>
      <c r="B394" s="30">
        <v>23157</v>
      </c>
      <c r="C394" s="4">
        <v>-127</v>
      </c>
      <c r="D394" s="30">
        <v>6911900</v>
      </c>
      <c r="E394" s="5">
        <v>-7.0000000000000007E-2</v>
      </c>
      <c r="F394" s="10"/>
      <c r="H394" s="10"/>
      <c r="I394" s="10"/>
    </row>
    <row r="395" spans="1:10" ht="18" x14ac:dyDescent="0.4">
      <c r="A395" s="1" t="s">
        <v>2</v>
      </c>
      <c r="B395" s="30">
        <v>28039</v>
      </c>
      <c r="C395" s="4">
        <v>-218</v>
      </c>
      <c r="D395" s="30">
        <v>1102700</v>
      </c>
      <c r="E395" s="5">
        <v>0.69</v>
      </c>
      <c r="G395" s="10"/>
      <c r="H395" s="10"/>
      <c r="J395" s="10"/>
    </row>
    <row r="396" spans="1:10" s="6" customFormat="1" x14ac:dyDescent="0.25"/>
    <row r="397" spans="1:10" x14ac:dyDescent="0.25">
      <c r="A397" s="51" t="s">
        <v>107</v>
      </c>
      <c r="B397" s="51"/>
      <c r="C397" s="51"/>
      <c r="D397" s="51"/>
      <c r="E397" s="51"/>
      <c r="F397" s="51"/>
      <c r="H397">
        <f>F399/C399</f>
        <v>1.6681599044327831E-2</v>
      </c>
    </row>
    <row r="398" spans="1:10" x14ac:dyDescent="0.25">
      <c r="A398" s="1"/>
      <c r="B398" s="2" t="s">
        <v>14</v>
      </c>
      <c r="C398" s="2" t="s">
        <v>15</v>
      </c>
      <c r="D398" s="2" t="s">
        <v>20</v>
      </c>
      <c r="E398" s="8" t="s">
        <v>21</v>
      </c>
      <c r="F398" s="8" t="s">
        <v>27</v>
      </c>
      <c r="I398">
        <v>-140</v>
      </c>
    </row>
    <row r="399" spans="1:10" ht="18" x14ac:dyDescent="0.4">
      <c r="A399" s="1" t="s">
        <v>1</v>
      </c>
      <c r="B399" s="22">
        <v>23207</v>
      </c>
      <c r="C399" s="22">
        <v>23439</v>
      </c>
      <c r="D399">
        <v>113</v>
      </c>
      <c r="E399" s="23">
        <v>23830</v>
      </c>
      <c r="F399" s="9">
        <v>391</v>
      </c>
      <c r="G399" s="10"/>
      <c r="H399" s="13"/>
      <c r="I399" s="10">
        <f>E400-E391</f>
        <v>56</v>
      </c>
    </row>
    <row r="400" spans="1:10" ht="18" x14ac:dyDescent="0.4">
      <c r="A400" s="1" t="s">
        <v>2</v>
      </c>
      <c r="B400" s="22">
        <v>28417</v>
      </c>
      <c r="C400" s="22">
        <v>28701</v>
      </c>
      <c r="D400">
        <v>346</v>
      </c>
      <c r="E400" s="23">
        <v>29111</v>
      </c>
      <c r="F400" s="9">
        <v>410</v>
      </c>
      <c r="G400" s="10"/>
      <c r="H400" s="10"/>
      <c r="I400" s="10"/>
    </row>
    <row r="401" spans="1:10" x14ac:dyDescent="0.25">
      <c r="A401" s="51" t="s">
        <v>108</v>
      </c>
      <c r="B401" s="51"/>
      <c r="C401" s="51"/>
      <c r="D401" s="51"/>
      <c r="E401" s="51"/>
      <c r="H401">
        <f>F400/C400</f>
        <v>1.4285216542977597E-2</v>
      </c>
      <c r="I401" s="10"/>
    </row>
    <row r="402" spans="1:10" x14ac:dyDescent="0.25">
      <c r="A402" s="1"/>
      <c r="B402" s="2" t="s">
        <v>16</v>
      </c>
      <c r="C402" s="2" t="s">
        <v>19</v>
      </c>
      <c r="D402" s="2" t="s">
        <v>17</v>
      </c>
      <c r="E402" s="2" t="s">
        <v>18</v>
      </c>
      <c r="G402" s="10"/>
    </row>
    <row r="403" spans="1:10" ht="18" x14ac:dyDescent="0.4">
      <c r="A403" s="1" t="s">
        <v>1</v>
      </c>
      <c r="B403" s="22">
        <v>23147</v>
      </c>
      <c r="C403" s="4">
        <v>-10</v>
      </c>
      <c r="D403" s="22">
        <v>5333300</v>
      </c>
      <c r="E403" s="5">
        <v>-0.23</v>
      </c>
      <c r="F403" s="10"/>
      <c r="H403" s="10"/>
      <c r="I403" s="10"/>
    </row>
    <row r="404" spans="1:10" ht="18" x14ac:dyDescent="0.4">
      <c r="A404" s="1" t="s">
        <v>2</v>
      </c>
      <c r="B404" s="22">
        <v>28310</v>
      </c>
      <c r="C404" s="4">
        <v>271</v>
      </c>
      <c r="D404" s="22">
        <v>323200</v>
      </c>
      <c r="E404" s="5">
        <v>-0.71</v>
      </c>
      <c r="G404" s="10"/>
      <c r="H404" s="10"/>
      <c r="J404" s="10"/>
    </row>
    <row r="405" spans="1:10" s="6" customFormat="1" x14ac:dyDescent="0.25"/>
    <row r="406" spans="1:10" x14ac:dyDescent="0.25">
      <c r="A406" s="51" t="s">
        <v>109</v>
      </c>
      <c r="B406" s="51"/>
      <c r="C406" s="51"/>
      <c r="D406" s="51"/>
      <c r="E406" s="51"/>
      <c r="F406" s="51"/>
      <c r="H406">
        <f>E408-E399</f>
        <v>150</v>
      </c>
    </row>
    <row r="407" spans="1:10" x14ac:dyDescent="0.25">
      <c r="A407" s="1"/>
      <c r="B407" s="2" t="s">
        <v>14</v>
      </c>
      <c r="C407" s="2" t="s">
        <v>15</v>
      </c>
      <c r="D407" s="2" t="s">
        <v>20</v>
      </c>
      <c r="E407" s="8" t="s">
        <v>21</v>
      </c>
      <c r="F407" s="8" t="s">
        <v>27</v>
      </c>
      <c r="G407">
        <f>F408/C408</f>
        <v>1.6791044776119403E-2</v>
      </c>
    </row>
    <row r="408" spans="1:10" ht="18" x14ac:dyDescent="0.4">
      <c r="A408" s="1" t="s">
        <v>1</v>
      </c>
      <c r="B408" s="32">
        <v>23351</v>
      </c>
      <c r="C408" s="32">
        <v>23584</v>
      </c>
      <c r="D408">
        <v>145</v>
      </c>
      <c r="E408" s="33">
        <v>23980</v>
      </c>
      <c r="F408" s="9">
        <v>396</v>
      </c>
      <c r="G408" s="10"/>
      <c r="H408" s="13"/>
      <c r="I408" s="10"/>
    </row>
    <row r="409" spans="1:10" ht="18" x14ac:dyDescent="0.4">
      <c r="A409" s="1" t="s">
        <v>2</v>
      </c>
      <c r="B409" s="32">
        <v>28450</v>
      </c>
      <c r="C409" s="32">
        <v>28734</v>
      </c>
      <c r="D409">
        <v>33</v>
      </c>
      <c r="E409" s="33">
        <v>29166</v>
      </c>
      <c r="F409" s="9">
        <v>432</v>
      </c>
      <c r="G409" s="10"/>
      <c r="H409" s="10"/>
      <c r="I409" s="10"/>
    </row>
    <row r="410" spans="1:10" x14ac:dyDescent="0.25">
      <c r="A410" s="51" t="s">
        <v>110</v>
      </c>
      <c r="B410" s="51"/>
      <c r="C410" s="51"/>
      <c r="D410" s="51"/>
      <c r="E410" s="51"/>
      <c r="G410">
        <f>F409/C409</f>
        <v>1.5034453956984757E-2</v>
      </c>
      <c r="I410" s="10"/>
    </row>
    <row r="411" spans="1:10" x14ac:dyDescent="0.25">
      <c r="A411" s="1"/>
      <c r="B411" s="2" t="s">
        <v>16</v>
      </c>
      <c r="C411" s="2" t="s">
        <v>19</v>
      </c>
      <c r="D411" s="2" t="s">
        <v>17</v>
      </c>
      <c r="E411" s="2" t="s">
        <v>18</v>
      </c>
      <c r="G411" s="10"/>
      <c r="H411">
        <f>E409-E400</f>
        <v>55</v>
      </c>
    </row>
    <row r="412" spans="1:10" ht="18" x14ac:dyDescent="0.4">
      <c r="A412" s="1" t="s">
        <v>1</v>
      </c>
      <c r="B412" s="32">
        <v>23363</v>
      </c>
      <c r="C412" s="4">
        <v>216</v>
      </c>
      <c r="D412" s="32">
        <v>7194800</v>
      </c>
      <c r="E412" s="5">
        <v>0.35</v>
      </c>
      <c r="F412" s="10"/>
      <c r="H412" s="10"/>
      <c r="I412" s="10"/>
    </row>
    <row r="413" spans="1:10" ht="18" x14ac:dyDescent="0.4">
      <c r="A413" s="1" t="s">
        <v>2</v>
      </c>
      <c r="B413" s="32">
        <v>28491</v>
      </c>
      <c r="C413" s="4">
        <v>181</v>
      </c>
      <c r="D413" s="32">
        <v>302000</v>
      </c>
      <c r="E413" s="5">
        <v>-7.0000000000000007E-2</v>
      </c>
      <c r="G413" s="10"/>
      <c r="H413" s="10"/>
      <c r="J413" s="10"/>
    </row>
    <row r="414" spans="1:10" s="6" customFormat="1" x14ac:dyDescent="0.25"/>
    <row r="415" spans="1:10" x14ac:dyDescent="0.25">
      <c r="A415" s="51" t="s">
        <v>111</v>
      </c>
      <c r="B415" s="51"/>
      <c r="C415" s="51"/>
      <c r="D415" s="51"/>
      <c r="E415" s="51"/>
      <c r="F415" s="51"/>
      <c r="G415">
        <f>F417/C417</f>
        <v>1.4874628134296642E-2</v>
      </c>
    </row>
    <row r="416" spans="1:10" x14ac:dyDescent="0.25">
      <c r="A416" s="1"/>
      <c r="B416" s="2" t="s">
        <v>14</v>
      </c>
      <c r="C416" s="2" t="s">
        <v>15</v>
      </c>
      <c r="D416" s="2" t="s">
        <v>20</v>
      </c>
      <c r="E416" s="8" t="s">
        <v>21</v>
      </c>
      <c r="F416" s="8" t="s">
        <v>27</v>
      </c>
      <c r="H416">
        <f>E417-E408</f>
        <v>-100</v>
      </c>
    </row>
    <row r="417" spans="1:10" ht="18" x14ac:dyDescent="0.4">
      <c r="A417" s="1" t="s">
        <v>1</v>
      </c>
      <c r="B417" s="24">
        <v>23298</v>
      </c>
      <c r="C417" s="24">
        <v>23530</v>
      </c>
      <c r="D417">
        <v>-54</v>
      </c>
      <c r="E417" s="25">
        <v>23880</v>
      </c>
      <c r="F417" s="9">
        <v>350</v>
      </c>
      <c r="G417" s="10"/>
      <c r="H417" s="13"/>
      <c r="I417" s="10"/>
    </row>
    <row r="418" spans="1:10" ht="18" x14ac:dyDescent="0.4">
      <c r="A418" s="1" t="s">
        <v>2</v>
      </c>
      <c r="B418" s="24">
        <v>28400</v>
      </c>
      <c r="C418" s="24">
        <v>28684</v>
      </c>
      <c r="D418">
        <v>-50</v>
      </c>
      <c r="E418" s="25">
        <v>29141</v>
      </c>
      <c r="F418" s="9">
        <v>457</v>
      </c>
      <c r="G418" s="10"/>
      <c r="H418" s="10">
        <f>E418-E409</f>
        <v>-25</v>
      </c>
      <c r="I418" s="10"/>
    </row>
    <row r="419" spans="1:10" x14ac:dyDescent="0.25">
      <c r="A419" s="51" t="s">
        <v>112</v>
      </c>
      <c r="B419" s="51"/>
      <c r="C419" s="51"/>
      <c r="D419" s="51"/>
      <c r="E419" s="51"/>
      <c r="G419">
        <f>F418/C418</f>
        <v>1.5932227025519455E-2</v>
      </c>
      <c r="I419" s="10"/>
    </row>
    <row r="420" spans="1:10" x14ac:dyDescent="0.25">
      <c r="A420" s="1"/>
      <c r="B420" s="2" t="s">
        <v>16</v>
      </c>
      <c r="C420" s="2" t="s">
        <v>19</v>
      </c>
      <c r="D420" s="2" t="s">
        <v>17</v>
      </c>
      <c r="E420" s="2" t="s">
        <v>18</v>
      </c>
      <c r="G420" s="10"/>
    </row>
    <row r="421" spans="1:10" ht="18" x14ac:dyDescent="0.4">
      <c r="A421" s="1" t="s">
        <v>1</v>
      </c>
      <c r="B421" s="24">
        <v>23284</v>
      </c>
      <c r="C421" s="4">
        <v>-79</v>
      </c>
      <c r="D421" s="24">
        <v>5780300</v>
      </c>
      <c r="E421" s="5">
        <v>-0.2</v>
      </c>
      <c r="F421" s="10"/>
      <c r="H421" s="10"/>
      <c r="I421" s="10"/>
    </row>
    <row r="422" spans="1:10" ht="18" x14ac:dyDescent="0.4">
      <c r="A422" s="1" t="s">
        <v>2</v>
      </c>
      <c r="B422" s="24">
        <v>28488</v>
      </c>
      <c r="C422" s="4">
        <v>-3</v>
      </c>
      <c r="D422" s="24">
        <v>224200</v>
      </c>
      <c r="E422" s="5">
        <v>-0.26</v>
      </c>
      <c r="G422" s="10"/>
      <c r="H422" s="10"/>
      <c r="J422" s="10"/>
    </row>
    <row r="423" spans="1:10" s="6" customFormat="1" x14ac:dyDescent="0.25"/>
    <row r="424" spans="1:10" x14ac:dyDescent="0.25">
      <c r="A424" s="51" t="s">
        <v>113</v>
      </c>
      <c r="B424" s="51"/>
      <c r="C424" s="51"/>
      <c r="D424" s="51"/>
      <c r="E424" s="51"/>
      <c r="F424" s="51"/>
      <c r="I424">
        <f>E426-E417</f>
        <v>300</v>
      </c>
    </row>
    <row r="425" spans="1:10" x14ac:dyDescent="0.25">
      <c r="A425" s="1"/>
      <c r="B425" s="2" t="s">
        <v>14</v>
      </c>
      <c r="C425" s="2" t="s">
        <v>15</v>
      </c>
      <c r="D425" s="2" t="s">
        <v>20</v>
      </c>
      <c r="E425" s="8" t="s">
        <v>21</v>
      </c>
      <c r="F425" s="8" t="s">
        <v>27</v>
      </c>
      <c r="H425">
        <f>F426/C426</f>
        <v>2.5662778366914104E-2</v>
      </c>
    </row>
    <row r="426" spans="1:10" ht="18" x14ac:dyDescent="0.4">
      <c r="A426" s="1" t="s">
        <v>1</v>
      </c>
      <c r="B426" s="24">
        <v>23341</v>
      </c>
      <c r="C426" s="24">
        <v>23575</v>
      </c>
      <c r="D426">
        <v>45</v>
      </c>
      <c r="E426" s="25">
        <v>24180</v>
      </c>
      <c r="F426" s="9">
        <v>605</v>
      </c>
      <c r="G426" s="10"/>
      <c r="H426" s="13"/>
      <c r="I426" s="10"/>
    </row>
    <row r="427" spans="1:10" ht="18" x14ac:dyDescent="0.4">
      <c r="A427" s="1" t="s">
        <v>2</v>
      </c>
      <c r="B427" s="24">
        <v>28450</v>
      </c>
      <c r="C427" s="24">
        <v>28734</v>
      </c>
      <c r="D427">
        <v>50</v>
      </c>
      <c r="E427" s="25">
        <v>29307</v>
      </c>
      <c r="F427" s="9">
        <v>573</v>
      </c>
      <c r="G427" s="10"/>
      <c r="H427" s="10"/>
      <c r="I427" s="10"/>
    </row>
    <row r="428" spans="1:10" x14ac:dyDescent="0.25">
      <c r="A428" s="51" t="s">
        <v>114</v>
      </c>
      <c r="B428" s="51"/>
      <c r="C428" s="51"/>
      <c r="D428" s="51"/>
      <c r="E428" s="51"/>
      <c r="I428" s="10"/>
    </row>
    <row r="429" spans="1:10" x14ac:dyDescent="0.25">
      <c r="A429" s="1"/>
      <c r="B429" s="2" t="s">
        <v>16</v>
      </c>
      <c r="C429" s="2" t="s">
        <v>19</v>
      </c>
      <c r="D429" s="2" t="s">
        <v>17</v>
      </c>
      <c r="E429" s="2" t="s">
        <v>18</v>
      </c>
      <c r="G429" s="10"/>
      <c r="H429">
        <f>F427/C427</f>
        <v>1.994153267905617E-2</v>
      </c>
    </row>
    <row r="430" spans="1:10" ht="18" x14ac:dyDescent="0.4">
      <c r="A430" s="1" t="s">
        <v>1</v>
      </c>
      <c r="B430" s="24">
        <v>23364</v>
      </c>
      <c r="C430" s="4">
        <v>80</v>
      </c>
      <c r="D430" s="24">
        <v>8986900</v>
      </c>
      <c r="E430" s="5">
        <v>0.55000000000000004</v>
      </c>
      <c r="F430" s="10"/>
      <c r="H430" s="10"/>
      <c r="I430" s="10">
        <f>E427-E418</f>
        <v>166</v>
      </c>
    </row>
    <row r="431" spans="1:10" ht="18" x14ac:dyDescent="0.4">
      <c r="A431" s="1" t="s">
        <v>2</v>
      </c>
      <c r="B431" s="24">
        <v>28483</v>
      </c>
      <c r="C431" s="4">
        <v>-5</v>
      </c>
      <c r="D431" s="24">
        <v>206000</v>
      </c>
      <c r="E431" s="5">
        <v>-0.08</v>
      </c>
      <c r="G431" s="10"/>
      <c r="H431" s="10"/>
      <c r="J431" s="10"/>
    </row>
    <row r="432" spans="1:10" s="6" customFormat="1" x14ac:dyDescent="0.25"/>
    <row r="433" spans="1:10" x14ac:dyDescent="0.25">
      <c r="A433" s="51" t="s">
        <v>115</v>
      </c>
      <c r="B433" s="51"/>
      <c r="C433" s="51"/>
      <c r="D433" s="51"/>
      <c r="E433" s="51"/>
      <c r="F433" s="51"/>
      <c r="G433">
        <f>F435/C435</f>
        <v>1.7408615358549706E-2</v>
      </c>
    </row>
    <row r="434" spans="1:10" x14ac:dyDescent="0.25">
      <c r="A434" s="1"/>
      <c r="B434" s="2" t="s">
        <v>14</v>
      </c>
      <c r="C434" s="2" t="s">
        <v>15</v>
      </c>
      <c r="D434" s="2" t="s">
        <v>20</v>
      </c>
      <c r="E434" s="8" t="s">
        <v>21</v>
      </c>
      <c r="F434" s="8" t="s">
        <v>27</v>
      </c>
      <c r="H434">
        <f>E435-E426</f>
        <v>-160</v>
      </c>
    </row>
    <row r="435" spans="1:10" ht="18" x14ac:dyDescent="0.4">
      <c r="A435" s="1" t="s">
        <v>1</v>
      </c>
      <c r="B435" s="24">
        <v>23375</v>
      </c>
      <c r="C435" s="24">
        <v>23609</v>
      </c>
      <c r="D435">
        <v>34</v>
      </c>
      <c r="E435" s="25">
        <v>24020</v>
      </c>
      <c r="F435" s="9">
        <v>411</v>
      </c>
      <c r="G435" s="10"/>
      <c r="H435" s="13"/>
      <c r="I435" s="10"/>
    </row>
    <row r="436" spans="1:10" ht="18" x14ac:dyDescent="0.4">
      <c r="A436" s="1" t="s">
        <v>2</v>
      </c>
      <c r="B436" s="24">
        <v>28670</v>
      </c>
      <c r="C436" s="24">
        <v>28957</v>
      </c>
      <c r="D436">
        <v>223</v>
      </c>
      <c r="E436" s="25">
        <v>29231</v>
      </c>
      <c r="F436" s="9">
        <v>274</v>
      </c>
      <c r="G436" s="10"/>
      <c r="H436" s="10"/>
      <c r="I436" s="10"/>
    </row>
    <row r="437" spans="1:10" x14ac:dyDescent="0.25">
      <c r="A437" s="51" t="s">
        <v>116</v>
      </c>
      <c r="B437" s="51"/>
      <c r="C437" s="51"/>
      <c r="D437" s="51"/>
      <c r="E437" s="51"/>
      <c r="G437">
        <f>F436/C436</f>
        <v>9.4623061781261876E-3</v>
      </c>
      <c r="I437" s="10"/>
    </row>
    <row r="438" spans="1:10" x14ac:dyDescent="0.25">
      <c r="A438" s="1"/>
      <c r="B438" s="2" t="s">
        <v>16</v>
      </c>
      <c r="C438" s="2" t="s">
        <v>19</v>
      </c>
      <c r="D438" s="2" t="s">
        <v>17</v>
      </c>
      <c r="E438" s="2" t="s">
        <v>18</v>
      </c>
      <c r="G438" s="10"/>
      <c r="H438">
        <f>E436-E427</f>
        <v>-76</v>
      </c>
    </row>
    <row r="439" spans="1:10" ht="18" x14ac:dyDescent="0.4">
      <c r="A439" s="1" t="s">
        <v>1</v>
      </c>
      <c r="B439" s="24">
        <v>23364</v>
      </c>
      <c r="C439" s="4">
        <v>0</v>
      </c>
      <c r="D439" s="24">
        <v>4261300</v>
      </c>
      <c r="E439" s="5">
        <v>-0.53</v>
      </c>
      <c r="F439" s="10"/>
      <c r="H439" s="10"/>
      <c r="I439" s="10"/>
    </row>
    <row r="440" spans="1:10" ht="18" x14ac:dyDescent="0.4">
      <c r="A440" s="1" t="s">
        <v>2</v>
      </c>
      <c r="B440" s="24">
        <v>28655</v>
      </c>
      <c r="C440" s="4">
        <v>172</v>
      </c>
      <c r="D440" s="24">
        <v>71000</v>
      </c>
      <c r="E440" s="5">
        <v>-0.66</v>
      </c>
      <c r="G440" s="10"/>
      <c r="H440" s="10"/>
      <c r="J440" s="10"/>
    </row>
    <row r="441" spans="1:10" s="6" customFormat="1" x14ac:dyDescent="0.25"/>
    <row r="442" spans="1:10" x14ac:dyDescent="0.25">
      <c r="A442" s="51" t="s">
        <v>117</v>
      </c>
      <c r="B442" s="51"/>
      <c r="C442" s="51"/>
      <c r="D442" s="51"/>
      <c r="E442" s="51"/>
      <c r="F442" s="51"/>
      <c r="G442">
        <f>F444/C444</f>
        <v>1.0817975798520545E-2</v>
      </c>
    </row>
    <row r="443" spans="1:10" x14ac:dyDescent="0.25">
      <c r="A443" s="1"/>
      <c r="B443" s="2" t="s">
        <v>14</v>
      </c>
      <c r="C443" s="2" t="s">
        <v>15</v>
      </c>
      <c r="D443" s="2" t="s">
        <v>20</v>
      </c>
      <c r="E443" s="8" t="s">
        <v>21</v>
      </c>
      <c r="F443" s="8" t="s">
        <v>27</v>
      </c>
      <c r="H443">
        <f>E444-E435</f>
        <v>-380</v>
      </c>
    </row>
    <row r="444" spans="1:10" ht="18" x14ac:dyDescent="0.4">
      <c r="A444" s="1" t="s">
        <v>1</v>
      </c>
      <c r="B444" s="22">
        <v>23156</v>
      </c>
      <c r="C444" s="22">
        <v>23387</v>
      </c>
      <c r="D444">
        <v>-222</v>
      </c>
      <c r="E444" s="23">
        <v>23640</v>
      </c>
      <c r="F444" s="9">
        <f>E444-C444</f>
        <v>253</v>
      </c>
      <c r="G444" s="10"/>
      <c r="H444" s="13"/>
      <c r="I444" s="10"/>
    </row>
    <row r="445" spans="1:10" ht="18" x14ac:dyDescent="0.4">
      <c r="A445" s="1" t="s">
        <v>2</v>
      </c>
      <c r="B445" s="22">
        <v>27862</v>
      </c>
      <c r="C445" s="22">
        <v>28140</v>
      </c>
      <c r="D445">
        <v>-817</v>
      </c>
      <c r="E445" s="23">
        <v>28601</v>
      </c>
      <c r="F445" s="9">
        <f>E445-C445</f>
        <v>461</v>
      </c>
      <c r="G445" s="10"/>
      <c r="H445" s="10">
        <f>E445-E436</f>
        <v>-630</v>
      </c>
      <c r="I445" s="10"/>
    </row>
    <row r="446" spans="1:10" x14ac:dyDescent="0.25">
      <c r="A446" s="51" t="s">
        <v>118</v>
      </c>
      <c r="B446" s="51"/>
      <c r="C446" s="51"/>
      <c r="D446" s="51"/>
      <c r="E446" s="51"/>
      <c r="G446">
        <f>F445/C445</f>
        <v>1.6382373845060413E-2</v>
      </c>
      <c r="I446" s="10"/>
    </row>
    <row r="447" spans="1:10" x14ac:dyDescent="0.25">
      <c r="A447" s="1"/>
      <c r="B447" s="2" t="s">
        <v>16</v>
      </c>
      <c r="C447" s="2" t="s">
        <v>19</v>
      </c>
      <c r="D447" s="2" t="s">
        <v>17</v>
      </c>
      <c r="E447" s="2" t="s">
        <v>18</v>
      </c>
      <c r="G447" s="10"/>
    </row>
    <row r="448" spans="1:10" ht="18" x14ac:dyDescent="0.4">
      <c r="A448" s="1" t="s">
        <v>1</v>
      </c>
      <c r="B448" s="22">
        <v>23063</v>
      </c>
      <c r="C448" s="4">
        <v>-301</v>
      </c>
      <c r="D448" s="22">
        <v>4665200</v>
      </c>
      <c r="E448" s="5">
        <v>0.09</v>
      </c>
      <c r="F448" s="10"/>
      <c r="H448" s="10"/>
      <c r="I448" s="10"/>
    </row>
    <row r="449" spans="1:10" ht="18" x14ac:dyDescent="0.4">
      <c r="A449" s="1" t="s">
        <v>2</v>
      </c>
      <c r="B449" s="22">
        <v>27891</v>
      </c>
      <c r="C449" s="4">
        <v>-764</v>
      </c>
      <c r="D449" s="22">
        <v>867600</v>
      </c>
      <c r="E449" s="5">
        <v>11.22</v>
      </c>
      <c r="G449" s="10"/>
      <c r="H449" s="10"/>
      <c r="J449" s="10"/>
    </row>
    <row r="450" spans="1:10" s="6" customFormat="1" x14ac:dyDescent="0.25"/>
    <row r="451" spans="1:10" x14ac:dyDescent="0.25">
      <c r="A451" s="51" t="s">
        <v>119</v>
      </c>
      <c r="B451" s="51"/>
      <c r="C451" s="51"/>
      <c r="D451" s="51"/>
      <c r="E451" s="51"/>
      <c r="F451" s="51"/>
      <c r="G451">
        <f>F453/C453</f>
        <v>1.8699532511687208E-2</v>
      </c>
      <c r="H451">
        <f>E453-E444</f>
        <v>330</v>
      </c>
    </row>
    <row r="452" spans="1:10" x14ac:dyDescent="0.25">
      <c r="A452" s="1"/>
      <c r="B452" s="2" t="s">
        <v>14</v>
      </c>
      <c r="C452" s="2" t="s">
        <v>15</v>
      </c>
      <c r="D452" s="2" t="s">
        <v>20</v>
      </c>
      <c r="E452" s="8" t="s">
        <v>21</v>
      </c>
      <c r="F452" s="8" t="s">
        <v>27</v>
      </c>
    </row>
    <row r="453" spans="1:10" ht="18" x14ac:dyDescent="0.4">
      <c r="A453" s="1" t="s">
        <v>1</v>
      </c>
      <c r="B453" s="22">
        <v>23297</v>
      </c>
      <c r="C453" s="23">
        <v>23530</v>
      </c>
      <c r="D453">
        <v>143</v>
      </c>
      <c r="E453" s="23">
        <v>23970</v>
      </c>
      <c r="F453" s="9">
        <v>440</v>
      </c>
      <c r="G453" s="10"/>
      <c r="H453" s="13"/>
      <c r="I453" s="10"/>
    </row>
    <row r="454" spans="1:10" ht="18" x14ac:dyDescent="0.4">
      <c r="A454" s="1" t="s">
        <v>2</v>
      </c>
      <c r="B454" s="22">
        <v>28426</v>
      </c>
      <c r="C454" s="23">
        <v>28710</v>
      </c>
      <c r="D454">
        <v>570</v>
      </c>
      <c r="E454" s="23">
        <v>28952</v>
      </c>
      <c r="F454" s="9">
        <v>242</v>
      </c>
      <c r="G454" s="10"/>
      <c r="H454" s="10"/>
      <c r="I454" s="10"/>
    </row>
    <row r="455" spans="1:10" x14ac:dyDescent="0.25">
      <c r="A455" s="51" t="s">
        <v>120</v>
      </c>
      <c r="B455" s="51"/>
      <c r="C455" s="51"/>
      <c r="D455" s="51"/>
      <c r="E455" s="51"/>
      <c r="G455">
        <f>F454/C454</f>
        <v>8.4291187739463595E-3</v>
      </c>
      <c r="I455" s="10"/>
    </row>
    <row r="456" spans="1:10" x14ac:dyDescent="0.25">
      <c r="A456" s="1"/>
      <c r="B456" s="2" t="s">
        <v>16</v>
      </c>
      <c r="C456" s="2" t="s">
        <v>19</v>
      </c>
      <c r="D456" s="2" t="s">
        <v>17</v>
      </c>
      <c r="E456" s="2" t="s">
        <v>18</v>
      </c>
      <c r="G456" s="10"/>
    </row>
    <row r="457" spans="1:10" ht="18" x14ac:dyDescent="0.4">
      <c r="A457" s="1" t="s">
        <v>1</v>
      </c>
      <c r="B457" s="22">
        <v>23280</v>
      </c>
      <c r="C457" s="4">
        <v>217</v>
      </c>
      <c r="D457" s="22">
        <v>8774900</v>
      </c>
      <c r="E457" s="5">
        <v>0.88</v>
      </c>
      <c r="F457" s="10"/>
      <c r="H457" s="10">
        <f>E454-E445</f>
        <v>351</v>
      </c>
      <c r="I457" s="10"/>
    </row>
    <row r="458" spans="1:10" ht="18" x14ac:dyDescent="0.4">
      <c r="A458" s="1" t="s">
        <v>2</v>
      </c>
      <c r="B458" s="22">
        <v>28358</v>
      </c>
      <c r="C458" s="4">
        <v>467</v>
      </c>
      <c r="D458" s="22">
        <v>322400</v>
      </c>
      <c r="E458" s="5">
        <v>-0.63</v>
      </c>
      <c r="G458" s="10"/>
      <c r="H458" s="10"/>
      <c r="J458" s="10"/>
    </row>
    <row r="459" spans="1:10" s="6" customFormat="1" x14ac:dyDescent="0.25"/>
    <row r="460" spans="1:10" x14ac:dyDescent="0.25">
      <c r="A460" s="51" t="s">
        <v>121</v>
      </c>
      <c r="B460" s="51"/>
      <c r="C460" s="51"/>
      <c r="D460" s="51"/>
      <c r="E460" s="51"/>
      <c r="F460" s="51"/>
      <c r="G460">
        <f>F462/C462</f>
        <v>1.5754384474924624E-2</v>
      </c>
    </row>
    <row r="461" spans="1:10" x14ac:dyDescent="0.25">
      <c r="A461" s="1"/>
      <c r="B461" s="2" t="s">
        <v>14</v>
      </c>
      <c r="C461" s="2" t="s">
        <v>15</v>
      </c>
      <c r="D461" s="2" t="s">
        <v>20</v>
      </c>
      <c r="E461" s="8" t="s">
        <v>21</v>
      </c>
      <c r="F461" s="8" t="s">
        <v>27</v>
      </c>
      <c r="H461">
        <f>E462-E453</f>
        <v>-50</v>
      </c>
    </row>
    <row r="462" spans="1:10" ht="18" x14ac:dyDescent="0.4">
      <c r="A462" s="1" t="s">
        <v>1</v>
      </c>
      <c r="B462" s="30">
        <v>23316</v>
      </c>
      <c r="C462" s="31">
        <v>23549</v>
      </c>
      <c r="D462">
        <v>19</v>
      </c>
      <c r="E462" s="31">
        <v>23920</v>
      </c>
      <c r="F462" s="9">
        <v>371</v>
      </c>
      <c r="G462" s="10"/>
      <c r="H462" s="13"/>
      <c r="I462" s="10"/>
    </row>
    <row r="463" spans="1:10" ht="18" x14ac:dyDescent="0.4">
      <c r="A463" s="1" t="s">
        <v>2</v>
      </c>
      <c r="B463" s="30">
        <v>28110</v>
      </c>
      <c r="C463" s="31">
        <v>28391</v>
      </c>
      <c r="D463">
        <v>-319</v>
      </c>
      <c r="E463" s="31">
        <v>29100</v>
      </c>
      <c r="F463" s="9">
        <v>709</v>
      </c>
      <c r="G463" s="10"/>
      <c r="H463" s="10"/>
      <c r="I463" s="10"/>
    </row>
    <row r="464" spans="1:10" x14ac:dyDescent="0.25">
      <c r="A464" s="51" t="s">
        <v>122</v>
      </c>
      <c r="B464" s="51"/>
      <c r="C464" s="51"/>
      <c r="D464" s="51"/>
      <c r="E464" s="51"/>
      <c r="G464">
        <f>F463/C463</f>
        <v>2.4972702617026523E-2</v>
      </c>
      <c r="I464" s="10"/>
    </row>
    <row r="465" spans="1:10" x14ac:dyDescent="0.25">
      <c r="A465" s="1"/>
      <c r="B465" s="2" t="s">
        <v>16</v>
      </c>
      <c r="C465" s="2" t="s">
        <v>19</v>
      </c>
      <c r="D465" s="2" t="s">
        <v>17</v>
      </c>
      <c r="E465" s="2" t="s">
        <v>18</v>
      </c>
      <c r="G465" s="10"/>
      <c r="H465">
        <f>E463-E454</f>
        <v>148</v>
      </c>
    </row>
    <row r="466" spans="1:10" ht="18" x14ac:dyDescent="0.4">
      <c r="A466" s="1" t="s">
        <v>1</v>
      </c>
      <c r="B466" s="30">
        <v>23361</v>
      </c>
      <c r="C466" s="4">
        <v>81</v>
      </c>
      <c r="D466" s="30">
        <v>5852700</v>
      </c>
      <c r="E466" s="5">
        <v>-0.33</v>
      </c>
      <c r="F466" s="10"/>
      <c r="H466" s="10"/>
      <c r="I466" s="10"/>
    </row>
    <row r="467" spans="1:10" ht="18" x14ac:dyDescent="0.4">
      <c r="A467" s="1" t="s">
        <v>2</v>
      </c>
      <c r="B467" s="30">
        <v>28243</v>
      </c>
      <c r="C467" s="4">
        <v>-115</v>
      </c>
      <c r="D467" s="30">
        <v>894900</v>
      </c>
      <c r="E467" s="5">
        <v>1.78</v>
      </c>
      <c r="G467" s="10"/>
      <c r="H467" s="10"/>
      <c r="J467" s="10"/>
    </row>
    <row r="468" spans="1:10" s="6" customFormat="1" x14ac:dyDescent="0.25"/>
    <row r="469" spans="1:10" x14ac:dyDescent="0.25">
      <c r="A469" s="51" t="s">
        <v>123</v>
      </c>
      <c r="B469" s="51"/>
      <c r="C469" s="51"/>
      <c r="D469" s="51"/>
      <c r="E469" s="51"/>
      <c r="F469" s="51"/>
      <c r="H469">
        <f>E471-E462</f>
        <v>120</v>
      </c>
    </row>
    <row r="470" spans="1:10" x14ac:dyDescent="0.25">
      <c r="A470" s="1"/>
      <c r="B470" s="2" t="s">
        <v>14</v>
      </c>
      <c r="C470" s="2" t="s">
        <v>15</v>
      </c>
      <c r="D470" s="2" t="s">
        <v>20</v>
      </c>
      <c r="E470" s="8" t="s">
        <v>21</v>
      </c>
      <c r="F470" s="8" t="s">
        <v>27</v>
      </c>
      <c r="G470">
        <f>F471/C471</f>
        <v>1.9594537280515734E-2</v>
      </c>
    </row>
    <row r="471" spans="1:10" ht="18" x14ac:dyDescent="0.4">
      <c r="A471" s="1" t="s">
        <v>1</v>
      </c>
      <c r="B471" s="20">
        <v>23345</v>
      </c>
      <c r="C471" s="21">
        <v>23578</v>
      </c>
      <c r="D471">
        <v>29</v>
      </c>
      <c r="E471" s="21">
        <v>24040</v>
      </c>
      <c r="F471" s="9">
        <v>462</v>
      </c>
      <c r="G471" s="10"/>
      <c r="H471" s="13"/>
      <c r="I471" s="10"/>
    </row>
    <row r="472" spans="1:10" ht="18" x14ac:dyDescent="0.4">
      <c r="A472" s="1" t="s">
        <v>2</v>
      </c>
      <c r="B472" s="20">
        <v>28025</v>
      </c>
      <c r="C472" s="21">
        <v>28305</v>
      </c>
      <c r="D472">
        <v>-86</v>
      </c>
      <c r="E472" s="21">
        <v>29055</v>
      </c>
      <c r="F472" s="9">
        <v>750</v>
      </c>
      <c r="G472" s="10"/>
      <c r="H472" s="10"/>
      <c r="I472" s="10"/>
    </row>
    <row r="473" spans="1:10" x14ac:dyDescent="0.25">
      <c r="A473" s="51" t="s">
        <v>124</v>
      </c>
      <c r="B473" s="51"/>
      <c r="C473" s="51"/>
      <c r="D473" s="51"/>
      <c r="E473" s="51"/>
      <c r="G473">
        <f>F472/C472</f>
        <v>2.6497085320614733E-2</v>
      </c>
      <c r="I473" s="10"/>
    </row>
    <row r="474" spans="1:10" x14ac:dyDescent="0.25">
      <c r="A474" s="1"/>
      <c r="B474" s="2" t="s">
        <v>16</v>
      </c>
      <c r="C474" s="2" t="s">
        <v>19</v>
      </c>
      <c r="D474" s="2" t="s">
        <v>17</v>
      </c>
      <c r="E474" s="2" t="s">
        <v>18</v>
      </c>
      <c r="G474" s="10"/>
      <c r="H474">
        <f>E472-E463</f>
        <v>-45</v>
      </c>
    </row>
    <row r="475" spans="1:10" ht="18" x14ac:dyDescent="0.4">
      <c r="A475" s="1" t="s">
        <v>1</v>
      </c>
      <c r="B475" s="20">
        <v>23346</v>
      </c>
      <c r="C475" s="4">
        <v>-15</v>
      </c>
      <c r="D475" s="20">
        <v>7357400</v>
      </c>
      <c r="E475" s="5">
        <v>0.26</v>
      </c>
      <c r="F475" s="10"/>
      <c r="H475" s="10"/>
      <c r="I475" s="10"/>
    </row>
    <row r="476" spans="1:10" ht="18" x14ac:dyDescent="0.4">
      <c r="A476" s="1" t="s">
        <v>2</v>
      </c>
      <c r="B476" s="20">
        <v>28129</v>
      </c>
      <c r="C476" s="4">
        <v>-114</v>
      </c>
      <c r="D476" s="20">
        <v>1531000</v>
      </c>
      <c r="E476" s="5">
        <v>0.71</v>
      </c>
      <c r="G476" s="10"/>
      <c r="H476" s="10"/>
      <c r="J476" s="10"/>
    </row>
    <row r="477" spans="1:10" s="6" customFormat="1" x14ac:dyDescent="0.25"/>
    <row r="478" spans="1:10" x14ac:dyDescent="0.25">
      <c r="A478" s="51" t="s">
        <v>125</v>
      </c>
      <c r="B478" s="51"/>
      <c r="C478" s="51"/>
      <c r="D478" s="51"/>
      <c r="E478" s="51"/>
      <c r="F478" s="51"/>
      <c r="G478">
        <f>F480/C480</f>
        <v>2.2910479422995334E-2</v>
      </c>
    </row>
    <row r="479" spans="1:10" x14ac:dyDescent="0.25">
      <c r="A479" s="1"/>
      <c r="B479" s="2" t="s">
        <v>14</v>
      </c>
      <c r="C479" s="2" t="s">
        <v>15</v>
      </c>
      <c r="D479" s="2" t="s">
        <v>20</v>
      </c>
      <c r="E479" s="8" t="s">
        <v>21</v>
      </c>
      <c r="F479" s="8" t="s">
        <v>27</v>
      </c>
      <c r="H479">
        <f>E480-E471</f>
        <v>70</v>
      </c>
    </row>
    <row r="480" spans="1:10" ht="18" x14ac:dyDescent="0.4">
      <c r="A480" s="1" t="s">
        <v>1</v>
      </c>
      <c r="B480" s="30">
        <v>23337</v>
      </c>
      <c r="C480" s="31">
        <v>23570</v>
      </c>
      <c r="D480">
        <v>-8</v>
      </c>
      <c r="E480" s="31">
        <v>24110</v>
      </c>
      <c r="F480" s="9">
        <v>540</v>
      </c>
      <c r="G480" s="10"/>
      <c r="H480" s="13"/>
      <c r="I480" s="10"/>
    </row>
    <row r="481" spans="1:10" ht="18" x14ac:dyDescent="0.4">
      <c r="A481" s="1" t="s">
        <v>2</v>
      </c>
      <c r="B481" s="30">
        <v>28360</v>
      </c>
      <c r="C481" s="31">
        <v>28643</v>
      </c>
      <c r="D481">
        <v>338</v>
      </c>
      <c r="E481" s="31">
        <v>29095</v>
      </c>
      <c r="F481" s="9">
        <v>452</v>
      </c>
      <c r="G481" s="10"/>
      <c r="H481" s="10"/>
      <c r="I481" s="10"/>
    </row>
    <row r="482" spans="1:10" x14ac:dyDescent="0.25">
      <c r="A482" s="51" t="s">
        <v>126</v>
      </c>
      <c r="B482" s="51"/>
      <c r="C482" s="51"/>
      <c r="D482" s="51"/>
      <c r="E482" s="51"/>
      <c r="F482" s="34"/>
      <c r="G482">
        <f>F481/C481</f>
        <v>1.5780469922843279E-2</v>
      </c>
      <c r="I482" s="10"/>
    </row>
    <row r="483" spans="1:10" x14ac:dyDescent="0.25">
      <c r="A483" s="1"/>
      <c r="B483" s="2" t="s">
        <v>16</v>
      </c>
      <c r="C483" s="2" t="s">
        <v>19</v>
      </c>
      <c r="D483" s="2" t="s">
        <v>17</v>
      </c>
      <c r="E483" s="2" t="s">
        <v>18</v>
      </c>
      <c r="F483" s="35"/>
      <c r="G483" s="10"/>
      <c r="H483">
        <f>E481-E472</f>
        <v>40</v>
      </c>
    </row>
    <row r="484" spans="1:10" ht="18" x14ac:dyDescent="0.4">
      <c r="A484" s="1" t="s">
        <v>1</v>
      </c>
      <c r="B484" s="30">
        <v>23385</v>
      </c>
      <c r="C484" s="4">
        <v>39</v>
      </c>
      <c r="D484" s="30">
        <v>8859500</v>
      </c>
      <c r="E484" s="5">
        <v>0.2</v>
      </c>
      <c r="F484" s="35"/>
      <c r="H484" s="10"/>
      <c r="I484" s="10"/>
    </row>
    <row r="485" spans="1:10" ht="20.25" customHeight="1" x14ac:dyDescent="0.4">
      <c r="A485" s="1" t="s">
        <v>2</v>
      </c>
      <c r="B485" s="30">
        <v>28342</v>
      </c>
      <c r="C485" s="4">
        <v>213</v>
      </c>
      <c r="D485" s="30">
        <v>853300</v>
      </c>
      <c r="E485" s="5">
        <v>-0.44</v>
      </c>
      <c r="F485" s="35"/>
      <c r="G485" s="10"/>
      <c r="H485" s="10"/>
      <c r="J485" s="10"/>
    </row>
    <row r="486" spans="1:10" s="6" customFormat="1" x14ac:dyDescent="0.25"/>
    <row r="487" spans="1:10" x14ac:dyDescent="0.25">
      <c r="A487" s="51" t="s">
        <v>127</v>
      </c>
      <c r="B487" s="51"/>
      <c r="C487" s="51"/>
      <c r="D487" s="51"/>
      <c r="E487" s="51"/>
      <c r="F487" s="51"/>
      <c r="I487">
        <f>E489-E480</f>
        <v>230</v>
      </c>
    </row>
    <row r="488" spans="1:10" x14ac:dyDescent="0.25">
      <c r="A488" s="1"/>
      <c r="B488" s="2" t="s">
        <v>14</v>
      </c>
      <c r="C488" s="2" t="s">
        <v>15</v>
      </c>
      <c r="D488" s="2" t="s">
        <v>20</v>
      </c>
      <c r="E488" s="8" t="s">
        <v>21</v>
      </c>
      <c r="F488" s="8" t="s">
        <v>27</v>
      </c>
      <c r="H488">
        <f>F489/C489</f>
        <v>2.6571067060312106E-2</v>
      </c>
    </row>
    <row r="489" spans="1:10" ht="18" x14ac:dyDescent="0.4">
      <c r="A489" s="1" t="s">
        <v>1</v>
      </c>
      <c r="B489" s="30">
        <v>23475</v>
      </c>
      <c r="C489" s="31">
        <v>23710</v>
      </c>
      <c r="D489">
        <v>140</v>
      </c>
      <c r="E489" s="31">
        <v>24340</v>
      </c>
      <c r="F489" s="9">
        <v>630</v>
      </c>
      <c r="G489" s="10"/>
      <c r="H489" s="13"/>
      <c r="I489" s="10"/>
    </row>
    <row r="490" spans="1:10" ht="18" x14ac:dyDescent="0.4">
      <c r="A490" s="1" t="s">
        <v>2</v>
      </c>
      <c r="B490" s="30">
        <v>28556</v>
      </c>
      <c r="C490" s="31">
        <v>28842</v>
      </c>
      <c r="D490">
        <v>199</v>
      </c>
      <c r="E490" s="31">
        <v>29223</v>
      </c>
      <c r="F490" s="9">
        <v>381</v>
      </c>
      <c r="G490" s="10"/>
      <c r="H490" s="10"/>
      <c r="I490" s="10"/>
    </row>
    <row r="491" spans="1:10" x14ac:dyDescent="0.25">
      <c r="A491" s="51" t="s">
        <v>130</v>
      </c>
      <c r="B491" s="51"/>
      <c r="C491" s="51"/>
      <c r="D491" s="51"/>
      <c r="E491" s="51"/>
      <c r="F491" s="34"/>
      <c r="H491">
        <f>F490/C490</f>
        <v>1.3209902225920533E-2</v>
      </c>
      <c r="I491" s="10"/>
    </row>
    <row r="492" spans="1:10" x14ac:dyDescent="0.25">
      <c r="A492" s="1"/>
      <c r="B492" s="2" t="s">
        <v>16</v>
      </c>
      <c r="C492" s="2" t="s">
        <v>19</v>
      </c>
      <c r="D492" s="2" t="s">
        <v>17</v>
      </c>
      <c r="E492" s="2" t="s">
        <v>18</v>
      </c>
      <c r="F492" s="35"/>
      <c r="G492" s="10"/>
    </row>
    <row r="493" spans="1:10" ht="18" x14ac:dyDescent="0.4">
      <c r="A493" s="1" t="s">
        <v>1</v>
      </c>
      <c r="B493" s="30">
        <v>23425</v>
      </c>
      <c r="C493" s="4">
        <v>40</v>
      </c>
      <c r="D493" s="30">
        <v>7220400</v>
      </c>
      <c r="E493" s="5">
        <v>-0.19</v>
      </c>
      <c r="F493" s="35"/>
      <c r="H493" s="10"/>
      <c r="I493" s="10">
        <f>E490-E481</f>
        <v>128</v>
      </c>
    </row>
    <row r="494" spans="1:10" ht="18" x14ac:dyDescent="0.4">
      <c r="A494" s="1" t="s">
        <v>2</v>
      </c>
      <c r="B494" s="30">
        <v>28545</v>
      </c>
      <c r="C494" s="4">
        <v>203</v>
      </c>
      <c r="D494" s="30">
        <v>201900</v>
      </c>
      <c r="E494" s="5">
        <v>-0.76</v>
      </c>
      <c r="F494" s="35"/>
      <c r="G494" s="10"/>
      <c r="H494" s="10"/>
      <c r="J494" s="10"/>
    </row>
    <row r="495" spans="1:10" s="6" customFormat="1" x14ac:dyDescent="0.25"/>
    <row r="496" spans="1:10" x14ac:dyDescent="0.25">
      <c r="A496" s="51" t="s">
        <v>128</v>
      </c>
      <c r="B496" s="51"/>
      <c r="C496" s="51"/>
      <c r="D496" s="51"/>
      <c r="E496" s="51"/>
      <c r="F496" s="51"/>
    </row>
    <row r="497" spans="1:10" x14ac:dyDescent="0.25">
      <c r="A497" s="1"/>
      <c r="B497" s="2" t="s">
        <v>14</v>
      </c>
      <c r="C497" s="2" t="s">
        <v>15</v>
      </c>
      <c r="D497" s="2" t="s">
        <v>20</v>
      </c>
      <c r="E497" s="8" t="s">
        <v>21</v>
      </c>
      <c r="F497" s="8" t="s">
        <v>27</v>
      </c>
      <c r="G497">
        <f>F498/C498</f>
        <v>2.4468715604097874E-2</v>
      </c>
      <c r="I497">
        <f>E498-E489</f>
        <v>-140</v>
      </c>
    </row>
    <row r="498" spans="1:10" ht="18" x14ac:dyDescent="0.4">
      <c r="A498" s="1" t="s">
        <v>1</v>
      </c>
      <c r="B498" s="20">
        <v>23388</v>
      </c>
      <c r="C498" s="21">
        <v>23622</v>
      </c>
      <c r="D498">
        <v>-88</v>
      </c>
      <c r="E498" s="31">
        <v>24200</v>
      </c>
      <c r="F498" s="9">
        <v>578</v>
      </c>
      <c r="G498" s="10"/>
      <c r="H498" s="13"/>
      <c r="I498" s="10"/>
    </row>
    <row r="499" spans="1:10" ht="18" x14ac:dyDescent="0.4">
      <c r="A499" s="1" t="s">
        <v>2</v>
      </c>
      <c r="B499" s="20">
        <v>27999</v>
      </c>
      <c r="C499" s="21">
        <v>28279</v>
      </c>
      <c r="D499">
        <v>-563</v>
      </c>
      <c r="E499" s="31">
        <v>28872</v>
      </c>
      <c r="F499" s="9">
        <v>593</v>
      </c>
      <c r="G499" s="10"/>
      <c r="H499" s="10"/>
      <c r="I499" s="10"/>
    </row>
    <row r="500" spans="1:10" x14ac:dyDescent="0.25">
      <c r="A500" s="51" t="s">
        <v>129</v>
      </c>
      <c r="B500" s="51"/>
      <c r="C500" s="51"/>
      <c r="D500" s="51"/>
      <c r="E500" s="51"/>
      <c r="F500" s="34"/>
      <c r="G500">
        <f>F499/C499</f>
        <v>2.0969624102691042E-2</v>
      </c>
      <c r="I500" s="10"/>
    </row>
    <row r="501" spans="1:10" x14ac:dyDescent="0.25">
      <c r="A501" s="1"/>
      <c r="B501" s="2" t="s">
        <v>16</v>
      </c>
      <c r="C501" s="2" t="s">
        <v>19</v>
      </c>
      <c r="D501" s="2" t="s">
        <v>17</v>
      </c>
      <c r="E501" s="2" t="s">
        <v>18</v>
      </c>
      <c r="F501" s="35"/>
      <c r="G501" s="10"/>
      <c r="I501">
        <f>E499-E490</f>
        <v>-351</v>
      </c>
    </row>
    <row r="502" spans="1:10" ht="18" x14ac:dyDescent="0.4">
      <c r="A502" s="1" t="s">
        <v>1</v>
      </c>
      <c r="B502" s="20">
        <v>23663</v>
      </c>
      <c r="C502" s="4">
        <v>238</v>
      </c>
      <c r="D502" s="20">
        <v>3826700</v>
      </c>
      <c r="E502" s="5">
        <v>-0.47</v>
      </c>
      <c r="F502" s="35"/>
      <c r="H502" s="10"/>
      <c r="I502" s="10"/>
    </row>
    <row r="503" spans="1:10" ht="18" x14ac:dyDescent="0.4">
      <c r="A503" s="1" t="s">
        <v>2</v>
      </c>
      <c r="B503" s="20">
        <v>28282</v>
      </c>
      <c r="C503" s="4">
        <v>-263</v>
      </c>
      <c r="D503" s="20">
        <v>533700</v>
      </c>
      <c r="E503" s="5">
        <v>1.64</v>
      </c>
      <c r="F503" s="35"/>
      <c r="G503" s="10"/>
      <c r="H503" s="10"/>
      <c r="J503" s="10"/>
    </row>
    <row r="504" spans="1:10" s="6" customFormat="1" x14ac:dyDescent="0.25"/>
    <row r="505" spans="1:10" x14ac:dyDescent="0.25">
      <c r="A505" s="51" t="s">
        <v>131</v>
      </c>
      <c r="B505" s="51"/>
      <c r="C505" s="51"/>
      <c r="D505" s="51"/>
      <c r="E505" s="51"/>
      <c r="F505" s="51"/>
      <c r="G505">
        <f>F507/C507</f>
        <v>8.3248386000679582E-3</v>
      </c>
      <c r="I505">
        <f>E507-E498</f>
        <v>-460</v>
      </c>
    </row>
    <row r="506" spans="1:10" x14ac:dyDescent="0.25">
      <c r="A506" s="1"/>
      <c r="B506" s="2" t="s">
        <v>14</v>
      </c>
      <c r="C506" s="2" t="s">
        <v>15</v>
      </c>
      <c r="D506" s="2" t="s">
        <v>20</v>
      </c>
      <c r="E506" s="8" t="s">
        <v>21</v>
      </c>
      <c r="F506" s="8" t="s">
        <v>27</v>
      </c>
    </row>
    <row r="507" spans="1:10" ht="18" x14ac:dyDescent="0.4">
      <c r="A507" s="1" t="s">
        <v>1</v>
      </c>
      <c r="B507" s="24">
        <v>23311</v>
      </c>
      <c r="C507" s="25">
        <v>23544</v>
      </c>
      <c r="D507">
        <v>-78</v>
      </c>
      <c r="E507" s="25">
        <v>23740</v>
      </c>
      <c r="F507" s="9">
        <v>196</v>
      </c>
      <c r="G507" s="10"/>
      <c r="H507" s="13"/>
      <c r="I507" s="10"/>
    </row>
    <row r="508" spans="1:10" ht="18" x14ac:dyDescent="0.4">
      <c r="A508" s="1" t="s">
        <v>2</v>
      </c>
      <c r="B508" s="24">
        <v>27424</v>
      </c>
      <c r="C508" s="25">
        <v>27698</v>
      </c>
      <c r="D508">
        <v>-581</v>
      </c>
      <c r="E508" s="25">
        <v>27946</v>
      </c>
      <c r="F508" s="9">
        <f>E508-C508</f>
        <v>248</v>
      </c>
      <c r="G508" s="10"/>
      <c r="H508" s="10"/>
      <c r="I508" s="10"/>
    </row>
    <row r="509" spans="1:10" x14ac:dyDescent="0.25">
      <c r="A509" s="51" t="s">
        <v>133</v>
      </c>
      <c r="B509" s="51"/>
      <c r="C509" s="51"/>
      <c r="D509" s="51"/>
      <c r="E509" s="51"/>
      <c r="F509" s="34"/>
      <c r="G509">
        <f>F508/C508</f>
        <v>8.953715069680122E-3</v>
      </c>
      <c r="I509" s="10"/>
    </row>
    <row r="510" spans="1:10" x14ac:dyDescent="0.25">
      <c r="A510" s="1"/>
      <c r="B510" s="2" t="s">
        <v>16</v>
      </c>
      <c r="C510" s="2" t="s">
        <v>19</v>
      </c>
      <c r="D510" s="2" t="s">
        <v>17</v>
      </c>
      <c r="E510" s="2" t="s">
        <v>18</v>
      </c>
      <c r="F510" s="35"/>
      <c r="G510" s="10"/>
    </row>
    <row r="511" spans="1:10" ht="18" x14ac:dyDescent="0.4">
      <c r="A511" s="1" t="s">
        <v>1</v>
      </c>
      <c r="B511" s="24">
        <v>23226</v>
      </c>
      <c r="C511" s="4">
        <v>-437</v>
      </c>
      <c r="D511" s="24">
        <v>4222100</v>
      </c>
      <c r="E511" s="5">
        <v>0.1</v>
      </c>
      <c r="F511" s="35"/>
      <c r="H511" s="10"/>
      <c r="I511" s="10">
        <f>E508-E499</f>
        <v>-926</v>
      </c>
      <c r="J511">
        <f>I511/E499</f>
        <v>-3.2072596287060127E-2</v>
      </c>
    </row>
    <row r="512" spans="1:10" ht="18" x14ac:dyDescent="0.4">
      <c r="A512" s="1" t="s">
        <v>2</v>
      </c>
      <c r="B512" s="24">
        <v>27673</v>
      </c>
      <c r="C512" s="4">
        <v>-609</v>
      </c>
      <c r="D512" s="24">
        <v>359400</v>
      </c>
      <c r="E512" s="5">
        <v>-0.33</v>
      </c>
      <c r="F512" s="35"/>
      <c r="G512" s="10"/>
      <c r="H512" s="10"/>
      <c r="J512" s="10"/>
    </row>
    <row r="513" spans="1:10" s="6" customFormat="1" x14ac:dyDescent="0.25"/>
    <row r="514" spans="1:10" x14ac:dyDescent="0.25">
      <c r="A514" s="51" t="s">
        <v>132</v>
      </c>
      <c r="B514" s="51"/>
      <c r="C514" s="51"/>
      <c r="D514" s="51"/>
      <c r="E514" s="51"/>
      <c r="F514" s="51"/>
    </row>
    <row r="515" spans="1:10" x14ac:dyDescent="0.25">
      <c r="A515" s="1"/>
      <c r="B515" s="2" t="s">
        <v>14</v>
      </c>
      <c r="C515" s="2" t="s">
        <v>15</v>
      </c>
      <c r="D515" s="2" t="s">
        <v>20</v>
      </c>
      <c r="E515" s="8" t="s">
        <v>21</v>
      </c>
      <c r="F515" s="8" t="s">
        <v>27</v>
      </c>
      <c r="H515">
        <f>E516-E507</f>
        <v>190</v>
      </c>
    </row>
    <row r="516" spans="1:10" ht="18" x14ac:dyDescent="0.4">
      <c r="A516" s="1" t="s">
        <v>1</v>
      </c>
      <c r="B516" s="24">
        <v>23544</v>
      </c>
      <c r="C516" s="25">
        <v>23779</v>
      </c>
      <c r="D516">
        <v>235</v>
      </c>
      <c r="E516" s="25">
        <v>23930</v>
      </c>
      <c r="F516" s="9">
        <v>151</v>
      </c>
      <c r="G516" s="10"/>
      <c r="H516" s="13"/>
      <c r="I516" s="10"/>
    </row>
    <row r="517" spans="1:10" ht="18" x14ac:dyDescent="0.4">
      <c r="A517" s="1" t="s">
        <v>2</v>
      </c>
      <c r="B517" s="24">
        <v>27803</v>
      </c>
      <c r="C517" s="25">
        <v>28081</v>
      </c>
      <c r="D517">
        <v>383</v>
      </c>
      <c r="E517" s="25">
        <v>28324</v>
      </c>
      <c r="F517" s="9">
        <v>243</v>
      </c>
      <c r="G517" s="10"/>
      <c r="H517" s="10"/>
      <c r="I517" s="10"/>
    </row>
    <row r="518" spans="1:10" x14ac:dyDescent="0.25">
      <c r="A518" s="51" t="s">
        <v>134</v>
      </c>
      <c r="B518" s="51"/>
      <c r="C518" s="51"/>
      <c r="D518" s="51"/>
      <c r="E518" s="51"/>
      <c r="F518" s="34"/>
      <c r="I518" s="10"/>
    </row>
    <row r="519" spans="1:10" x14ac:dyDescent="0.25">
      <c r="A519" s="1"/>
      <c r="B519" s="2" t="s">
        <v>16</v>
      </c>
      <c r="C519" s="2" t="s">
        <v>19</v>
      </c>
      <c r="D519" s="2" t="s">
        <v>17</v>
      </c>
      <c r="E519" s="2" t="s">
        <v>18</v>
      </c>
      <c r="F519" s="35"/>
      <c r="G519" s="10"/>
    </row>
    <row r="520" spans="1:10" ht="18" x14ac:dyDescent="0.4">
      <c r="A520" s="1" t="s">
        <v>1</v>
      </c>
      <c r="B520" s="24">
        <v>23364</v>
      </c>
      <c r="C520" s="4">
        <v>138</v>
      </c>
      <c r="D520" s="24">
        <v>4213900</v>
      </c>
      <c r="E520" s="5">
        <v>0</v>
      </c>
      <c r="F520" s="35"/>
      <c r="H520" s="10">
        <f>E517-E508</f>
        <v>378</v>
      </c>
      <c r="I520" s="10"/>
    </row>
    <row r="521" spans="1:10" ht="18" x14ac:dyDescent="0.4">
      <c r="A521" s="1" t="s">
        <v>2</v>
      </c>
      <c r="B521" s="24">
        <v>27693</v>
      </c>
      <c r="C521" s="4">
        <v>20</v>
      </c>
      <c r="D521" s="24">
        <v>596200</v>
      </c>
      <c r="E521" s="5">
        <v>0.66</v>
      </c>
      <c r="F521" s="35"/>
      <c r="G521" s="10"/>
      <c r="H521" s="10"/>
      <c r="J521" s="10"/>
    </row>
    <row r="522" spans="1:10" s="6" customFormat="1" x14ac:dyDescent="0.25"/>
    <row r="523" spans="1:10" x14ac:dyDescent="0.25">
      <c r="A523" s="51" t="s">
        <v>135</v>
      </c>
      <c r="B523" s="51"/>
      <c r="C523" s="51"/>
      <c r="D523" s="51"/>
      <c r="E523" s="51"/>
      <c r="F523" s="51"/>
    </row>
    <row r="524" spans="1:10" x14ac:dyDescent="0.25">
      <c r="A524" s="1"/>
      <c r="B524" s="2" t="s">
        <v>14</v>
      </c>
      <c r="C524" s="2" t="s">
        <v>15</v>
      </c>
      <c r="D524" s="2" t="s">
        <v>20</v>
      </c>
      <c r="E524" s="8" t="s">
        <v>21</v>
      </c>
      <c r="F524" s="8" t="s">
        <v>27</v>
      </c>
    </row>
    <row r="525" spans="1:10" ht="18" x14ac:dyDescent="0.4">
      <c r="A525" s="1" t="s">
        <v>1</v>
      </c>
      <c r="B525" s="22">
        <v>23629</v>
      </c>
      <c r="C525" s="23">
        <v>23865</v>
      </c>
      <c r="D525">
        <v>86</v>
      </c>
      <c r="E525" s="23">
        <v>24220</v>
      </c>
      <c r="F525" s="9">
        <v>355</v>
      </c>
      <c r="G525" s="10"/>
      <c r="H525" s="13"/>
      <c r="I525" s="10"/>
    </row>
    <row r="526" spans="1:10" ht="18" x14ac:dyDescent="0.4">
      <c r="A526" s="1" t="s">
        <v>2</v>
      </c>
      <c r="B526" s="22">
        <v>28225</v>
      </c>
      <c r="C526" s="23">
        <v>28507</v>
      </c>
      <c r="D526">
        <v>426</v>
      </c>
      <c r="E526" s="23">
        <v>28791</v>
      </c>
      <c r="F526" s="9">
        <f>E526-C526</f>
        <v>284</v>
      </c>
      <c r="G526" s="10"/>
      <c r="H526" s="10"/>
      <c r="I526" s="10"/>
    </row>
    <row r="527" spans="1:10" x14ac:dyDescent="0.25">
      <c r="A527" s="51" t="s">
        <v>136</v>
      </c>
      <c r="B527" s="51"/>
      <c r="C527" s="51"/>
      <c r="D527" s="51"/>
      <c r="E527" s="51"/>
      <c r="F527" s="34"/>
      <c r="I527" s="10"/>
    </row>
    <row r="528" spans="1:10" x14ac:dyDescent="0.25">
      <c r="A528" s="1"/>
      <c r="B528" s="2" t="s">
        <v>16</v>
      </c>
      <c r="C528" s="2" t="s">
        <v>19</v>
      </c>
      <c r="D528" s="2" t="s">
        <v>17</v>
      </c>
      <c r="E528" s="2" t="s">
        <v>18</v>
      </c>
      <c r="F528" s="35"/>
      <c r="G528" s="10"/>
    </row>
    <row r="529" spans="1:10" ht="18" x14ac:dyDescent="0.4">
      <c r="A529" s="1" t="s">
        <v>1</v>
      </c>
      <c r="B529" s="22">
        <v>23610</v>
      </c>
      <c r="C529" s="4">
        <v>246</v>
      </c>
      <c r="D529" s="22">
        <v>6635900</v>
      </c>
      <c r="E529" s="5">
        <v>0.56999999999999995</v>
      </c>
      <c r="F529" s="35"/>
      <c r="H529" s="10"/>
      <c r="I529" s="10"/>
    </row>
    <row r="530" spans="1:10" ht="18" x14ac:dyDescent="0.4">
      <c r="A530" s="1" t="s">
        <v>2</v>
      </c>
      <c r="B530" s="22">
        <v>27963</v>
      </c>
      <c r="C530" s="4">
        <v>270</v>
      </c>
      <c r="D530" s="22">
        <v>665400</v>
      </c>
      <c r="E530" s="5">
        <v>0.12</v>
      </c>
      <c r="F530" s="35"/>
      <c r="G530" s="10"/>
      <c r="H530" s="10"/>
      <c r="J530" s="10"/>
    </row>
    <row r="533" spans="1:10" s="6" customFormat="1" x14ac:dyDescent="0.25"/>
    <row r="534" spans="1:10" x14ac:dyDescent="0.25">
      <c r="A534" s="51" t="s">
        <v>137</v>
      </c>
      <c r="B534" s="51"/>
      <c r="C534" s="51"/>
      <c r="D534" s="51"/>
      <c r="E534" s="51"/>
      <c r="F534" s="51"/>
    </row>
    <row r="535" spans="1:10" x14ac:dyDescent="0.25">
      <c r="A535" s="1"/>
      <c r="B535" s="2" t="s">
        <v>14</v>
      </c>
      <c r="C535" s="2" t="s">
        <v>15</v>
      </c>
      <c r="D535" s="2" t="s">
        <v>20</v>
      </c>
      <c r="E535" s="8" t="s">
        <v>21</v>
      </c>
      <c r="F535" s="8" t="s">
        <v>27</v>
      </c>
    </row>
    <row r="536" spans="1:10" ht="18" x14ac:dyDescent="0.4">
      <c r="A536" s="1" t="s">
        <v>1</v>
      </c>
      <c r="B536" s="22"/>
      <c r="C536" s="23"/>
      <c r="E536" s="23"/>
      <c r="F536" s="9"/>
      <c r="G536" s="10"/>
      <c r="H536" s="13"/>
      <c r="I536" s="10"/>
    </row>
    <row r="537" spans="1:10" ht="18" x14ac:dyDescent="0.4">
      <c r="A537" s="1" t="s">
        <v>2</v>
      </c>
      <c r="B537" s="22"/>
      <c r="C537" s="23"/>
      <c r="E537" s="23"/>
      <c r="F537" s="9"/>
      <c r="G537" s="10"/>
      <c r="H537" s="10"/>
      <c r="I537" s="10"/>
    </row>
    <row r="538" spans="1:10" x14ac:dyDescent="0.25">
      <c r="A538" s="51" t="s">
        <v>138</v>
      </c>
      <c r="B538" s="51"/>
      <c r="C538" s="51"/>
      <c r="D538" s="51"/>
      <c r="E538" s="51"/>
      <c r="F538" s="34"/>
      <c r="I538" s="10"/>
    </row>
    <row r="539" spans="1:10" x14ac:dyDescent="0.25">
      <c r="A539" s="1"/>
      <c r="B539" s="2" t="s">
        <v>16</v>
      </c>
      <c r="C539" s="2" t="s">
        <v>19</v>
      </c>
      <c r="D539" s="2" t="s">
        <v>17</v>
      </c>
      <c r="E539" s="2" t="s">
        <v>18</v>
      </c>
      <c r="F539" s="35"/>
      <c r="G539" s="10"/>
    </row>
    <row r="540" spans="1:10" ht="18" x14ac:dyDescent="0.4">
      <c r="A540" s="1" t="s">
        <v>1</v>
      </c>
      <c r="B540" s="22"/>
      <c r="C540" s="4"/>
      <c r="D540" s="22"/>
      <c r="E540" s="5"/>
      <c r="F540" s="35"/>
      <c r="H540" s="10"/>
      <c r="I540" s="10"/>
    </row>
    <row r="541" spans="1:10" ht="18" x14ac:dyDescent="0.4">
      <c r="A541" s="1" t="s">
        <v>2</v>
      </c>
      <c r="B541" s="22"/>
      <c r="C541" s="4"/>
      <c r="D541" s="22"/>
      <c r="E541" s="5"/>
      <c r="F541" s="35"/>
      <c r="G541" s="10"/>
      <c r="H541" s="10"/>
      <c r="J541" s="10"/>
    </row>
    <row r="544" spans="1:10" s="6" customFormat="1" x14ac:dyDescent="0.25"/>
    <row r="545" spans="1:10" x14ac:dyDescent="0.25">
      <c r="A545" s="51" t="s">
        <v>139</v>
      </c>
      <c r="B545" s="51"/>
      <c r="C545" s="51"/>
      <c r="D545" s="51"/>
      <c r="E545" s="51"/>
      <c r="F545" s="51"/>
    </row>
    <row r="546" spans="1:10" x14ac:dyDescent="0.25">
      <c r="A546" s="1"/>
      <c r="B546" s="2" t="s">
        <v>14</v>
      </c>
      <c r="C546" s="2" t="s">
        <v>15</v>
      </c>
      <c r="D546" s="2" t="s">
        <v>20</v>
      </c>
      <c r="E546" s="8" t="s">
        <v>21</v>
      </c>
      <c r="F546" s="8" t="s">
        <v>27</v>
      </c>
    </row>
    <row r="547" spans="1:10" ht="18" x14ac:dyDescent="0.4">
      <c r="A547" s="1" t="s">
        <v>1</v>
      </c>
      <c r="B547" s="22"/>
      <c r="C547" s="33">
        <v>23876</v>
      </c>
      <c r="E547" s="23">
        <v>24100</v>
      </c>
      <c r="F547" s="9">
        <f>E547-C547</f>
        <v>224</v>
      </c>
      <c r="G547" s="10"/>
      <c r="H547" s="13"/>
      <c r="I547" s="10"/>
    </row>
    <row r="548" spans="1:10" ht="18" x14ac:dyDescent="0.4">
      <c r="A548" s="1" t="s">
        <v>2</v>
      </c>
      <c r="B548" s="22"/>
      <c r="C548" s="33">
        <v>28357</v>
      </c>
      <c r="E548" s="23">
        <v>28777</v>
      </c>
      <c r="F548" s="9"/>
      <c r="G548" s="10"/>
      <c r="H548" s="10"/>
      <c r="I548" s="10"/>
    </row>
    <row r="549" spans="1:10" x14ac:dyDescent="0.25">
      <c r="A549" s="51" t="s">
        <v>140</v>
      </c>
      <c r="B549" s="51"/>
      <c r="C549" s="51"/>
      <c r="D549" s="51"/>
      <c r="E549" s="51"/>
      <c r="F549" s="34"/>
      <c r="I549" s="10"/>
    </row>
    <row r="550" spans="1:10" x14ac:dyDescent="0.25">
      <c r="A550" s="1"/>
      <c r="B550" s="2" t="s">
        <v>16</v>
      </c>
      <c r="C550" s="2" t="s">
        <v>19</v>
      </c>
      <c r="D550" s="2" t="s">
        <v>17</v>
      </c>
      <c r="E550" s="2" t="s">
        <v>18</v>
      </c>
      <c r="F550" s="35"/>
      <c r="G550" s="10"/>
    </row>
    <row r="551" spans="1:10" ht="18" x14ac:dyDescent="0.4">
      <c r="A551" s="1" t="s">
        <v>1</v>
      </c>
      <c r="B551" s="32">
        <v>23612</v>
      </c>
      <c r="C551" s="4"/>
      <c r="D551" s="32">
        <v>2942600</v>
      </c>
      <c r="E551" s="5"/>
      <c r="F551" s="35"/>
      <c r="H551" s="10"/>
      <c r="I551" s="10"/>
    </row>
    <row r="552" spans="1:10" ht="18" x14ac:dyDescent="0.4">
      <c r="A552" s="1" t="s">
        <v>2</v>
      </c>
      <c r="B552" s="32">
        <v>28073</v>
      </c>
      <c r="C552" s="4"/>
      <c r="D552" s="32">
        <v>261100</v>
      </c>
      <c r="E552" s="5"/>
      <c r="F552" s="35"/>
      <c r="G552" s="10"/>
      <c r="H552" s="10"/>
      <c r="J552" s="10"/>
    </row>
    <row r="555" spans="1:10" s="6" customFormat="1" x14ac:dyDescent="0.25"/>
    <row r="556" spans="1:10" x14ac:dyDescent="0.25">
      <c r="A556" s="51" t="s">
        <v>141</v>
      </c>
      <c r="B556" s="51"/>
      <c r="C556" s="51"/>
      <c r="D556" s="51"/>
      <c r="E556" s="51"/>
      <c r="F556" s="51"/>
    </row>
    <row r="557" spans="1:10" x14ac:dyDescent="0.25">
      <c r="A557" s="1"/>
      <c r="B557" s="2" t="s">
        <v>14</v>
      </c>
      <c r="C557" s="2" t="s">
        <v>15</v>
      </c>
      <c r="D557" s="2" t="s">
        <v>20</v>
      </c>
      <c r="E557" s="8" t="s">
        <v>21</v>
      </c>
      <c r="F557" s="8" t="s">
        <v>27</v>
      </c>
      <c r="G557">
        <f>F558/C558</f>
        <v>1.608278269542451E-2</v>
      </c>
      <c r="H557">
        <f>E558-E547</f>
        <v>350</v>
      </c>
    </row>
    <row r="558" spans="1:10" ht="18" x14ac:dyDescent="0.4">
      <c r="A558" s="1" t="s">
        <v>1</v>
      </c>
      <c r="B558" s="20">
        <v>23825</v>
      </c>
      <c r="C558" s="21">
        <v>24063</v>
      </c>
      <c r="D558">
        <v>187</v>
      </c>
      <c r="E558" s="23">
        <v>24450</v>
      </c>
      <c r="F558" s="9">
        <v>387</v>
      </c>
      <c r="G558" s="10"/>
      <c r="H558" s="13"/>
      <c r="I558" s="10"/>
    </row>
    <row r="559" spans="1:10" ht="18" x14ac:dyDescent="0.4">
      <c r="A559" s="1" t="s">
        <v>2</v>
      </c>
      <c r="B559" s="20">
        <v>28205</v>
      </c>
      <c r="C559" s="21">
        <v>28487</v>
      </c>
      <c r="D559">
        <v>130</v>
      </c>
      <c r="E559" s="23">
        <v>29400</v>
      </c>
      <c r="F559" s="9">
        <f>E559-C559</f>
        <v>913</v>
      </c>
      <c r="G559" s="10"/>
      <c r="H559" s="10"/>
      <c r="I559" s="10"/>
    </row>
    <row r="560" spans="1:10" x14ac:dyDescent="0.25">
      <c r="A560" s="51" t="s">
        <v>142</v>
      </c>
      <c r="B560" s="51"/>
      <c r="C560" s="51"/>
      <c r="D560" s="51"/>
      <c r="E560" s="51"/>
      <c r="F560" s="34"/>
      <c r="I560" s="10"/>
    </row>
    <row r="561" spans="1:10" x14ac:dyDescent="0.25">
      <c r="A561" s="1"/>
      <c r="B561" s="2" t="s">
        <v>16</v>
      </c>
      <c r="C561" s="2" t="s">
        <v>19</v>
      </c>
      <c r="D561" s="2" t="s">
        <v>17</v>
      </c>
      <c r="E561" s="2" t="s">
        <v>18</v>
      </c>
      <c r="F561" s="35"/>
      <c r="G561" s="10"/>
    </row>
    <row r="562" spans="1:10" ht="18" x14ac:dyDescent="0.4">
      <c r="A562" s="1" t="s">
        <v>1</v>
      </c>
      <c r="B562" s="20">
        <v>23805</v>
      </c>
      <c r="C562" s="4">
        <v>193</v>
      </c>
      <c r="D562" s="20">
        <v>8070900</v>
      </c>
      <c r="E562" s="5">
        <v>1.74</v>
      </c>
      <c r="F562" s="35"/>
      <c r="H562" s="10"/>
      <c r="I562" s="10"/>
    </row>
    <row r="563" spans="1:10" ht="18" x14ac:dyDescent="0.4">
      <c r="A563" s="1" t="s">
        <v>2</v>
      </c>
      <c r="B563" s="20">
        <v>28276</v>
      </c>
      <c r="C563" s="4">
        <v>203</v>
      </c>
      <c r="D563" s="20">
        <v>970400</v>
      </c>
      <c r="E563" s="5">
        <v>2.72</v>
      </c>
      <c r="F563" s="35"/>
      <c r="G563" s="10"/>
      <c r="H563" s="10"/>
      <c r="J563" s="10"/>
    </row>
    <row r="565" spans="1:10" s="6" customFormat="1" x14ac:dyDescent="0.25"/>
    <row r="566" spans="1:10" x14ac:dyDescent="0.25">
      <c r="A566" s="51" t="s">
        <v>143</v>
      </c>
      <c r="B566" s="51"/>
      <c r="C566" s="51"/>
      <c r="D566" s="51"/>
      <c r="E566" s="51"/>
      <c r="F566" s="51"/>
    </row>
    <row r="567" spans="1:10" x14ac:dyDescent="0.25">
      <c r="A567" s="1"/>
      <c r="B567" s="2" t="s">
        <v>14</v>
      </c>
      <c r="C567" s="2" t="s">
        <v>15</v>
      </c>
      <c r="D567" s="2" t="s">
        <v>20</v>
      </c>
      <c r="E567" s="8" t="s">
        <v>21</v>
      </c>
      <c r="F567" s="8" t="s">
        <v>27</v>
      </c>
    </row>
    <row r="568" spans="1:10" ht="18" x14ac:dyDescent="0.4">
      <c r="A568" s="1" t="s">
        <v>1</v>
      </c>
      <c r="B568" s="20">
        <v>23786</v>
      </c>
      <c r="C568" s="21">
        <v>24024</v>
      </c>
      <c r="D568">
        <v>-39</v>
      </c>
      <c r="E568" s="21">
        <v>24400</v>
      </c>
      <c r="F568" s="9">
        <v>376</v>
      </c>
      <c r="G568" s="10"/>
      <c r="H568" s="13"/>
      <c r="I568" s="10"/>
    </row>
    <row r="569" spans="1:10" ht="18" x14ac:dyDescent="0.4">
      <c r="A569" s="1" t="s">
        <v>2</v>
      </c>
      <c r="B569" s="20">
        <v>28200</v>
      </c>
      <c r="C569" s="21">
        <v>28482</v>
      </c>
      <c r="D569">
        <v>-5</v>
      </c>
      <c r="E569" s="21">
        <v>29088</v>
      </c>
      <c r="F569" s="9">
        <v>606</v>
      </c>
      <c r="G569" s="10"/>
      <c r="H569" s="10"/>
      <c r="I569" s="10"/>
    </row>
    <row r="570" spans="1:10" x14ac:dyDescent="0.25">
      <c r="A570" s="51" t="s">
        <v>144</v>
      </c>
      <c r="B570" s="51"/>
      <c r="C570" s="51"/>
      <c r="D570" s="51"/>
      <c r="E570" s="51"/>
      <c r="F570" s="34"/>
      <c r="I570" s="10"/>
    </row>
    <row r="571" spans="1:10" x14ac:dyDescent="0.25">
      <c r="A571" s="1"/>
      <c r="B571" s="2" t="s">
        <v>16</v>
      </c>
      <c r="C571" s="2" t="s">
        <v>19</v>
      </c>
      <c r="D571" s="2" t="s">
        <v>17</v>
      </c>
      <c r="E571" s="2" t="s">
        <v>18</v>
      </c>
      <c r="F571" s="35"/>
      <c r="G571" s="10"/>
    </row>
    <row r="572" spans="1:10" ht="18" x14ac:dyDescent="0.4">
      <c r="A572" s="1" t="s">
        <v>1</v>
      </c>
      <c r="B572" s="20">
        <v>23786</v>
      </c>
      <c r="C572" s="4">
        <v>-19</v>
      </c>
      <c r="D572" s="20">
        <v>6150100</v>
      </c>
      <c r="E572" s="5">
        <v>-0.24</v>
      </c>
      <c r="F572" s="35"/>
      <c r="H572" s="10"/>
      <c r="I572" s="10"/>
    </row>
    <row r="573" spans="1:10" ht="18" x14ac:dyDescent="0.4">
      <c r="A573" s="1" t="s">
        <v>2</v>
      </c>
      <c r="B573" s="20">
        <v>28288</v>
      </c>
      <c r="C573" s="4">
        <v>12</v>
      </c>
      <c r="D573" s="20">
        <v>758900</v>
      </c>
      <c r="E573" s="5">
        <v>-0.22</v>
      </c>
      <c r="F573" s="35"/>
      <c r="G573" s="10"/>
      <c r="H573" s="10"/>
      <c r="J573" s="10"/>
    </row>
    <row r="575" spans="1:10" s="6" customFormat="1" x14ac:dyDescent="0.25"/>
    <row r="576" spans="1:10" x14ac:dyDescent="0.25">
      <c r="A576" s="51" t="s">
        <v>145</v>
      </c>
      <c r="B576" s="51"/>
      <c r="C576" s="51"/>
      <c r="D576" s="51"/>
      <c r="E576" s="51"/>
      <c r="F576" s="51"/>
    </row>
    <row r="577" spans="1:10" x14ac:dyDescent="0.25">
      <c r="A577" s="1"/>
      <c r="B577" s="2" t="s">
        <v>14</v>
      </c>
      <c r="C577" s="2" t="s">
        <v>15</v>
      </c>
      <c r="D577" s="2" t="s">
        <v>20</v>
      </c>
      <c r="E577" s="8" t="s">
        <v>21</v>
      </c>
      <c r="F577" s="8" t="s">
        <v>27</v>
      </c>
    </row>
    <row r="578" spans="1:10" ht="18" x14ac:dyDescent="0.4">
      <c r="A578" s="1" t="s">
        <v>1</v>
      </c>
      <c r="B578" s="20">
        <v>24197</v>
      </c>
      <c r="C578" s="21">
        <v>24439</v>
      </c>
      <c r="D578">
        <v>415</v>
      </c>
      <c r="E578" s="21">
        <v>24740</v>
      </c>
      <c r="F578" s="9">
        <v>301</v>
      </c>
      <c r="G578" s="10"/>
      <c r="H578" s="13"/>
      <c r="I578" s="10"/>
    </row>
    <row r="579" spans="1:10" ht="18" x14ac:dyDescent="0.4">
      <c r="A579" s="1" t="s">
        <v>2</v>
      </c>
      <c r="B579" s="20">
        <v>28537</v>
      </c>
      <c r="C579" s="21">
        <v>28822</v>
      </c>
      <c r="D579">
        <v>340</v>
      </c>
      <c r="E579" s="21">
        <v>29374</v>
      </c>
      <c r="F579" s="9">
        <v>552</v>
      </c>
      <c r="G579" s="10"/>
      <c r="H579" s="10"/>
      <c r="I579" s="10"/>
    </row>
    <row r="580" spans="1:10" x14ac:dyDescent="0.25">
      <c r="A580" s="51" t="s">
        <v>146</v>
      </c>
      <c r="B580" s="51"/>
      <c r="C580" s="51"/>
      <c r="D580" s="51"/>
      <c r="E580" s="51"/>
      <c r="F580" s="34"/>
      <c r="I580" s="10"/>
    </row>
    <row r="581" spans="1:10" x14ac:dyDescent="0.25">
      <c r="A581" s="1"/>
      <c r="B581" s="2" t="s">
        <v>16</v>
      </c>
      <c r="C581" s="2" t="s">
        <v>19</v>
      </c>
      <c r="D581" s="2" t="s">
        <v>17</v>
      </c>
      <c r="E581" s="2" t="s">
        <v>18</v>
      </c>
      <c r="F581" s="35"/>
      <c r="G581" s="10"/>
    </row>
    <row r="582" spans="1:10" ht="18" x14ac:dyDescent="0.4">
      <c r="A582" s="1" t="s">
        <v>1</v>
      </c>
      <c r="B582" s="20">
        <v>24103</v>
      </c>
      <c r="C582" s="4">
        <v>317</v>
      </c>
      <c r="D582" s="20">
        <v>6564300</v>
      </c>
      <c r="E582" s="5">
        <v>7.0000000000000007E-2</v>
      </c>
      <c r="F582" s="35"/>
      <c r="H582" s="10"/>
      <c r="I582" s="10"/>
    </row>
    <row r="583" spans="1:10" ht="18" x14ac:dyDescent="0.4">
      <c r="A583" s="1" t="s">
        <v>2</v>
      </c>
      <c r="B583" s="20">
        <v>28539</v>
      </c>
      <c r="C583" s="4">
        <v>251</v>
      </c>
      <c r="D583" s="20">
        <v>1415300</v>
      </c>
      <c r="E583" s="5">
        <v>0.86</v>
      </c>
      <c r="F583" s="35"/>
      <c r="G583" s="10"/>
      <c r="H583" s="10"/>
      <c r="J583" s="10"/>
    </row>
    <row r="585" spans="1:10" s="6" customFormat="1" x14ac:dyDescent="0.25"/>
    <row r="586" spans="1:10" x14ac:dyDescent="0.25">
      <c r="A586" s="51" t="s">
        <v>147</v>
      </c>
      <c r="B586" s="51"/>
      <c r="C586" s="51"/>
      <c r="D586" s="51"/>
      <c r="E586" s="51"/>
      <c r="F586" s="51"/>
    </row>
    <row r="587" spans="1:10" x14ac:dyDescent="0.25">
      <c r="A587" s="1"/>
      <c r="B587" s="2" t="s">
        <v>14</v>
      </c>
      <c r="C587" s="2" t="s">
        <v>15</v>
      </c>
      <c r="D587" s="2" t="s">
        <v>20</v>
      </c>
      <c r="E587" s="8" t="s">
        <v>21</v>
      </c>
      <c r="F587" s="8" t="s">
        <v>27</v>
      </c>
    </row>
    <row r="588" spans="1:10" ht="18" x14ac:dyDescent="0.4">
      <c r="A588" s="1" t="s">
        <v>1</v>
      </c>
      <c r="B588" s="20">
        <v>24609</v>
      </c>
      <c r="C588" s="21">
        <v>24855</v>
      </c>
      <c r="D588">
        <v>416</v>
      </c>
      <c r="E588" s="21">
        <v>25130</v>
      </c>
      <c r="F588" s="9">
        <v>275</v>
      </c>
      <c r="G588" s="10"/>
      <c r="H588" s="13"/>
      <c r="I588" s="10"/>
    </row>
    <row r="589" spans="1:10" ht="18" x14ac:dyDescent="0.4">
      <c r="A589" s="1" t="s">
        <v>2</v>
      </c>
      <c r="B589" s="20">
        <v>28969</v>
      </c>
      <c r="C589" s="21">
        <v>29259</v>
      </c>
      <c r="D589">
        <v>437</v>
      </c>
      <c r="E589" s="21">
        <v>29754</v>
      </c>
      <c r="F589" s="9">
        <v>495</v>
      </c>
      <c r="G589" s="10"/>
      <c r="H589" s="10"/>
      <c r="I589" s="10"/>
    </row>
    <row r="590" spans="1:10" x14ac:dyDescent="0.25">
      <c r="A590" s="51" t="s">
        <v>148</v>
      </c>
      <c r="B590" s="51"/>
      <c r="C590" s="51"/>
      <c r="D590" s="51"/>
      <c r="E590" s="51"/>
      <c r="F590" s="34"/>
      <c r="I590" s="10"/>
    </row>
    <row r="591" spans="1:10" x14ac:dyDescent="0.25">
      <c r="A591" s="1"/>
      <c r="B591" s="2" t="s">
        <v>16</v>
      </c>
      <c r="C591" s="2" t="s">
        <v>19</v>
      </c>
      <c r="D591" s="2" t="s">
        <v>17</v>
      </c>
      <c r="E591" s="2" t="s">
        <v>18</v>
      </c>
      <c r="F591" s="35"/>
      <c r="G591" s="10"/>
    </row>
    <row r="592" spans="1:10" ht="18" x14ac:dyDescent="0.4">
      <c r="A592" s="1" t="s">
        <v>1</v>
      </c>
      <c r="B592" s="20">
        <v>24568</v>
      </c>
      <c r="C592" s="4">
        <v>465</v>
      </c>
      <c r="D592" s="20">
        <v>4748900</v>
      </c>
      <c r="E592" s="5">
        <v>-0.28000000000000003</v>
      </c>
      <c r="F592" s="35"/>
      <c r="H592" s="10"/>
      <c r="I592" s="10"/>
    </row>
    <row r="593" spans="1:10" ht="18" x14ac:dyDescent="0.4">
      <c r="A593" s="1" t="s">
        <v>2</v>
      </c>
      <c r="B593" s="20">
        <v>28899</v>
      </c>
      <c r="C593" s="4">
        <v>360</v>
      </c>
      <c r="D593" s="20">
        <v>1224600</v>
      </c>
      <c r="E593" s="5">
        <v>-0.13</v>
      </c>
      <c r="F593" s="35"/>
      <c r="G593" s="10"/>
      <c r="H593" s="10"/>
      <c r="J593" s="10"/>
    </row>
    <row r="595" spans="1:10" s="6" customFormat="1" x14ac:dyDescent="0.25"/>
    <row r="596" spans="1:10" x14ac:dyDescent="0.25">
      <c r="A596" s="51" t="s">
        <v>149</v>
      </c>
      <c r="B596" s="51"/>
      <c r="C596" s="51"/>
      <c r="D596" s="51"/>
      <c r="E596" s="51"/>
      <c r="F596" s="51"/>
      <c r="I596">
        <f>E598-E588</f>
        <v>140</v>
      </c>
    </row>
    <row r="597" spans="1:10" x14ac:dyDescent="0.25">
      <c r="A597" s="1"/>
      <c r="B597" s="2" t="s">
        <v>14</v>
      </c>
      <c r="C597" s="2" t="s">
        <v>15</v>
      </c>
      <c r="D597" s="2" t="s">
        <v>20</v>
      </c>
      <c r="E597" s="8" t="s">
        <v>21</v>
      </c>
      <c r="F597" s="8" t="s">
        <v>27</v>
      </c>
      <c r="G597">
        <f>F598/C598</f>
        <v>1.0597880423915218E-2</v>
      </c>
    </row>
    <row r="598" spans="1:10" ht="18" x14ac:dyDescent="0.4">
      <c r="A598" s="1" t="s">
        <v>1</v>
      </c>
      <c r="B598" s="20">
        <v>24758</v>
      </c>
      <c r="C598" s="21">
        <v>25005</v>
      </c>
      <c r="D598">
        <v>150</v>
      </c>
      <c r="E598" s="21">
        <v>25270</v>
      </c>
      <c r="F598" s="9">
        <v>265</v>
      </c>
      <c r="G598" s="10"/>
      <c r="H598" s="13"/>
      <c r="I598" s="10"/>
    </row>
    <row r="599" spans="1:10" ht="18" x14ac:dyDescent="0.4">
      <c r="A599" s="1" t="s">
        <v>2</v>
      </c>
      <c r="B599" s="20">
        <v>29442</v>
      </c>
      <c r="C599" s="21">
        <v>29736</v>
      </c>
      <c r="D599">
        <v>477</v>
      </c>
      <c r="E599" s="21">
        <v>29786</v>
      </c>
      <c r="F599" s="9">
        <v>50</v>
      </c>
      <c r="G599" s="10"/>
      <c r="H599" s="10"/>
      <c r="I599" s="10"/>
    </row>
    <row r="600" spans="1:10" x14ac:dyDescent="0.25">
      <c r="A600" s="51" t="s">
        <v>150</v>
      </c>
      <c r="B600" s="51"/>
      <c r="C600" s="51"/>
      <c r="D600" s="51"/>
      <c r="E600" s="51"/>
      <c r="F600" s="34"/>
      <c r="G600">
        <f>F599/C599</f>
        <v>1.6814635458703255E-3</v>
      </c>
      <c r="I600" s="10">
        <f>E599-E589</f>
        <v>32</v>
      </c>
    </row>
    <row r="601" spans="1:10" x14ac:dyDescent="0.25">
      <c r="A601" s="1"/>
      <c r="B601" s="2" t="s">
        <v>16</v>
      </c>
      <c r="C601" s="2" t="s">
        <v>19</v>
      </c>
      <c r="D601" s="2" t="s">
        <v>17</v>
      </c>
      <c r="E601" s="2" t="s">
        <v>18</v>
      </c>
      <c r="F601" s="35"/>
      <c r="G601" s="10"/>
    </row>
    <row r="602" spans="1:10" ht="18" x14ac:dyDescent="0.4">
      <c r="A602" s="1" t="s">
        <v>1</v>
      </c>
      <c r="B602" s="20">
        <v>24779</v>
      </c>
      <c r="C602" s="4">
        <v>211</v>
      </c>
      <c r="D602" s="20">
        <v>4888200</v>
      </c>
      <c r="E602" s="5">
        <v>0.03</v>
      </c>
      <c r="F602" s="35"/>
      <c r="H602" s="10"/>
      <c r="I602" s="10"/>
    </row>
    <row r="603" spans="1:10" ht="18" x14ac:dyDescent="0.4">
      <c r="A603" s="1" t="s">
        <v>2</v>
      </c>
      <c r="B603" s="20">
        <v>29388</v>
      </c>
      <c r="C603" s="4">
        <v>489</v>
      </c>
      <c r="D603" s="20">
        <v>466700</v>
      </c>
      <c r="E603" s="5">
        <v>-0.62</v>
      </c>
      <c r="F603" s="35"/>
      <c r="G603" s="10"/>
      <c r="H603" s="10"/>
      <c r="J603" s="10"/>
    </row>
    <row r="605" spans="1:10" s="6" customFormat="1" x14ac:dyDescent="0.25"/>
    <row r="606" spans="1:10" x14ac:dyDescent="0.25">
      <c r="A606" s="51" t="s">
        <v>151</v>
      </c>
      <c r="B606" s="51"/>
      <c r="C606" s="51"/>
      <c r="D606" s="51"/>
      <c r="E606" s="51"/>
      <c r="F606" s="51"/>
    </row>
    <row r="607" spans="1:10" x14ac:dyDescent="0.25">
      <c r="A607" s="1"/>
      <c r="B607" s="2" t="s">
        <v>14</v>
      </c>
      <c r="C607" s="2" t="s">
        <v>15</v>
      </c>
      <c r="D607" s="2" t="s">
        <v>20</v>
      </c>
      <c r="E607" s="8" t="s">
        <v>21</v>
      </c>
      <c r="F607" s="8" t="s">
        <v>27</v>
      </c>
    </row>
    <row r="608" spans="1:10" ht="18" x14ac:dyDescent="0.4">
      <c r="A608" s="1" t="s">
        <v>1</v>
      </c>
      <c r="B608" s="20">
        <v>24812</v>
      </c>
      <c r="C608" s="21">
        <v>25060</v>
      </c>
      <c r="D608">
        <v>55</v>
      </c>
      <c r="E608" s="21">
        <v>25190</v>
      </c>
      <c r="F608" s="9">
        <v>130</v>
      </c>
      <c r="G608" s="10"/>
      <c r="H608" s="13"/>
      <c r="I608" s="10"/>
    </row>
    <row r="609" spans="1:10" ht="18" x14ac:dyDescent="0.4">
      <c r="A609" s="1" t="s">
        <v>2</v>
      </c>
      <c r="B609" s="20">
        <v>29650</v>
      </c>
      <c r="C609" s="21">
        <v>29946</v>
      </c>
      <c r="D609">
        <v>210</v>
      </c>
      <c r="E609" s="21">
        <v>29966</v>
      </c>
      <c r="F609" s="9">
        <v>20</v>
      </c>
      <c r="G609" s="10"/>
      <c r="H609" s="10"/>
      <c r="I609" s="10"/>
    </row>
    <row r="610" spans="1:10" x14ac:dyDescent="0.25">
      <c r="A610" s="51" t="s">
        <v>152</v>
      </c>
      <c r="B610" s="51"/>
      <c r="C610" s="51"/>
      <c r="D610" s="51"/>
      <c r="E610" s="51"/>
      <c r="F610" s="34"/>
      <c r="I610" s="10"/>
    </row>
    <row r="611" spans="1:10" x14ac:dyDescent="0.25">
      <c r="A611" s="1"/>
      <c r="B611" s="2" t="s">
        <v>16</v>
      </c>
      <c r="C611" s="2" t="s">
        <v>19</v>
      </c>
      <c r="D611" s="2" t="s">
        <v>17</v>
      </c>
      <c r="E611" s="2" t="s">
        <v>18</v>
      </c>
      <c r="F611" s="35"/>
      <c r="G611" s="10"/>
    </row>
    <row r="612" spans="1:10" ht="18" x14ac:dyDescent="0.4">
      <c r="A612" s="1" t="s">
        <v>1</v>
      </c>
      <c r="B612" s="20">
        <v>24759</v>
      </c>
      <c r="C612" s="4">
        <v>-20</v>
      </c>
      <c r="D612" s="20">
        <v>3275700</v>
      </c>
      <c r="E612" s="5">
        <v>-0.33</v>
      </c>
      <c r="F612" s="35"/>
      <c r="H612" s="10"/>
      <c r="I612" s="10"/>
    </row>
    <row r="613" spans="1:10" ht="18" x14ac:dyDescent="0.4">
      <c r="A613" s="1" t="s">
        <v>2</v>
      </c>
      <c r="B613" s="20">
        <v>29635</v>
      </c>
      <c r="C613" s="4">
        <v>247</v>
      </c>
      <c r="D613" s="20">
        <v>113200</v>
      </c>
      <c r="E613" s="5">
        <v>-0.76</v>
      </c>
      <c r="F613" s="35"/>
      <c r="G613" s="10"/>
      <c r="H613" s="10"/>
      <c r="J613" s="10"/>
    </row>
    <row r="615" spans="1:10" s="6" customFormat="1" x14ac:dyDescent="0.25"/>
    <row r="616" spans="1:10" x14ac:dyDescent="0.25">
      <c r="A616" s="51" t="s">
        <v>153</v>
      </c>
      <c r="B616" s="51"/>
      <c r="C616" s="51"/>
      <c r="D616" s="51"/>
      <c r="E616" s="51"/>
      <c r="F616" s="51"/>
    </row>
    <row r="617" spans="1:10" x14ac:dyDescent="0.25">
      <c r="A617" s="1"/>
      <c r="B617" s="2" t="s">
        <v>14</v>
      </c>
      <c r="C617" s="2" t="s">
        <v>15</v>
      </c>
      <c r="D617" s="2" t="s">
        <v>20</v>
      </c>
      <c r="E617" s="8" t="s">
        <v>21</v>
      </c>
      <c r="F617" s="8" t="s">
        <v>27</v>
      </c>
    </row>
    <row r="618" spans="1:10" ht="18" x14ac:dyDescent="0.4">
      <c r="A618" s="1" t="s">
        <v>1</v>
      </c>
      <c r="B618" s="30">
        <v>24676</v>
      </c>
      <c r="C618" s="31">
        <v>24922</v>
      </c>
      <c r="D618">
        <v>-138</v>
      </c>
      <c r="E618" s="31">
        <v>25190</v>
      </c>
      <c r="F618" s="9">
        <v>268</v>
      </c>
      <c r="G618" s="10"/>
      <c r="H618" s="13"/>
      <c r="I618" s="10"/>
    </row>
    <row r="619" spans="1:10" ht="18" x14ac:dyDescent="0.4">
      <c r="A619" s="1" t="s">
        <v>2</v>
      </c>
      <c r="B619" s="30">
        <v>29310</v>
      </c>
      <c r="C619" s="31">
        <v>29603</v>
      </c>
      <c r="D619">
        <v>-343</v>
      </c>
      <c r="E619" s="31">
        <v>29804</v>
      </c>
      <c r="F619" s="9">
        <v>201</v>
      </c>
      <c r="G619" s="10"/>
      <c r="H619" s="10"/>
      <c r="I619" s="10"/>
    </row>
    <row r="620" spans="1:10" x14ac:dyDescent="0.25">
      <c r="A620" s="51" t="s">
        <v>154</v>
      </c>
      <c r="B620" s="51"/>
      <c r="C620" s="51"/>
      <c r="D620" s="51"/>
      <c r="E620" s="51"/>
      <c r="F620" s="34"/>
      <c r="I620" s="10"/>
    </row>
    <row r="621" spans="1:10" x14ac:dyDescent="0.25">
      <c r="A621" s="1"/>
      <c r="B621" s="2" t="s">
        <v>16</v>
      </c>
      <c r="C621" s="2" t="s">
        <v>19</v>
      </c>
      <c r="D621" s="2" t="s">
        <v>17</v>
      </c>
      <c r="E621" s="2" t="s">
        <v>18</v>
      </c>
      <c r="F621" s="35"/>
      <c r="G621" s="10"/>
    </row>
    <row r="622" spans="1:10" ht="18" x14ac:dyDescent="0.4">
      <c r="A622" s="1" t="s">
        <v>1</v>
      </c>
      <c r="B622" s="30">
        <v>24687</v>
      </c>
      <c r="C622" s="4">
        <v>-72</v>
      </c>
      <c r="D622" s="30">
        <v>4004700</v>
      </c>
      <c r="E622" s="5">
        <v>0.22</v>
      </c>
      <c r="F622" s="35"/>
      <c r="H622" s="10"/>
      <c r="I622" s="10"/>
    </row>
    <row r="623" spans="1:10" ht="18" x14ac:dyDescent="0.4">
      <c r="A623" s="1" t="s">
        <v>2</v>
      </c>
      <c r="B623" s="30">
        <v>29391</v>
      </c>
      <c r="C623" s="4">
        <v>-244</v>
      </c>
      <c r="D623" s="30">
        <v>180200</v>
      </c>
      <c r="E623" s="5">
        <v>0.59</v>
      </c>
      <c r="F623" s="35"/>
      <c r="G623" s="10"/>
      <c r="H623" s="10"/>
      <c r="J623" s="10"/>
    </row>
    <row r="625" spans="1:10" s="6" customFormat="1" x14ac:dyDescent="0.25"/>
    <row r="626" spans="1:10" x14ac:dyDescent="0.25">
      <c r="A626" s="51" t="s">
        <v>155</v>
      </c>
      <c r="B626" s="51"/>
      <c r="C626" s="51"/>
      <c r="D626" s="51"/>
      <c r="E626" s="51"/>
      <c r="F626" s="51"/>
    </row>
    <row r="627" spans="1:10" x14ac:dyDescent="0.25">
      <c r="A627" s="1"/>
      <c r="B627" s="2" t="s">
        <v>14</v>
      </c>
      <c r="C627" s="2" t="s">
        <v>15</v>
      </c>
      <c r="D627" s="2" t="s">
        <v>20</v>
      </c>
      <c r="E627" s="8" t="s">
        <v>21</v>
      </c>
      <c r="F627" s="8" t="s">
        <v>27</v>
      </c>
    </row>
    <row r="628" spans="1:10" ht="18" x14ac:dyDescent="0.4">
      <c r="A628" s="1" t="s">
        <v>1</v>
      </c>
      <c r="B628" s="30">
        <v>24682</v>
      </c>
      <c r="C628" s="31">
        <v>24929</v>
      </c>
      <c r="D628">
        <v>7</v>
      </c>
      <c r="E628" s="31">
        <v>25180</v>
      </c>
      <c r="F628" s="9">
        <v>251</v>
      </c>
      <c r="G628" s="10"/>
      <c r="H628" s="13"/>
      <c r="I628" s="10"/>
    </row>
    <row r="629" spans="1:10" ht="18" x14ac:dyDescent="0.4">
      <c r="A629" s="1" t="s">
        <v>2</v>
      </c>
      <c r="B629" s="30">
        <v>29655</v>
      </c>
      <c r="C629" s="31">
        <v>29951</v>
      </c>
      <c r="D629">
        <v>348</v>
      </c>
      <c r="E629" s="31">
        <v>30065</v>
      </c>
      <c r="F629" s="9">
        <v>114</v>
      </c>
      <c r="G629" s="10"/>
      <c r="H629" s="10"/>
      <c r="I629" s="10"/>
    </row>
    <row r="630" spans="1:10" x14ac:dyDescent="0.25">
      <c r="A630" s="51" t="s">
        <v>156</v>
      </c>
      <c r="B630" s="51"/>
      <c r="C630" s="51"/>
      <c r="D630" s="51"/>
      <c r="E630" s="51"/>
      <c r="F630" s="34"/>
      <c r="I630" s="10"/>
    </row>
    <row r="631" spans="1:10" x14ac:dyDescent="0.25">
      <c r="A631" s="1"/>
      <c r="B631" s="2" t="s">
        <v>16</v>
      </c>
      <c r="C631" s="2" t="s">
        <v>19</v>
      </c>
      <c r="D631" s="2" t="s">
        <v>17</v>
      </c>
      <c r="E631" s="2" t="s">
        <v>18</v>
      </c>
      <c r="F631" s="35"/>
      <c r="G631" s="10"/>
    </row>
    <row r="632" spans="1:10" ht="18" x14ac:dyDescent="0.4">
      <c r="A632" s="1" t="s">
        <v>1</v>
      </c>
      <c r="B632" s="30">
        <v>24796</v>
      </c>
      <c r="C632" s="4">
        <v>109</v>
      </c>
      <c r="D632" s="30">
        <v>4701500</v>
      </c>
      <c r="E632" s="5">
        <v>0.17</v>
      </c>
      <c r="F632" s="35"/>
      <c r="H632" s="10"/>
      <c r="I632" s="10"/>
    </row>
    <row r="633" spans="1:10" ht="18" x14ac:dyDescent="0.4">
      <c r="A633" s="1" t="s">
        <v>2</v>
      </c>
      <c r="B633" s="30">
        <v>29623</v>
      </c>
      <c r="C633" s="4">
        <v>232</v>
      </c>
      <c r="D633" s="30">
        <v>167500</v>
      </c>
      <c r="E633" s="5">
        <v>-7.0000000000000007E-2</v>
      </c>
      <c r="F633" s="35"/>
      <c r="G633" s="10"/>
      <c r="H633" s="10"/>
      <c r="J633" s="10"/>
    </row>
    <row r="635" spans="1:10" s="6" customFormat="1" x14ac:dyDescent="0.25"/>
    <row r="636" spans="1:10" x14ac:dyDescent="0.25">
      <c r="A636" s="51" t="s">
        <v>157</v>
      </c>
      <c r="B636" s="51"/>
      <c r="C636" s="51"/>
      <c r="D636" s="51"/>
      <c r="E636" s="51"/>
      <c r="F636" s="51"/>
    </row>
    <row r="637" spans="1:10" x14ac:dyDescent="0.25">
      <c r="A637" s="1"/>
      <c r="B637" s="2" t="s">
        <v>14</v>
      </c>
      <c r="C637" s="2" t="s">
        <v>15</v>
      </c>
      <c r="D637" s="2" t="s">
        <v>20</v>
      </c>
      <c r="E637" s="8" t="s">
        <v>21</v>
      </c>
      <c r="F637" s="8" t="s">
        <v>27</v>
      </c>
    </row>
    <row r="638" spans="1:10" ht="18" x14ac:dyDescent="0.4">
      <c r="A638" s="1" t="s">
        <v>1</v>
      </c>
      <c r="B638" s="24">
        <v>24505</v>
      </c>
      <c r="C638" s="25">
        <v>24750</v>
      </c>
      <c r="D638">
        <v>-179</v>
      </c>
      <c r="E638" s="36">
        <v>24970</v>
      </c>
      <c r="F638" s="9">
        <v>220</v>
      </c>
      <c r="G638" s="10"/>
      <c r="H638" s="13"/>
      <c r="I638" s="10"/>
    </row>
    <row r="639" spans="1:10" ht="18" x14ac:dyDescent="0.4">
      <c r="A639" s="1" t="s">
        <v>2</v>
      </c>
      <c r="B639" s="24">
        <v>29290</v>
      </c>
      <c r="C639" s="25">
        <v>29583</v>
      </c>
      <c r="D639">
        <v>-368</v>
      </c>
      <c r="E639" s="25">
        <v>29763</v>
      </c>
      <c r="F639" s="9">
        <v>180</v>
      </c>
      <c r="G639" s="10"/>
      <c r="H639" s="10"/>
      <c r="I639" s="10"/>
    </row>
    <row r="640" spans="1:10" x14ac:dyDescent="0.25">
      <c r="A640" s="51" t="s">
        <v>158</v>
      </c>
      <c r="B640" s="51"/>
      <c r="C640" s="51"/>
      <c r="D640" s="51"/>
      <c r="E640" s="51"/>
      <c r="F640" s="34"/>
      <c r="I640" s="10"/>
    </row>
    <row r="641" spans="1:10" x14ac:dyDescent="0.25">
      <c r="A641" s="1"/>
      <c r="B641" s="2" t="s">
        <v>16</v>
      </c>
      <c r="C641" s="2" t="s">
        <v>19</v>
      </c>
      <c r="D641" s="2" t="s">
        <v>17</v>
      </c>
      <c r="E641" s="2" t="s">
        <v>18</v>
      </c>
      <c r="F641" s="35"/>
      <c r="G641" s="10"/>
    </row>
    <row r="642" spans="1:10" ht="18" x14ac:dyDescent="0.4">
      <c r="A642" s="1" t="s">
        <v>1</v>
      </c>
      <c r="B642" s="24">
        <v>24560</v>
      </c>
      <c r="C642" s="4">
        <v>-236</v>
      </c>
      <c r="D642" s="24">
        <v>2063800</v>
      </c>
      <c r="E642" s="5">
        <v>-0.56000000000000005</v>
      </c>
      <c r="F642" s="35"/>
      <c r="H642" s="10"/>
      <c r="I642" s="10"/>
    </row>
    <row r="643" spans="1:10" ht="18" x14ac:dyDescent="0.4">
      <c r="A643" s="1" t="s">
        <v>2</v>
      </c>
      <c r="B643" s="24">
        <v>29327</v>
      </c>
      <c r="C643" s="4">
        <v>-296</v>
      </c>
      <c r="D643" s="24">
        <v>98200</v>
      </c>
      <c r="E643" s="5">
        <v>-0.41</v>
      </c>
      <c r="F643" s="35"/>
      <c r="G643" s="10"/>
      <c r="H643" s="10"/>
      <c r="J643" s="10"/>
    </row>
    <row r="645" spans="1:10" s="6" customFormat="1" x14ac:dyDescent="0.25"/>
    <row r="646" spans="1:10" x14ac:dyDescent="0.25">
      <c r="A646" s="51" t="s">
        <v>159</v>
      </c>
      <c r="B646" s="51"/>
      <c r="C646" s="51"/>
      <c r="D646" s="51"/>
      <c r="E646" s="51"/>
      <c r="F646" s="51"/>
    </row>
    <row r="647" spans="1:10" x14ac:dyDescent="0.25">
      <c r="A647" s="1"/>
      <c r="B647" s="2" t="s">
        <v>14</v>
      </c>
      <c r="C647" s="2" t="s">
        <v>15</v>
      </c>
      <c r="D647" s="2" t="s">
        <v>20</v>
      </c>
      <c r="E647" s="8" t="s">
        <v>21</v>
      </c>
      <c r="F647" s="8" t="s">
        <v>27</v>
      </c>
    </row>
    <row r="648" spans="1:10" ht="18" x14ac:dyDescent="0.4">
      <c r="A648" s="1" t="s">
        <v>1</v>
      </c>
      <c r="B648" s="22">
        <v>24359</v>
      </c>
      <c r="C648" s="23">
        <v>24602</v>
      </c>
      <c r="D648">
        <v>-148</v>
      </c>
      <c r="E648" s="37">
        <v>25110</v>
      </c>
      <c r="F648" s="9">
        <v>508</v>
      </c>
      <c r="G648" s="10"/>
      <c r="H648" s="13"/>
      <c r="I648" s="10"/>
    </row>
    <row r="649" spans="1:10" ht="18" x14ac:dyDescent="0.4">
      <c r="A649" s="1" t="s">
        <v>2</v>
      </c>
      <c r="B649" s="22">
        <v>29350</v>
      </c>
      <c r="C649" s="23">
        <v>29643</v>
      </c>
      <c r="D649">
        <v>60</v>
      </c>
      <c r="E649" s="23">
        <v>29779</v>
      </c>
      <c r="F649" s="9">
        <v>136</v>
      </c>
      <c r="G649" s="10"/>
      <c r="H649" s="10"/>
      <c r="I649" s="10"/>
    </row>
    <row r="650" spans="1:10" x14ac:dyDescent="0.25">
      <c r="A650" s="51" t="s">
        <v>160</v>
      </c>
      <c r="B650" s="51"/>
      <c r="C650" s="51"/>
      <c r="D650" s="51"/>
      <c r="E650" s="51"/>
      <c r="F650" s="34"/>
      <c r="I650" s="10"/>
    </row>
    <row r="651" spans="1:10" x14ac:dyDescent="0.25">
      <c r="A651" s="1"/>
      <c r="B651" s="2" t="s">
        <v>16</v>
      </c>
      <c r="C651" s="2" t="s">
        <v>19</v>
      </c>
      <c r="D651" s="2" t="s">
        <v>17</v>
      </c>
      <c r="E651" s="2" t="s">
        <v>18</v>
      </c>
      <c r="F651" s="35"/>
      <c r="G651" s="10"/>
    </row>
    <row r="652" spans="1:10" ht="18" x14ac:dyDescent="0.4">
      <c r="A652" s="1" t="s">
        <v>1</v>
      </c>
      <c r="B652" s="22">
        <v>24461</v>
      </c>
      <c r="C652" s="4">
        <v>-99</v>
      </c>
      <c r="D652" s="22">
        <v>5991100</v>
      </c>
      <c r="E652" s="5">
        <v>1.9</v>
      </c>
      <c r="F652" s="35"/>
      <c r="H652" s="10"/>
      <c r="I652" s="10"/>
    </row>
    <row r="653" spans="1:10" ht="18" x14ac:dyDescent="0.4">
      <c r="A653" s="1" t="s">
        <v>2</v>
      </c>
      <c r="B653" s="22">
        <v>29352</v>
      </c>
      <c r="C653" s="4">
        <v>25</v>
      </c>
      <c r="D653" s="22">
        <v>180000</v>
      </c>
      <c r="E653" s="5">
        <v>0.83</v>
      </c>
      <c r="F653" s="35"/>
      <c r="G653" s="10"/>
      <c r="H653" s="10"/>
      <c r="J653" s="10"/>
    </row>
    <row r="655" spans="1:10" s="6" customFormat="1" x14ac:dyDescent="0.25"/>
    <row r="656" spans="1:10" x14ac:dyDescent="0.25">
      <c r="A656" s="51" t="s">
        <v>161</v>
      </c>
      <c r="B656" s="51"/>
      <c r="C656" s="51"/>
      <c r="D656" s="51"/>
      <c r="E656" s="51"/>
      <c r="F656" s="51"/>
    </row>
    <row r="657" spans="1:10" x14ac:dyDescent="0.25">
      <c r="A657" s="1"/>
      <c r="B657" s="2" t="s">
        <v>14</v>
      </c>
      <c r="C657" s="2" t="s">
        <v>15</v>
      </c>
      <c r="D657" s="2" t="s">
        <v>20</v>
      </c>
      <c r="E657" s="8" t="s">
        <v>21</v>
      </c>
      <c r="F657" s="8" t="s">
        <v>27</v>
      </c>
    </row>
    <row r="658" spans="1:10" ht="18" x14ac:dyDescent="0.4">
      <c r="A658" s="1" t="s">
        <v>1</v>
      </c>
      <c r="B658" s="30">
        <v>24109</v>
      </c>
      <c r="C658" s="31">
        <v>24350</v>
      </c>
      <c r="D658">
        <v>-252</v>
      </c>
      <c r="E658" s="38">
        <v>24900</v>
      </c>
      <c r="F658" s="9">
        <v>550</v>
      </c>
      <c r="G658" s="10"/>
      <c r="H658" s="13"/>
      <c r="I658" s="10"/>
    </row>
    <row r="659" spans="1:10" ht="18" x14ac:dyDescent="0.4">
      <c r="A659" s="1" t="s">
        <v>2</v>
      </c>
      <c r="B659" s="30">
        <v>29200</v>
      </c>
      <c r="C659" s="31">
        <v>29492</v>
      </c>
      <c r="D659">
        <v>-151</v>
      </c>
      <c r="E659" s="31">
        <v>29477</v>
      </c>
      <c r="F659" s="9">
        <v>-15</v>
      </c>
      <c r="G659" s="10"/>
      <c r="H659" s="10"/>
      <c r="I659" s="10"/>
    </row>
    <row r="660" spans="1:10" x14ac:dyDescent="0.25">
      <c r="A660" s="51" t="s">
        <v>162</v>
      </c>
      <c r="B660" s="51"/>
      <c r="C660" s="51"/>
      <c r="D660" s="51"/>
      <c r="E660" s="51"/>
      <c r="F660" s="34"/>
      <c r="I660" s="10"/>
    </row>
    <row r="661" spans="1:10" x14ac:dyDescent="0.25">
      <c r="A661" s="1"/>
      <c r="B661" s="2" t="s">
        <v>16</v>
      </c>
      <c r="C661" s="2" t="s">
        <v>19</v>
      </c>
      <c r="D661" s="2" t="s">
        <v>17</v>
      </c>
      <c r="E661" s="2" t="s">
        <v>18</v>
      </c>
      <c r="F661" s="35"/>
      <c r="G661" s="10"/>
    </row>
    <row r="662" spans="1:10" ht="18" x14ac:dyDescent="0.4">
      <c r="A662" s="1" t="s">
        <v>1</v>
      </c>
      <c r="B662" s="30">
        <v>24242</v>
      </c>
      <c r="C662" s="4">
        <v>-219</v>
      </c>
      <c r="D662" s="30">
        <v>5324200</v>
      </c>
      <c r="E662" s="5">
        <v>-0.11</v>
      </c>
      <c r="F662" s="35"/>
      <c r="H662" s="10"/>
      <c r="I662" s="10"/>
    </row>
    <row r="663" spans="1:10" ht="18" x14ac:dyDescent="0.4">
      <c r="A663" s="1" t="s">
        <v>2</v>
      </c>
      <c r="B663" s="30">
        <v>29350</v>
      </c>
      <c r="C663" s="4">
        <v>-2</v>
      </c>
      <c r="D663" s="30">
        <v>115200</v>
      </c>
      <c r="E663" s="5">
        <v>-0.36</v>
      </c>
      <c r="F663" s="35"/>
      <c r="G663" s="10"/>
      <c r="H663" s="10"/>
      <c r="J663" s="10"/>
    </row>
    <row r="665" spans="1:10" x14ac:dyDescent="0.25">
      <c r="A665" s="6"/>
      <c r="B665" s="6"/>
      <c r="C665" s="6"/>
      <c r="D665" s="6"/>
      <c r="E665" s="6"/>
      <c r="F665" s="6"/>
    </row>
    <row r="666" spans="1:10" x14ac:dyDescent="0.25">
      <c r="A666" s="51" t="s">
        <v>163</v>
      </c>
      <c r="B666" s="51"/>
      <c r="C666" s="51"/>
      <c r="D666" s="51"/>
      <c r="E666" s="51"/>
      <c r="F666" s="51"/>
    </row>
    <row r="667" spans="1:10" x14ac:dyDescent="0.25">
      <c r="A667" s="1"/>
      <c r="B667" s="2" t="s">
        <v>14</v>
      </c>
      <c r="C667" s="2" t="s">
        <v>15</v>
      </c>
      <c r="D667" s="2" t="s">
        <v>20</v>
      </c>
      <c r="E667" s="8" t="s">
        <v>21</v>
      </c>
      <c r="F667" s="8" t="s">
        <v>27</v>
      </c>
    </row>
    <row r="668" spans="1:10" ht="18" x14ac:dyDescent="0.4">
      <c r="A668" s="1" t="s">
        <v>1</v>
      </c>
      <c r="B668" s="39">
        <v>24268</v>
      </c>
      <c r="C668" s="40">
        <v>24510</v>
      </c>
      <c r="D668">
        <v>160</v>
      </c>
      <c r="E668" s="41">
        <v>24880</v>
      </c>
      <c r="F668" s="9">
        <v>370</v>
      </c>
    </row>
    <row r="669" spans="1:10" ht="18" x14ac:dyDescent="0.4">
      <c r="A669" s="1" t="s">
        <v>2</v>
      </c>
      <c r="B669" s="39">
        <v>29160</v>
      </c>
      <c r="C669" s="40">
        <v>29452</v>
      </c>
      <c r="D669">
        <v>-40</v>
      </c>
      <c r="E669" s="40">
        <v>29581</v>
      </c>
      <c r="F669" s="9">
        <v>129</v>
      </c>
    </row>
    <row r="670" spans="1:10" x14ac:dyDescent="0.25">
      <c r="A670" s="51" t="s">
        <v>164</v>
      </c>
      <c r="B670" s="51"/>
      <c r="C670" s="51"/>
      <c r="D670" s="51"/>
      <c r="E670" s="51"/>
      <c r="F670" s="34"/>
    </row>
    <row r="671" spans="1:10" x14ac:dyDescent="0.25">
      <c r="A671" s="1"/>
      <c r="B671" s="2" t="s">
        <v>16</v>
      </c>
      <c r="C671" s="2" t="s">
        <v>19</v>
      </c>
      <c r="D671" s="2" t="s">
        <v>17</v>
      </c>
      <c r="E671" s="2" t="s">
        <v>18</v>
      </c>
      <c r="F671" s="35"/>
    </row>
    <row r="672" spans="1:10" ht="18" x14ac:dyDescent="0.4">
      <c r="A672" s="1" t="s">
        <v>1</v>
      </c>
      <c r="B672" s="39">
        <v>24240</v>
      </c>
      <c r="C672" s="4">
        <v>-2</v>
      </c>
      <c r="D672" s="39">
        <v>6332900</v>
      </c>
      <c r="E672" s="5">
        <v>0.19</v>
      </c>
      <c r="F672" s="35"/>
    </row>
    <row r="673" spans="1:8" ht="18" x14ac:dyDescent="0.4">
      <c r="A673" s="1" t="s">
        <v>2</v>
      </c>
      <c r="B673" s="39">
        <v>29103</v>
      </c>
      <c r="C673" s="4">
        <v>-247</v>
      </c>
      <c r="D673" s="39">
        <v>205800</v>
      </c>
      <c r="E673" s="5">
        <v>0.79</v>
      </c>
      <c r="F673" s="35"/>
    </row>
    <row r="675" spans="1:8" x14ac:dyDescent="0.25">
      <c r="A675" s="6"/>
      <c r="B675" s="6"/>
      <c r="C675" s="6"/>
      <c r="D675" s="6"/>
      <c r="E675" s="6"/>
      <c r="F675" s="6"/>
    </row>
    <row r="676" spans="1:8" x14ac:dyDescent="0.25">
      <c r="A676" s="51" t="s">
        <v>165</v>
      </c>
      <c r="B676" s="51"/>
      <c r="C676" s="51"/>
      <c r="D676" s="51"/>
      <c r="E676" s="51"/>
      <c r="F676" s="51"/>
    </row>
    <row r="677" spans="1:8" x14ac:dyDescent="0.25">
      <c r="A677" s="1"/>
      <c r="B677" s="2" t="s">
        <v>14</v>
      </c>
      <c r="C677" s="2" t="s">
        <v>15</v>
      </c>
      <c r="D677" s="2" t="s">
        <v>20</v>
      </c>
      <c r="E677" s="8" t="s">
        <v>21</v>
      </c>
      <c r="F677" s="8" t="s">
        <v>27</v>
      </c>
    </row>
    <row r="678" spans="1:8" ht="18" x14ac:dyDescent="0.4">
      <c r="A678" s="1" t="s">
        <v>1</v>
      </c>
      <c r="B678" s="39">
        <v>24405</v>
      </c>
      <c r="C678" s="40">
        <v>24649</v>
      </c>
      <c r="D678">
        <v>139</v>
      </c>
      <c r="E678" s="41">
        <v>24880</v>
      </c>
      <c r="F678" s="9">
        <f>E678-C678</f>
        <v>231</v>
      </c>
    </row>
    <row r="679" spans="1:8" ht="18" x14ac:dyDescent="0.4">
      <c r="A679" s="1" t="s">
        <v>2</v>
      </c>
      <c r="B679" s="39">
        <v>29172</v>
      </c>
      <c r="C679" s="40">
        <v>29464</v>
      </c>
      <c r="D679">
        <v>12</v>
      </c>
      <c r="E679" s="40">
        <v>29569</v>
      </c>
      <c r="F679" s="9">
        <v>105</v>
      </c>
    </row>
    <row r="680" spans="1:8" x14ac:dyDescent="0.25">
      <c r="A680" s="51" t="s">
        <v>166</v>
      </c>
      <c r="B680" s="51"/>
      <c r="C680" s="51"/>
      <c r="D680" s="51"/>
      <c r="E680" s="51"/>
      <c r="F680" s="34"/>
    </row>
    <row r="681" spans="1:8" x14ac:dyDescent="0.25">
      <c r="A681" s="1"/>
      <c r="B681" s="2" t="s">
        <v>16</v>
      </c>
      <c r="C681" s="2" t="s">
        <v>19</v>
      </c>
      <c r="D681" s="2" t="s">
        <v>17</v>
      </c>
      <c r="E681" s="2" t="s">
        <v>18</v>
      </c>
      <c r="F681" s="35"/>
    </row>
    <row r="682" spans="1:8" ht="18" x14ac:dyDescent="0.4">
      <c r="A682" s="1" t="s">
        <v>1</v>
      </c>
      <c r="B682" s="39">
        <v>24302</v>
      </c>
      <c r="C682" s="4">
        <v>62</v>
      </c>
      <c r="D682" s="39">
        <v>5403600</v>
      </c>
      <c r="E682" s="5">
        <v>-0.15</v>
      </c>
      <c r="F682" s="35"/>
      <c r="H682">
        <f>E679-E669</f>
        <v>-12</v>
      </c>
    </row>
    <row r="683" spans="1:8" ht="18" x14ac:dyDescent="0.4">
      <c r="A683" s="1" t="s">
        <v>2</v>
      </c>
      <c r="B683" s="39">
        <v>29087</v>
      </c>
      <c r="C683" s="4">
        <v>-16</v>
      </c>
      <c r="D683" s="39">
        <v>190100</v>
      </c>
      <c r="E683" s="5">
        <v>-0.08</v>
      </c>
      <c r="F683" s="35"/>
    </row>
    <row r="685" spans="1:8" x14ac:dyDescent="0.25">
      <c r="A685" s="6"/>
      <c r="B685" s="6"/>
      <c r="C685" s="6"/>
      <c r="D685" s="6"/>
      <c r="E685" s="6"/>
      <c r="F685" s="6"/>
    </row>
    <row r="686" spans="1:8" x14ac:dyDescent="0.25">
      <c r="A686" s="51" t="s">
        <v>167</v>
      </c>
      <c r="B686" s="51"/>
      <c r="C686" s="51"/>
      <c r="D686" s="51"/>
      <c r="E686" s="51"/>
      <c r="F686" s="51"/>
    </row>
    <row r="687" spans="1:8" x14ac:dyDescent="0.25">
      <c r="A687" s="1"/>
      <c r="B687" s="2" t="s">
        <v>14</v>
      </c>
      <c r="C687" s="2" t="s">
        <v>15</v>
      </c>
      <c r="D687" s="2" t="s">
        <v>20</v>
      </c>
      <c r="E687" s="8" t="s">
        <v>21</v>
      </c>
      <c r="F687" s="8" t="s">
        <v>27</v>
      </c>
    </row>
    <row r="688" spans="1:8" ht="18" x14ac:dyDescent="0.4">
      <c r="A688" s="1" t="s">
        <v>1</v>
      </c>
      <c r="B688" s="42">
        <v>24467</v>
      </c>
      <c r="C688" s="43">
        <v>24712</v>
      </c>
      <c r="D688">
        <v>63</v>
      </c>
      <c r="E688" s="43">
        <v>24920</v>
      </c>
      <c r="F688" s="9">
        <v>208</v>
      </c>
    </row>
    <row r="689" spans="1:7" ht="18" x14ac:dyDescent="0.4">
      <c r="A689" s="1" t="s">
        <v>2</v>
      </c>
      <c r="B689" s="42">
        <v>29164</v>
      </c>
      <c r="C689" s="43">
        <v>29456</v>
      </c>
      <c r="D689">
        <v>-8</v>
      </c>
      <c r="E689" s="43">
        <v>29531</v>
      </c>
      <c r="F689" s="9">
        <v>75</v>
      </c>
    </row>
    <row r="690" spans="1:7" x14ac:dyDescent="0.25">
      <c r="A690" s="51" t="s">
        <v>168</v>
      </c>
      <c r="B690" s="51"/>
      <c r="C690" s="51"/>
      <c r="D690" s="51"/>
      <c r="E690" s="51"/>
      <c r="F690" s="34"/>
    </row>
    <row r="691" spans="1:7" x14ac:dyDescent="0.25">
      <c r="A691" s="1"/>
      <c r="B691" s="2" t="s">
        <v>16</v>
      </c>
      <c r="C691" s="2" t="s">
        <v>19</v>
      </c>
      <c r="D691" s="2" t="s">
        <v>17</v>
      </c>
      <c r="E691" s="2" t="s">
        <v>18</v>
      </c>
      <c r="F691" s="35"/>
    </row>
    <row r="692" spans="1:7" ht="18" x14ac:dyDescent="0.4">
      <c r="A692" s="1" t="s">
        <v>1</v>
      </c>
      <c r="B692" s="42">
        <v>24411</v>
      </c>
      <c r="C692" s="4">
        <v>109</v>
      </c>
      <c r="D692" s="42">
        <v>5277000</v>
      </c>
      <c r="E692" s="5">
        <v>-0.02</v>
      </c>
      <c r="F692" s="35"/>
    </row>
    <row r="693" spans="1:7" ht="18" x14ac:dyDescent="0.4">
      <c r="A693" s="1" t="s">
        <v>2</v>
      </c>
      <c r="B693" s="42">
        <v>29187</v>
      </c>
      <c r="C693" s="4">
        <v>100</v>
      </c>
      <c r="D693" s="42">
        <v>100100</v>
      </c>
      <c r="E693" s="5">
        <v>-0.47</v>
      </c>
      <c r="F693" s="35"/>
    </row>
    <row r="695" spans="1:7" x14ac:dyDescent="0.25">
      <c r="A695" s="6"/>
      <c r="B695" s="6"/>
      <c r="C695" s="6"/>
      <c r="D695" s="6"/>
      <c r="E695" s="6"/>
      <c r="F695" s="6"/>
    </row>
    <row r="696" spans="1:7" x14ac:dyDescent="0.25">
      <c r="A696" s="51" t="s">
        <v>169</v>
      </c>
      <c r="B696" s="51"/>
      <c r="C696" s="51"/>
      <c r="D696" s="51"/>
      <c r="E696" s="51"/>
      <c r="F696" s="51"/>
    </row>
    <row r="697" spans="1:7" x14ac:dyDescent="0.25">
      <c r="A697" s="1"/>
      <c r="B697" s="2" t="s">
        <v>14</v>
      </c>
      <c r="C697" s="2" t="s">
        <v>15</v>
      </c>
      <c r="D697" s="2" t="s">
        <v>20</v>
      </c>
      <c r="E697" s="8" t="s">
        <v>21</v>
      </c>
      <c r="F697" s="8" t="s">
        <v>27</v>
      </c>
    </row>
    <row r="698" spans="1:7" ht="18" x14ac:dyDescent="0.4">
      <c r="A698" s="1" t="s">
        <v>1</v>
      </c>
      <c r="B698" s="42">
        <v>24318</v>
      </c>
      <c r="C698" s="43">
        <v>24561</v>
      </c>
      <c r="D698">
        <v>-151</v>
      </c>
      <c r="E698" s="43">
        <v>24750</v>
      </c>
      <c r="F698" s="9">
        <v>189</v>
      </c>
    </row>
    <row r="699" spans="1:7" ht="18" x14ac:dyDescent="0.4">
      <c r="A699" s="1" t="s">
        <v>2</v>
      </c>
      <c r="B699" s="42">
        <v>29082</v>
      </c>
      <c r="C699" s="43">
        <v>29373</v>
      </c>
      <c r="D699">
        <v>-83</v>
      </c>
      <c r="E699" s="43">
        <v>29450</v>
      </c>
      <c r="F699" s="9">
        <v>77</v>
      </c>
    </row>
    <row r="700" spans="1:7" x14ac:dyDescent="0.25">
      <c r="A700" s="51" t="s">
        <v>170</v>
      </c>
      <c r="B700" s="51"/>
      <c r="C700" s="51"/>
      <c r="D700" s="51"/>
      <c r="E700" s="51"/>
      <c r="F700" s="34"/>
    </row>
    <row r="701" spans="1:7" x14ac:dyDescent="0.25">
      <c r="A701" s="1"/>
      <c r="B701" s="2" t="s">
        <v>16</v>
      </c>
      <c r="C701" s="2" t="s">
        <v>19</v>
      </c>
      <c r="D701" s="2" t="s">
        <v>17</v>
      </c>
      <c r="E701" s="2" t="s">
        <v>18</v>
      </c>
      <c r="F701" s="35"/>
    </row>
    <row r="702" spans="1:7" ht="18" x14ac:dyDescent="0.4">
      <c r="A702" s="1" t="s">
        <v>1</v>
      </c>
      <c r="B702" s="42">
        <v>24369</v>
      </c>
      <c r="C702" s="4">
        <v>-42</v>
      </c>
      <c r="D702" s="42">
        <v>2548900</v>
      </c>
      <c r="E702" s="5">
        <v>-0.52</v>
      </c>
      <c r="F702" s="35"/>
    </row>
    <row r="703" spans="1:7" ht="18" x14ac:dyDescent="0.4">
      <c r="A703" s="1" t="s">
        <v>2</v>
      </c>
      <c r="B703" s="42">
        <v>29097</v>
      </c>
      <c r="C703" s="4">
        <v>-90</v>
      </c>
      <c r="D703" s="42">
        <v>105700</v>
      </c>
      <c r="E703" s="5">
        <v>0.06</v>
      </c>
      <c r="F703" s="35"/>
      <c r="G703">
        <f>E699-E689</f>
        <v>-81</v>
      </c>
    </row>
    <row r="705" spans="1:6" x14ac:dyDescent="0.25">
      <c r="A705" s="6"/>
      <c r="B705" s="6"/>
      <c r="C705" s="6"/>
      <c r="D705" s="6"/>
      <c r="E705" s="6"/>
      <c r="F705" s="6"/>
    </row>
    <row r="706" spans="1:6" x14ac:dyDescent="0.25">
      <c r="A706" s="51" t="s">
        <v>171</v>
      </c>
      <c r="B706" s="51"/>
      <c r="C706" s="51"/>
      <c r="D706" s="51"/>
      <c r="E706" s="51"/>
      <c r="F706" s="51"/>
    </row>
    <row r="707" spans="1:6" x14ac:dyDescent="0.25">
      <c r="A707" s="1"/>
      <c r="B707" s="2" t="s">
        <v>14</v>
      </c>
      <c r="C707" s="2" t="s">
        <v>15</v>
      </c>
      <c r="D707" s="2" t="s">
        <v>20</v>
      </c>
      <c r="E707" s="8" t="s">
        <v>21</v>
      </c>
      <c r="F707" s="8" t="s">
        <v>27</v>
      </c>
    </row>
    <row r="708" spans="1:6" ht="18" x14ac:dyDescent="0.4">
      <c r="A708" s="1" t="s">
        <v>1</v>
      </c>
      <c r="B708" s="30">
        <v>24015</v>
      </c>
      <c r="C708" s="31">
        <v>24255</v>
      </c>
      <c r="D708">
        <v>-306</v>
      </c>
      <c r="E708" s="31">
        <v>24520</v>
      </c>
      <c r="F708" s="9">
        <v>265</v>
      </c>
    </row>
    <row r="709" spans="1:6" ht="18" x14ac:dyDescent="0.4">
      <c r="A709" s="1" t="s">
        <v>2</v>
      </c>
      <c r="B709" s="30">
        <v>28650</v>
      </c>
      <c r="C709" s="31">
        <v>28936</v>
      </c>
      <c r="D709">
        <v>-437</v>
      </c>
      <c r="E709" s="31">
        <v>28819</v>
      </c>
      <c r="F709" s="9">
        <v>-117</v>
      </c>
    </row>
    <row r="710" spans="1:6" x14ac:dyDescent="0.25">
      <c r="A710" s="51" t="s">
        <v>172</v>
      </c>
      <c r="B710" s="51"/>
      <c r="C710" s="51"/>
      <c r="D710" s="51"/>
      <c r="E710" s="51"/>
      <c r="F710" s="34"/>
    </row>
    <row r="711" spans="1:6" x14ac:dyDescent="0.25">
      <c r="A711" s="1"/>
      <c r="B711" s="2" t="s">
        <v>16</v>
      </c>
      <c r="C711" s="2" t="s">
        <v>19</v>
      </c>
      <c r="D711" s="2" t="s">
        <v>17</v>
      </c>
      <c r="E711" s="2" t="s">
        <v>18</v>
      </c>
      <c r="F711" s="35"/>
    </row>
    <row r="712" spans="1:6" ht="18" x14ac:dyDescent="0.4">
      <c r="A712" s="1" t="s">
        <v>1</v>
      </c>
      <c r="B712" s="30">
        <v>24005</v>
      </c>
      <c r="C712" s="4">
        <v>-364</v>
      </c>
      <c r="D712" s="30">
        <v>3386600</v>
      </c>
      <c r="E712" s="5">
        <v>0.33</v>
      </c>
      <c r="F712" s="35"/>
    </row>
    <row r="713" spans="1:6" ht="18" x14ac:dyDescent="0.4">
      <c r="A713" s="1" t="s">
        <v>2</v>
      </c>
      <c r="B713" s="30">
        <v>28701</v>
      </c>
      <c r="C713" s="4">
        <v>-396</v>
      </c>
      <c r="D713" s="30">
        <v>78000</v>
      </c>
      <c r="E713" s="5">
        <v>-0.26</v>
      </c>
      <c r="F713" s="35"/>
    </row>
    <row r="715" spans="1:6" x14ac:dyDescent="0.25">
      <c r="A715" s="6"/>
      <c r="B715" s="6"/>
      <c r="C715" s="6"/>
      <c r="D715" s="6"/>
      <c r="E715" s="6"/>
      <c r="F715" s="6"/>
    </row>
    <row r="716" spans="1:6" x14ac:dyDescent="0.25">
      <c r="A716" s="51" t="s">
        <v>173</v>
      </c>
      <c r="B716" s="51"/>
      <c r="C716" s="51"/>
      <c r="D716" s="51"/>
      <c r="E716" s="51"/>
      <c r="F716" s="51"/>
    </row>
    <row r="717" spans="1:6" x14ac:dyDescent="0.25">
      <c r="A717" s="1"/>
      <c r="B717" s="2" t="s">
        <v>14</v>
      </c>
      <c r="C717" s="2" t="s">
        <v>15</v>
      </c>
      <c r="D717" s="2" t="s">
        <v>20</v>
      </c>
      <c r="E717" s="8" t="s">
        <v>21</v>
      </c>
      <c r="F717" s="8" t="s">
        <v>27</v>
      </c>
    </row>
    <row r="718" spans="1:6" ht="18" x14ac:dyDescent="0.4">
      <c r="A718" s="1" t="s">
        <v>1</v>
      </c>
      <c r="B718" s="22">
        <v>24091</v>
      </c>
      <c r="C718" s="23">
        <v>24332</v>
      </c>
      <c r="D718">
        <v>77</v>
      </c>
      <c r="E718" s="23">
        <v>24670</v>
      </c>
      <c r="F718" s="9">
        <v>338</v>
      </c>
    </row>
    <row r="719" spans="1:6" ht="18" x14ac:dyDescent="0.4">
      <c r="A719" s="1" t="s">
        <v>2</v>
      </c>
      <c r="B719" s="22">
        <v>28521</v>
      </c>
      <c r="C719" s="23">
        <v>28806</v>
      </c>
      <c r="D719">
        <v>-130</v>
      </c>
      <c r="E719" s="23">
        <v>29196</v>
      </c>
      <c r="F719" s="9">
        <v>390</v>
      </c>
    </row>
    <row r="720" spans="1:6" x14ac:dyDescent="0.25">
      <c r="A720" s="51" t="s">
        <v>172</v>
      </c>
      <c r="B720" s="51"/>
      <c r="C720" s="51"/>
      <c r="D720" s="51"/>
      <c r="E720" s="51"/>
      <c r="F720" s="34"/>
    </row>
    <row r="721" spans="1:6" x14ac:dyDescent="0.25">
      <c r="A721" s="1"/>
      <c r="B721" s="2" t="s">
        <v>16</v>
      </c>
      <c r="C721" s="2" t="s">
        <v>19</v>
      </c>
      <c r="D721" s="2" t="s">
        <v>17</v>
      </c>
      <c r="E721" s="2" t="s">
        <v>18</v>
      </c>
      <c r="F721" s="35"/>
    </row>
    <row r="722" spans="1:6" ht="18" x14ac:dyDescent="0.4">
      <c r="A722" s="1" t="s">
        <v>1</v>
      </c>
      <c r="B722" s="22">
        <v>24138</v>
      </c>
      <c r="C722" s="4">
        <v>133</v>
      </c>
      <c r="D722" s="22">
        <v>6225800</v>
      </c>
      <c r="E722" s="5">
        <v>0.84</v>
      </c>
      <c r="F722" s="35"/>
    </row>
    <row r="723" spans="1:6" ht="18" x14ac:dyDescent="0.4">
      <c r="A723" s="1" t="s">
        <v>2</v>
      </c>
      <c r="B723" s="22">
        <v>28539</v>
      </c>
      <c r="C723" s="4">
        <v>-162</v>
      </c>
      <c r="D723" s="22">
        <v>326500</v>
      </c>
      <c r="E723" s="5">
        <v>3.19</v>
      </c>
      <c r="F723" s="35"/>
    </row>
    <row r="725" spans="1:6" x14ac:dyDescent="0.25">
      <c r="A725" s="6"/>
      <c r="B725" s="6"/>
      <c r="C725" s="6"/>
      <c r="D725" s="6"/>
      <c r="E725" s="6"/>
      <c r="F725" s="6"/>
    </row>
    <row r="726" spans="1:6" x14ac:dyDescent="0.25">
      <c r="A726" s="51" t="s">
        <v>174</v>
      </c>
      <c r="B726" s="51"/>
      <c r="C726" s="51"/>
      <c r="D726" s="51"/>
      <c r="E726" s="51"/>
      <c r="F726" s="51"/>
    </row>
    <row r="727" spans="1:6" x14ac:dyDescent="0.25">
      <c r="A727" s="1"/>
      <c r="B727" s="2" t="s">
        <v>14</v>
      </c>
      <c r="C727" s="2" t="s">
        <v>15</v>
      </c>
      <c r="D727" s="2" t="s">
        <v>20</v>
      </c>
      <c r="E727" s="8" t="s">
        <v>21</v>
      </c>
      <c r="F727" s="8" t="s">
        <v>27</v>
      </c>
    </row>
    <row r="728" spans="1:6" ht="18" x14ac:dyDescent="0.4">
      <c r="A728" s="1" t="s">
        <v>1</v>
      </c>
      <c r="B728" s="42">
        <v>23899</v>
      </c>
      <c r="C728" s="43">
        <v>24138</v>
      </c>
      <c r="D728">
        <v>-194</v>
      </c>
      <c r="E728" s="43">
        <v>24650</v>
      </c>
      <c r="F728" s="9">
        <v>512</v>
      </c>
    </row>
    <row r="729" spans="1:6" ht="18" x14ac:dyDescent="0.4">
      <c r="A729" s="1" t="s">
        <v>2</v>
      </c>
      <c r="B729" s="42">
        <v>28590</v>
      </c>
      <c r="C729" s="43">
        <v>28876</v>
      </c>
      <c r="D729">
        <v>70</v>
      </c>
      <c r="E729" s="43">
        <v>29196</v>
      </c>
      <c r="F729" s="9">
        <v>320</v>
      </c>
    </row>
    <row r="730" spans="1:6" x14ac:dyDescent="0.25">
      <c r="A730" s="51" t="s">
        <v>175</v>
      </c>
      <c r="B730" s="51"/>
      <c r="C730" s="51"/>
      <c r="D730" s="51"/>
      <c r="E730" s="51"/>
      <c r="F730" s="34"/>
    </row>
    <row r="731" spans="1:6" x14ac:dyDescent="0.25">
      <c r="A731" s="1"/>
      <c r="B731" s="2" t="s">
        <v>16</v>
      </c>
      <c r="C731" s="2" t="s">
        <v>19</v>
      </c>
      <c r="D731" s="2" t="s">
        <v>17</v>
      </c>
      <c r="E731" s="2" t="s">
        <v>18</v>
      </c>
      <c r="F731" s="35"/>
    </row>
    <row r="732" spans="1:6" ht="18" x14ac:dyDescent="0.4">
      <c r="A732" s="1" t="s">
        <v>1</v>
      </c>
      <c r="B732" s="42">
        <v>23959</v>
      </c>
      <c r="C732" s="4">
        <v>-179</v>
      </c>
      <c r="D732" s="42">
        <v>5786000</v>
      </c>
      <c r="E732" s="5">
        <v>-7.0000000000000007E-2</v>
      </c>
      <c r="F732" s="35"/>
    </row>
    <row r="733" spans="1:6" ht="18" x14ac:dyDescent="0.4">
      <c r="A733" s="1" t="s">
        <v>2</v>
      </c>
      <c r="B733" s="42">
        <v>28582</v>
      </c>
      <c r="C733" s="4">
        <v>43</v>
      </c>
      <c r="D733" s="42">
        <v>151900</v>
      </c>
      <c r="E733" s="5">
        <v>-0.53</v>
      </c>
      <c r="F733" s="35"/>
    </row>
    <row r="735" spans="1:6" x14ac:dyDescent="0.25">
      <c r="A735" s="6"/>
      <c r="B735" s="6"/>
      <c r="C735" s="6"/>
      <c r="D735" s="6"/>
      <c r="E735" s="6"/>
      <c r="F735" s="6"/>
    </row>
    <row r="736" spans="1:6" x14ac:dyDescent="0.25">
      <c r="A736" s="51" t="s">
        <v>176</v>
      </c>
      <c r="B736" s="51"/>
      <c r="C736" s="51"/>
      <c r="D736" s="51"/>
      <c r="E736" s="51"/>
      <c r="F736" s="51"/>
    </row>
    <row r="737" spans="1:6" x14ac:dyDescent="0.25">
      <c r="A737" s="1"/>
      <c r="B737" s="2" t="s">
        <v>14</v>
      </c>
      <c r="C737" s="2" t="s">
        <v>15</v>
      </c>
      <c r="D737" s="2" t="s">
        <v>20</v>
      </c>
      <c r="E737" s="8" t="s">
        <v>21</v>
      </c>
      <c r="F737" s="8" t="s">
        <v>27</v>
      </c>
    </row>
    <row r="738" spans="1:6" ht="18" x14ac:dyDescent="0.4">
      <c r="A738" s="1" t="s">
        <v>1</v>
      </c>
      <c r="B738" s="44">
        <v>23911</v>
      </c>
      <c r="C738" s="45">
        <v>24150</v>
      </c>
      <c r="D738">
        <v>12</v>
      </c>
      <c r="E738" s="43">
        <v>24400</v>
      </c>
      <c r="F738" s="9">
        <v>250</v>
      </c>
    </row>
    <row r="739" spans="1:6" ht="18" x14ac:dyDescent="0.4">
      <c r="A739" s="1" t="s">
        <v>2</v>
      </c>
      <c r="B739" s="44">
        <v>28499</v>
      </c>
      <c r="C739" s="45">
        <v>28784</v>
      </c>
      <c r="D739">
        <v>-92</v>
      </c>
      <c r="E739" s="45">
        <v>28785</v>
      </c>
      <c r="F739" s="9">
        <v>1</v>
      </c>
    </row>
    <row r="740" spans="1:6" x14ac:dyDescent="0.25">
      <c r="A740" s="51" t="s">
        <v>177</v>
      </c>
      <c r="B740" s="51"/>
      <c r="C740" s="51"/>
      <c r="D740" s="51"/>
      <c r="E740" s="51"/>
      <c r="F740" s="34"/>
    </row>
    <row r="741" spans="1:6" x14ac:dyDescent="0.25">
      <c r="A741" s="1"/>
      <c r="B741" s="2" t="s">
        <v>16</v>
      </c>
      <c r="C741" s="2" t="s">
        <v>19</v>
      </c>
      <c r="D741" s="2" t="s">
        <v>17</v>
      </c>
      <c r="E741" s="2" t="s">
        <v>18</v>
      </c>
      <c r="F741" s="35"/>
    </row>
    <row r="742" spans="1:6" ht="18" x14ac:dyDescent="0.4">
      <c r="A742" s="1" t="s">
        <v>1</v>
      </c>
      <c r="B742" s="44">
        <v>23840</v>
      </c>
      <c r="C742" s="4">
        <v>-119</v>
      </c>
      <c r="D742" s="44">
        <v>4854700</v>
      </c>
      <c r="E742" s="5">
        <v>-0.16</v>
      </c>
      <c r="F742" s="35"/>
    </row>
    <row r="743" spans="1:6" ht="18" x14ac:dyDescent="0.4">
      <c r="A743" s="1" t="s">
        <v>2</v>
      </c>
      <c r="B743" s="44">
        <v>28483</v>
      </c>
      <c r="C743" s="4">
        <v>-99</v>
      </c>
      <c r="D743" s="44">
        <v>179500</v>
      </c>
      <c r="E743" s="5">
        <v>0.18</v>
      </c>
      <c r="F743" s="35"/>
    </row>
    <row r="747" spans="1:6" x14ac:dyDescent="0.25">
      <c r="A747" s="6"/>
      <c r="B747" s="6"/>
      <c r="C747" s="6"/>
      <c r="D747" s="6"/>
      <c r="E747" s="6"/>
      <c r="F747" s="6"/>
    </row>
    <row r="748" spans="1:6" x14ac:dyDescent="0.25">
      <c r="A748" s="51" t="s">
        <v>178</v>
      </c>
      <c r="B748" s="51"/>
      <c r="C748" s="51"/>
      <c r="D748" s="51"/>
      <c r="E748" s="51"/>
      <c r="F748" s="51"/>
    </row>
    <row r="749" spans="1:6" x14ac:dyDescent="0.25">
      <c r="A749" s="1"/>
      <c r="B749" s="2" t="s">
        <v>14</v>
      </c>
      <c r="C749" s="2" t="s">
        <v>15</v>
      </c>
      <c r="D749" s="2" t="s">
        <v>20</v>
      </c>
      <c r="E749" s="8" t="s">
        <v>21</v>
      </c>
      <c r="F749" s="8" t="s">
        <v>27</v>
      </c>
    </row>
    <row r="750" spans="1:6" ht="18" x14ac:dyDescent="0.4">
      <c r="A750" s="1" t="s">
        <v>1</v>
      </c>
      <c r="B750" s="39">
        <v>24357</v>
      </c>
      <c r="C750" s="40">
        <v>24601</v>
      </c>
      <c r="D750">
        <v>451</v>
      </c>
      <c r="E750" s="40">
        <v>24980</v>
      </c>
      <c r="F750" s="9">
        <v>379</v>
      </c>
    </row>
    <row r="751" spans="1:6" ht="18" x14ac:dyDescent="0.4">
      <c r="A751" s="1" t="s">
        <v>2</v>
      </c>
      <c r="B751" s="39">
        <v>28515</v>
      </c>
      <c r="C751" s="40">
        <v>28800</v>
      </c>
      <c r="D751">
        <v>16</v>
      </c>
      <c r="E751" s="40">
        <v>29241</v>
      </c>
      <c r="F751" s="9">
        <v>441</v>
      </c>
    </row>
    <row r="752" spans="1:6" x14ac:dyDescent="0.25">
      <c r="A752" s="51" t="s">
        <v>179</v>
      </c>
      <c r="B752" s="51"/>
      <c r="C752" s="51"/>
      <c r="D752" s="51"/>
      <c r="E752" s="51"/>
      <c r="F752" s="34"/>
    </row>
    <row r="753" spans="1:6" x14ac:dyDescent="0.25">
      <c r="A753" s="1"/>
      <c r="B753" s="2" t="s">
        <v>16</v>
      </c>
      <c r="C753" s="2" t="s">
        <v>19</v>
      </c>
      <c r="D753" s="2" t="s">
        <v>17</v>
      </c>
      <c r="E753" s="2" t="s">
        <v>18</v>
      </c>
      <c r="F753" s="35"/>
    </row>
    <row r="754" spans="1:6" ht="18" x14ac:dyDescent="0.4">
      <c r="A754" s="1" t="s">
        <v>1</v>
      </c>
      <c r="B754" s="39">
        <v>24311</v>
      </c>
      <c r="C754" s="4">
        <v>471</v>
      </c>
      <c r="D754" s="39">
        <v>7792000</v>
      </c>
      <c r="E754" s="5">
        <v>0.61</v>
      </c>
      <c r="F754" s="35"/>
    </row>
    <row r="755" spans="1:6" ht="18" x14ac:dyDescent="0.4">
      <c r="A755" s="1" t="s">
        <v>2</v>
      </c>
      <c r="B755" s="39">
        <v>28468</v>
      </c>
      <c r="C755" s="4">
        <v>-15</v>
      </c>
      <c r="D755" s="39">
        <v>769000</v>
      </c>
      <c r="E755" s="5">
        <v>3.28</v>
      </c>
      <c r="F755" s="35"/>
    </row>
    <row r="758" spans="1:6" x14ac:dyDescent="0.25">
      <c r="A758" s="6"/>
      <c r="B758" s="6"/>
      <c r="C758" s="6"/>
      <c r="D758" s="6"/>
      <c r="E758" s="6"/>
      <c r="F758" s="6"/>
    </row>
    <row r="759" spans="1:6" x14ac:dyDescent="0.25">
      <c r="A759" s="51" t="s">
        <v>180</v>
      </c>
      <c r="B759" s="51"/>
      <c r="C759" s="51"/>
      <c r="D759" s="51"/>
      <c r="E759" s="51"/>
      <c r="F759" s="51"/>
    </row>
    <row r="760" spans="1:6" x14ac:dyDescent="0.25">
      <c r="A760" s="1"/>
      <c r="B760" s="2" t="s">
        <v>14</v>
      </c>
      <c r="C760" s="2" t="s">
        <v>15</v>
      </c>
      <c r="D760" s="2" t="s">
        <v>20</v>
      </c>
      <c r="E760" s="8" t="s">
        <v>21</v>
      </c>
      <c r="F760" s="8" t="s">
        <v>27</v>
      </c>
    </row>
    <row r="761" spans="1:6" ht="18" x14ac:dyDescent="0.4">
      <c r="A761" s="1" t="s">
        <v>1</v>
      </c>
      <c r="B761" s="39">
        <v>24049</v>
      </c>
      <c r="C761" s="40">
        <v>24289</v>
      </c>
      <c r="D761">
        <v>-312</v>
      </c>
      <c r="E761" s="40">
        <v>25120</v>
      </c>
      <c r="F761" s="9">
        <v>831</v>
      </c>
    </row>
    <row r="762" spans="1:6" ht="18" x14ac:dyDescent="0.4">
      <c r="A762" s="1" t="s">
        <v>2</v>
      </c>
      <c r="B762" s="39">
        <v>28320</v>
      </c>
      <c r="C762" s="40">
        <v>28603</v>
      </c>
      <c r="D762">
        <v>-197</v>
      </c>
      <c r="E762" s="40">
        <v>29570</v>
      </c>
      <c r="F762" s="9">
        <v>967</v>
      </c>
    </row>
    <row r="763" spans="1:6" x14ac:dyDescent="0.25">
      <c r="A763" s="51" t="s">
        <v>181</v>
      </c>
      <c r="B763" s="51"/>
      <c r="C763" s="51"/>
      <c r="D763" s="51"/>
      <c r="E763" s="51"/>
      <c r="F763" s="34"/>
    </row>
    <row r="764" spans="1:6" x14ac:dyDescent="0.25">
      <c r="A764" s="1"/>
      <c r="B764" s="2" t="s">
        <v>16</v>
      </c>
      <c r="C764" s="2" t="s">
        <v>19</v>
      </c>
      <c r="D764" s="2" t="s">
        <v>17</v>
      </c>
      <c r="E764" s="2" t="s">
        <v>18</v>
      </c>
      <c r="F764" s="35"/>
    </row>
    <row r="765" spans="1:6" ht="18" x14ac:dyDescent="0.4">
      <c r="A765" s="1" t="s">
        <v>1</v>
      </c>
      <c r="B765" s="39">
        <v>24247</v>
      </c>
      <c r="C765" s="4">
        <v>-64</v>
      </c>
      <c r="D765" s="39">
        <v>9069200</v>
      </c>
      <c r="E765" s="5">
        <v>0.16</v>
      </c>
      <c r="F765" s="35"/>
    </row>
    <row r="766" spans="1:6" ht="18" x14ac:dyDescent="0.4">
      <c r="A766" s="1" t="s">
        <v>2</v>
      </c>
      <c r="B766" s="39">
        <v>28446</v>
      </c>
      <c r="C766" s="4">
        <v>-22</v>
      </c>
      <c r="D766" s="39">
        <v>501300</v>
      </c>
      <c r="E766" s="5">
        <v>-0.35</v>
      </c>
      <c r="F766" s="35"/>
    </row>
    <row r="769" spans="1:6" x14ac:dyDescent="0.25">
      <c r="A769" s="6"/>
      <c r="B769" s="6"/>
      <c r="C769" s="6"/>
      <c r="D769" s="6"/>
      <c r="E769" s="6"/>
      <c r="F769" s="6"/>
    </row>
    <row r="770" spans="1:6" x14ac:dyDescent="0.25">
      <c r="A770" s="51" t="s">
        <v>182</v>
      </c>
      <c r="B770" s="51"/>
      <c r="C770" s="51"/>
      <c r="D770" s="51"/>
      <c r="E770" s="51"/>
      <c r="F770" s="51"/>
    </row>
    <row r="771" spans="1:6" x14ac:dyDescent="0.25">
      <c r="A771" s="1"/>
      <c r="B771" s="2" t="s">
        <v>14</v>
      </c>
      <c r="C771" s="2" t="s">
        <v>15</v>
      </c>
      <c r="D771" s="2" t="s">
        <v>20</v>
      </c>
      <c r="E771" s="8" t="s">
        <v>21</v>
      </c>
      <c r="F771" s="8" t="s">
        <v>27</v>
      </c>
    </row>
    <row r="772" spans="1:6" ht="18" x14ac:dyDescent="0.4">
      <c r="A772" s="1" t="s">
        <v>1</v>
      </c>
      <c r="B772" s="46">
        <v>24564</v>
      </c>
      <c r="C772" s="47">
        <v>24809</v>
      </c>
      <c r="D772">
        <v>520</v>
      </c>
      <c r="E772" s="47">
        <v>25290</v>
      </c>
      <c r="F772" s="9">
        <v>481</v>
      </c>
    </row>
    <row r="773" spans="1:6" ht="18" x14ac:dyDescent="0.4">
      <c r="A773" s="1" t="s">
        <v>2</v>
      </c>
      <c r="B773" s="46">
        <v>28515</v>
      </c>
      <c r="C773" s="47">
        <v>28800</v>
      </c>
      <c r="D773">
        <v>197</v>
      </c>
      <c r="E773" s="47">
        <v>29810</v>
      </c>
      <c r="F773" s="9">
        <v>1010</v>
      </c>
    </row>
    <row r="774" spans="1:6" x14ac:dyDescent="0.25">
      <c r="A774" s="51" t="s">
        <v>183</v>
      </c>
      <c r="B774" s="51"/>
      <c r="C774" s="51"/>
      <c r="D774" s="51"/>
      <c r="E774" s="51"/>
      <c r="F774" s="34"/>
    </row>
    <row r="775" spans="1:6" x14ac:dyDescent="0.25">
      <c r="A775" s="1"/>
      <c r="B775" s="2" t="s">
        <v>16</v>
      </c>
      <c r="C775" s="2" t="s">
        <v>19</v>
      </c>
      <c r="D775" s="2" t="s">
        <v>17</v>
      </c>
      <c r="E775" s="2" t="s">
        <v>18</v>
      </c>
      <c r="F775" s="35"/>
    </row>
    <row r="776" spans="1:6" ht="18" x14ac:dyDescent="0.4">
      <c r="A776" s="1" t="s">
        <v>1</v>
      </c>
      <c r="B776" s="46">
        <v>24237</v>
      </c>
      <c r="C776" s="4">
        <v>-10</v>
      </c>
      <c r="D776" s="46">
        <v>7907600</v>
      </c>
      <c r="E776" s="5">
        <v>-0.13</v>
      </c>
      <c r="F776" s="35"/>
    </row>
    <row r="777" spans="1:6" ht="18" x14ac:dyDescent="0.4">
      <c r="A777" s="1" t="s">
        <v>2</v>
      </c>
      <c r="B777" s="46">
        <v>28467</v>
      </c>
      <c r="C777" s="4">
        <v>-48</v>
      </c>
      <c r="D777" s="46">
        <v>1007000</v>
      </c>
      <c r="E777" s="5">
        <v>1.01</v>
      </c>
      <c r="F777" s="35"/>
    </row>
    <row r="780" spans="1:6" x14ac:dyDescent="0.25">
      <c r="A780" s="6"/>
      <c r="B780" s="6"/>
      <c r="C780" s="6"/>
      <c r="D780" s="6"/>
      <c r="E780" s="6"/>
      <c r="F780" s="6"/>
    </row>
    <row r="781" spans="1:6" x14ac:dyDescent="0.25">
      <c r="A781" s="51" t="s">
        <v>184</v>
      </c>
      <c r="B781" s="51"/>
      <c r="C781" s="51"/>
      <c r="D781" s="51"/>
      <c r="E781" s="51"/>
      <c r="F781" s="51"/>
    </row>
    <row r="782" spans="1:6" x14ac:dyDescent="0.25">
      <c r="A782" s="1"/>
      <c r="B782" s="2" t="s">
        <v>14</v>
      </c>
      <c r="C782" s="2" t="s">
        <v>15</v>
      </c>
      <c r="D782" s="2" t="s">
        <v>20</v>
      </c>
      <c r="E782" s="8" t="s">
        <v>21</v>
      </c>
      <c r="F782" s="8" t="s">
        <v>27</v>
      </c>
    </row>
    <row r="783" spans="1:6" ht="18" x14ac:dyDescent="0.4">
      <c r="A783" s="1" t="s">
        <v>1</v>
      </c>
      <c r="B783" s="30">
        <v>25110</v>
      </c>
      <c r="C783" s="31">
        <v>25361</v>
      </c>
      <c r="D783">
        <v>552</v>
      </c>
      <c r="E783" s="31">
        <v>25980</v>
      </c>
      <c r="F783" s="9">
        <v>619</v>
      </c>
    </row>
    <row r="784" spans="1:6" ht="18" x14ac:dyDescent="0.4">
      <c r="A784" s="1" t="s">
        <v>2</v>
      </c>
      <c r="B784" s="30">
        <v>29455</v>
      </c>
      <c r="C784" s="31">
        <v>29750</v>
      </c>
      <c r="D784">
        <v>950</v>
      </c>
      <c r="E784" s="31">
        <v>30521</v>
      </c>
      <c r="F784" s="9">
        <v>771</v>
      </c>
    </row>
    <row r="785" spans="1:6" x14ac:dyDescent="0.25">
      <c r="A785" s="51" t="s">
        <v>185</v>
      </c>
      <c r="B785" s="51"/>
      <c r="C785" s="51"/>
      <c r="D785" s="51"/>
      <c r="E785" s="51"/>
      <c r="F785" s="34"/>
    </row>
    <row r="786" spans="1:6" x14ac:dyDescent="0.25">
      <c r="A786" s="1"/>
      <c r="B786" s="2" t="s">
        <v>16</v>
      </c>
      <c r="C786" s="2" t="s">
        <v>19</v>
      </c>
      <c r="D786" s="2" t="s">
        <v>17</v>
      </c>
      <c r="E786" s="2" t="s">
        <v>18</v>
      </c>
      <c r="F786" s="35"/>
    </row>
    <row r="787" spans="1:6" ht="18" x14ac:dyDescent="0.4">
      <c r="A787" s="1" t="s">
        <v>1</v>
      </c>
      <c r="B787" s="30">
        <v>25128</v>
      </c>
      <c r="C787" s="4">
        <v>891</v>
      </c>
      <c r="D787" s="30">
        <v>6988700</v>
      </c>
      <c r="E787" s="5">
        <v>-0.12</v>
      </c>
      <c r="F787" s="35"/>
    </row>
    <row r="788" spans="1:6" ht="18" x14ac:dyDescent="0.4">
      <c r="A788" s="1" t="s">
        <v>2</v>
      </c>
      <c r="B788" s="30">
        <v>29324</v>
      </c>
      <c r="C788" s="4">
        <v>857</v>
      </c>
      <c r="D788" s="30">
        <v>1353300</v>
      </c>
      <c r="E788" s="5">
        <v>0.34</v>
      </c>
      <c r="F788" s="35"/>
    </row>
    <row r="791" spans="1:6" x14ac:dyDescent="0.25">
      <c r="A791" s="6"/>
      <c r="B791" s="6"/>
      <c r="C791" s="6"/>
      <c r="D791" s="6"/>
      <c r="E791" s="6"/>
      <c r="F791" s="6"/>
    </row>
    <row r="792" spans="1:6" x14ac:dyDescent="0.25">
      <c r="A792" s="51" t="s">
        <v>186</v>
      </c>
      <c r="B792" s="51"/>
      <c r="C792" s="51"/>
      <c r="D792" s="51"/>
      <c r="E792" s="51"/>
      <c r="F792" s="51"/>
    </row>
    <row r="793" spans="1:6" x14ac:dyDescent="0.25">
      <c r="A793" s="1"/>
      <c r="B793" s="2" t="s">
        <v>14</v>
      </c>
      <c r="C793" s="2" t="s">
        <v>15</v>
      </c>
      <c r="D793" s="2" t="s">
        <v>20</v>
      </c>
      <c r="E793" s="8" t="s">
        <v>21</v>
      </c>
      <c r="F793" s="8" t="s">
        <v>27</v>
      </c>
    </row>
    <row r="794" spans="1:6" ht="18" x14ac:dyDescent="0.4">
      <c r="A794" s="1" t="s">
        <v>1</v>
      </c>
      <c r="B794" s="30">
        <v>24850</v>
      </c>
      <c r="C794" s="31">
        <v>25098</v>
      </c>
      <c r="D794">
        <v>-263</v>
      </c>
      <c r="E794" s="31">
        <v>25620</v>
      </c>
      <c r="F794" s="9">
        <v>522</v>
      </c>
    </row>
    <row r="795" spans="1:6" ht="18" x14ac:dyDescent="0.4">
      <c r="A795" s="1" t="s">
        <v>2</v>
      </c>
      <c r="B795" s="30">
        <v>29286</v>
      </c>
      <c r="C795" s="31">
        <v>29579</v>
      </c>
      <c r="D795">
        <v>-171</v>
      </c>
      <c r="E795" s="31">
        <v>30616</v>
      </c>
      <c r="F795" s="9">
        <v>1037</v>
      </c>
    </row>
    <row r="796" spans="1:6" x14ac:dyDescent="0.25">
      <c r="A796" s="51" t="s">
        <v>187</v>
      </c>
      <c r="B796" s="51"/>
      <c r="C796" s="51"/>
      <c r="D796" s="51"/>
      <c r="E796" s="51"/>
      <c r="F796" s="34"/>
    </row>
    <row r="797" spans="1:6" x14ac:dyDescent="0.25">
      <c r="A797" s="1"/>
      <c r="B797" s="2" t="s">
        <v>16</v>
      </c>
      <c r="C797" s="2" t="s">
        <v>19</v>
      </c>
      <c r="D797" s="2" t="s">
        <v>17</v>
      </c>
      <c r="E797" s="2" t="s">
        <v>18</v>
      </c>
      <c r="F797" s="35"/>
    </row>
    <row r="798" spans="1:6" ht="18" x14ac:dyDescent="0.4">
      <c r="A798" s="1" t="s">
        <v>1</v>
      </c>
      <c r="B798" s="30">
        <v>25051</v>
      </c>
      <c r="C798" s="4">
        <v>-77</v>
      </c>
      <c r="D798" s="30">
        <v>6167100</v>
      </c>
      <c r="E798" s="5">
        <v>-0.12</v>
      </c>
      <c r="F798" s="35"/>
    </row>
    <row r="799" spans="1:6" ht="18" x14ac:dyDescent="0.4">
      <c r="A799" s="1" t="s">
        <v>2</v>
      </c>
      <c r="B799" s="30">
        <v>29441</v>
      </c>
      <c r="C799" s="4">
        <v>117</v>
      </c>
      <c r="D799" s="30">
        <v>861800</v>
      </c>
      <c r="E799" s="5">
        <v>-0.36</v>
      </c>
      <c r="F799" s="35"/>
    </row>
    <row r="801" spans="1:7" x14ac:dyDescent="0.25">
      <c r="G801">
        <f>E795-E784</f>
        <v>95</v>
      </c>
    </row>
    <row r="802" spans="1:7" x14ac:dyDescent="0.25">
      <c r="A802" s="6"/>
      <c r="B802" s="6"/>
      <c r="C802" s="6"/>
      <c r="D802" s="6"/>
      <c r="E802" s="6"/>
      <c r="F802" s="6"/>
    </row>
    <row r="803" spans="1:7" x14ac:dyDescent="0.25">
      <c r="A803" s="51" t="s">
        <v>188</v>
      </c>
      <c r="B803" s="51"/>
      <c r="C803" s="51"/>
      <c r="D803" s="51"/>
      <c r="E803" s="51"/>
      <c r="F803" s="51"/>
    </row>
    <row r="804" spans="1:7" x14ac:dyDescent="0.25">
      <c r="A804" s="1"/>
      <c r="B804" s="2" t="s">
        <v>14</v>
      </c>
      <c r="C804" s="2" t="s">
        <v>15</v>
      </c>
      <c r="D804" s="2" t="s">
        <v>20</v>
      </c>
      <c r="E804" s="8" t="s">
        <v>21</v>
      </c>
      <c r="F804" s="8" t="s">
        <v>27</v>
      </c>
    </row>
    <row r="805" spans="1:7" ht="18" x14ac:dyDescent="0.4">
      <c r="A805" s="1" t="s">
        <v>1</v>
      </c>
      <c r="B805" s="48">
        <v>24950</v>
      </c>
      <c r="C805" s="49">
        <v>25200</v>
      </c>
      <c r="D805">
        <v>102</v>
      </c>
      <c r="E805" s="49">
        <v>25480</v>
      </c>
      <c r="F805" s="9">
        <v>280</v>
      </c>
    </row>
    <row r="806" spans="1:7" ht="18" x14ac:dyDescent="0.4">
      <c r="A806" s="1" t="s">
        <v>2</v>
      </c>
      <c r="B806" s="48">
        <v>29259</v>
      </c>
      <c r="C806" s="49">
        <v>29552</v>
      </c>
      <c r="D806">
        <v>-27</v>
      </c>
      <c r="E806" s="49">
        <v>30347</v>
      </c>
      <c r="F806" s="9">
        <v>795</v>
      </c>
    </row>
    <row r="807" spans="1:7" x14ac:dyDescent="0.25">
      <c r="A807" s="51" t="s">
        <v>187</v>
      </c>
      <c r="B807" s="51"/>
      <c r="C807" s="51"/>
      <c r="D807" s="51"/>
      <c r="E807" s="51"/>
      <c r="F807" s="34"/>
    </row>
    <row r="808" spans="1:7" x14ac:dyDescent="0.25">
      <c r="A808" s="1"/>
      <c r="B808" s="2" t="s">
        <v>16</v>
      </c>
      <c r="C808" s="2" t="s">
        <v>19</v>
      </c>
      <c r="D808" s="2" t="s">
        <v>17</v>
      </c>
      <c r="E808" s="2" t="s">
        <v>18</v>
      </c>
      <c r="F808" s="35"/>
    </row>
    <row r="809" spans="1:7" ht="18" x14ac:dyDescent="0.4">
      <c r="A809" s="1" t="s">
        <v>1</v>
      </c>
      <c r="B809" s="48">
        <v>24959</v>
      </c>
      <c r="C809" s="4">
        <v>-92</v>
      </c>
      <c r="D809" s="48">
        <v>3698400</v>
      </c>
      <c r="E809" s="5">
        <v>-0.4</v>
      </c>
      <c r="F809" s="35"/>
      <c r="G809">
        <f>E806-E795</f>
        <v>-269</v>
      </c>
    </row>
    <row r="810" spans="1:7" ht="18" x14ac:dyDescent="0.4">
      <c r="A810" s="1" t="s">
        <v>2</v>
      </c>
      <c r="B810" s="48">
        <v>29201</v>
      </c>
      <c r="C810" s="4">
        <v>-240</v>
      </c>
      <c r="D810" s="48">
        <v>1558800</v>
      </c>
      <c r="E810" s="5">
        <v>0.81</v>
      </c>
      <c r="F810" s="35"/>
    </row>
    <row r="813" spans="1:7" x14ac:dyDescent="0.25">
      <c r="A813" s="6"/>
      <c r="B813" s="6"/>
      <c r="C813" s="6"/>
      <c r="D813" s="6"/>
      <c r="E813" s="6"/>
      <c r="F813" s="6"/>
    </row>
    <row r="814" spans="1:7" x14ac:dyDescent="0.25">
      <c r="A814" s="51" t="s">
        <v>189</v>
      </c>
      <c r="B814" s="51"/>
      <c r="C814" s="51"/>
      <c r="D814" s="51"/>
      <c r="E814" s="51"/>
      <c r="F814" s="51"/>
    </row>
    <row r="815" spans="1:7" x14ac:dyDescent="0.25">
      <c r="A815" s="1"/>
      <c r="B815" s="2" t="s">
        <v>14</v>
      </c>
      <c r="C815" s="2" t="s">
        <v>15</v>
      </c>
      <c r="D815" s="2" t="s">
        <v>20</v>
      </c>
      <c r="E815" s="8" t="s">
        <v>21</v>
      </c>
      <c r="F815" s="8" t="s">
        <v>27</v>
      </c>
    </row>
    <row r="816" spans="1:7" ht="18" x14ac:dyDescent="0.4">
      <c r="A816" s="1" t="s">
        <v>1</v>
      </c>
      <c r="B816" s="30">
        <v>25000</v>
      </c>
      <c r="C816" s="31">
        <v>25250</v>
      </c>
      <c r="D816">
        <v>50</v>
      </c>
      <c r="E816" s="31">
        <v>25630</v>
      </c>
      <c r="F816" s="9">
        <v>380</v>
      </c>
    </row>
    <row r="817" spans="1:6" ht="18" x14ac:dyDescent="0.4">
      <c r="A817" s="1" t="s">
        <v>2</v>
      </c>
      <c r="B817" s="30">
        <v>29649</v>
      </c>
      <c r="C817" s="31">
        <v>29945</v>
      </c>
      <c r="D817">
        <v>393</v>
      </c>
      <c r="E817" s="31">
        <v>30340</v>
      </c>
      <c r="F817" s="9">
        <v>395</v>
      </c>
    </row>
    <row r="818" spans="1:6" x14ac:dyDescent="0.25">
      <c r="A818" s="51" t="s">
        <v>190</v>
      </c>
      <c r="B818" s="51"/>
      <c r="C818" s="51"/>
      <c r="D818" s="51"/>
      <c r="E818" s="51"/>
      <c r="F818" s="34"/>
    </row>
    <row r="819" spans="1:6" x14ac:dyDescent="0.25">
      <c r="A819" s="1"/>
      <c r="B819" s="2" t="s">
        <v>16</v>
      </c>
      <c r="C819" s="2" t="s">
        <v>19</v>
      </c>
      <c r="D819" s="2" t="s">
        <v>17</v>
      </c>
      <c r="E819" s="2" t="s">
        <v>18</v>
      </c>
      <c r="F819" s="35"/>
    </row>
    <row r="820" spans="1:6" ht="18" x14ac:dyDescent="0.4">
      <c r="A820" s="1" t="s">
        <v>1</v>
      </c>
      <c r="B820" s="30">
        <v>24928</v>
      </c>
      <c r="C820" s="4">
        <v>-31</v>
      </c>
      <c r="D820" s="30">
        <v>6469700</v>
      </c>
      <c r="E820" s="5">
        <v>0.75</v>
      </c>
      <c r="F820" s="35"/>
    </row>
    <row r="821" spans="1:6" ht="18" x14ac:dyDescent="0.4">
      <c r="A821" s="1" t="s">
        <v>2</v>
      </c>
      <c r="B821" s="30">
        <v>29249</v>
      </c>
      <c r="C821" s="4">
        <v>48</v>
      </c>
      <c r="D821" s="30">
        <v>1301700</v>
      </c>
      <c r="E821" s="5">
        <v>-0.16</v>
      </c>
      <c r="F821" s="35"/>
    </row>
    <row r="824" spans="1:6" x14ac:dyDescent="0.25">
      <c r="A824" s="6"/>
      <c r="B824" s="6"/>
      <c r="C824" s="6"/>
      <c r="D824" s="6"/>
      <c r="E824" s="6"/>
      <c r="F824" s="6"/>
    </row>
    <row r="825" spans="1:6" x14ac:dyDescent="0.25">
      <c r="A825" s="51" t="s">
        <v>191</v>
      </c>
      <c r="B825" s="51"/>
      <c r="C825" s="51"/>
      <c r="D825" s="51"/>
      <c r="E825" s="51"/>
      <c r="F825" s="51"/>
    </row>
    <row r="826" spans="1:6" x14ac:dyDescent="0.25">
      <c r="A826" s="1"/>
      <c r="B826" s="2" t="s">
        <v>14</v>
      </c>
      <c r="C826" s="2" t="s">
        <v>15</v>
      </c>
      <c r="D826" s="2" t="s">
        <v>20</v>
      </c>
      <c r="E826" s="8" t="s">
        <v>21</v>
      </c>
      <c r="F826" s="8" t="s">
        <v>27</v>
      </c>
    </row>
    <row r="827" spans="1:6" ht="18" x14ac:dyDescent="0.4">
      <c r="A827" s="1" t="s">
        <v>1</v>
      </c>
      <c r="B827" s="30">
        <v>25020</v>
      </c>
      <c r="C827" s="31">
        <v>25270</v>
      </c>
      <c r="D827">
        <v>20</v>
      </c>
      <c r="E827" s="31">
        <v>25510</v>
      </c>
      <c r="F827" s="9">
        <v>240</v>
      </c>
    </row>
    <row r="828" spans="1:6" ht="18" x14ac:dyDescent="0.4">
      <c r="A828" s="1" t="s">
        <v>2</v>
      </c>
      <c r="B828" s="30">
        <v>29348</v>
      </c>
      <c r="C828" s="31">
        <v>29642</v>
      </c>
      <c r="D828">
        <v>-303</v>
      </c>
      <c r="E828" s="31">
        <v>30230</v>
      </c>
      <c r="F828" s="9">
        <v>588</v>
      </c>
    </row>
    <row r="829" spans="1:6" x14ac:dyDescent="0.25">
      <c r="A829" s="51" t="s">
        <v>192</v>
      </c>
      <c r="B829" s="51"/>
      <c r="C829" s="51"/>
      <c r="D829" s="51"/>
      <c r="E829" s="51"/>
      <c r="F829" s="34"/>
    </row>
    <row r="830" spans="1:6" x14ac:dyDescent="0.25">
      <c r="A830" s="1"/>
      <c r="B830" s="2" t="s">
        <v>16</v>
      </c>
      <c r="C830" s="2" t="s">
        <v>19</v>
      </c>
      <c r="D830" s="2" t="s">
        <v>17</v>
      </c>
      <c r="E830" s="2" t="s">
        <v>18</v>
      </c>
      <c r="F830" s="35"/>
    </row>
    <row r="831" spans="1:6" ht="18" x14ac:dyDescent="0.4">
      <c r="A831" s="1" t="s">
        <v>1</v>
      </c>
      <c r="B831" s="30">
        <v>25023</v>
      </c>
      <c r="C831" s="4">
        <v>95</v>
      </c>
      <c r="D831" s="30">
        <v>4324400</v>
      </c>
      <c r="E831" s="5">
        <v>-0.33</v>
      </c>
      <c r="F831" s="35"/>
    </row>
    <row r="832" spans="1:6" ht="18" x14ac:dyDescent="0.4">
      <c r="A832" s="1" t="s">
        <v>2</v>
      </c>
      <c r="B832" s="30">
        <v>29281</v>
      </c>
      <c r="C832" s="4">
        <v>32</v>
      </c>
      <c r="D832" s="30">
        <v>1308200</v>
      </c>
      <c r="E832" s="5">
        <v>0</v>
      </c>
      <c r="F832" s="35"/>
    </row>
    <row r="835" spans="1:6" x14ac:dyDescent="0.25">
      <c r="A835" s="6"/>
      <c r="B835" s="6"/>
      <c r="C835" s="6"/>
      <c r="D835" s="6"/>
      <c r="E835" s="6"/>
      <c r="F835" s="6"/>
    </row>
    <row r="836" spans="1:6" x14ac:dyDescent="0.25">
      <c r="A836" s="51" t="s">
        <v>193</v>
      </c>
      <c r="B836" s="51"/>
      <c r="C836" s="51"/>
      <c r="D836" s="51"/>
      <c r="E836" s="51"/>
      <c r="F836" s="51"/>
    </row>
    <row r="837" spans="1:6" x14ac:dyDescent="0.25">
      <c r="A837" s="1"/>
      <c r="B837" s="2" t="s">
        <v>14</v>
      </c>
      <c r="C837" s="2" t="s">
        <v>15</v>
      </c>
      <c r="D837" s="2" t="s">
        <v>20</v>
      </c>
      <c r="E837" s="8" t="s">
        <v>21</v>
      </c>
      <c r="F837" s="8" t="s">
        <v>27</v>
      </c>
    </row>
    <row r="838" spans="1:6" ht="18" x14ac:dyDescent="0.4">
      <c r="A838" s="1" t="s">
        <v>1</v>
      </c>
      <c r="B838" s="30">
        <v>24809</v>
      </c>
      <c r="C838" s="31">
        <v>25057</v>
      </c>
      <c r="D838">
        <v>-213</v>
      </c>
      <c r="E838" s="31">
        <v>25550</v>
      </c>
      <c r="F838" s="9">
        <v>493</v>
      </c>
    </row>
    <row r="839" spans="1:6" ht="18" x14ac:dyDescent="0.4">
      <c r="A839" s="1" t="s">
        <v>2</v>
      </c>
      <c r="B839" s="30">
        <v>29335</v>
      </c>
      <c r="C839" s="31">
        <v>29628</v>
      </c>
      <c r="D839">
        <v>-14</v>
      </c>
      <c r="E839" s="31">
        <v>30039</v>
      </c>
      <c r="F839" s="9">
        <v>411</v>
      </c>
    </row>
    <row r="840" spans="1:6" x14ac:dyDescent="0.25">
      <c r="A840" s="51" t="s">
        <v>194</v>
      </c>
      <c r="B840" s="51"/>
      <c r="C840" s="51"/>
      <c r="D840" s="51"/>
      <c r="E840" s="51"/>
      <c r="F840" s="34"/>
    </row>
    <row r="841" spans="1:6" x14ac:dyDescent="0.25">
      <c r="A841" s="1"/>
      <c r="B841" s="2" t="s">
        <v>16</v>
      </c>
      <c r="C841" s="2" t="s">
        <v>19</v>
      </c>
      <c r="D841" s="2" t="s">
        <v>17</v>
      </c>
      <c r="E841" s="2" t="s">
        <v>18</v>
      </c>
      <c r="F841" s="35"/>
    </row>
    <row r="842" spans="1:6" ht="18" x14ac:dyDescent="0.4">
      <c r="A842" s="1" t="s">
        <v>1</v>
      </c>
      <c r="B842" s="30">
        <v>24789</v>
      </c>
      <c r="C842" s="4">
        <v>-234</v>
      </c>
      <c r="D842" s="30">
        <v>6980200</v>
      </c>
      <c r="E842" s="5">
        <v>0.61</v>
      </c>
      <c r="F842" s="35"/>
    </row>
    <row r="843" spans="1:6" ht="18" x14ac:dyDescent="0.4">
      <c r="A843" s="1" t="s">
        <v>2</v>
      </c>
      <c r="B843" s="30">
        <v>29182</v>
      </c>
      <c r="C843" s="4">
        <v>-99</v>
      </c>
      <c r="D843" s="30">
        <v>486500</v>
      </c>
      <c r="E843" s="5">
        <v>-0.63</v>
      </c>
      <c r="F843" s="35"/>
    </row>
    <row r="846" spans="1:6" x14ac:dyDescent="0.25">
      <c r="A846" s="6"/>
      <c r="B846" s="6"/>
      <c r="C846" s="6"/>
      <c r="D846" s="6"/>
      <c r="E846" s="6"/>
      <c r="F846" s="6"/>
    </row>
    <row r="847" spans="1:6" x14ac:dyDescent="0.25">
      <c r="A847" s="51" t="s">
        <v>195</v>
      </c>
      <c r="B847" s="51"/>
      <c r="C847" s="51"/>
      <c r="D847" s="51"/>
      <c r="E847" s="51"/>
      <c r="F847" s="51"/>
    </row>
    <row r="848" spans="1:6" x14ac:dyDescent="0.25">
      <c r="A848" s="1"/>
      <c r="B848" s="2" t="s">
        <v>14</v>
      </c>
      <c r="C848" s="2" t="s">
        <v>15</v>
      </c>
      <c r="D848" s="2" t="s">
        <v>20</v>
      </c>
      <c r="E848" s="8" t="s">
        <v>21</v>
      </c>
      <c r="F848" s="8" t="s">
        <v>27</v>
      </c>
    </row>
    <row r="849" spans="1:6" ht="18" x14ac:dyDescent="0.4">
      <c r="A849" s="1" t="s">
        <v>1</v>
      </c>
      <c r="B849" s="30">
        <v>25013</v>
      </c>
      <c r="C849" s="31">
        <v>25263</v>
      </c>
      <c r="D849">
        <v>206</v>
      </c>
      <c r="E849" s="31">
        <v>25720</v>
      </c>
      <c r="F849" s="9">
        <v>457</v>
      </c>
    </row>
    <row r="850" spans="1:6" ht="18" x14ac:dyDescent="0.4">
      <c r="A850" s="1" t="s">
        <v>2</v>
      </c>
      <c r="B850" s="30">
        <v>29500</v>
      </c>
      <c r="C850" s="31">
        <v>29795</v>
      </c>
      <c r="D850">
        <v>167</v>
      </c>
      <c r="E850" s="31">
        <v>30215</v>
      </c>
      <c r="F850" s="9">
        <v>420</v>
      </c>
    </row>
    <row r="851" spans="1:6" x14ac:dyDescent="0.25">
      <c r="A851" s="51" t="s">
        <v>194</v>
      </c>
      <c r="B851" s="51"/>
      <c r="C851" s="51"/>
      <c r="D851" s="51"/>
      <c r="E851" s="51"/>
      <c r="F851" s="34"/>
    </row>
    <row r="852" spans="1:6" x14ac:dyDescent="0.25">
      <c r="A852" s="1"/>
      <c r="B852" s="2" t="s">
        <v>16</v>
      </c>
      <c r="C852" s="2" t="s">
        <v>19</v>
      </c>
      <c r="D852" s="2" t="s">
        <v>17</v>
      </c>
      <c r="E852" s="2" t="s">
        <v>18</v>
      </c>
      <c r="F852" s="35"/>
    </row>
    <row r="853" spans="1:6" ht="18" x14ac:dyDescent="0.4">
      <c r="A853" s="1" t="s">
        <v>1</v>
      </c>
      <c r="B853" s="30">
        <v>24987</v>
      </c>
      <c r="C853" s="4">
        <v>198</v>
      </c>
      <c r="D853" s="30">
        <v>6442800</v>
      </c>
      <c r="E853" s="5">
        <v>-0.08</v>
      </c>
      <c r="F853" s="35"/>
    </row>
    <row r="854" spans="1:6" ht="18" x14ac:dyDescent="0.4">
      <c r="A854" s="1" t="s">
        <v>2</v>
      </c>
      <c r="B854" s="30">
        <v>29234</v>
      </c>
      <c r="C854" s="4">
        <v>52</v>
      </c>
      <c r="D854" s="30">
        <v>742800</v>
      </c>
      <c r="E854" s="5">
        <v>0.53</v>
      </c>
      <c r="F854" s="35"/>
    </row>
    <row r="857" spans="1:6" x14ac:dyDescent="0.25">
      <c r="A857" s="6"/>
      <c r="B857" s="6"/>
      <c r="C857" s="6"/>
      <c r="D857" s="6"/>
      <c r="E857" s="6"/>
      <c r="F857" s="6"/>
    </row>
    <row r="858" spans="1:6" x14ac:dyDescent="0.25">
      <c r="A858" s="51" t="s">
        <v>196</v>
      </c>
      <c r="B858" s="51"/>
      <c r="C858" s="51"/>
      <c r="D858" s="51"/>
      <c r="E858" s="51"/>
      <c r="F858" s="51"/>
    </row>
    <row r="859" spans="1:6" x14ac:dyDescent="0.25">
      <c r="A859" s="1"/>
      <c r="B859" s="2" t="s">
        <v>14</v>
      </c>
      <c r="C859" s="2" t="s">
        <v>15</v>
      </c>
      <c r="D859" s="2" t="s">
        <v>20</v>
      </c>
      <c r="E859" s="8" t="s">
        <v>21</v>
      </c>
      <c r="F859" s="8" t="s">
        <v>27</v>
      </c>
    </row>
    <row r="860" spans="1:6" ht="18" x14ac:dyDescent="0.4">
      <c r="A860" s="1" t="s">
        <v>1</v>
      </c>
      <c r="B860" s="30">
        <v>25120</v>
      </c>
      <c r="C860" s="31">
        <v>25371</v>
      </c>
      <c r="D860">
        <v>108</v>
      </c>
      <c r="E860" s="31">
        <v>25780</v>
      </c>
      <c r="F860" s="9">
        <v>409</v>
      </c>
    </row>
    <row r="861" spans="1:6" ht="18" x14ac:dyDescent="0.4">
      <c r="A861" s="1" t="s">
        <v>2</v>
      </c>
      <c r="B861" s="30">
        <v>29522</v>
      </c>
      <c r="C861" s="31">
        <v>29817</v>
      </c>
      <c r="D861">
        <v>22</v>
      </c>
      <c r="E861" s="31">
        <v>30239</v>
      </c>
      <c r="F861" s="9">
        <v>422</v>
      </c>
    </row>
    <row r="862" spans="1:6" x14ac:dyDescent="0.25">
      <c r="A862" s="51" t="s">
        <v>197</v>
      </c>
      <c r="B862" s="51"/>
      <c r="C862" s="51"/>
      <c r="D862" s="51"/>
      <c r="E862" s="51"/>
      <c r="F862" s="34"/>
    </row>
    <row r="863" spans="1:6" x14ac:dyDescent="0.25">
      <c r="A863" s="1"/>
      <c r="B863" s="2" t="s">
        <v>16</v>
      </c>
      <c r="C863" s="2" t="s">
        <v>19</v>
      </c>
      <c r="D863" s="2" t="s">
        <v>17</v>
      </c>
      <c r="E863" s="2" t="s">
        <v>18</v>
      </c>
      <c r="F863" s="35"/>
    </row>
    <row r="864" spans="1:6" ht="18" x14ac:dyDescent="0.4">
      <c r="A864" s="1" t="s">
        <v>1</v>
      </c>
      <c r="B864" s="30">
        <v>25037</v>
      </c>
      <c r="C864" s="4">
        <v>50</v>
      </c>
      <c r="D864" s="30">
        <v>7707900</v>
      </c>
      <c r="E864" s="5">
        <v>0.2</v>
      </c>
      <c r="F864" s="35"/>
    </row>
    <row r="865" spans="1:6" ht="18" x14ac:dyDescent="0.4">
      <c r="A865" s="1" t="s">
        <v>2</v>
      </c>
      <c r="B865" s="30">
        <v>29461</v>
      </c>
      <c r="C865" s="4">
        <v>227</v>
      </c>
      <c r="D865" s="30">
        <v>588500</v>
      </c>
      <c r="E865" s="5">
        <v>-0.21</v>
      </c>
      <c r="F865" s="35"/>
    </row>
    <row r="868" spans="1:6" x14ac:dyDescent="0.25">
      <c r="A868" s="6"/>
      <c r="B868" s="6"/>
      <c r="C868" s="6"/>
      <c r="D868" s="6"/>
      <c r="E868" s="6"/>
      <c r="F868" s="6"/>
    </row>
    <row r="869" spans="1:6" x14ac:dyDescent="0.25">
      <c r="A869" s="51" t="s">
        <v>199</v>
      </c>
      <c r="B869" s="51"/>
      <c r="C869" s="51"/>
      <c r="D869" s="51"/>
      <c r="E869" s="51"/>
      <c r="F869" s="51"/>
    </row>
    <row r="870" spans="1:6" x14ac:dyDescent="0.25">
      <c r="A870" s="1"/>
      <c r="B870" s="2" t="s">
        <v>14</v>
      </c>
      <c r="C870" s="2" t="s">
        <v>15</v>
      </c>
      <c r="D870" s="2" t="s">
        <v>20</v>
      </c>
      <c r="E870" s="8" t="s">
        <v>21</v>
      </c>
      <c r="F870" s="8" t="s">
        <v>27</v>
      </c>
    </row>
    <row r="871" spans="1:6" ht="18" x14ac:dyDescent="0.4">
      <c r="A871" s="1" t="s">
        <v>1</v>
      </c>
      <c r="B871" s="30">
        <v>25280</v>
      </c>
      <c r="C871" s="31">
        <v>25533</v>
      </c>
      <c r="D871">
        <v>162</v>
      </c>
      <c r="E871" s="31">
        <v>26070</v>
      </c>
      <c r="F871" s="9">
        <v>537</v>
      </c>
    </row>
    <row r="872" spans="1:6" ht="18" x14ac:dyDescent="0.4">
      <c r="A872" s="1" t="s">
        <v>2</v>
      </c>
      <c r="B872" s="30">
        <v>29898</v>
      </c>
      <c r="C872" s="31">
        <v>30197</v>
      </c>
      <c r="D872">
        <v>380</v>
      </c>
      <c r="E872" s="31">
        <v>30619</v>
      </c>
      <c r="F872" s="9">
        <v>422</v>
      </c>
    </row>
    <row r="873" spans="1:6" x14ac:dyDescent="0.25">
      <c r="A873" s="51" t="s">
        <v>198</v>
      </c>
      <c r="B873" s="51"/>
      <c r="C873" s="51"/>
      <c r="D873" s="51"/>
      <c r="E873" s="51"/>
      <c r="F873" s="50"/>
    </row>
    <row r="874" spans="1:6" x14ac:dyDescent="0.25">
      <c r="A874" s="1"/>
      <c r="B874" s="2" t="s">
        <v>16</v>
      </c>
      <c r="C874" s="2" t="s">
        <v>19</v>
      </c>
      <c r="D874" s="2" t="s">
        <v>17</v>
      </c>
      <c r="E874" s="2" t="s">
        <v>18</v>
      </c>
    </row>
    <row r="875" spans="1:6" ht="18" x14ac:dyDescent="0.4">
      <c r="A875" s="1" t="s">
        <v>1</v>
      </c>
      <c r="B875" s="30">
        <v>25300</v>
      </c>
      <c r="C875" s="4">
        <v>263</v>
      </c>
      <c r="D875" s="30">
        <v>8778800</v>
      </c>
      <c r="E875" s="5">
        <v>0.14000000000000001</v>
      </c>
    </row>
    <row r="876" spans="1:6" ht="18" x14ac:dyDescent="0.4">
      <c r="A876" s="1" t="s">
        <v>2</v>
      </c>
      <c r="B876" s="30">
        <v>29725</v>
      </c>
      <c r="C876" s="4">
        <v>264</v>
      </c>
      <c r="D876" s="30">
        <v>498500</v>
      </c>
      <c r="E876" s="5">
        <v>-0.15</v>
      </c>
    </row>
    <row r="879" spans="1:6" x14ac:dyDescent="0.25">
      <c r="A879" s="6"/>
      <c r="B879" s="6"/>
      <c r="C879" s="6"/>
      <c r="D879" s="6"/>
      <c r="E879" s="6"/>
      <c r="F879" s="6"/>
    </row>
    <row r="880" spans="1:6" x14ac:dyDescent="0.25">
      <c r="A880" s="51" t="s">
        <v>200</v>
      </c>
      <c r="B880" s="51"/>
      <c r="C880" s="51"/>
      <c r="D880" s="51"/>
      <c r="E880" s="51"/>
      <c r="F880" s="51"/>
    </row>
    <row r="881" spans="1:6" x14ac:dyDescent="0.25">
      <c r="A881" s="1"/>
      <c r="B881" s="2" t="s">
        <v>14</v>
      </c>
      <c r="C881" s="2" t="s">
        <v>15</v>
      </c>
      <c r="D881" s="2" t="s">
        <v>20</v>
      </c>
      <c r="E881" s="8" t="s">
        <v>21</v>
      </c>
      <c r="F881" s="8" t="s">
        <v>27</v>
      </c>
    </row>
    <row r="882" spans="1:6" ht="18" x14ac:dyDescent="0.4">
      <c r="A882" s="1" t="s">
        <v>1</v>
      </c>
      <c r="B882" s="30">
        <v>25815</v>
      </c>
      <c r="C882" s="31">
        <v>26073</v>
      </c>
      <c r="D882">
        <v>540</v>
      </c>
      <c r="E882" s="31">
        <v>26520</v>
      </c>
      <c r="F882" s="9">
        <v>447</v>
      </c>
    </row>
    <row r="883" spans="1:6" ht="18" x14ac:dyDescent="0.4">
      <c r="A883" s="1" t="s">
        <v>2</v>
      </c>
      <c r="B883" s="30">
        <v>30124</v>
      </c>
      <c r="C883" s="31">
        <v>30426</v>
      </c>
      <c r="D883">
        <v>229</v>
      </c>
      <c r="E883" s="31">
        <v>30971</v>
      </c>
      <c r="F883" s="9">
        <v>545</v>
      </c>
    </row>
    <row r="884" spans="1:6" x14ac:dyDescent="0.25">
      <c r="A884" s="51" t="s">
        <v>201</v>
      </c>
      <c r="B884" s="51"/>
      <c r="C884" s="51"/>
      <c r="D884" s="51"/>
      <c r="E884" s="51"/>
      <c r="F884" s="50"/>
    </row>
    <row r="885" spans="1:6" x14ac:dyDescent="0.25">
      <c r="A885" s="1"/>
      <c r="B885" s="2" t="s">
        <v>16</v>
      </c>
      <c r="C885" s="2" t="s">
        <v>19</v>
      </c>
      <c r="D885" s="2" t="s">
        <v>17</v>
      </c>
      <c r="E885" s="2" t="s">
        <v>18</v>
      </c>
    </row>
    <row r="886" spans="1:6" ht="18" x14ac:dyDescent="0.4">
      <c r="A886" s="1" t="s">
        <v>1</v>
      </c>
      <c r="B886" s="30">
        <v>25717</v>
      </c>
      <c r="C886" s="4">
        <v>417</v>
      </c>
      <c r="D886" s="30">
        <v>9813900</v>
      </c>
      <c r="E886" s="5">
        <v>0.12</v>
      </c>
    </row>
    <row r="887" spans="1:6" ht="18" x14ac:dyDescent="0.4">
      <c r="A887" s="1" t="s">
        <v>2</v>
      </c>
      <c r="B887" s="30">
        <v>30036</v>
      </c>
      <c r="C887" s="4">
        <v>311</v>
      </c>
      <c r="D887" s="30">
        <v>728300</v>
      </c>
      <c r="E887" s="5">
        <v>0.46</v>
      </c>
    </row>
    <row r="890" spans="1:6" x14ac:dyDescent="0.25">
      <c r="A890" s="6"/>
      <c r="B890" s="6"/>
      <c r="C890" s="6"/>
      <c r="D890" s="6"/>
      <c r="E890" s="6"/>
      <c r="F890" s="6"/>
    </row>
    <row r="891" spans="1:6" x14ac:dyDescent="0.25">
      <c r="A891" s="51" t="s">
        <v>202</v>
      </c>
      <c r="B891" s="51"/>
      <c r="C891" s="51"/>
      <c r="D891" s="51"/>
      <c r="E891" s="51"/>
      <c r="F891" s="51"/>
    </row>
    <row r="892" spans="1:6" x14ac:dyDescent="0.25">
      <c r="A892" s="1"/>
      <c r="B892" s="2" t="s">
        <v>14</v>
      </c>
      <c r="C892" s="2" t="s">
        <v>15</v>
      </c>
      <c r="D892" s="2" t="s">
        <v>20</v>
      </c>
      <c r="E892" s="8" t="s">
        <v>21</v>
      </c>
      <c r="F892" s="8" t="s">
        <v>27</v>
      </c>
    </row>
    <row r="893" spans="1:6" ht="18" x14ac:dyDescent="0.4">
      <c r="A893" s="1" t="s">
        <v>1</v>
      </c>
      <c r="B893" s="30">
        <v>25647</v>
      </c>
      <c r="C893" s="31">
        <v>25903</v>
      </c>
      <c r="D893">
        <v>-170</v>
      </c>
      <c r="E893" s="31">
        <v>26580</v>
      </c>
      <c r="F893" s="9">
        <v>677</v>
      </c>
    </row>
    <row r="894" spans="1:6" ht="18" x14ac:dyDescent="0.4">
      <c r="A894" s="1" t="s">
        <v>2</v>
      </c>
      <c r="B894" s="30">
        <v>30128</v>
      </c>
      <c r="C894" s="31">
        <v>30429</v>
      </c>
      <c r="D894">
        <v>3</v>
      </c>
      <c r="E894" s="31">
        <v>31149</v>
      </c>
      <c r="F894" s="9">
        <v>720</v>
      </c>
    </row>
    <row r="895" spans="1:6" x14ac:dyDescent="0.25">
      <c r="A895" s="51" t="s">
        <v>203</v>
      </c>
      <c r="B895" s="51"/>
      <c r="C895" s="51"/>
      <c r="D895" s="51"/>
      <c r="E895" s="51"/>
      <c r="F895" s="50"/>
    </row>
    <row r="896" spans="1:6" x14ac:dyDescent="0.25">
      <c r="A896" s="1"/>
      <c r="B896" s="2" t="s">
        <v>16</v>
      </c>
      <c r="C896" s="2" t="s">
        <v>19</v>
      </c>
      <c r="D896" s="2" t="s">
        <v>17</v>
      </c>
      <c r="E896" s="2" t="s">
        <v>18</v>
      </c>
    </row>
    <row r="897" spans="1:6" ht="18" x14ac:dyDescent="0.4">
      <c r="A897" s="1" t="s">
        <v>1</v>
      </c>
      <c r="B897" s="30">
        <v>25757</v>
      </c>
      <c r="C897" s="4">
        <v>40</v>
      </c>
      <c r="D897" s="30">
        <v>7868600</v>
      </c>
      <c r="E897" s="5">
        <v>-0.2</v>
      </c>
    </row>
    <row r="898" spans="1:6" ht="18" x14ac:dyDescent="0.4">
      <c r="A898" s="1" t="s">
        <v>2</v>
      </c>
      <c r="B898" s="30">
        <v>30108</v>
      </c>
      <c r="C898" s="4">
        <v>72</v>
      </c>
      <c r="D898" s="30">
        <v>994800</v>
      </c>
      <c r="E898" s="5">
        <v>0.37</v>
      </c>
    </row>
    <row r="901" spans="1:6" x14ac:dyDescent="0.25">
      <c r="A901" s="6"/>
      <c r="B901" s="6"/>
      <c r="C901" s="6"/>
      <c r="D901" s="6"/>
      <c r="E901" s="6"/>
      <c r="F901" s="6"/>
    </row>
    <row r="902" spans="1:6" x14ac:dyDescent="0.25">
      <c r="A902" s="51" t="s">
        <v>204</v>
      </c>
      <c r="B902" s="51"/>
      <c r="C902" s="51"/>
      <c r="D902" s="51"/>
      <c r="E902" s="51"/>
      <c r="F902" s="51"/>
    </row>
    <row r="903" spans="1:6" x14ac:dyDescent="0.25">
      <c r="A903" s="1"/>
      <c r="B903" s="2" t="s">
        <v>14</v>
      </c>
      <c r="C903" s="2" t="s">
        <v>15</v>
      </c>
      <c r="D903" s="2" t="s">
        <v>20</v>
      </c>
      <c r="E903" s="8" t="s">
        <v>21</v>
      </c>
      <c r="F903" s="8" t="s">
        <v>27</v>
      </c>
    </row>
    <row r="904" spans="1:6" ht="18" x14ac:dyDescent="0.4">
      <c r="A904" s="1" t="s">
        <v>1</v>
      </c>
      <c r="B904" s="30">
        <v>25767</v>
      </c>
      <c r="C904" s="31">
        <v>26024</v>
      </c>
      <c r="D904">
        <v>121</v>
      </c>
      <c r="E904" s="31">
        <v>26660</v>
      </c>
      <c r="F904" s="9">
        <v>636</v>
      </c>
    </row>
    <row r="905" spans="1:6" ht="18" x14ac:dyDescent="0.4">
      <c r="A905" s="1" t="s">
        <v>2</v>
      </c>
      <c r="B905" s="30">
        <v>30268</v>
      </c>
      <c r="C905" s="31">
        <v>30571</v>
      </c>
      <c r="D905">
        <v>142</v>
      </c>
      <c r="E905" s="31">
        <v>31385</v>
      </c>
      <c r="F905" s="9">
        <v>814</v>
      </c>
    </row>
    <row r="906" spans="1:6" x14ac:dyDescent="0.25">
      <c r="A906" s="51" t="s">
        <v>205</v>
      </c>
      <c r="B906" s="51"/>
      <c r="C906" s="51"/>
      <c r="D906" s="51"/>
      <c r="E906" s="51"/>
      <c r="F906" s="50"/>
    </row>
    <row r="907" spans="1:6" x14ac:dyDescent="0.25">
      <c r="A907" s="1"/>
      <c r="B907" s="2" t="s">
        <v>16</v>
      </c>
      <c r="C907" s="2" t="s">
        <v>19</v>
      </c>
      <c r="D907" s="2" t="s">
        <v>17</v>
      </c>
      <c r="E907" s="2" t="s">
        <v>18</v>
      </c>
    </row>
    <row r="908" spans="1:6" ht="18" x14ac:dyDescent="0.4">
      <c r="A908" s="1" t="s">
        <v>1</v>
      </c>
      <c r="B908" s="30">
        <v>25638</v>
      </c>
      <c r="C908" s="4">
        <v>-119</v>
      </c>
      <c r="D908" s="30">
        <v>7755400</v>
      </c>
      <c r="E908" s="5">
        <v>-0.01</v>
      </c>
    </row>
    <row r="909" spans="1:6" ht="18" x14ac:dyDescent="0.4">
      <c r="A909" s="1" t="s">
        <v>2</v>
      </c>
      <c r="B909" s="30">
        <v>30117</v>
      </c>
      <c r="C909" s="4">
        <v>9</v>
      </c>
      <c r="D909" s="30">
        <v>1127900</v>
      </c>
      <c r="E909" s="5">
        <v>0.13</v>
      </c>
    </row>
    <row r="912" spans="1:6" x14ac:dyDescent="0.25">
      <c r="A912" s="6"/>
      <c r="B912" s="6"/>
      <c r="C912" s="6"/>
      <c r="D912" s="6"/>
      <c r="E912" s="6"/>
      <c r="F912" s="6"/>
    </row>
    <row r="913" spans="1:6" x14ac:dyDescent="0.25">
      <c r="A913" s="51" t="s">
        <v>206</v>
      </c>
      <c r="B913" s="51"/>
      <c r="C913" s="51"/>
      <c r="D913" s="51"/>
      <c r="E913" s="51"/>
      <c r="F913" s="51"/>
    </row>
    <row r="914" spans="1:6" x14ac:dyDescent="0.25">
      <c r="A914" s="1"/>
      <c r="B914" s="2" t="s">
        <v>14</v>
      </c>
      <c r="C914" s="2" t="s">
        <v>15</v>
      </c>
      <c r="D914" s="2" t="s">
        <v>20</v>
      </c>
      <c r="E914" s="8" t="s">
        <v>21</v>
      </c>
      <c r="F914" s="8" t="s">
        <v>27</v>
      </c>
    </row>
    <row r="915" spans="1:6" ht="18" x14ac:dyDescent="0.4">
      <c r="A915" s="1" t="s">
        <v>1</v>
      </c>
      <c r="B915" s="30">
        <v>26635</v>
      </c>
      <c r="C915" s="31">
        <v>26901</v>
      </c>
      <c r="D915">
        <v>877</v>
      </c>
      <c r="E915" s="31">
        <v>27390</v>
      </c>
      <c r="F915" s="9">
        <v>489</v>
      </c>
    </row>
    <row r="916" spans="1:6" ht="18" x14ac:dyDescent="0.4">
      <c r="A916" s="1" t="s">
        <v>2</v>
      </c>
      <c r="B916" s="30">
        <v>31382</v>
      </c>
      <c r="C916" s="31">
        <v>31696</v>
      </c>
      <c r="D916">
        <v>1125</v>
      </c>
      <c r="E916" s="31">
        <v>32318</v>
      </c>
      <c r="F916" s="9">
        <v>622</v>
      </c>
    </row>
    <row r="917" spans="1:6" x14ac:dyDescent="0.25">
      <c r="A917" s="51" t="s">
        <v>207</v>
      </c>
      <c r="B917" s="51"/>
      <c r="C917" s="51"/>
      <c r="D917" s="51"/>
      <c r="E917" s="51"/>
      <c r="F917" s="50"/>
    </row>
    <row r="918" spans="1:6" x14ac:dyDescent="0.25">
      <c r="A918" s="1"/>
      <c r="B918" s="2" t="s">
        <v>16</v>
      </c>
      <c r="C918" s="2" t="s">
        <v>19</v>
      </c>
      <c r="D918" s="2" t="s">
        <v>17</v>
      </c>
      <c r="E918" s="2" t="s">
        <v>18</v>
      </c>
    </row>
    <row r="919" spans="1:6" ht="18" x14ac:dyDescent="0.4">
      <c r="A919" s="1" t="s">
        <v>1</v>
      </c>
      <c r="B919" s="30">
        <v>26659</v>
      </c>
      <c r="C919" s="4">
        <v>1021</v>
      </c>
      <c r="D919" s="30">
        <v>8276500</v>
      </c>
      <c r="E919" s="5">
        <v>7.0000000000000007E-2</v>
      </c>
    </row>
    <row r="920" spans="1:6" ht="18" x14ac:dyDescent="0.4">
      <c r="A920" s="1" t="s">
        <v>2</v>
      </c>
      <c r="B920" s="30">
        <v>31298</v>
      </c>
      <c r="C920" s="4">
        <v>1181</v>
      </c>
      <c r="D920" s="30">
        <v>663900</v>
      </c>
      <c r="E920" s="5">
        <v>-0.41</v>
      </c>
    </row>
    <row r="924" spans="1:6" x14ac:dyDescent="0.25">
      <c r="A924" s="6"/>
      <c r="B924" s="6"/>
      <c r="C924" s="6"/>
      <c r="D924" s="6"/>
      <c r="E924" s="6"/>
      <c r="F924" s="6"/>
    </row>
    <row r="925" spans="1:6" x14ac:dyDescent="0.25">
      <c r="A925" s="51" t="s">
        <v>208</v>
      </c>
      <c r="B925" s="51"/>
      <c r="C925" s="51"/>
      <c r="D925" s="51"/>
      <c r="E925" s="51"/>
      <c r="F925" s="51"/>
    </row>
    <row r="926" spans="1:6" x14ac:dyDescent="0.25">
      <c r="A926" s="1"/>
      <c r="B926" s="2" t="s">
        <v>14</v>
      </c>
      <c r="C926" s="2" t="s">
        <v>15</v>
      </c>
      <c r="D926" s="2" t="s">
        <v>20</v>
      </c>
      <c r="E926" s="8" t="s">
        <v>21</v>
      </c>
      <c r="F926" s="8" t="s">
        <v>27</v>
      </c>
    </row>
    <row r="927" spans="1:6" ht="18" x14ac:dyDescent="0.4">
      <c r="A927" s="1" t="s">
        <v>1</v>
      </c>
      <c r="B927" s="30">
        <v>26432</v>
      </c>
      <c r="C927" s="31">
        <v>26696</v>
      </c>
      <c r="D927">
        <v>-205</v>
      </c>
      <c r="E927" s="31">
        <v>27460</v>
      </c>
      <c r="F927" s="9">
        <v>764</v>
      </c>
    </row>
    <row r="928" spans="1:6" ht="18" x14ac:dyDescent="0.4">
      <c r="A928" s="1" t="s">
        <v>2</v>
      </c>
      <c r="B928" s="30">
        <v>31470</v>
      </c>
      <c r="C928" s="31">
        <v>31785</v>
      </c>
      <c r="D928">
        <v>89</v>
      </c>
      <c r="E928" s="31">
        <v>32096</v>
      </c>
      <c r="F928" s="9">
        <v>311</v>
      </c>
    </row>
    <row r="929" spans="1:8" x14ac:dyDescent="0.25">
      <c r="A929" s="51" t="s">
        <v>209</v>
      </c>
      <c r="B929" s="51"/>
      <c r="C929" s="51"/>
      <c r="D929" s="51"/>
      <c r="E929" s="51"/>
      <c r="F929" s="50"/>
    </row>
    <row r="930" spans="1:8" x14ac:dyDescent="0.25">
      <c r="A930" s="1"/>
      <c r="B930" s="2" t="s">
        <v>16</v>
      </c>
      <c r="C930" s="2" t="s">
        <v>19</v>
      </c>
      <c r="D930" s="2" t="s">
        <v>17</v>
      </c>
      <c r="E930" s="2" t="s">
        <v>18</v>
      </c>
    </row>
    <row r="931" spans="1:8" ht="18" x14ac:dyDescent="0.4">
      <c r="A931" s="1" t="s">
        <v>1</v>
      </c>
      <c r="B931" s="30">
        <v>26465</v>
      </c>
      <c r="C931" s="4">
        <v>-194</v>
      </c>
      <c r="D931" s="30">
        <v>9486200</v>
      </c>
      <c r="E931" s="5">
        <v>0.15</v>
      </c>
    </row>
    <row r="932" spans="1:8" ht="18" x14ac:dyDescent="0.4">
      <c r="A932" s="1" t="s">
        <v>2</v>
      </c>
      <c r="B932" s="30">
        <v>31469</v>
      </c>
      <c r="C932" s="4">
        <v>171</v>
      </c>
      <c r="D932" s="30">
        <v>846800</v>
      </c>
      <c r="E932" s="5">
        <v>0.28000000000000003</v>
      </c>
    </row>
    <row r="935" spans="1:8" x14ac:dyDescent="0.25">
      <c r="A935" s="6"/>
      <c r="B935" s="6"/>
      <c r="C935" s="6"/>
      <c r="D935" s="6"/>
      <c r="E935" s="6"/>
      <c r="F935" s="6"/>
    </row>
    <row r="936" spans="1:8" x14ac:dyDescent="0.25">
      <c r="A936" s="51" t="s">
        <v>210</v>
      </c>
      <c r="B936" s="51"/>
      <c r="C936" s="51"/>
      <c r="D936" s="51"/>
      <c r="E936" s="51"/>
      <c r="F936" s="51"/>
    </row>
    <row r="937" spans="1:8" x14ac:dyDescent="0.25">
      <c r="A937" s="1"/>
      <c r="B937" s="2" t="s">
        <v>14</v>
      </c>
      <c r="C937" s="2" t="s">
        <v>15</v>
      </c>
      <c r="D937" s="2" t="s">
        <v>20</v>
      </c>
      <c r="E937" s="8" t="s">
        <v>21</v>
      </c>
      <c r="F937" s="8" t="s">
        <v>27</v>
      </c>
    </row>
    <row r="938" spans="1:8" ht="18" x14ac:dyDescent="0.4">
      <c r="A938" s="1" t="s">
        <v>1</v>
      </c>
      <c r="B938" s="30">
        <v>26638</v>
      </c>
      <c r="C938" s="31">
        <v>26904</v>
      </c>
      <c r="D938">
        <v>208</v>
      </c>
      <c r="E938" s="31">
        <v>27730</v>
      </c>
      <c r="F938" s="9">
        <v>826</v>
      </c>
    </row>
    <row r="939" spans="1:8" ht="18" x14ac:dyDescent="0.4">
      <c r="A939" s="1" t="s">
        <v>2</v>
      </c>
      <c r="B939" s="30">
        <v>31402</v>
      </c>
      <c r="C939" s="31">
        <v>31716</v>
      </c>
      <c r="D939">
        <v>-69</v>
      </c>
      <c r="E939" s="31">
        <v>32639</v>
      </c>
      <c r="F939" s="9">
        <v>923</v>
      </c>
    </row>
    <row r="940" spans="1:8" x14ac:dyDescent="0.25">
      <c r="A940" s="51" t="s">
        <v>211</v>
      </c>
      <c r="B940" s="51"/>
      <c r="C940" s="51"/>
      <c r="D940" s="51"/>
      <c r="E940" s="51"/>
      <c r="F940" s="50"/>
    </row>
    <row r="941" spans="1:8" x14ac:dyDescent="0.25">
      <c r="A941" s="1"/>
      <c r="B941" s="2" t="s">
        <v>16</v>
      </c>
      <c r="C941" s="2" t="s">
        <v>19</v>
      </c>
      <c r="D941" s="2" t="s">
        <v>17</v>
      </c>
      <c r="E941" s="2" t="s">
        <v>18</v>
      </c>
    </row>
    <row r="942" spans="1:8" ht="18" x14ac:dyDescent="0.4">
      <c r="A942" s="1" t="s">
        <v>1</v>
      </c>
      <c r="B942" s="30">
        <v>26674</v>
      </c>
      <c r="C942" s="4">
        <v>209</v>
      </c>
      <c r="D942" s="30">
        <v>9412600</v>
      </c>
      <c r="E942" s="5">
        <v>-0.01</v>
      </c>
    </row>
    <row r="943" spans="1:8" ht="18" x14ac:dyDescent="0.4">
      <c r="A943" s="1" t="s">
        <v>2</v>
      </c>
      <c r="B943" s="30">
        <v>31546</v>
      </c>
      <c r="C943" s="4">
        <v>77</v>
      </c>
      <c r="D943" s="30">
        <v>865300</v>
      </c>
      <c r="E943" s="5">
        <v>0.02</v>
      </c>
      <c r="H943">
        <f>E939-E928</f>
        <v>543</v>
      </c>
    </row>
    <row r="946" spans="1:6" x14ac:dyDescent="0.25">
      <c r="A946" s="6"/>
      <c r="B946" s="6"/>
      <c r="C946" s="6"/>
      <c r="D946" s="6"/>
      <c r="E946" s="6"/>
      <c r="F946" s="6"/>
    </row>
    <row r="947" spans="1:6" x14ac:dyDescent="0.25">
      <c r="A947" s="51" t="s">
        <v>212</v>
      </c>
      <c r="B947" s="51"/>
      <c r="C947" s="51"/>
      <c r="D947" s="51"/>
      <c r="E947" s="51"/>
      <c r="F947" s="51"/>
    </row>
    <row r="948" spans="1:6" x14ac:dyDescent="0.25">
      <c r="A948" s="1"/>
      <c r="B948" s="2" t="s">
        <v>14</v>
      </c>
      <c r="C948" s="2" t="s">
        <v>15</v>
      </c>
      <c r="D948" s="2" t="s">
        <v>20</v>
      </c>
      <c r="E948" s="8" t="s">
        <v>21</v>
      </c>
      <c r="F948" s="8" t="s">
        <v>27</v>
      </c>
    </row>
    <row r="949" spans="1:6" ht="18" x14ac:dyDescent="0.4">
      <c r="A949" s="1" t="s">
        <v>1</v>
      </c>
      <c r="B949" s="30">
        <v>26862</v>
      </c>
      <c r="C949" s="31">
        <v>27130</v>
      </c>
      <c r="D949">
        <v>226</v>
      </c>
      <c r="E949" s="31">
        <v>27740</v>
      </c>
      <c r="F949" s="9">
        <v>610</v>
      </c>
    </row>
    <row r="950" spans="1:6" ht="18" x14ac:dyDescent="0.4">
      <c r="A950" s="1" t="s">
        <v>2</v>
      </c>
      <c r="B950" s="30">
        <v>31448</v>
      </c>
      <c r="C950" s="31">
        <v>31762</v>
      </c>
      <c r="D950">
        <v>46</v>
      </c>
      <c r="E950" s="31">
        <v>32566</v>
      </c>
      <c r="F950" s="9">
        <v>804</v>
      </c>
    </row>
    <row r="951" spans="1:6" x14ac:dyDescent="0.25">
      <c r="A951" s="51" t="s">
        <v>213</v>
      </c>
      <c r="B951" s="51"/>
      <c r="C951" s="51"/>
      <c r="D951" s="51"/>
      <c r="E951" s="51"/>
      <c r="F951" s="50"/>
    </row>
    <row r="952" spans="1:6" x14ac:dyDescent="0.25">
      <c r="A952" s="1"/>
      <c r="B952" s="2" t="s">
        <v>16</v>
      </c>
      <c r="C952" s="2" t="s">
        <v>19</v>
      </c>
      <c r="D952" s="2" t="s">
        <v>17</v>
      </c>
      <c r="E952" s="2" t="s">
        <v>18</v>
      </c>
    </row>
    <row r="953" spans="1:6" ht="18" x14ac:dyDescent="0.4">
      <c r="A953" s="1" t="s">
        <v>1</v>
      </c>
      <c r="B953" s="30">
        <v>26768</v>
      </c>
      <c r="C953" s="4">
        <v>94</v>
      </c>
      <c r="D953" s="30">
        <v>10321100</v>
      </c>
      <c r="E953" s="5">
        <v>0.1</v>
      </c>
    </row>
    <row r="954" spans="1:6" ht="18" x14ac:dyDescent="0.4">
      <c r="A954" s="1" t="s">
        <v>2</v>
      </c>
      <c r="B954" s="30">
        <v>31438</v>
      </c>
      <c r="C954" s="4">
        <v>-108</v>
      </c>
      <c r="D954" s="30">
        <v>985200</v>
      </c>
      <c r="E954" s="5">
        <v>0.14000000000000001</v>
      </c>
    </row>
    <row r="958" spans="1:6" x14ac:dyDescent="0.25">
      <c r="A958" s="6"/>
      <c r="B958" s="6"/>
      <c r="C958" s="6"/>
      <c r="D958" s="6"/>
      <c r="E958" s="6"/>
      <c r="F958" s="6"/>
    </row>
    <row r="959" spans="1:6" x14ac:dyDescent="0.25">
      <c r="A959" s="51" t="s">
        <v>214</v>
      </c>
      <c r="B959" s="51"/>
      <c r="C959" s="51"/>
      <c r="D959" s="51"/>
      <c r="E959" s="51"/>
      <c r="F959" s="51"/>
    </row>
    <row r="960" spans="1:6" x14ac:dyDescent="0.25">
      <c r="A960" s="1"/>
      <c r="B960" s="2" t="s">
        <v>14</v>
      </c>
      <c r="C960" s="2" t="s">
        <v>15</v>
      </c>
      <c r="D960" s="2" t="s">
        <v>20</v>
      </c>
      <c r="E960" s="8" t="s">
        <v>21</v>
      </c>
      <c r="F960" s="8" t="s">
        <v>27</v>
      </c>
    </row>
    <row r="961" spans="1:6" ht="18" x14ac:dyDescent="0.4">
      <c r="A961" s="1" t="s">
        <v>1</v>
      </c>
      <c r="B961" s="30">
        <v>27442</v>
      </c>
      <c r="C961" s="31">
        <v>27716</v>
      </c>
      <c r="D961">
        <v>586</v>
      </c>
      <c r="E961" s="31">
        <v>28260</v>
      </c>
      <c r="F961" s="9">
        <v>544</v>
      </c>
    </row>
    <row r="962" spans="1:6" ht="18" x14ac:dyDescent="0.4">
      <c r="A962" s="1" t="s">
        <v>2</v>
      </c>
      <c r="B962" s="30">
        <v>31992</v>
      </c>
      <c r="C962" s="31">
        <v>32312</v>
      </c>
      <c r="D962">
        <v>550</v>
      </c>
      <c r="E962" s="31">
        <v>33394</v>
      </c>
      <c r="F962" s="9">
        <v>1082</v>
      </c>
    </row>
    <row r="963" spans="1:6" x14ac:dyDescent="0.25">
      <c r="A963" s="51" t="s">
        <v>215</v>
      </c>
      <c r="B963" s="51"/>
      <c r="C963" s="51"/>
      <c r="D963" s="51"/>
      <c r="E963" s="51"/>
      <c r="F963" s="50"/>
    </row>
    <row r="964" spans="1:6" x14ac:dyDescent="0.25">
      <c r="A964" s="1"/>
      <c r="B964" s="2" t="s">
        <v>16</v>
      </c>
      <c r="C964" s="2" t="s">
        <v>19</v>
      </c>
      <c r="D964" s="2" t="s">
        <v>17</v>
      </c>
      <c r="E964" s="2" t="s">
        <v>18</v>
      </c>
    </row>
    <row r="965" spans="1:6" ht="18" x14ac:dyDescent="0.4">
      <c r="A965" s="1" t="s">
        <v>1</v>
      </c>
      <c r="B965" s="30">
        <v>27663</v>
      </c>
      <c r="C965" s="4">
        <v>895</v>
      </c>
      <c r="D965" s="30">
        <v>5677600</v>
      </c>
      <c r="E965" s="5">
        <v>-0.45</v>
      </c>
    </row>
    <row r="966" spans="1:6" ht="18" x14ac:dyDescent="0.4">
      <c r="A966" s="1" t="s">
        <v>2</v>
      </c>
      <c r="B966" s="30">
        <v>32158</v>
      </c>
      <c r="C966" s="4">
        <v>720</v>
      </c>
      <c r="D966" s="30">
        <v>1457800</v>
      </c>
      <c r="E966" s="5">
        <v>0.48</v>
      </c>
    </row>
    <row r="969" spans="1:6" x14ac:dyDescent="0.25">
      <c r="A969" s="6"/>
      <c r="B969" s="6"/>
      <c r="C969" s="6"/>
      <c r="D969" s="6"/>
      <c r="E969" s="6"/>
      <c r="F969" s="6"/>
    </row>
    <row r="970" spans="1:6" x14ac:dyDescent="0.25">
      <c r="A970" s="51" t="s">
        <v>216</v>
      </c>
      <c r="B970" s="51"/>
      <c r="C970" s="51"/>
      <c r="D970" s="51"/>
      <c r="E970" s="51"/>
      <c r="F970" s="51"/>
    </row>
    <row r="971" spans="1:6" x14ac:dyDescent="0.25">
      <c r="A971" s="1"/>
      <c r="B971" s="2" t="s">
        <v>14</v>
      </c>
      <c r="C971" s="2" t="s">
        <v>15</v>
      </c>
      <c r="D971" s="2" t="s">
        <v>20</v>
      </c>
      <c r="E971" s="8" t="s">
        <v>21</v>
      </c>
      <c r="F971" s="8" t="s">
        <v>27</v>
      </c>
    </row>
    <row r="972" spans="1:6" ht="18" x14ac:dyDescent="0.4">
      <c r="A972" s="1" t="s">
        <v>1</v>
      </c>
      <c r="B972" s="30">
        <v>26965</v>
      </c>
      <c r="C972" s="31">
        <v>27234</v>
      </c>
      <c r="D972">
        <v>-482</v>
      </c>
      <c r="E972" s="38">
        <v>27830</v>
      </c>
      <c r="F972" s="9">
        <v>596</v>
      </c>
    </row>
    <row r="973" spans="1:6" ht="18" x14ac:dyDescent="0.4">
      <c r="A973" s="1" t="s">
        <v>2</v>
      </c>
      <c r="B973" s="30">
        <v>31300</v>
      </c>
      <c r="C973" s="31">
        <v>31613</v>
      </c>
      <c r="D973">
        <v>-699</v>
      </c>
      <c r="E973" s="31">
        <v>33099</v>
      </c>
      <c r="F973" s="9">
        <v>1486</v>
      </c>
    </row>
    <row r="974" spans="1:6" x14ac:dyDescent="0.25">
      <c r="A974" s="51" t="s">
        <v>217</v>
      </c>
      <c r="B974" s="51"/>
      <c r="C974" s="51"/>
      <c r="D974" s="51"/>
      <c r="E974" s="51"/>
      <c r="F974" s="50"/>
    </row>
    <row r="975" spans="1:6" x14ac:dyDescent="0.25">
      <c r="A975" s="1"/>
      <c r="B975" s="2" t="s">
        <v>16</v>
      </c>
      <c r="C975" s="2" t="s">
        <v>19</v>
      </c>
      <c r="D975" s="2" t="s">
        <v>17</v>
      </c>
      <c r="E975" s="2" t="s">
        <v>18</v>
      </c>
    </row>
    <row r="976" spans="1:6" ht="18" x14ac:dyDescent="0.4">
      <c r="A976" s="1" t="s">
        <v>1</v>
      </c>
      <c r="B976" s="30">
        <v>27148</v>
      </c>
      <c r="C976" s="4">
        <v>-515</v>
      </c>
      <c r="D976" s="30">
        <v>5269000</v>
      </c>
      <c r="E976" s="5">
        <v>-7.0000000000000007E-2</v>
      </c>
    </row>
    <row r="977" spans="1:6" ht="18" x14ac:dyDescent="0.4">
      <c r="A977" s="1" t="s">
        <v>2</v>
      </c>
      <c r="B977" s="30">
        <v>31609</v>
      </c>
      <c r="C977" s="4">
        <v>-547</v>
      </c>
      <c r="D977" s="30">
        <v>1605500</v>
      </c>
      <c r="E977" s="5">
        <v>0.1</v>
      </c>
    </row>
    <row r="981" spans="1:6" x14ac:dyDescent="0.25">
      <c r="A981" s="6"/>
      <c r="B981" s="6"/>
      <c r="C981" s="6"/>
      <c r="D981" s="6"/>
      <c r="E981" s="6"/>
      <c r="F981" s="6"/>
    </row>
    <row r="982" spans="1:6" x14ac:dyDescent="0.25">
      <c r="A982" s="51" t="s">
        <v>218</v>
      </c>
      <c r="B982" s="51"/>
      <c r="C982" s="51"/>
      <c r="D982" s="51"/>
      <c r="E982" s="51"/>
      <c r="F982" s="51"/>
    </row>
    <row r="983" spans="1:6" x14ac:dyDescent="0.25">
      <c r="A983" s="1"/>
      <c r="B983" s="2" t="s">
        <v>14</v>
      </c>
      <c r="C983" s="2" t="s">
        <v>15</v>
      </c>
      <c r="D983" s="2" t="s">
        <v>20</v>
      </c>
      <c r="E983" s="8" t="s">
        <v>21</v>
      </c>
      <c r="F983" s="8" t="s">
        <v>27</v>
      </c>
    </row>
    <row r="984" spans="1:6" ht="18" x14ac:dyDescent="0.4">
      <c r="A984" s="1" t="s">
        <v>1</v>
      </c>
      <c r="B984" s="30">
        <v>25931</v>
      </c>
      <c r="C984" s="31">
        <v>26190</v>
      </c>
      <c r="D984">
        <v>-1044</v>
      </c>
      <c r="E984" s="31">
        <v>26900</v>
      </c>
      <c r="F984" s="9">
        <v>710</v>
      </c>
    </row>
    <row r="985" spans="1:6" ht="18" x14ac:dyDescent="0.4">
      <c r="A985" s="1" t="s">
        <v>2</v>
      </c>
      <c r="B985" s="30">
        <v>30387</v>
      </c>
      <c r="C985" s="31">
        <v>30691</v>
      </c>
      <c r="D985">
        <v>-922</v>
      </c>
      <c r="E985" s="31">
        <v>32122</v>
      </c>
      <c r="F985" s="9">
        <v>1431</v>
      </c>
    </row>
    <row r="986" spans="1:6" x14ac:dyDescent="0.25">
      <c r="A986" s="51" t="s">
        <v>219</v>
      </c>
      <c r="B986" s="51"/>
      <c r="C986" s="51"/>
      <c r="D986" s="51"/>
      <c r="E986" s="51"/>
      <c r="F986" s="50"/>
    </row>
    <row r="987" spans="1:6" x14ac:dyDescent="0.25">
      <c r="A987" s="1"/>
      <c r="B987" s="2" t="s">
        <v>16</v>
      </c>
      <c r="C987" s="2" t="s">
        <v>19</v>
      </c>
      <c r="D987" s="2" t="s">
        <v>17</v>
      </c>
      <c r="E987" s="2" t="s">
        <v>18</v>
      </c>
    </row>
    <row r="988" spans="1:6" ht="18" x14ac:dyDescent="0.4">
      <c r="A988" s="1" t="s">
        <v>1</v>
      </c>
      <c r="B988" s="30">
        <v>26198</v>
      </c>
      <c r="C988" s="4">
        <v>-950</v>
      </c>
      <c r="D988" s="30">
        <v>5319000</v>
      </c>
      <c r="E988" s="5">
        <v>0.01</v>
      </c>
    </row>
    <row r="989" spans="1:6" ht="18" x14ac:dyDescent="0.4">
      <c r="A989" s="1" t="s">
        <v>2</v>
      </c>
      <c r="B989" s="30">
        <v>30487</v>
      </c>
      <c r="C989" s="4">
        <v>-1122</v>
      </c>
      <c r="D989" s="30">
        <v>1376600</v>
      </c>
      <c r="E989" s="5">
        <v>-0.14000000000000001</v>
      </c>
    </row>
    <row r="993" spans="1:6" x14ac:dyDescent="0.25">
      <c r="A993" s="6"/>
      <c r="B993" s="6"/>
      <c r="C993" s="6"/>
      <c r="D993" s="6"/>
      <c r="E993" s="6"/>
      <c r="F993" s="6"/>
    </row>
    <row r="994" spans="1:6" x14ac:dyDescent="0.25">
      <c r="A994" s="51" t="s">
        <v>220</v>
      </c>
      <c r="B994" s="51"/>
      <c r="C994" s="51"/>
      <c r="D994" s="51"/>
      <c r="E994" s="51"/>
      <c r="F994" s="51"/>
    </row>
    <row r="995" spans="1:6" x14ac:dyDescent="0.25">
      <c r="A995" s="1"/>
      <c r="B995" s="2" t="s">
        <v>14</v>
      </c>
      <c r="C995" s="2" t="s">
        <v>15</v>
      </c>
      <c r="D995" s="2" t="s">
        <v>20</v>
      </c>
      <c r="E995" s="8" t="s">
        <v>21</v>
      </c>
      <c r="F995" s="8" t="s">
        <v>27</v>
      </c>
    </row>
    <row r="996" spans="1:6" ht="18" x14ac:dyDescent="0.4">
      <c r="A996" s="1" t="s">
        <v>1</v>
      </c>
      <c r="B996" s="30">
        <v>26215</v>
      </c>
      <c r="C996" s="31">
        <v>26477</v>
      </c>
      <c r="D996">
        <v>287</v>
      </c>
      <c r="E996" s="31">
        <v>27250</v>
      </c>
      <c r="F996" s="9">
        <v>773</v>
      </c>
    </row>
    <row r="997" spans="1:6" ht="18" x14ac:dyDescent="0.4">
      <c r="A997" s="1" t="s">
        <v>2</v>
      </c>
      <c r="B997" s="30">
        <v>30934</v>
      </c>
      <c r="C997" s="31">
        <v>31243</v>
      </c>
      <c r="D997">
        <v>552</v>
      </c>
      <c r="E997" s="31">
        <v>32333</v>
      </c>
      <c r="F997" s="9">
        <v>1090</v>
      </c>
    </row>
    <row r="998" spans="1:6" x14ac:dyDescent="0.25">
      <c r="A998" s="51" t="s">
        <v>221</v>
      </c>
      <c r="B998" s="51"/>
      <c r="C998" s="51"/>
      <c r="D998" s="51"/>
      <c r="E998" s="51"/>
      <c r="F998" s="50"/>
    </row>
    <row r="999" spans="1:6" x14ac:dyDescent="0.25">
      <c r="A999" s="1"/>
      <c r="B999" s="2" t="s">
        <v>16</v>
      </c>
      <c r="C999" s="2" t="s">
        <v>19</v>
      </c>
      <c r="D999" s="2" t="s">
        <v>17</v>
      </c>
      <c r="E999" s="2" t="s">
        <v>18</v>
      </c>
    </row>
    <row r="1000" spans="1:6" ht="18" x14ac:dyDescent="0.4">
      <c r="A1000" s="1" t="s">
        <v>1</v>
      </c>
      <c r="B1000" s="30">
        <v>26265</v>
      </c>
      <c r="C1000" s="4">
        <v>67</v>
      </c>
      <c r="D1000" s="30">
        <v>8186900</v>
      </c>
      <c r="E1000" s="5">
        <v>0.54</v>
      </c>
    </row>
    <row r="1001" spans="1:6" ht="18" x14ac:dyDescent="0.4">
      <c r="A1001" s="1" t="s">
        <v>2</v>
      </c>
      <c r="B1001" s="30">
        <v>30715</v>
      </c>
      <c r="C1001" s="4">
        <v>228</v>
      </c>
      <c r="D1001" s="30">
        <v>1183300</v>
      </c>
      <c r="E1001" s="5">
        <v>-0.14000000000000001</v>
      </c>
    </row>
    <row r="1005" spans="1:6" x14ac:dyDescent="0.25">
      <c r="A1005" s="6"/>
      <c r="B1005" s="6"/>
      <c r="C1005" s="6"/>
      <c r="D1005" s="6"/>
      <c r="E1005" s="6"/>
      <c r="F1005" s="6"/>
    </row>
    <row r="1006" spans="1:6" x14ac:dyDescent="0.25">
      <c r="A1006" s="51" t="s">
        <v>222</v>
      </c>
      <c r="B1006" s="51"/>
      <c r="C1006" s="51"/>
      <c r="D1006" s="51"/>
      <c r="E1006" s="51"/>
      <c r="F1006" s="51"/>
    </row>
    <row r="1007" spans="1:6" x14ac:dyDescent="0.25">
      <c r="A1007" s="1"/>
      <c r="B1007" s="2" t="s">
        <v>14</v>
      </c>
      <c r="C1007" s="2" t="s">
        <v>15</v>
      </c>
      <c r="D1007" s="2" t="s">
        <v>20</v>
      </c>
      <c r="E1007" s="8" t="s">
        <v>21</v>
      </c>
      <c r="F1007" s="8" t="s">
        <v>27</v>
      </c>
    </row>
    <row r="1008" spans="1:6" ht="18" x14ac:dyDescent="0.4">
      <c r="A1008" s="1" t="s">
        <v>1</v>
      </c>
      <c r="B1008" s="30">
        <v>26307</v>
      </c>
      <c r="C1008" s="31">
        <v>26570</v>
      </c>
      <c r="D1008">
        <v>93</v>
      </c>
      <c r="E1008" s="31">
        <v>27130</v>
      </c>
      <c r="F1008" s="9">
        <v>560</v>
      </c>
    </row>
    <row r="1009" spans="1:6" ht="18" x14ac:dyDescent="0.4">
      <c r="A1009" s="1" t="s">
        <v>2</v>
      </c>
      <c r="B1009" s="30">
        <v>30797</v>
      </c>
      <c r="C1009" s="31">
        <v>31105</v>
      </c>
      <c r="D1009">
        <v>-138</v>
      </c>
      <c r="E1009" s="31">
        <v>32247</v>
      </c>
      <c r="F1009" s="9">
        <v>1142</v>
      </c>
    </row>
    <row r="1010" spans="1:6" x14ac:dyDescent="0.25">
      <c r="A1010" s="51" t="s">
        <v>223</v>
      </c>
      <c r="B1010" s="51"/>
      <c r="C1010" s="51"/>
      <c r="D1010" s="51"/>
      <c r="E1010" s="51"/>
      <c r="F1010" s="50"/>
    </row>
    <row r="1011" spans="1:6" x14ac:dyDescent="0.25">
      <c r="A1011" s="1"/>
      <c r="B1011" s="2" t="s">
        <v>16</v>
      </c>
      <c r="C1011" s="2" t="s">
        <v>19</v>
      </c>
      <c r="D1011" s="2" t="s">
        <v>17</v>
      </c>
      <c r="E1011" s="2" t="s">
        <v>18</v>
      </c>
    </row>
    <row r="1012" spans="1:6" ht="18" x14ac:dyDescent="0.4">
      <c r="A1012" s="1" t="s">
        <v>1</v>
      </c>
      <c r="B1012" s="30">
        <v>26285</v>
      </c>
      <c r="C1012" s="4">
        <v>20</v>
      </c>
      <c r="D1012" s="30">
        <v>7089500</v>
      </c>
      <c r="E1012" s="5">
        <v>-0.13</v>
      </c>
    </row>
    <row r="1013" spans="1:6" ht="18" x14ac:dyDescent="0.4">
      <c r="A1013" s="1" t="s">
        <v>2</v>
      </c>
      <c r="B1013" s="30">
        <v>30862</v>
      </c>
      <c r="C1013" s="4">
        <v>147</v>
      </c>
      <c r="D1013" s="30">
        <v>944600</v>
      </c>
      <c r="E1013" s="5">
        <v>-0.2</v>
      </c>
    </row>
    <row r="1016" spans="1:6" x14ac:dyDescent="0.25">
      <c r="A1016" s="6"/>
      <c r="B1016" s="6"/>
      <c r="C1016" s="6"/>
      <c r="D1016" s="6"/>
      <c r="E1016" s="6"/>
      <c r="F1016" s="6"/>
    </row>
    <row r="1017" spans="1:6" x14ac:dyDescent="0.25">
      <c r="A1017" s="51" t="s">
        <v>224</v>
      </c>
      <c r="B1017" s="51"/>
      <c r="C1017" s="51"/>
      <c r="D1017" s="51"/>
      <c r="E1017" s="51"/>
      <c r="F1017" s="51"/>
    </row>
    <row r="1018" spans="1:6" x14ac:dyDescent="0.25">
      <c r="A1018" s="1"/>
      <c r="B1018" s="2" t="s">
        <v>14</v>
      </c>
      <c r="C1018" s="2" t="s">
        <v>15</v>
      </c>
      <c r="D1018" s="2" t="s">
        <v>20</v>
      </c>
      <c r="E1018" s="8" t="s">
        <v>21</v>
      </c>
      <c r="F1018" s="8" t="s">
        <v>27</v>
      </c>
    </row>
    <row r="1019" spans="1:6" ht="18" x14ac:dyDescent="0.4">
      <c r="A1019" s="1" t="s">
        <v>1</v>
      </c>
      <c r="B1019" s="39">
        <v>26500</v>
      </c>
      <c r="C1019" s="40">
        <v>26765</v>
      </c>
      <c r="D1019">
        <v>195</v>
      </c>
      <c r="E1019" s="40">
        <v>27050</v>
      </c>
      <c r="F1019" s="9">
        <v>285</v>
      </c>
    </row>
    <row r="1020" spans="1:6" ht="18" x14ac:dyDescent="0.4">
      <c r="A1020" s="1" t="s">
        <v>2</v>
      </c>
      <c r="B1020" s="39">
        <v>30992</v>
      </c>
      <c r="C1020" s="40">
        <v>31302</v>
      </c>
      <c r="D1020">
        <v>197</v>
      </c>
      <c r="E1020" s="40">
        <v>32273</v>
      </c>
      <c r="F1020" s="9">
        <v>971</v>
      </c>
    </row>
    <row r="1021" spans="1:6" x14ac:dyDescent="0.25">
      <c r="A1021" s="51" t="s">
        <v>225</v>
      </c>
      <c r="B1021" s="51"/>
      <c r="C1021" s="51"/>
      <c r="D1021" s="51"/>
      <c r="E1021" s="51"/>
      <c r="F1021" s="50"/>
    </row>
    <row r="1022" spans="1:6" x14ac:dyDescent="0.25">
      <c r="A1022" s="1"/>
      <c r="B1022" s="2" t="s">
        <v>16</v>
      </c>
      <c r="C1022" s="2" t="s">
        <v>19</v>
      </c>
      <c r="D1022" s="2" t="s">
        <v>17</v>
      </c>
      <c r="E1022" s="2" t="s">
        <v>18</v>
      </c>
    </row>
    <row r="1023" spans="1:6" ht="18" x14ac:dyDescent="0.4">
      <c r="A1023" s="1" t="s">
        <v>1</v>
      </c>
      <c r="B1023" s="39">
        <v>26424</v>
      </c>
      <c r="C1023" s="4">
        <v>139</v>
      </c>
      <c r="D1023" s="39">
        <v>6055600</v>
      </c>
      <c r="E1023" s="5">
        <v>-0.15</v>
      </c>
    </row>
    <row r="1024" spans="1:6" ht="18" x14ac:dyDescent="0.4">
      <c r="A1024" s="1" t="s">
        <v>2</v>
      </c>
      <c r="B1024" s="39">
        <v>31080</v>
      </c>
      <c r="C1024" s="4">
        <v>218</v>
      </c>
      <c r="D1024" s="39">
        <v>857400</v>
      </c>
      <c r="E1024" s="5">
        <v>-0.09</v>
      </c>
    </row>
    <row r="1027" spans="1:7" x14ac:dyDescent="0.25">
      <c r="A1027" s="6"/>
      <c r="B1027" s="6"/>
      <c r="C1027" s="6"/>
      <c r="D1027" s="6"/>
      <c r="E1027" s="6"/>
      <c r="F1027" s="6"/>
    </row>
    <row r="1028" spans="1:7" x14ac:dyDescent="0.25">
      <c r="A1028" s="51" t="s">
        <v>226</v>
      </c>
      <c r="B1028" s="51"/>
      <c r="C1028" s="51"/>
      <c r="D1028" s="51"/>
      <c r="E1028" s="51"/>
      <c r="F1028" s="51"/>
    </row>
    <row r="1029" spans="1:7" x14ac:dyDescent="0.25">
      <c r="A1029" s="1"/>
      <c r="B1029" s="2" t="s">
        <v>14</v>
      </c>
      <c r="C1029" s="2" t="s">
        <v>15</v>
      </c>
      <c r="D1029" s="2" t="s">
        <v>20</v>
      </c>
      <c r="E1029" s="8" t="s">
        <v>21</v>
      </c>
      <c r="F1029" s="8" t="s">
        <v>27</v>
      </c>
    </row>
    <row r="1030" spans="1:7" ht="18" x14ac:dyDescent="0.4">
      <c r="A1030" s="1" t="s">
        <v>1</v>
      </c>
      <c r="B1030" s="52">
        <v>26423</v>
      </c>
      <c r="C1030" s="53">
        <v>26687</v>
      </c>
      <c r="D1030">
        <v>-78</v>
      </c>
      <c r="E1030" s="53">
        <v>27190</v>
      </c>
      <c r="F1030" s="9">
        <v>503</v>
      </c>
    </row>
    <row r="1031" spans="1:7" ht="18" x14ac:dyDescent="0.4">
      <c r="A1031" s="1" t="s">
        <v>2</v>
      </c>
      <c r="B1031" s="52">
        <v>31047</v>
      </c>
      <c r="C1031" s="53">
        <v>31358</v>
      </c>
      <c r="D1031">
        <v>56</v>
      </c>
      <c r="E1031" s="53">
        <v>32356</v>
      </c>
      <c r="F1031" s="9">
        <v>998</v>
      </c>
      <c r="G1031">
        <f>E1031-E1020</f>
        <v>83</v>
      </c>
    </row>
    <row r="1032" spans="1:7" x14ac:dyDescent="0.25">
      <c r="A1032" s="51" t="s">
        <v>227</v>
      </c>
      <c r="B1032" s="51"/>
      <c r="C1032" s="51"/>
      <c r="D1032" s="51"/>
      <c r="E1032" s="51"/>
      <c r="F1032" s="50"/>
    </row>
    <row r="1033" spans="1:7" x14ac:dyDescent="0.25">
      <c r="A1033" s="1"/>
      <c r="B1033" s="2" t="s">
        <v>16</v>
      </c>
      <c r="C1033" s="2" t="s">
        <v>19</v>
      </c>
      <c r="D1033" s="2" t="s">
        <v>17</v>
      </c>
      <c r="E1033" s="2" t="s">
        <v>18</v>
      </c>
    </row>
    <row r="1034" spans="1:7" ht="18" x14ac:dyDescent="0.4">
      <c r="A1034" s="1" t="s">
        <v>1</v>
      </c>
      <c r="B1034" s="52">
        <v>26453</v>
      </c>
      <c r="C1034" s="4">
        <v>29</v>
      </c>
      <c r="D1034" s="52">
        <v>6934900</v>
      </c>
      <c r="E1034" s="5">
        <v>0.15</v>
      </c>
    </row>
    <row r="1035" spans="1:7" ht="18" x14ac:dyDescent="0.4">
      <c r="A1035" s="1" t="s">
        <v>2</v>
      </c>
      <c r="B1035" s="52">
        <v>31045</v>
      </c>
      <c r="C1035" s="4">
        <v>-35</v>
      </c>
      <c r="D1035" s="52">
        <v>1267000</v>
      </c>
      <c r="E1035" s="5">
        <v>0.48</v>
      </c>
    </row>
  </sheetData>
  <mergeCells count="212">
    <mergeCell ref="A1028:F1028"/>
    <mergeCell ref="A1032:E1032"/>
    <mergeCell ref="A1017:F1017"/>
    <mergeCell ref="A1021:E1021"/>
    <mergeCell ref="A397:F397"/>
    <mergeCell ref="A401:E401"/>
    <mergeCell ref="A253:F253"/>
    <mergeCell ref="A257:E257"/>
    <mergeCell ref="A388:F388"/>
    <mergeCell ref="A415:F415"/>
    <mergeCell ref="A419:E419"/>
    <mergeCell ref="A361:F361"/>
    <mergeCell ref="A970:F970"/>
    <mergeCell ref="A338:E338"/>
    <mergeCell ref="A424:F424"/>
    <mergeCell ref="A307:F307"/>
    <mergeCell ref="A311:E311"/>
    <mergeCell ref="A316:F316"/>
    <mergeCell ref="A320:E320"/>
    <mergeCell ref="A298:F298"/>
    <mergeCell ref="A302:E302"/>
    <mergeCell ref="A325:F325"/>
    <mergeCell ref="A352:F352"/>
    <mergeCell ref="A356:E356"/>
    <mergeCell ref="A343:F343"/>
    <mergeCell ref="A347:E347"/>
    <mergeCell ref="A383:E383"/>
    <mergeCell ref="A109:F109"/>
    <mergeCell ref="A113:E113"/>
    <mergeCell ref="A271:F271"/>
    <mergeCell ref="A275:E275"/>
    <mergeCell ref="A266:E266"/>
    <mergeCell ref="A289:F289"/>
    <mergeCell ref="A293:E293"/>
    <mergeCell ref="A334:F334"/>
    <mergeCell ref="A194:E194"/>
    <mergeCell ref="A226:F226"/>
    <mergeCell ref="A230:E230"/>
    <mergeCell ref="A262:F262"/>
    <mergeCell ref="A329:E329"/>
    <mergeCell ref="A280:F280"/>
    <mergeCell ref="A284:E284"/>
    <mergeCell ref="A172:F172"/>
    <mergeCell ref="A158:E158"/>
    <mergeCell ref="A127:F127"/>
    <mergeCell ref="A167:E167"/>
    <mergeCell ref="A136:F136"/>
    <mergeCell ref="A140:E140"/>
    <mergeCell ref="A163:F163"/>
    <mergeCell ref="A176:E176"/>
    <mergeCell ref="A41:E41"/>
    <mergeCell ref="A46:F46"/>
    <mergeCell ref="A50:E50"/>
    <mergeCell ref="A64:F64"/>
    <mergeCell ref="A68:E68"/>
    <mergeCell ref="A82:F82"/>
    <mergeCell ref="A86:E86"/>
    <mergeCell ref="A100:F100"/>
    <mergeCell ref="A104:E104"/>
    <mergeCell ref="A77:E77"/>
    <mergeCell ref="A91:F91"/>
    <mergeCell ref="A95:E95"/>
    <mergeCell ref="A55:F55"/>
    <mergeCell ref="A59:E59"/>
    <mergeCell ref="A73:F73"/>
    <mergeCell ref="A1:E1"/>
    <mergeCell ref="A5:E5"/>
    <mergeCell ref="A14:E14"/>
    <mergeCell ref="A10:D10"/>
    <mergeCell ref="A37:F37"/>
    <mergeCell ref="A28:F28"/>
    <mergeCell ref="A32:E32"/>
    <mergeCell ref="A23:E23"/>
    <mergeCell ref="A19:F19"/>
    <mergeCell ref="A118:F118"/>
    <mergeCell ref="A122:E122"/>
    <mergeCell ref="A154:F154"/>
    <mergeCell ref="A145:F145"/>
    <mergeCell ref="A149:E149"/>
    <mergeCell ref="A248:E248"/>
    <mergeCell ref="A199:F199"/>
    <mergeCell ref="A203:E203"/>
    <mergeCell ref="A217:F217"/>
    <mergeCell ref="A221:E221"/>
    <mergeCell ref="A208:F208"/>
    <mergeCell ref="A212:E212"/>
    <mergeCell ref="A131:E131"/>
    <mergeCell ref="A181:F181"/>
    <mergeCell ref="A185:E185"/>
    <mergeCell ref="A235:F235"/>
    <mergeCell ref="A239:E239"/>
    <mergeCell ref="A244:F244"/>
    <mergeCell ref="A190:F190"/>
    <mergeCell ref="A370:F370"/>
    <mergeCell ref="A374:E374"/>
    <mergeCell ref="A365:E365"/>
    <mergeCell ref="A392:E392"/>
    <mergeCell ref="A379:F379"/>
    <mergeCell ref="A406:F406"/>
    <mergeCell ref="A410:E410"/>
    <mergeCell ref="A696:F696"/>
    <mergeCell ref="A660:E660"/>
    <mergeCell ref="A666:F666"/>
    <mergeCell ref="A670:E670"/>
    <mergeCell ref="A580:E580"/>
    <mergeCell ref="A460:F460"/>
    <mergeCell ref="A464:E464"/>
    <mergeCell ref="A469:F469"/>
    <mergeCell ref="A527:E527"/>
    <mergeCell ref="A566:F566"/>
    <mergeCell ref="A505:F505"/>
    <mergeCell ref="A509:E509"/>
    <mergeCell ref="A596:F596"/>
    <mergeCell ref="A586:F586"/>
    <mergeCell ref="A590:E590"/>
    <mergeCell ref="A500:E500"/>
    <mergeCell ref="A523:F523"/>
    <mergeCell ref="A600:E600"/>
    <mergeCell ref="A646:F646"/>
    <mergeCell ref="A680:E680"/>
    <mergeCell ref="A686:F686"/>
    <mergeCell ref="A736:F736"/>
    <mergeCell ref="A740:E740"/>
    <mergeCell ref="A640:E640"/>
    <mergeCell ref="A656:F656"/>
    <mergeCell ref="A606:F606"/>
    <mergeCell ref="A610:E610"/>
    <mergeCell ref="A636:F636"/>
    <mergeCell ref="A616:F616"/>
    <mergeCell ref="A620:E620"/>
    <mergeCell ref="A690:E690"/>
    <mergeCell ref="A650:E650"/>
    <mergeCell ref="A676:F676"/>
    <mergeCell ref="A626:F626"/>
    <mergeCell ref="A630:E630"/>
    <mergeCell ref="A716:F716"/>
    <mergeCell ref="A720:E720"/>
    <mergeCell ref="A428:E428"/>
    <mergeCell ref="A487:F487"/>
    <mergeCell ref="A491:E491"/>
    <mergeCell ref="A556:F556"/>
    <mergeCell ref="A560:E560"/>
    <mergeCell ref="A576:F576"/>
    <mergeCell ref="A473:E473"/>
    <mergeCell ref="A433:F433"/>
    <mergeCell ref="A451:F451"/>
    <mergeCell ref="A455:E455"/>
    <mergeCell ref="A549:E549"/>
    <mergeCell ref="A478:F478"/>
    <mergeCell ref="A482:E482"/>
    <mergeCell ref="A496:F496"/>
    <mergeCell ref="A437:E437"/>
    <mergeCell ref="A570:E570"/>
    <mergeCell ref="A446:E446"/>
    <mergeCell ref="A442:F442"/>
    <mergeCell ref="A538:E538"/>
    <mergeCell ref="A545:F545"/>
    <mergeCell ref="A514:F514"/>
    <mergeCell ref="A518:E518"/>
    <mergeCell ref="A534:F534"/>
    <mergeCell ref="A792:F792"/>
    <mergeCell ref="A796:E796"/>
    <mergeCell ref="A700:E700"/>
    <mergeCell ref="A770:F770"/>
    <mergeCell ref="A774:E774"/>
    <mergeCell ref="A748:F748"/>
    <mergeCell ref="A759:F759"/>
    <mergeCell ref="A763:E763"/>
    <mergeCell ref="A785:E785"/>
    <mergeCell ref="A781:F781"/>
    <mergeCell ref="A752:E752"/>
    <mergeCell ref="A726:F726"/>
    <mergeCell ref="A730:E730"/>
    <mergeCell ref="A706:F706"/>
    <mergeCell ref="A710:E710"/>
    <mergeCell ref="A803:F803"/>
    <mergeCell ref="A807:E807"/>
    <mergeCell ref="A880:F880"/>
    <mergeCell ref="A884:E884"/>
    <mergeCell ref="A858:F858"/>
    <mergeCell ref="A862:E862"/>
    <mergeCell ref="A836:F836"/>
    <mergeCell ref="A840:E840"/>
    <mergeCell ref="A814:F814"/>
    <mergeCell ref="A818:E818"/>
    <mergeCell ref="A825:F825"/>
    <mergeCell ref="A829:E829"/>
    <mergeCell ref="A869:F869"/>
    <mergeCell ref="A873:E873"/>
    <mergeCell ref="A891:F891"/>
    <mergeCell ref="A895:E895"/>
    <mergeCell ref="A974:E974"/>
    <mergeCell ref="A936:F936"/>
    <mergeCell ref="A947:F947"/>
    <mergeCell ref="A951:E951"/>
    <mergeCell ref="A925:F925"/>
    <mergeCell ref="A929:E929"/>
    <mergeCell ref="A847:F847"/>
    <mergeCell ref="A851:E851"/>
    <mergeCell ref="A902:F902"/>
    <mergeCell ref="A906:E906"/>
    <mergeCell ref="A1006:F1006"/>
    <mergeCell ref="A1010:E1010"/>
    <mergeCell ref="A982:F982"/>
    <mergeCell ref="A986:E986"/>
    <mergeCell ref="A959:F959"/>
    <mergeCell ref="A963:E963"/>
    <mergeCell ref="A940:E940"/>
    <mergeCell ref="A913:F913"/>
    <mergeCell ref="A917:E917"/>
    <mergeCell ref="A994:F994"/>
    <mergeCell ref="A998:E99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Mirani</dc:creator>
  <cp:lastModifiedBy>Moein Mirani</cp:lastModifiedBy>
  <dcterms:created xsi:type="dcterms:W3CDTF">2021-04-10T11:44:27Z</dcterms:created>
  <dcterms:modified xsi:type="dcterms:W3CDTF">2021-09-05T12:37:41Z</dcterms:modified>
</cp:coreProperties>
</file>