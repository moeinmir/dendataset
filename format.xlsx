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20490" windowHeight="7455"/>
  </bookViews>
  <sheets>
    <sheet name="Sheet1" sheetId="1" r:id="rId1"/>
  </sheets>
  <calcPr calcId="152511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859" i="1" l="1"/>
  <c r="G1754" i="1" l="1"/>
  <c r="G1730" i="1" l="1"/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<sst xmlns="http://schemas.openxmlformats.org/spreadsheetml/2006/main" count="2820" uniqueCount="399">
  <si>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</si>
  <si>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</si>
  <si>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</si>
  <si>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</si>
  <si>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</si>
  <si>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</si>
  <si>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</si>
  <si>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</si>
  <si>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</si>
  <si>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</si>
  <si>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</si>
  <si>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</si>
  <si>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</si>
  <si>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</si>
  <si>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</si>
  <si>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</si>
  <si>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</si>
  <si>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</si>
  <si>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</si>
  <si>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</si>
  <si>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</si>
  <si>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</si>
  <si>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</si>
  <si>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</si>
  <si>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</si>
  <si>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</si>
  <si>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</si>
  <si>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</si>
  <si>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</si>
  <si>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</si>
  <si>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</si>
  <si>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</si>
  <si>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</si>
  <si>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</si>
  <si>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</si>
  <si>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</si>
  <si>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</si>
  <si>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</si>
  <si>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</si>
  <si>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</si>
  <si>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</si>
  <si>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</si>
  <si>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</si>
  <si>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</si>
  <si>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</si>
  <si>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</si>
  <si>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</si>
  <si>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</si>
  <si>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</si>
  <si>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</si>
  <si>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</si>
  <si>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</si>
  <si>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</si>
  <si>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</si>
  <si>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</si>
  <si>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</si>
  <si>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</si>
  <si>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</si>
  <si>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</si>
  <si>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</si>
  <si>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</si>
  <si>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</si>
  <si>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</si>
  <si>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</si>
  <si>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</si>
  <si>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</si>
  <si>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</si>
  <si>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</si>
  <si>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</si>
  <si>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</si>
  <si>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</si>
  <si>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</si>
  <si>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</si>
  <si>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</si>
  <si>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</si>
  <si>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</si>
  <si>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</si>
  <si>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</si>
  <si>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</si>
  <si>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</si>
  <si>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</si>
  <si>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</si>
  <si>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</si>
  <si>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</si>
  <si>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</si>
  <si>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</si>
  <si>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</si>
  <si>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</si>
  <si>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</si>
  <si>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</si>
  <si>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</si>
  <si>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</si>
  <si>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</si>
  <si>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</si>
  <si>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</si>
  <si>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</si>
  <si>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</si>
  <si>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</si>
  <si>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</si>
  <si>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</si>
  <si>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</si>
  <si>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</si>
  <si>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</si>
  <si>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</si>
  <si>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</si>
  <si>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</si>
  <si>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</si>
  <si>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</si>
  <si>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</si>
  <si>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</si>
  <si>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</si>
  <si>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</si>
  <si>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</si>
  <si>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</si>
  <si>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</si>
  <si>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</si>
  <si>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</si>
  <si>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</si>
  <si>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</si>
  <si>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</si>
  <si>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</si>
  <si>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</si>
  <si>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</si>
  <si>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</si>
  <si>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</si>
  <si>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</si>
  <si>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</si>
  <si>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</si>
  <si>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</si>
  <si>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</si>
  <si>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</si>
  <si>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</si>
  <si>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</si>
  <si>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</si>
  <si>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</si>
  <si>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</si>
  <si>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</si>
  <si>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</si>
  <si>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</si>
  <si>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</si>
  <si>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</si>
  <si>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</si>
  <si>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</si>
  <si>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</si>
  <si>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</si>
  <si>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</si>
  <si>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</si>
  <si>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</si>
  <si>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</si>
  <si>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</si>
  <si>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</si>
  <si>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</si>
  <si>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</si>
  <si>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</si>
  <si>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</si>
  <si>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</si>
  <si>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</si>
  <si>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</si>
  <si>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</si>
  <si>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</si>
  <si>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</si>
  <si>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</si>
  <si>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</si>
  <si>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</si>
  <si>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</si>
  <si>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</si>
  <si>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</si>
  <si>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</si>
  <si>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</si>
  <si>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</si>
  <si>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</si>
  <si>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</si>
  <si>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</si>
  <si>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</si>
  <si>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</si>
  <si>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</si>
  <si>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</si>
  <si>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</si>
  <si>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</si>
  <si>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</si>
  <si>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</si>
  <si>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</si>
  <si>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</si>
  <si>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</si>
  <si>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</si>
  <si>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</si>
  <si>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</si>
  <si>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</si>
  <si>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</si>
  <si>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</si>
  <si>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</si>
  <si>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</si>
  <si>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</si>
  <si>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</si>
  <si>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</si>
  <si>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</si>
  <si>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</si>
  <si>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</si>
  <si>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</si>
  <si>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</si>
  <si>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</si>
  <si>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</si>
  <si>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</si>
  <si>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</si>
  <si>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</si>
  <si>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</si>
  <si>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</si>
  <si>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</si>
  <si>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</si>
  <si>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</si>
  <si>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</si>
  <si>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</si>
  <si>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</si>
  <si>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</si>
  <si>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</si>
  <si>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</si>
  <si>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</si>
  <si>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</si>
  <si>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</si>
  <si>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</si>
  <si>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</si>
  <si>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</si>
  <si>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</si>
  <si>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</si>
  <si>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</si>
  <si>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</si>
  <si>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</si>
  <si>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</si>
  <si>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</si>
  <si>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</si>
  <si>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</si>
  <si>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</si>
  <si>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</si>
  <si>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</si>
  <si>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</si>
  <si>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</si>
  <si>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</si>
  <si>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</si>
  <si>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</si>
  <si>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</si>
  <si>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</si>
  <si>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</si>
  <si>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</si>
  <si>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</si>
  <si>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</si>
  <si>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</si>
  <si>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</si>
  <si>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</si>
  <si>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</si>
  <si>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</si>
  <si>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</si>
  <si>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</si>
  <si>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</si>
  <si>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</si>
  <si>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</si>
  <si>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</si>
  <si>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</si>
  <si>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</si>
  <si>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</si>
  <si>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</si>
  <si>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</si>
  <si>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</si>
  <si>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</si>
  <si>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</si>
  <si>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</si>
  <si>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</si>
  <si>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</si>
  <si>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</si>
  <si>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</si>
  <si>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</si>
  <si>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</si>
  <si>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</si>
  <si>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</si>
  <si>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</si>
  <si>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</si>
  <si>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</si>
  <si>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</si>
  <si>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</si>
  <si>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</si>
  <si>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</si>
  <si>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</si>
  <si>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</si>
  <si>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</si>
  <si>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</si>
  <si>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</si>
  <si>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</si>
  <si>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</si>
  <si>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</si>
  <si>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</si>
  <si>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</si>
  <si>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</si>
  <si>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</si>
  <si>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</si>
  <si>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</si>
  <si>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</si>
  <si>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</si>
  <si>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</si>
  <si>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</si>
  <si>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</si>
  <si>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</si>
  <si>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</si>
  <si>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</si>
  <si>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</si>
  <si>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</si>
  <si>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</si>
  <si>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</si>
  <si>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</si>
  <si>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</si>
  <si>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</si>
  <si>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</si>
  <si>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</si>
  <si>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</si>
  <si>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</si>
  <si>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</si>
  <si>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</si>
  <si>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</si>
  <si>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</si>
  <si>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</si>
  <si>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</si>
  <si>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</si>
  <si>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</si>
  <si>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</si>
  <si>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</si>
  <si>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</si>
  <si>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</si>
  <si>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</si>
  <si>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</si>
  <si>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</si>
  <si>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</si>
  <si>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</si>
  <si>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</si>
  <si>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</si>
  <si>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</si>
  <si>
    <t>بازار ارز متشکل و سامانه سنا در 22 آبان سال 1400</t>
  </si>
  <si>
    <t>بازار ارز متشکل 22 آبان سال 1400</t>
  </si>
  <si>
    <t>بازار ارز متشکل و سامانه سنا در 23 آبان سال 1400</t>
  </si>
  <si>
    <t>بازار ارز متشکل 23 آبان سال 1400</t>
  </si>
  <si>
    <t>بازار ارز متشکل و سامانه سنا در 24 آبان سال 1400</t>
  </si>
  <si>
    <t>بازار ارز متشکل 24 آبان سال 1400</t>
  </si>
  <si>
    <t>بازار ارز متشکل و سامانه سنا در 25 آبان سال 1400</t>
  </si>
  <si>
    <t>بازار ارز متشکل 25 آبان سال 1400</t>
  </si>
  <si>
    <t>بازار ارز متشکل و سامانه سنا در 26 آبان سال 1400</t>
  </si>
  <si>
    <t>بازار ارز متشکل 26 آبان سال 1400</t>
  </si>
  <si>
    <t>بازار ارز متشکل و سامانه سنا در 27 آبان سال 1400</t>
  </si>
  <si>
    <t>بازار ارز متشکل 27 آبان سال 1400</t>
  </si>
  <si>
    <t>بازار ارز متشکل و سامانه سنا در 29 آبان سال 1400</t>
  </si>
  <si>
    <t>بازار ارز متشکل 29 آبان سال 1400</t>
  </si>
  <si>
    <t>بازار ارز متشکل و سامانه سنا در 30 آبان سال 1400</t>
  </si>
  <si>
    <t>بازار ارز متشکل 30 آبان سال 1400</t>
  </si>
  <si>
    <t>بازار ارز متشکل و سامانه سنا در 01 آذر سال 1400</t>
  </si>
  <si>
    <t>بازار ارز متشکل 01 آذر سال 1400</t>
  </si>
  <si>
    <t>بازار ارز متشکل و سامانه سنا در 02 آذر سال 1400</t>
  </si>
  <si>
    <t>بازار ارز متشکل 02 آذر سال 1400</t>
  </si>
  <si>
    <t>تغییر نرخ انتهایی متشکل نسبت به روز قبل (تومان)</t>
  </si>
  <si>
    <t>بازار ارز متشکل و سامانه سنا در 03 آذر سال 1400</t>
  </si>
  <si>
    <t>بازار ارز متشکل 03 آذر سال 1400</t>
  </si>
  <si>
    <t>بازار ارز متشکل و سامانه سنا در 04 آذر سال 1400</t>
  </si>
  <si>
    <t>بازار ارز متشکل 04 آذر سال 1400</t>
  </si>
  <si>
    <t>بازار ارز متشکل و سامانه سنا در 06 آذر سال 1400</t>
  </si>
  <si>
    <t>بازار ارز متشکل 06 آذر سال 1400</t>
  </si>
  <si>
    <t>بازار ارز متشکل و سامانه سنا در 07 آذر سال 1400</t>
  </si>
  <si>
    <t>بازار ارز متشکل 07 آذر سال 1400</t>
  </si>
  <si>
    <t>بازار ارز متشکل و سامانه سنا در 08 آذر سال 1400</t>
  </si>
  <si>
    <t>بازار ارز متشکل 08 آذر سال 1400</t>
  </si>
  <si>
    <t>بازار ارز متشکل و سامانه سنا در 09 آذر سال 1400</t>
  </si>
  <si>
    <t>بازار ارز متشکل 09 آذر سال 1400</t>
  </si>
  <si>
    <t>بازار ارز متشکل و سامانه سنا در 10 آذر سال 1400</t>
  </si>
  <si>
    <t>بازار ارز متشکل 10 آذر سال 1400</t>
  </si>
  <si>
    <t>بازار ارز متشکل و سامانه سنا در 11 آذر سال 1400</t>
  </si>
  <si>
    <t>بازار ارز متشکل 11 آذر سال 1400</t>
  </si>
  <si>
    <t>بازار ارز متشکل و سامانه سنا در 13 آذر سال 1400</t>
  </si>
  <si>
    <t>بازار ارز متشکل 13 آذر سال 1400</t>
  </si>
  <si>
    <t>بازار ارز متشکل و سامانه سنا در 14 آذر سال 1400</t>
  </si>
  <si>
    <t>بازار ارز متشکل 14 آذر سال 1400</t>
  </si>
  <si>
    <t>بازار ارز متشکل و سامانه سنا در 15 آذر سال 1400</t>
  </si>
  <si>
    <t>بازار ارز متشکل 15 آذر سال 1400</t>
  </si>
  <si>
    <t>بازار ارز متشکل و سامانه سنا در 16 آذر سال 1400</t>
  </si>
  <si>
    <t>قیمت دلار و یورو</t>
  </si>
  <si>
    <t>اختلاف قیمت دلار و یورو با سنا</t>
  </si>
  <si>
    <t>بازار متشکل 16 آذر سال 1400</t>
  </si>
  <si>
    <t>بازار ارز متشکل و سامانه سنا در 17 آذر سال 1400</t>
  </si>
  <si>
    <t>تغییر متشکل نسبت به روز قبل (تومان)</t>
  </si>
  <si>
    <t>مبادلات ارز در بازار متشکل 17 آذر سال 1400</t>
  </si>
  <si>
    <t>بازار ارز متشکل و سامانه سنا در 18 آذر سال 1400</t>
  </si>
  <si>
    <t>مبادلات ارز در بازار متشکل 18 آذر سال 1400</t>
  </si>
  <si>
    <t>بازار ارز متشکل و سامانه سنا در 20 آذر سال 1400</t>
  </si>
  <si>
    <t>مبادلات ارز در بازار متشکل 20 آذر سال 1400</t>
  </si>
  <si>
    <t>بازار ارز متشکل و سامانه سنا در 21 آذر سال 1400</t>
  </si>
  <si>
    <t>مبادلات ارز در بازار متشکل 21 آذر سال 1400</t>
  </si>
  <si>
    <t>بازار ارز متشکل و سامانه سنا در 22 آذر سال 1400</t>
  </si>
  <si>
    <t>مبادلات ارز در بازار متشکل 22 آذر سال 1400</t>
  </si>
  <si>
    <t>بازار ارز متشکل و سامانه سنا در 23 آذر سال 1400</t>
  </si>
  <si>
    <t>مبادلات ارز در بازار متشکل 23 آذر سال 1400</t>
  </si>
  <si>
    <t>بازار ارز متشکل و سامانه سنا در 24 آذر سال 1400</t>
  </si>
  <si>
    <t>مبادلات ارز در بازار متشکل 24 آذر سال 1400</t>
  </si>
  <si>
    <t>بازار ارز متشکل و سامانه سنا در 25 آذر سال 1400</t>
  </si>
  <si>
    <t>مبادلات ارز در بازار متشکل 25 آذر سال 1400</t>
  </si>
  <si>
    <t>بازار ارز متشکل و سامانه سنا در 27 آذر سال 1400</t>
  </si>
  <si>
    <t>مبادلات ارز در بازار متشکل 27 آذر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</si>
</sst>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5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  <fill>
      <patternFill patternType="solid">
        <fgColor theme="0" tint="-0.34998626667073579"/>
        <bgColor rgb="FFFFFF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1" fillId="20" borderId="5" xfId="0" applyFont="1" applyFill="1" applyBorder="1" applyAlignment="1"/>
    <xf numFmtId="0" fontId="1" fillId="24" borderId="1" xfId="0" applyFont="1" applyFill="1" applyBorder="1"/>
    <xf numFmtId="0" fontId="5" fillId="24" borderId="0" xfId="0" applyFont="1" applyFill="1"/>
    <xf numFmtId="0" fontId="0" fillId="3" borderId="4" xfId="0" applyFill="1" applyBorder="1" applyAlignment="1"/>
    <xf numFmtId="0" fontId="5" fillId="22" borderId="0" xfId="0" applyFont="1" applyFill="1"/>
    <xf numFmtId="0" fontId="1" fillId="20" borderId="0" xfId="0" applyFont="1" applyFill="1" applyBorder="1"/>
    <xf numFmtId="0" fontId="0" fillId="2" borderId="6" xfId="0" applyFill="1" applyBorder="1" applyAlignment="1"/>
    <xf numFmtId="0" fontId="0" fillId="2" borderId="0" xfId="0" applyFill="1" applyAlignment="1">
      <alignment horizontal="center"/>
    </xf>
    <xf numFmtId="0" fontId="0" fillId="14" borderId="6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64"/>
  <sheetViews>
    <sheetView tabSelected="1" topLeftCell="A2046" zoomScaleNormal="100" workbookViewId="0">
      <selection activeCell="C2054" sqref="C2054"/>
    </sheetView>
  </sheetViews>
  <sheetFormatPr defaultRowHeight="15" x14ac:dyDescent="0.25"/>
  <cols>
    <col min="2" max="2" width="22.28515625" customWidth="1"/>
    <col min="3" max="3" width="41.28515625" customWidth="1"/>
    <col min="4" max="4" width="30.7109375" customWidth="1"/>
    <col min="5" max="5" width="36.42578125" customWidth="1"/>
    <col min="6" max="6" width="31.7109375" customWidth="1"/>
    <col min="7" max="7" width="15.7109375" customWidth="1"/>
  </cols>
  <sheetData>
    <row r="1" spans="1:5" x14ac:dyDescent="0.25">
      <c r="A1" s="72" t="s">
        <v>7</v>
      </c>
      <c r="B1" s="72"/>
      <c r="C1" s="72"/>
      <c r="D1" s="72"/>
      <c r="E1" s="72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72" t="s">
        <v>8</v>
      </c>
      <c r="B5" s="72"/>
      <c r="C5" s="72"/>
      <c r="D5" s="72"/>
      <c r="E5" s="72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72" t="s">
        <v>12</v>
      </c>
      <c r="B10" s="72"/>
      <c r="C10" s="72"/>
      <c r="D10" s="72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72" t="s">
        <v>13</v>
      </c>
      <c r="B14" s="72"/>
      <c r="C14" s="72"/>
      <c r="D14" s="72"/>
      <c r="E14" s="72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72" t="s">
        <v>23</v>
      </c>
      <c r="B19" s="72"/>
      <c r="C19" s="72"/>
      <c r="D19" s="72"/>
      <c r="E19" s="72"/>
      <c r="F19" s="72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72" t="s">
        <v>24</v>
      </c>
      <c r="B23" s="72"/>
      <c r="C23" s="72"/>
      <c r="D23" s="72"/>
      <c r="E23" s="72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72" t="s">
        <v>25</v>
      </c>
      <c r="B28" s="72"/>
      <c r="C28" s="72"/>
      <c r="D28" s="72"/>
      <c r="E28" s="72"/>
      <c r="F28" s="72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72" t="s">
        <v>26</v>
      </c>
      <c r="B32" s="72"/>
      <c r="C32" s="72"/>
      <c r="D32" s="72"/>
      <c r="E32" s="72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72" t="s">
        <v>28</v>
      </c>
      <c r="B37" s="72"/>
      <c r="C37" s="72"/>
      <c r="D37" s="72"/>
      <c r="E37" s="72"/>
      <c r="F37" s="72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72" t="s">
        <v>29</v>
      </c>
      <c r="B41" s="72"/>
      <c r="C41" s="72"/>
      <c r="D41" s="72"/>
      <c r="E41" s="72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72" t="s">
        <v>31</v>
      </c>
      <c r="B46" s="72"/>
      <c r="C46" s="72"/>
      <c r="D46" s="72"/>
      <c r="E46" s="72"/>
      <c r="F46" s="72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72" t="s">
        <v>30</v>
      </c>
      <c r="B50" s="72"/>
      <c r="C50" s="72"/>
      <c r="D50" s="72"/>
      <c r="E50" s="72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72" t="s">
        <v>32</v>
      </c>
      <c r="B55" s="72"/>
      <c r="C55" s="72"/>
      <c r="D55" s="72"/>
      <c r="E55" s="72"/>
      <c r="F55" s="72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72" t="s">
        <v>33</v>
      </c>
      <c r="B59" s="72"/>
      <c r="C59" s="72"/>
      <c r="D59" s="72"/>
      <c r="E59" s="72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72" t="s">
        <v>34</v>
      </c>
      <c r="B64" s="72"/>
      <c r="C64" s="72"/>
      <c r="D64" s="72"/>
      <c r="E64" s="72"/>
      <c r="F64" s="72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72" t="s">
        <v>35</v>
      </c>
      <c r="B68" s="72"/>
      <c r="C68" s="72"/>
      <c r="D68" s="72"/>
      <c r="E68" s="72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72" t="s">
        <v>36</v>
      </c>
      <c r="B73" s="72"/>
      <c r="C73" s="72"/>
      <c r="D73" s="72"/>
      <c r="E73" s="72"/>
      <c r="F73" s="72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72" t="s">
        <v>37</v>
      </c>
      <c r="B77" s="72"/>
      <c r="C77" s="72"/>
      <c r="D77" s="72"/>
      <c r="E77" s="72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72" t="s">
        <v>38</v>
      </c>
      <c r="B82" s="72"/>
      <c r="C82" s="72"/>
      <c r="D82" s="72"/>
      <c r="E82" s="72"/>
      <c r="F82" s="72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72" t="s">
        <v>39</v>
      </c>
      <c r="B86" s="72"/>
      <c r="C86" s="72"/>
      <c r="D86" s="72"/>
      <c r="E86" s="72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72" t="s">
        <v>40</v>
      </c>
      <c r="B91" s="72"/>
      <c r="C91" s="72"/>
      <c r="D91" s="72"/>
      <c r="E91" s="72"/>
      <c r="F91" s="72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72" t="s">
        <v>41</v>
      </c>
      <c r="B95" s="72"/>
      <c r="C95" s="72"/>
      <c r="D95" s="72"/>
      <c r="E95" s="72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72" t="s">
        <v>42</v>
      </c>
      <c r="B100" s="72"/>
      <c r="C100" s="72"/>
      <c r="D100" s="72"/>
      <c r="E100" s="72"/>
      <c r="F100" s="72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72" t="s">
        <v>43</v>
      </c>
      <c r="B104" s="72"/>
      <c r="C104" s="72"/>
      <c r="D104" s="72"/>
      <c r="E104" s="72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72" t="s">
        <v>44</v>
      </c>
      <c r="B109" s="72"/>
      <c r="C109" s="72"/>
      <c r="D109" s="72"/>
      <c r="E109" s="72"/>
      <c r="F109" s="72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72" t="s">
        <v>45</v>
      </c>
      <c r="B113" s="72"/>
      <c r="C113" s="72"/>
      <c r="D113" s="72"/>
      <c r="E113" s="72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72" t="s">
        <v>46</v>
      </c>
      <c r="B118" s="72"/>
      <c r="C118" s="72"/>
      <c r="D118" s="72"/>
      <c r="E118" s="72"/>
      <c r="F118" s="72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72" t="s">
        <v>47</v>
      </c>
      <c r="B122" s="72"/>
      <c r="C122" s="72"/>
      <c r="D122" s="72"/>
      <c r="E122" s="72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72" t="s">
        <v>48</v>
      </c>
      <c r="B127" s="72"/>
      <c r="C127" s="72"/>
      <c r="D127" s="72"/>
      <c r="E127" s="72"/>
      <c r="F127" s="72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72" t="s">
        <v>49</v>
      </c>
      <c r="B131" s="72"/>
      <c r="C131" s="72"/>
      <c r="D131" s="72"/>
      <c r="E131" s="72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72" t="s">
        <v>50</v>
      </c>
      <c r="B136" s="72"/>
      <c r="C136" s="72"/>
      <c r="D136" s="72"/>
      <c r="E136" s="72"/>
      <c r="F136" s="72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72" t="s">
        <v>51</v>
      </c>
      <c r="B140" s="72"/>
      <c r="C140" s="72"/>
      <c r="D140" s="72"/>
      <c r="E140" s="72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72" t="s">
        <v>52</v>
      </c>
      <c r="B145" s="72"/>
      <c r="C145" s="72"/>
      <c r="D145" s="72"/>
      <c r="E145" s="72"/>
      <c r="F145" s="72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72" t="s">
        <v>53</v>
      </c>
      <c r="B149" s="72"/>
      <c r="C149" s="72"/>
      <c r="D149" s="72"/>
      <c r="E149" s="72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72" t="s">
        <v>54</v>
      </c>
      <c r="B154" s="72"/>
      <c r="C154" s="72"/>
      <c r="D154" s="72"/>
      <c r="E154" s="72"/>
      <c r="F154" s="72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72" t="s">
        <v>55</v>
      </c>
      <c r="B158" s="72"/>
      <c r="C158" s="72"/>
      <c r="D158" s="72"/>
      <c r="E158" s="72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72" t="s">
        <v>56</v>
      </c>
      <c r="B163" s="72"/>
      <c r="C163" s="72"/>
      <c r="D163" s="72"/>
      <c r="E163" s="72"/>
      <c r="F163" s="72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72" t="s">
        <v>57</v>
      </c>
      <c r="B167" s="72"/>
      <c r="C167" s="72"/>
      <c r="D167" s="72"/>
      <c r="E167" s="72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72" t="s">
        <v>58</v>
      </c>
      <c r="B172" s="72"/>
      <c r="C172" s="72"/>
      <c r="D172" s="72"/>
      <c r="E172" s="72"/>
      <c r="F172" s="72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72" t="s">
        <v>59</v>
      </c>
      <c r="B176" s="72"/>
      <c r="C176" s="72"/>
      <c r="D176" s="72"/>
      <c r="E176" s="72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72" t="s">
        <v>60</v>
      </c>
      <c r="B181" s="72"/>
      <c r="C181" s="72"/>
      <c r="D181" s="72"/>
      <c r="E181" s="72"/>
      <c r="F181" s="72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72" t="s">
        <v>61</v>
      </c>
      <c r="B185" s="72"/>
      <c r="C185" s="72"/>
      <c r="D185" s="72"/>
      <c r="E185" s="72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72" t="s">
        <v>62</v>
      </c>
      <c r="B190" s="72"/>
      <c r="C190" s="72"/>
      <c r="D190" s="72"/>
      <c r="E190" s="72"/>
      <c r="F190" s="72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72" t="s">
        <v>63</v>
      </c>
      <c r="B194" s="72"/>
      <c r="C194" s="72"/>
      <c r="D194" s="72"/>
      <c r="E194" s="72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72" t="s">
        <v>64</v>
      </c>
      <c r="B199" s="72"/>
      <c r="C199" s="72"/>
      <c r="D199" s="72"/>
      <c r="E199" s="72"/>
      <c r="F199" s="72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72" t="s">
        <v>65</v>
      </c>
      <c r="B203" s="72"/>
      <c r="C203" s="72"/>
      <c r="D203" s="72"/>
      <c r="E203" s="72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72" t="s">
        <v>66</v>
      </c>
      <c r="B208" s="72"/>
      <c r="C208" s="72"/>
      <c r="D208" s="72"/>
      <c r="E208" s="72"/>
      <c r="F208" s="72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72" t="s">
        <v>67</v>
      </c>
      <c r="B212" s="72"/>
      <c r="C212" s="72"/>
      <c r="D212" s="72"/>
      <c r="E212" s="72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72" t="s">
        <v>68</v>
      </c>
      <c r="B217" s="72"/>
      <c r="C217" s="72"/>
      <c r="D217" s="72"/>
      <c r="E217" s="72"/>
      <c r="F217" s="72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72" t="s">
        <v>69</v>
      </c>
      <c r="B221" s="72"/>
      <c r="C221" s="72"/>
      <c r="D221" s="72"/>
      <c r="E221" s="72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72" t="s">
        <v>70</v>
      </c>
      <c r="B226" s="72"/>
      <c r="C226" s="72"/>
      <c r="D226" s="72"/>
      <c r="E226" s="72"/>
      <c r="F226" s="72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72" t="s">
        <v>71</v>
      </c>
      <c r="B230" s="72"/>
      <c r="C230" s="72"/>
      <c r="D230" s="72"/>
      <c r="E230" s="72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72" t="s">
        <v>72</v>
      </c>
      <c r="B235" s="72"/>
      <c r="C235" s="72"/>
      <c r="D235" s="72"/>
      <c r="E235" s="72"/>
      <c r="F235" s="72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72" t="s">
        <v>73</v>
      </c>
      <c r="B239" s="72"/>
      <c r="C239" s="72"/>
      <c r="D239" s="72"/>
      <c r="E239" s="72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72" t="s">
        <v>74</v>
      </c>
      <c r="B244" s="72"/>
      <c r="C244" s="72"/>
      <c r="D244" s="72"/>
      <c r="E244" s="72"/>
      <c r="F244" s="72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72" t="s">
        <v>75</v>
      </c>
      <c r="B248" s="72"/>
      <c r="C248" s="72"/>
      <c r="D248" s="72"/>
      <c r="E248" s="72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72" t="s">
        <v>76</v>
      </c>
      <c r="B253" s="72"/>
      <c r="C253" s="72"/>
      <c r="D253" s="72"/>
      <c r="E253" s="72"/>
      <c r="F253" s="72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72" t="s">
        <v>77</v>
      </c>
      <c r="B257" s="72"/>
      <c r="C257" s="72"/>
      <c r="D257" s="72"/>
      <c r="E257" s="72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72" t="s">
        <v>78</v>
      </c>
      <c r="B262" s="72"/>
      <c r="C262" s="72"/>
      <c r="D262" s="72"/>
      <c r="E262" s="72"/>
      <c r="F262" s="72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72" t="s">
        <v>79</v>
      </c>
      <c r="B266" s="72"/>
      <c r="C266" s="72"/>
      <c r="D266" s="72"/>
      <c r="E266" s="72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72" t="s">
        <v>80</v>
      </c>
      <c r="B271" s="72"/>
      <c r="C271" s="72"/>
      <c r="D271" s="72"/>
      <c r="E271" s="72"/>
      <c r="F271" s="72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72" t="s">
        <v>81</v>
      </c>
      <c r="B275" s="72"/>
      <c r="C275" s="72"/>
      <c r="D275" s="72"/>
      <c r="E275" s="72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72" t="s">
        <v>82</v>
      </c>
      <c r="B280" s="72"/>
      <c r="C280" s="72"/>
      <c r="D280" s="72"/>
      <c r="E280" s="72"/>
      <c r="F280" s="72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72" t="s">
        <v>83</v>
      </c>
      <c r="B284" s="72"/>
      <c r="C284" s="72"/>
      <c r="D284" s="72"/>
      <c r="E284" s="72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72" t="s">
        <v>84</v>
      </c>
      <c r="B289" s="72"/>
      <c r="C289" s="72"/>
      <c r="D289" s="72"/>
      <c r="E289" s="72"/>
      <c r="F289" s="72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72" t="s">
        <v>85</v>
      </c>
      <c r="B293" s="72"/>
      <c r="C293" s="72"/>
      <c r="D293" s="72"/>
      <c r="E293" s="72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72" t="s">
        <v>86</v>
      </c>
      <c r="B298" s="72"/>
      <c r="C298" s="72"/>
      <c r="D298" s="72"/>
      <c r="E298" s="72"/>
      <c r="F298" s="72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72" t="s">
        <v>87</v>
      </c>
      <c r="B302" s="72"/>
      <c r="C302" s="72"/>
      <c r="D302" s="72"/>
      <c r="E302" s="72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72" t="s">
        <v>89</v>
      </c>
      <c r="B307" s="72"/>
      <c r="C307" s="72"/>
      <c r="D307" s="72"/>
      <c r="E307" s="72"/>
      <c r="F307" s="72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72" t="s">
        <v>88</v>
      </c>
      <c r="B311" s="72"/>
      <c r="C311" s="72"/>
      <c r="D311" s="72"/>
      <c r="E311" s="72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72" t="s">
        <v>90</v>
      </c>
      <c r="B316" s="72"/>
      <c r="C316" s="72"/>
      <c r="D316" s="72"/>
      <c r="E316" s="72"/>
      <c r="F316" s="72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72" t="s">
        <v>91</v>
      </c>
      <c r="B320" s="72"/>
      <c r="C320" s="72"/>
      <c r="D320" s="72"/>
      <c r="E320" s="72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72" t="s">
        <v>92</v>
      </c>
      <c r="B325" s="72"/>
      <c r="C325" s="72"/>
      <c r="D325" s="72"/>
      <c r="E325" s="72"/>
      <c r="F325" s="72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72" t="s">
        <v>93</v>
      </c>
      <c r="B329" s="72"/>
      <c r="C329" s="72"/>
      <c r="D329" s="72"/>
      <c r="E329" s="72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72" t="s">
        <v>94</v>
      </c>
      <c r="B334" s="72"/>
      <c r="C334" s="72"/>
      <c r="D334" s="72"/>
      <c r="E334" s="72"/>
      <c r="F334" s="72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72" t="s">
        <v>95</v>
      </c>
      <c r="B338" s="72"/>
      <c r="C338" s="72"/>
      <c r="D338" s="72"/>
      <c r="E338" s="72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72" t="s">
        <v>96</v>
      </c>
      <c r="B343" s="72"/>
      <c r="C343" s="72"/>
      <c r="D343" s="72"/>
      <c r="E343" s="72"/>
      <c r="F343" s="72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72" t="s">
        <v>97</v>
      </c>
      <c r="B347" s="72"/>
      <c r="C347" s="72"/>
      <c r="D347" s="72"/>
      <c r="E347" s="72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72" t="s">
        <v>98</v>
      </c>
      <c r="B352" s="72"/>
      <c r="C352" s="72"/>
      <c r="D352" s="72"/>
      <c r="E352" s="72"/>
      <c r="F352" s="72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72" t="s">
        <v>99</v>
      </c>
      <c r="B356" s="72"/>
      <c r="C356" s="72"/>
      <c r="D356" s="72"/>
      <c r="E356" s="72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72" t="s">
        <v>100</v>
      </c>
      <c r="B361" s="72"/>
      <c r="C361" s="72"/>
      <c r="D361" s="72"/>
      <c r="E361" s="72"/>
      <c r="F361" s="72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72" t="s">
        <v>99</v>
      </c>
      <c r="B365" s="72"/>
      <c r="C365" s="72"/>
      <c r="D365" s="72"/>
      <c r="E365" s="72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72" t="s">
        <v>101</v>
      </c>
      <c r="B370" s="72"/>
      <c r="C370" s="72"/>
      <c r="D370" s="72"/>
      <c r="E370" s="72"/>
      <c r="F370" s="72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72" t="s">
        <v>102</v>
      </c>
      <c r="B374" s="72"/>
      <c r="C374" s="72"/>
      <c r="D374" s="72"/>
      <c r="E374" s="72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72" t="s">
        <v>103</v>
      </c>
      <c r="B379" s="72"/>
      <c r="C379" s="72"/>
      <c r="D379" s="72"/>
      <c r="E379" s="72"/>
      <c r="F379" s="72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72" t="s">
        <v>104</v>
      </c>
      <c r="B383" s="72"/>
      <c r="C383" s="72"/>
      <c r="D383" s="72"/>
      <c r="E383" s="72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72" t="s">
        <v>105</v>
      </c>
      <c r="B388" s="72"/>
      <c r="C388" s="72"/>
      <c r="D388" s="72"/>
      <c r="E388" s="72"/>
      <c r="F388" s="72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72" t="s">
        <v>106</v>
      </c>
      <c r="B392" s="72"/>
      <c r="C392" s="72"/>
      <c r="D392" s="72"/>
      <c r="E392" s="72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72" t="s">
        <v>107</v>
      </c>
      <c r="B397" s="72"/>
      <c r="C397" s="72"/>
      <c r="D397" s="72"/>
      <c r="E397" s="72"/>
      <c r="F397" s="72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72" t="s">
        <v>108</v>
      </c>
      <c r="B401" s="72"/>
      <c r="C401" s="72"/>
      <c r="D401" s="72"/>
      <c r="E401" s="72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72" t="s">
        <v>109</v>
      </c>
      <c r="B406" s="72"/>
      <c r="C406" s="72"/>
      <c r="D406" s="72"/>
      <c r="E406" s="72"/>
      <c r="F406" s="72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72" t="s">
        <v>110</v>
      </c>
      <c r="B410" s="72"/>
      <c r="C410" s="72"/>
      <c r="D410" s="72"/>
      <c r="E410" s="72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72" t="s">
        <v>111</v>
      </c>
      <c r="B415" s="72"/>
      <c r="C415" s="72"/>
      <c r="D415" s="72"/>
      <c r="E415" s="72"/>
      <c r="F415" s="72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72" t="s">
        <v>112</v>
      </c>
      <c r="B419" s="72"/>
      <c r="C419" s="72"/>
      <c r="D419" s="72"/>
      <c r="E419" s="72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72" t="s">
        <v>113</v>
      </c>
      <c r="B424" s="72"/>
      <c r="C424" s="72"/>
      <c r="D424" s="72"/>
      <c r="E424" s="72"/>
      <c r="F424" s="72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72" t="s">
        <v>114</v>
      </c>
      <c r="B428" s="72"/>
      <c r="C428" s="72"/>
      <c r="D428" s="72"/>
      <c r="E428" s="72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72" t="s">
        <v>115</v>
      </c>
      <c r="B433" s="72"/>
      <c r="C433" s="72"/>
      <c r="D433" s="72"/>
      <c r="E433" s="72"/>
      <c r="F433" s="72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72" t="s">
        <v>116</v>
      </c>
      <c r="B437" s="72"/>
      <c r="C437" s="72"/>
      <c r="D437" s="72"/>
      <c r="E437" s="72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72" t="s">
        <v>117</v>
      </c>
      <c r="B442" s="72"/>
      <c r="C442" s="72"/>
      <c r="D442" s="72"/>
      <c r="E442" s="72"/>
      <c r="F442" s="72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72" t="s">
        <v>118</v>
      </c>
      <c r="B446" s="72"/>
      <c r="C446" s="72"/>
      <c r="D446" s="72"/>
      <c r="E446" s="72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72" t="s">
        <v>119</v>
      </c>
      <c r="B451" s="72"/>
      <c r="C451" s="72"/>
      <c r="D451" s="72"/>
      <c r="E451" s="72"/>
      <c r="F451" s="72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72" t="s">
        <v>120</v>
      </c>
      <c r="B455" s="72"/>
      <c r="C455" s="72"/>
      <c r="D455" s="72"/>
      <c r="E455" s="72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72" t="s">
        <v>121</v>
      </c>
      <c r="B460" s="72"/>
      <c r="C460" s="72"/>
      <c r="D460" s="72"/>
      <c r="E460" s="72"/>
      <c r="F460" s="72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72" t="s">
        <v>122</v>
      </c>
      <c r="B464" s="72"/>
      <c r="C464" s="72"/>
      <c r="D464" s="72"/>
      <c r="E464" s="72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72" t="s">
        <v>123</v>
      </c>
      <c r="B469" s="72"/>
      <c r="C469" s="72"/>
      <c r="D469" s="72"/>
      <c r="E469" s="72"/>
      <c r="F469" s="72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72" t="s">
        <v>124</v>
      </c>
      <c r="B473" s="72"/>
      <c r="C473" s="72"/>
      <c r="D473" s="72"/>
      <c r="E473" s="72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72" t="s">
        <v>125</v>
      </c>
      <c r="B478" s="72"/>
      <c r="C478" s="72"/>
      <c r="D478" s="72"/>
      <c r="E478" s="72"/>
      <c r="F478" s="72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72" t="s">
        <v>126</v>
      </c>
      <c r="B482" s="72"/>
      <c r="C482" s="72"/>
      <c r="D482" s="72"/>
      <c r="E482" s="72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72" t="s">
        <v>127</v>
      </c>
      <c r="B487" s="72"/>
      <c r="C487" s="72"/>
      <c r="D487" s="72"/>
      <c r="E487" s="72"/>
      <c r="F487" s="72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72" t="s">
        <v>130</v>
      </c>
      <c r="B491" s="72"/>
      <c r="C491" s="72"/>
      <c r="D491" s="72"/>
      <c r="E491" s="72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72" t="s">
        <v>128</v>
      </c>
      <c r="B496" s="72"/>
      <c r="C496" s="72"/>
      <c r="D496" s="72"/>
      <c r="E496" s="72"/>
      <c r="F496" s="72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72" t="s">
        <v>129</v>
      </c>
      <c r="B500" s="72"/>
      <c r="C500" s="72"/>
      <c r="D500" s="72"/>
      <c r="E500" s="72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72" t="s">
        <v>131</v>
      </c>
      <c r="B505" s="72"/>
      <c r="C505" s="72"/>
      <c r="D505" s="72"/>
      <c r="E505" s="72"/>
      <c r="F505" s="72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72" t="s">
        <v>133</v>
      </c>
      <c r="B509" s="72"/>
      <c r="C509" s="72"/>
      <c r="D509" s="72"/>
      <c r="E509" s="72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72" t="s">
        <v>132</v>
      </c>
      <c r="B514" s="72"/>
      <c r="C514" s="72"/>
      <c r="D514" s="72"/>
      <c r="E514" s="72"/>
      <c r="F514" s="72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72" t="s">
        <v>134</v>
      </c>
      <c r="B518" s="72"/>
      <c r="C518" s="72"/>
      <c r="D518" s="72"/>
      <c r="E518" s="72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72" t="s">
        <v>135</v>
      </c>
      <c r="B523" s="72"/>
      <c r="C523" s="72"/>
      <c r="D523" s="72"/>
      <c r="E523" s="72"/>
      <c r="F523" s="72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72" t="s">
        <v>136</v>
      </c>
      <c r="B527" s="72"/>
      <c r="C527" s="72"/>
      <c r="D527" s="72"/>
      <c r="E527" s="72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72" t="s">
        <v>137</v>
      </c>
      <c r="B534" s="72"/>
      <c r="C534" s="72"/>
      <c r="D534" s="72"/>
      <c r="E534" s="72"/>
      <c r="F534" s="72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72" t="s">
        <v>138</v>
      </c>
      <c r="B538" s="72"/>
      <c r="C538" s="72"/>
      <c r="D538" s="72"/>
      <c r="E538" s="72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72" t="s">
        <v>139</v>
      </c>
      <c r="B545" s="72"/>
      <c r="C545" s="72"/>
      <c r="D545" s="72"/>
      <c r="E545" s="72"/>
      <c r="F545" s="72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72" t="s">
        <v>140</v>
      </c>
      <c r="B549" s="72"/>
      <c r="C549" s="72"/>
      <c r="D549" s="72"/>
      <c r="E549" s="72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72" t="s">
        <v>141</v>
      </c>
      <c r="B556" s="72"/>
      <c r="C556" s="72"/>
      <c r="D556" s="72"/>
      <c r="E556" s="72"/>
      <c r="F556" s="72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72" t="s">
        <v>142</v>
      </c>
      <c r="B560" s="72"/>
      <c r="C560" s="72"/>
      <c r="D560" s="72"/>
      <c r="E560" s="72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72" t="s">
        <v>143</v>
      </c>
      <c r="B566" s="72"/>
      <c r="C566" s="72"/>
      <c r="D566" s="72"/>
      <c r="E566" s="72"/>
      <c r="F566" s="72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72" t="s">
        <v>144</v>
      </c>
      <c r="B570" s="72"/>
      <c r="C570" s="72"/>
      <c r="D570" s="72"/>
      <c r="E570" s="72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72" t="s">
        <v>145</v>
      </c>
      <c r="B576" s="72"/>
      <c r="C576" s="72"/>
      <c r="D576" s="72"/>
      <c r="E576" s="72"/>
      <c r="F576" s="72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72" t="s">
        <v>146</v>
      </c>
      <c r="B580" s="72"/>
      <c r="C580" s="72"/>
      <c r="D580" s="72"/>
      <c r="E580" s="72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72" t="s">
        <v>147</v>
      </c>
      <c r="B586" s="72"/>
      <c r="C586" s="72"/>
      <c r="D586" s="72"/>
      <c r="E586" s="72"/>
      <c r="F586" s="72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72" t="s">
        <v>148</v>
      </c>
      <c r="B590" s="72"/>
      <c r="C590" s="72"/>
      <c r="D590" s="72"/>
      <c r="E590" s="72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72" t="s">
        <v>149</v>
      </c>
      <c r="B596" s="72"/>
      <c r="C596" s="72"/>
      <c r="D596" s="72"/>
      <c r="E596" s="72"/>
      <c r="F596" s="72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72" t="s">
        <v>150</v>
      </c>
      <c r="B600" s="72"/>
      <c r="C600" s="72"/>
      <c r="D600" s="72"/>
      <c r="E600" s="72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72" t="s">
        <v>151</v>
      </c>
      <c r="B606" s="72"/>
      <c r="C606" s="72"/>
      <c r="D606" s="72"/>
      <c r="E606" s="72"/>
      <c r="F606" s="72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72" t="s">
        <v>152</v>
      </c>
      <c r="B610" s="72"/>
      <c r="C610" s="72"/>
      <c r="D610" s="72"/>
      <c r="E610" s="72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72" t="s">
        <v>153</v>
      </c>
      <c r="B616" s="72"/>
      <c r="C616" s="72"/>
      <c r="D616" s="72"/>
      <c r="E616" s="72"/>
      <c r="F616" s="72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72" t="s">
        <v>154</v>
      </c>
      <c r="B620" s="72"/>
      <c r="C620" s="72"/>
      <c r="D620" s="72"/>
      <c r="E620" s="72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72" t="s">
        <v>155</v>
      </c>
      <c r="B626" s="72"/>
      <c r="C626" s="72"/>
      <c r="D626" s="72"/>
      <c r="E626" s="72"/>
      <c r="F626" s="72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72" t="s">
        <v>156</v>
      </c>
      <c r="B630" s="72"/>
      <c r="C630" s="72"/>
      <c r="D630" s="72"/>
      <c r="E630" s="72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72" t="s">
        <v>157</v>
      </c>
      <c r="B636" s="72"/>
      <c r="C636" s="72"/>
      <c r="D636" s="72"/>
      <c r="E636" s="72"/>
      <c r="F636" s="72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72" t="s">
        <v>158</v>
      </c>
      <c r="B640" s="72"/>
      <c r="C640" s="72"/>
      <c r="D640" s="72"/>
      <c r="E640" s="72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72" t="s">
        <v>159</v>
      </c>
      <c r="B646" s="72"/>
      <c r="C646" s="72"/>
      <c r="D646" s="72"/>
      <c r="E646" s="72"/>
      <c r="F646" s="72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72" t="s">
        <v>160</v>
      </c>
      <c r="B650" s="72"/>
      <c r="C650" s="72"/>
      <c r="D650" s="72"/>
      <c r="E650" s="72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72" t="s">
        <v>161</v>
      </c>
      <c r="B656" s="72"/>
      <c r="C656" s="72"/>
      <c r="D656" s="72"/>
      <c r="E656" s="72"/>
      <c r="F656" s="72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72" t="s">
        <v>162</v>
      </c>
      <c r="B660" s="72"/>
      <c r="C660" s="72"/>
      <c r="D660" s="72"/>
      <c r="E660" s="72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72" t="s">
        <v>163</v>
      </c>
      <c r="B666" s="72"/>
      <c r="C666" s="72"/>
      <c r="D666" s="72"/>
      <c r="E666" s="72"/>
      <c r="F666" s="72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72" t="s">
        <v>164</v>
      </c>
      <c r="B670" s="72"/>
      <c r="C670" s="72"/>
      <c r="D670" s="72"/>
      <c r="E670" s="72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72" t="s">
        <v>165</v>
      </c>
      <c r="B676" s="72"/>
      <c r="C676" s="72"/>
      <c r="D676" s="72"/>
      <c r="E676" s="72"/>
      <c r="F676" s="72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72" t="s">
        <v>166</v>
      </c>
      <c r="B680" s="72"/>
      <c r="C680" s="72"/>
      <c r="D680" s="72"/>
      <c r="E680" s="72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72" t="s">
        <v>167</v>
      </c>
      <c r="B686" s="72"/>
      <c r="C686" s="72"/>
      <c r="D686" s="72"/>
      <c r="E686" s="72"/>
      <c r="F686" s="72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72" t="s">
        <v>168</v>
      </c>
      <c r="B690" s="72"/>
      <c r="C690" s="72"/>
      <c r="D690" s="72"/>
      <c r="E690" s="72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72" t="s">
        <v>169</v>
      </c>
      <c r="B696" s="72"/>
      <c r="C696" s="72"/>
      <c r="D696" s="72"/>
      <c r="E696" s="72"/>
      <c r="F696" s="72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72" t="s">
        <v>170</v>
      </c>
      <c r="B700" s="72"/>
      <c r="C700" s="72"/>
      <c r="D700" s="72"/>
      <c r="E700" s="72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72" t="s">
        <v>171</v>
      </c>
      <c r="B706" s="72"/>
      <c r="C706" s="72"/>
      <c r="D706" s="72"/>
      <c r="E706" s="72"/>
      <c r="F706" s="72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72" t="s">
        <v>172</v>
      </c>
      <c r="B710" s="72"/>
      <c r="C710" s="72"/>
      <c r="D710" s="72"/>
      <c r="E710" s="72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72" t="s">
        <v>173</v>
      </c>
      <c r="B716" s="72"/>
      <c r="C716" s="72"/>
      <c r="D716" s="72"/>
      <c r="E716" s="72"/>
      <c r="F716" s="72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72" t="s">
        <v>172</v>
      </c>
      <c r="B720" s="72"/>
      <c r="C720" s="72"/>
      <c r="D720" s="72"/>
      <c r="E720" s="72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72" t="s">
        <v>174</v>
      </c>
      <c r="B726" s="72"/>
      <c r="C726" s="72"/>
      <c r="D726" s="72"/>
      <c r="E726" s="72"/>
      <c r="F726" s="72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72" t="s">
        <v>175</v>
      </c>
      <c r="B730" s="72"/>
      <c r="C730" s="72"/>
      <c r="D730" s="72"/>
      <c r="E730" s="72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72" t="s">
        <v>176</v>
      </c>
      <c r="B736" s="72"/>
      <c r="C736" s="72"/>
      <c r="D736" s="72"/>
      <c r="E736" s="72"/>
      <c r="F736" s="72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72" t="s">
        <v>177</v>
      </c>
      <c r="B740" s="72"/>
      <c r="C740" s="72"/>
      <c r="D740" s="72"/>
      <c r="E740" s="72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72" t="s">
        <v>178</v>
      </c>
      <c r="B748" s="72"/>
      <c r="C748" s="72"/>
      <c r="D748" s="72"/>
      <c r="E748" s="72"/>
      <c r="F748" s="72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72" t="s">
        <v>179</v>
      </c>
      <c r="B752" s="72"/>
      <c r="C752" s="72"/>
      <c r="D752" s="72"/>
      <c r="E752" s="72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72" t="s">
        <v>180</v>
      </c>
      <c r="B759" s="72"/>
      <c r="C759" s="72"/>
      <c r="D759" s="72"/>
      <c r="E759" s="72"/>
      <c r="F759" s="72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72" t="s">
        <v>181</v>
      </c>
      <c r="B763" s="72"/>
      <c r="C763" s="72"/>
      <c r="D763" s="72"/>
      <c r="E763" s="72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72" t="s">
        <v>182</v>
      </c>
      <c r="B770" s="72"/>
      <c r="C770" s="72"/>
      <c r="D770" s="72"/>
      <c r="E770" s="72"/>
      <c r="F770" s="72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72" t="s">
        <v>183</v>
      </c>
      <c r="B774" s="72"/>
      <c r="C774" s="72"/>
      <c r="D774" s="72"/>
      <c r="E774" s="72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72" t="s">
        <v>184</v>
      </c>
      <c r="B781" s="72"/>
      <c r="C781" s="72"/>
      <c r="D781" s="72"/>
      <c r="E781" s="72"/>
      <c r="F781" s="72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72" t="s">
        <v>185</v>
      </c>
      <c r="B785" s="72"/>
      <c r="C785" s="72"/>
      <c r="D785" s="72"/>
      <c r="E785" s="72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72" t="s">
        <v>186</v>
      </c>
      <c r="B792" s="72"/>
      <c r="C792" s="72"/>
      <c r="D792" s="72"/>
      <c r="E792" s="72"/>
      <c r="F792" s="72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72" t="s">
        <v>187</v>
      </c>
      <c r="B796" s="72"/>
      <c r="C796" s="72"/>
      <c r="D796" s="72"/>
      <c r="E796" s="72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72" t="s">
        <v>188</v>
      </c>
      <c r="B803" s="72"/>
      <c r="C803" s="72"/>
      <c r="D803" s="72"/>
      <c r="E803" s="72"/>
      <c r="F803" s="72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72" t="s">
        <v>187</v>
      </c>
      <c r="B807" s="72"/>
      <c r="C807" s="72"/>
      <c r="D807" s="72"/>
      <c r="E807" s="72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72" t="s">
        <v>189</v>
      </c>
      <c r="B814" s="72"/>
      <c r="C814" s="72"/>
      <c r="D814" s="72"/>
      <c r="E814" s="72"/>
      <c r="F814" s="72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72" t="s">
        <v>190</v>
      </c>
      <c r="B818" s="72"/>
      <c r="C818" s="72"/>
      <c r="D818" s="72"/>
      <c r="E818" s="72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72" t="s">
        <v>191</v>
      </c>
      <c r="B825" s="72"/>
      <c r="C825" s="72"/>
      <c r="D825" s="72"/>
      <c r="E825" s="72"/>
      <c r="F825" s="72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72" t="s">
        <v>192</v>
      </c>
      <c r="B829" s="72"/>
      <c r="C829" s="72"/>
      <c r="D829" s="72"/>
      <c r="E829" s="72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72" t="s">
        <v>193</v>
      </c>
      <c r="B836" s="72"/>
      <c r="C836" s="72"/>
      <c r="D836" s="72"/>
      <c r="E836" s="72"/>
      <c r="F836" s="72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72" t="s">
        <v>194</v>
      </c>
      <c r="B840" s="72"/>
      <c r="C840" s="72"/>
      <c r="D840" s="72"/>
      <c r="E840" s="72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72" t="s">
        <v>195</v>
      </c>
      <c r="B847" s="72"/>
      <c r="C847" s="72"/>
      <c r="D847" s="72"/>
      <c r="E847" s="72"/>
      <c r="F847" s="72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72" t="s">
        <v>194</v>
      </c>
      <c r="B851" s="72"/>
      <c r="C851" s="72"/>
      <c r="D851" s="72"/>
      <c r="E851" s="72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72" t="s">
        <v>196</v>
      </c>
      <c r="B858" s="72"/>
      <c r="C858" s="72"/>
      <c r="D858" s="72"/>
      <c r="E858" s="72"/>
      <c r="F858" s="72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72" t="s">
        <v>197</v>
      </c>
      <c r="B862" s="72"/>
      <c r="C862" s="72"/>
      <c r="D862" s="72"/>
      <c r="E862" s="72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72" t="s">
        <v>199</v>
      </c>
      <c r="B869" s="72"/>
      <c r="C869" s="72"/>
      <c r="D869" s="72"/>
      <c r="E869" s="72"/>
      <c r="F869" s="72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72" t="s">
        <v>198</v>
      </c>
      <c r="B873" s="72"/>
      <c r="C873" s="72"/>
      <c r="D873" s="72"/>
      <c r="E873" s="72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72" t="s">
        <v>200</v>
      </c>
      <c r="B880" s="72"/>
      <c r="C880" s="72"/>
      <c r="D880" s="72"/>
      <c r="E880" s="72"/>
      <c r="F880" s="72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72" t="s">
        <v>201</v>
      </c>
      <c r="B884" s="72"/>
      <c r="C884" s="72"/>
      <c r="D884" s="72"/>
      <c r="E884" s="72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72" t="s">
        <v>202</v>
      </c>
      <c r="B891" s="72"/>
      <c r="C891" s="72"/>
      <c r="D891" s="72"/>
      <c r="E891" s="72"/>
      <c r="F891" s="72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72" t="s">
        <v>203</v>
      </c>
      <c r="B895" s="72"/>
      <c r="C895" s="72"/>
      <c r="D895" s="72"/>
      <c r="E895" s="72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72" t="s">
        <v>204</v>
      </c>
      <c r="B902" s="72"/>
      <c r="C902" s="72"/>
      <c r="D902" s="72"/>
      <c r="E902" s="72"/>
      <c r="F902" s="72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72" t="s">
        <v>205</v>
      </c>
      <c r="B906" s="72"/>
      <c r="C906" s="72"/>
      <c r="D906" s="72"/>
      <c r="E906" s="72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72" t="s">
        <v>206</v>
      </c>
      <c r="B913" s="72"/>
      <c r="C913" s="72"/>
      <c r="D913" s="72"/>
      <c r="E913" s="72"/>
      <c r="F913" s="72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72" t="s">
        <v>207</v>
      </c>
      <c r="B917" s="72"/>
      <c r="C917" s="72"/>
      <c r="D917" s="72"/>
      <c r="E917" s="72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72" t="s">
        <v>208</v>
      </c>
      <c r="B925" s="72"/>
      <c r="C925" s="72"/>
      <c r="D925" s="72"/>
      <c r="E925" s="72"/>
      <c r="F925" s="72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72" t="s">
        <v>209</v>
      </c>
      <c r="B929" s="72"/>
      <c r="C929" s="72"/>
      <c r="D929" s="72"/>
      <c r="E929" s="72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72" t="s">
        <v>210</v>
      </c>
      <c r="B936" s="72"/>
      <c r="C936" s="72"/>
      <c r="D936" s="72"/>
      <c r="E936" s="72"/>
      <c r="F936" s="72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72" t="s">
        <v>211</v>
      </c>
      <c r="B940" s="72"/>
      <c r="C940" s="72"/>
      <c r="D940" s="72"/>
      <c r="E940" s="72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72" t="s">
        <v>212</v>
      </c>
      <c r="B947" s="72"/>
      <c r="C947" s="72"/>
      <c r="D947" s="72"/>
      <c r="E947" s="72"/>
      <c r="F947" s="72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72" t="s">
        <v>213</v>
      </c>
      <c r="B951" s="72"/>
      <c r="C951" s="72"/>
      <c r="D951" s="72"/>
      <c r="E951" s="72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72" t="s">
        <v>214</v>
      </c>
      <c r="B959" s="72"/>
      <c r="C959" s="72"/>
      <c r="D959" s="72"/>
      <c r="E959" s="72"/>
      <c r="F959" s="72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72" t="s">
        <v>215</v>
      </c>
      <c r="B963" s="72"/>
      <c r="C963" s="72"/>
      <c r="D963" s="72"/>
      <c r="E963" s="72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72" t="s">
        <v>216</v>
      </c>
      <c r="B970" s="72"/>
      <c r="C970" s="72"/>
      <c r="D970" s="72"/>
      <c r="E970" s="72"/>
      <c r="F970" s="72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72" t="s">
        <v>217</v>
      </c>
      <c r="B974" s="72"/>
      <c r="C974" s="72"/>
      <c r="D974" s="72"/>
      <c r="E974" s="72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72" t="s">
        <v>218</v>
      </c>
      <c r="B982" s="72"/>
      <c r="C982" s="72"/>
      <c r="D982" s="72"/>
      <c r="E982" s="72"/>
      <c r="F982" s="72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72" t="s">
        <v>219</v>
      </c>
      <c r="B986" s="72"/>
      <c r="C986" s="72"/>
      <c r="D986" s="72"/>
      <c r="E986" s="72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72" t="s">
        <v>220</v>
      </c>
      <c r="B994" s="72"/>
      <c r="C994" s="72"/>
      <c r="D994" s="72"/>
      <c r="E994" s="72"/>
      <c r="F994" s="72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72" t="s">
        <v>221</v>
      </c>
      <c r="B998" s="72"/>
      <c r="C998" s="72"/>
      <c r="D998" s="72"/>
      <c r="E998" s="72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72" t="s">
        <v>222</v>
      </c>
      <c r="B1006" s="72"/>
      <c r="C1006" s="72"/>
      <c r="D1006" s="72"/>
      <c r="E1006" s="72"/>
      <c r="F1006" s="72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72" t="s">
        <v>223</v>
      </c>
      <c r="B1010" s="72"/>
      <c r="C1010" s="72"/>
      <c r="D1010" s="72"/>
      <c r="E1010" s="72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72" t="s">
        <v>224</v>
      </c>
      <c r="B1017" s="72"/>
      <c r="C1017" s="72"/>
      <c r="D1017" s="72"/>
      <c r="E1017" s="72"/>
      <c r="F1017" s="72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72" t="s">
        <v>225</v>
      </c>
      <c r="B1021" s="72"/>
      <c r="C1021" s="72"/>
      <c r="D1021" s="72"/>
      <c r="E1021" s="72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72" t="s">
        <v>226</v>
      </c>
      <c r="B1028" s="72"/>
      <c r="C1028" s="72"/>
      <c r="D1028" s="72"/>
      <c r="E1028" s="72"/>
      <c r="F1028" s="72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72" t="s">
        <v>227</v>
      </c>
      <c r="B1032" s="72"/>
      <c r="C1032" s="72"/>
      <c r="D1032" s="72"/>
      <c r="E1032" s="72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72" t="s">
        <v>228</v>
      </c>
      <c r="B1040" s="72"/>
      <c r="C1040" s="72"/>
      <c r="D1040" s="72"/>
      <c r="E1040" s="72"/>
      <c r="F1040" s="72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72" t="s">
        <v>229</v>
      </c>
      <c r="B1044" s="72"/>
      <c r="C1044" s="72"/>
      <c r="D1044" s="72"/>
      <c r="E1044" s="72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72" t="s">
        <v>230</v>
      </c>
      <c r="B1052" s="72"/>
      <c r="C1052" s="72"/>
      <c r="D1052" s="72"/>
      <c r="E1052" s="72"/>
      <c r="F1052" s="72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72" t="s">
        <v>231</v>
      </c>
      <c r="B1056" s="72"/>
      <c r="C1056" s="72"/>
      <c r="D1056" s="72"/>
      <c r="E1056" s="72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72" t="s">
        <v>232</v>
      </c>
      <c r="B1063" s="72"/>
      <c r="C1063" s="72"/>
      <c r="D1063" s="72"/>
      <c r="E1063" s="72"/>
      <c r="F1063" s="72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72" t="s">
        <v>233</v>
      </c>
      <c r="B1067" s="72"/>
      <c r="C1067" s="72"/>
      <c r="D1067" s="72"/>
      <c r="E1067" s="72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72" t="s">
        <v>234</v>
      </c>
      <c r="B1075" s="72"/>
      <c r="C1075" s="72"/>
      <c r="D1075" s="72"/>
      <c r="E1075" s="72"/>
      <c r="F1075" s="72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72" t="s">
        <v>235</v>
      </c>
      <c r="B1079" s="72"/>
      <c r="C1079" s="72"/>
      <c r="D1079" s="72"/>
      <c r="E1079" s="72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72" t="s">
        <v>236</v>
      </c>
      <c r="B1087" s="72"/>
      <c r="C1087" s="72"/>
      <c r="D1087" s="72"/>
      <c r="E1087" s="72"/>
      <c r="F1087" s="72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72" t="s">
        <v>237</v>
      </c>
      <c r="B1091" s="72"/>
      <c r="C1091" s="72"/>
      <c r="D1091" s="72"/>
      <c r="E1091" s="72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72" t="s">
        <v>238</v>
      </c>
      <c r="B1099" s="72"/>
      <c r="C1099" s="72"/>
      <c r="D1099" s="72"/>
      <c r="E1099" s="72"/>
      <c r="F1099" s="72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72" t="s">
        <v>239</v>
      </c>
      <c r="B1103" s="72"/>
      <c r="C1103" s="72"/>
      <c r="D1103" s="72"/>
      <c r="E1103" s="72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72" t="s">
        <v>240</v>
      </c>
      <c r="B1110" s="72"/>
      <c r="C1110" s="72"/>
      <c r="D1110" s="72"/>
      <c r="E1110" s="72"/>
      <c r="F1110" s="72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72" t="s">
        <v>241</v>
      </c>
      <c r="B1114" s="72"/>
      <c r="C1114" s="72"/>
      <c r="D1114" s="72"/>
      <c r="E1114" s="72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72" t="s">
        <v>242</v>
      </c>
      <c r="B1121" s="72"/>
      <c r="C1121" s="72"/>
      <c r="D1121" s="72"/>
      <c r="E1121" s="72"/>
      <c r="F1121" s="72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72" t="s">
        <v>243</v>
      </c>
      <c r="B1125" s="72"/>
      <c r="C1125" s="72"/>
      <c r="D1125" s="72"/>
      <c r="E1125" s="72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72" t="s">
        <v>244</v>
      </c>
      <c r="B1133" s="72"/>
      <c r="C1133" s="72"/>
      <c r="D1133" s="72"/>
      <c r="E1133" s="72"/>
      <c r="F1133" s="72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72" t="s">
        <v>245</v>
      </c>
      <c r="B1137" s="72"/>
      <c r="C1137" s="72"/>
      <c r="D1137" s="72"/>
      <c r="E1137" s="72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72" t="s">
        <v>246</v>
      </c>
      <c r="B1145" s="72"/>
      <c r="C1145" s="72"/>
      <c r="D1145" s="72"/>
      <c r="E1145" s="72"/>
      <c r="F1145" s="72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72" t="s">
        <v>247</v>
      </c>
      <c r="B1149" s="72"/>
      <c r="C1149" s="72"/>
      <c r="D1149" s="72"/>
      <c r="E1149" s="72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72" t="s">
        <v>248</v>
      </c>
      <c r="B1156" s="72"/>
      <c r="C1156" s="72"/>
      <c r="D1156" s="72"/>
      <c r="E1156" s="72"/>
      <c r="F1156" s="72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72" t="s">
        <v>249</v>
      </c>
      <c r="B1160" s="72"/>
      <c r="C1160" s="72"/>
      <c r="D1160" s="72"/>
      <c r="E1160" s="72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72" t="s">
        <v>250</v>
      </c>
      <c r="B1168" s="72"/>
      <c r="C1168" s="72"/>
      <c r="D1168" s="72"/>
      <c r="E1168" s="72"/>
      <c r="F1168" s="72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72" t="s">
        <v>251</v>
      </c>
      <c r="B1172" s="72"/>
      <c r="C1172" s="72"/>
      <c r="D1172" s="72"/>
      <c r="E1172" s="72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72" t="s">
        <v>252</v>
      </c>
      <c r="B1180" s="72"/>
      <c r="C1180" s="72"/>
      <c r="D1180" s="72"/>
      <c r="E1180" s="72"/>
      <c r="F1180" s="72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72" t="s">
        <v>253</v>
      </c>
      <c r="B1184" s="72"/>
      <c r="C1184" s="72"/>
      <c r="D1184" s="72"/>
      <c r="E1184" s="72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72" t="s">
        <v>254</v>
      </c>
      <c r="B1192" s="72"/>
      <c r="C1192" s="72"/>
      <c r="D1192" s="72"/>
      <c r="E1192" s="72"/>
      <c r="F1192" s="72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72" t="s">
        <v>255</v>
      </c>
      <c r="B1196" s="72"/>
      <c r="C1196" s="72"/>
      <c r="D1196" s="72"/>
      <c r="E1196" s="72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72" t="s">
        <v>256</v>
      </c>
      <c r="B1203" s="72"/>
      <c r="C1203" s="72"/>
      <c r="D1203" s="72"/>
      <c r="E1203" s="72"/>
      <c r="F1203" s="72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72" t="s">
        <v>257</v>
      </c>
      <c r="B1207" s="72"/>
      <c r="C1207" s="72"/>
      <c r="D1207" s="72"/>
      <c r="E1207" s="72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72" t="s">
        <v>258</v>
      </c>
      <c r="B1215" s="72"/>
      <c r="C1215" s="72"/>
      <c r="D1215" s="72"/>
      <c r="E1215" s="72"/>
      <c r="F1215" s="72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72" t="s">
        <v>257</v>
      </c>
      <c r="B1219" s="72"/>
      <c r="C1219" s="72"/>
      <c r="D1219" s="72"/>
      <c r="E1219" s="72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72" t="s">
        <v>259</v>
      </c>
      <c r="B1227" s="72"/>
      <c r="C1227" s="72"/>
      <c r="D1227" s="72"/>
      <c r="E1227" s="72"/>
      <c r="F1227" s="72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72" t="s">
        <v>260</v>
      </c>
      <c r="B1231" s="72"/>
      <c r="C1231" s="72"/>
      <c r="D1231" s="72"/>
      <c r="E1231" s="72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72" t="s">
        <v>261</v>
      </c>
      <c r="B1238" s="72"/>
      <c r="C1238" s="72"/>
      <c r="D1238" s="72"/>
      <c r="E1238" s="72"/>
      <c r="F1238" s="72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72" t="s">
        <v>262</v>
      </c>
      <c r="B1242" s="72"/>
      <c r="C1242" s="72"/>
      <c r="D1242" s="72"/>
      <c r="E1242" s="72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72" t="s">
        <v>263</v>
      </c>
      <c r="B1250" s="72"/>
      <c r="C1250" s="72"/>
      <c r="D1250" s="72"/>
      <c r="E1250" s="72"/>
      <c r="F1250" s="72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72" t="s">
        <v>264</v>
      </c>
      <c r="B1254" s="72"/>
      <c r="C1254" s="72"/>
      <c r="D1254" s="72"/>
      <c r="E1254" s="72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72" t="s">
        <v>265</v>
      </c>
      <c r="B1262" s="72"/>
      <c r="C1262" s="72"/>
      <c r="D1262" s="72"/>
      <c r="E1262" s="72"/>
      <c r="F1262" s="72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72" t="s">
        <v>266</v>
      </c>
      <c r="B1266" s="72"/>
      <c r="C1266" s="72"/>
      <c r="D1266" s="72"/>
      <c r="E1266" s="72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72" t="s">
        <v>267</v>
      </c>
      <c r="B1274" s="72"/>
      <c r="C1274" s="72"/>
      <c r="D1274" s="72"/>
      <c r="E1274" s="72"/>
      <c r="F1274" s="72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72" t="s">
        <v>268</v>
      </c>
      <c r="B1278" s="72"/>
      <c r="C1278" s="72"/>
      <c r="D1278" s="72"/>
      <c r="E1278" s="72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72" t="s">
        <v>269</v>
      </c>
      <c r="B1286" s="72"/>
      <c r="C1286" s="72"/>
      <c r="D1286" s="72"/>
      <c r="E1286" s="72"/>
      <c r="F1286" s="72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72" t="s">
        <v>270</v>
      </c>
      <c r="B1290" s="72"/>
      <c r="C1290" s="72"/>
      <c r="D1290" s="72"/>
      <c r="E1290" s="72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72" t="s">
        <v>271</v>
      </c>
      <c r="B1298" s="72"/>
      <c r="C1298" s="72"/>
      <c r="D1298" s="72"/>
      <c r="E1298" s="72"/>
      <c r="F1298" s="72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72" t="s">
        <v>272</v>
      </c>
      <c r="B1302" s="72"/>
      <c r="C1302" s="72"/>
      <c r="D1302" s="72"/>
      <c r="E1302" s="72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72" t="s">
        <v>273</v>
      </c>
      <c r="B1310" s="72"/>
      <c r="C1310" s="72"/>
      <c r="D1310" s="72"/>
      <c r="E1310" s="72"/>
      <c r="F1310" s="72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72" t="s">
        <v>274</v>
      </c>
      <c r="B1314" s="72"/>
      <c r="C1314" s="72"/>
      <c r="D1314" s="72"/>
      <c r="E1314" s="72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72" t="s">
        <v>275</v>
      </c>
      <c r="B1322" s="72"/>
      <c r="C1322" s="72"/>
      <c r="D1322" s="72"/>
      <c r="E1322" s="72"/>
      <c r="F1322" s="72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72" t="s">
        <v>276</v>
      </c>
      <c r="B1326" s="72"/>
      <c r="C1326" s="72"/>
      <c r="D1326" s="72"/>
      <c r="E1326" s="72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72" t="s">
        <v>277</v>
      </c>
      <c r="B1334" s="72"/>
      <c r="C1334" s="72"/>
      <c r="D1334" s="72"/>
      <c r="E1334" s="72"/>
      <c r="F1334" s="72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72" t="s">
        <v>278</v>
      </c>
      <c r="B1338" s="72"/>
      <c r="C1338" s="72"/>
      <c r="D1338" s="72"/>
      <c r="E1338" s="72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72" t="s">
        <v>279</v>
      </c>
      <c r="B1346" s="72"/>
      <c r="C1346" s="72"/>
      <c r="D1346" s="72"/>
      <c r="E1346" s="72"/>
      <c r="F1346" s="72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72" t="s">
        <v>280</v>
      </c>
      <c r="B1350" s="72"/>
      <c r="C1350" s="72"/>
      <c r="D1350" s="72"/>
      <c r="E1350" s="72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72" t="s">
        <v>281</v>
      </c>
      <c r="B1358" s="72"/>
      <c r="C1358" s="72"/>
      <c r="D1358" s="72"/>
      <c r="E1358" s="72"/>
      <c r="F1358" s="72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72" t="s">
        <v>282</v>
      </c>
      <c r="B1362" s="72"/>
      <c r="C1362" s="72"/>
      <c r="D1362" s="72"/>
      <c r="E1362" s="72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72" t="s">
        <v>283</v>
      </c>
      <c r="B1370" s="72"/>
      <c r="C1370" s="72"/>
      <c r="D1370" s="72"/>
      <c r="E1370" s="72"/>
      <c r="F1370" s="72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72" t="s">
        <v>284</v>
      </c>
      <c r="B1374" s="72"/>
      <c r="C1374" s="72"/>
      <c r="D1374" s="72"/>
      <c r="E1374" s="72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72" t="s">
        <v>285</v>
      </c>
      <c r="B1382" s="72"/>
      <c r="C1382" s="72"/>
      <c r="D1382" s="72"/>
      <c r="E1382" s="72"/>
      <c r="F1382" s="72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72" t="s">
        <v>286</v>
      </c>
      <c r="B1386" s="72"/>
      <c r="C1386" s="72"/>
      <c r="D1386" s="72"/>
      <c r="E1386" s="72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72" t="s">
        <v>287</v>
      </c>
      <c r="B1395" s="72"/>
      <c r="C1395" s="72"/>
      <c r="D1395" s="72"/>
      <c r="E1395" s="72"/>
      <c r="F1395" s="72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72" t="s">
        <v>288</v>
      </c>
      <c r="B1399" s="72"/>
      <c r="C1399" s="72"/>
      <c r="D1399" s="72"/>
      <c r="E1399" s="72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72" t="s">
        <v>289</v>
      </c>
      <c r="B1407" s="72"/>
      <c r="C1407" s="72"/>
      <c r="D1407" s="72"/>
      <c r="E1407" s="72"/>
      <c r="F1407" s="72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72" t="s">
        <v>290</v>
      </c>
      <c r="B1411" s="72"/>
      <c r="C1411" s="72"/>
      <c r="D1411" s="72"/>
      <c r="E1411" s="72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72" t="s">
        <v>291</v>
      </c>
      <c r="B1419" s="72"/>
      <c r="C1419" s="72"/>
      <c r="D1419" s="72"/>
      <c r="E1419" s="72"/>
      <c r="F1419" s="72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72" t="s">
        <v>292</v>
      </c>
      <c r="B1423" s="72"/>
      <c r="C1423" s="72"/>
      <c r="D1423" s="72"/>
      <c r="E1423" s="72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72" t="s">
        <v>293</v>
      </c>
      <c r="B1431" s="72"/>
      <c r="C1431" s="72"/>
      <c r="D1431" s="72"/>
      <c r="E1431" s="72"/>
      <c r="F1431" s="72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72" t="s">
        <v>294</v>
      </c>
      <c r="B1435" s="72"/>
      <c r="C1435" s="72"/>
      <c r="D1435" s="72"/>
      <c r="E1435" s="72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25">
      <c r="A1442" s="6"/>
      <c r="B1442" s="6"/>
      <c r="C1442" s="6"/>
      <c r="D1442" s="6"/>
      <c r="E1442" s="6"/>
      <c r="F1442" s="6"/>
    </row>
    <row r="1443" spans="1:6" x14ac:dyDescent="0.25">
      <c r="A1443" s="72" t="s">
        <v>295</v>
      </c>
      <c r="B1443" s="72"/>
      <c r="C1443" s="72"/>
      <c r="D1443" s="72"/>
      <c r="E1443" s="72"/>
      <c r="F1443" s="72"/>
    </row>
    <row r="1444" spans="1:6" x14ac:dyDescent="0.25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4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4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25">
      <c r="A1447" s="72" t="s">
        <v>296</v>
      </c>
      <c r="B1447" s="72"/>
      <c r="C1447" s="72"/>
      <c r="D1447" s="72"/>
      <c r="E1447" s="72"/>
      <c r="F1447" s="50"/>
    </row>
    <row r="1448" spans="1:6" x14ac:dyDescent="0.25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4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4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25">
      <c r="A1455" s="6"/>
      <c r="B1455" s="6"/>
      <c r="C1455" s="6"/>
      <c r="D1455" s="6"/>
      <c r="E1455" s="6"/>
      <c r="F1455" s="6"/>
    </row>
    <row r="1456" spans="1:6" x14ac:dyDescent="0.25">
      <c r="A1456" s="72" t="s">
        <v>297</v>
      </c>
      <c r="B1456" s="72"/>
      <c r="C1456" s="72"/>
      <c r="D1456" s="72"/>
      <c r="E1456" s="72"/>
      <c r="F1456" s="72"/>
    </row>
    <row r="1457" spans="1:6" x14ac:dyDescent="0.25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4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4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25">
      <c r="A1460" s="72" t="s">
        <v>298</v>
      </c>
      <c r="B1460" s="72"/>
      <c r="C1460" s="72"/>
      <c r="D1460" s="72"/>
      <c r="E1460" s="72"/>
      <c r="F1460" s="50"/>
    </row>
    <row r="1461" spans="1:6" x14ac:dyDescent="0.25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4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4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25">
      <c r="A1467" s="6"/>
      <c r="B1467" s="6"/>
      <c r="C1467" s="6"/>
      <c r="D1467" s="6"/>
      <c r="E1467" s="6"/>
      <c r="F1467" s="6"/>
    </row>
    <row r="1468" spans="1:6" x14ac:dyDescent="0.25">
      <c r="A1468" s="72" t="s">
        <v>299</v>
      </c>
      <c r="B1468" s="72"/>
      <c r="C1468" s="72"/>
      <c r="D1468" s="72"/>
      <c r="E1468" s="72"/>
      <c r="F1468" s="72"/>
    </row>
    <row r="1469" spans="1:6" x14ac:dyDescent="0.25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4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4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25">
      <c r="A1472" s="72" t="s">
        <v>300</v>
      </c>
      <c r="B1472" s="72"/>
      <c r="C1472" s="72"/>
      <c r="D1472" s="72"/>
      <c r="E1472" s="72"/>
      <c r="F1472" s="50"/>
    </row>
    <row r="1473" spans="1:6" x14ac:dyDescent="0.25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4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4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25">
      <c r="A1479" s="6"/>
      <c r="B1479" s="6"/>
      <c r="C1479" s="6"/>
      <c r="D1479" s="6"/>
      <c r="E1479" s="6"/>
      <c r="F1479" s="6"/>
    </row>
    <row r="1480" spans="1:6" x14ac:dyDescent="0.25">
      <c r="A1480" s="72" t="s">
        <v>301</v>
      </c>
      <c r="B1480" s="72"/>
      <c r="C1480" s="72"/>
      <c r="D1480" s="72"/>
      <c r="E1480" s="72"/>
      <c r="F1480" s="72"/>
    </row>
    <row r="1481" spans="1:6" x14ac:dyDescent="0.25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4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4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25">
      <c r="A1484" s="72" t="s">
        <v>302</v>
      </c>
      <c r="B1484" s="72"/>
      <c r="C1484" s="72"/>
      <c r="D1484" s="72"/>
      <c r="E1484" s="72"/>
      <c r="F1484" s="50"/>
    </row>
    <row r="1485" spans="1:6" x14ac:dyDescent="0.25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4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4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25">
      <c r="A1491" s="6"/>
      <c r="B1491" s="6"/>
      <c r="C1491" s="6"/>
      <c r="D1491" s="6"/>
      <c r="E1491" s="6"/>
      <c r="F1491" s="6"/>
    </row>
    <row r="1492" spans="1:7" x14ac:dyDescent="0.25">
      <c r="A1492" s="72" t="s">
        <v>303</v>
      </c>
      <c r="B1492" s="72"/>
      <c r="C1492" s="72"/>
      <c r="D1492" s="72"/>
      <c r="E1492" s="72"/>
      <c r="F1492" s="72"/>
    </row>
    <row r="1493" spans="1:7" x14ac:dyDescent="0.25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4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4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25">
      <c r="A1496" s="72" t="s">
        <v>304</v>
      </c>
      <c r="B1496" s="72"/>
      <c r="C1496" s="72"/>
      <c r="D1496" s="72"/>
      <c r="E1496" s="72"/>
      <c r="F1496" s="50"/>
    </row>
    <row r="1497" spans="1:7" x14ac:dyDescent="0.25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4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4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25">
      <c r="A1503" s="6"/>
      <c r="B1503" s="6"/>
      <c r="C1503" s="6"/>
      <c r="D1503" s="6"/>
      <c r="E1503" s="6"/>
      <c r="F1503" s="6"/>
    </row>
    <row r="1504" spans="1:7" x14ac:dyDescent="0.25">
      <c r="A1504" s="72" t="s">
        <v>305</v>
      </c>
      <c r="B1504" s="72"/>
      <c r="C1504" s="72"/>
      <c r="D1504" s="72"/>
      <c r="E1504" s="72"/>
      <c r="F1504" s="72"/>
    </row>
    <row r="1505" spans="1:6" x14ac:dyDescent="0.25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4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4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25">
      <c r="A1508" s="72" t="s">
        <v>306</v>
      </c>
      <c r="B1508" s="72"/>
      <c r="C1508" s="72"/>
      <c r="D1508" s="72"/>
      <c r="E1508" s="72"/>
      <c r="F1508" s="50"/>
    </row>
    <row r="1509" spans="1:6" x14ac:dyDescent="0.25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4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4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25">
      <c r="F1513">
        <f>E1507-E1495</f>
        <v>-348</v>
      </c>
    </row>
    <row r="1516" spans="1:6" x14ac:dyDescent="0.25">
      <c r="A1516" s="6"/>
      <c r="B1516" s="6"/>
      <c r="C1516" s="6"/>
      <c r="D1516" s="6"/>
      <c r="E1516" s="6"/>
      <c r="F1516" s="6"/>
    </row>
    <row r="1517" spans="1:6" x14ac:dyDescent="0.25">
      <c r="A1517" s="72" t="s">
        <v>307</v>
      </c>
      <c r="B1517" s="72"/>
      <c r="C1517" s="72"/>
      <c r="D1517" s="72"/>
      <c r="E1517" s="72"/>
      <c r="F1517" s="72"/>
    </row>
    <row r="1518" spans="1:6" x14ac:dyDescent="0.25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4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4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25">
      <c r="A1521" s="72" t="s">
        <v>308</v>
      </c>
      <c r="B1521" s="72"/>
      <c r="C1521" s="72"/>
      <c r="D1521" s="72"/>
      <c r="E1521" s="72"/>
      <c r="F1521" s="50"/>
    </row>
    <row r="1522" spans="1:7" x14ac:dyDescent="0.25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4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4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25">
      <c r="A1529" s="6"/>
      <c r="B1529" s="6"/>
      <c r="C1529" s="6"/>
      <c r="D1529" s="6"/>
      <c r="E1529" s="6"/>
      <c r="F1529" s="6"/>
    </row>
    <row r="1530" spans="1:7" x14ac:dyDescent="0.25">
      <c r="A1530" s="72" t="s">
        <v>309</v>
      </c>
      <c r="B1530" s="72"/>
      <c r="C1530" s="72"/>
      <c r="D1530" s="72"/>
      <c r="E1530" s="72"/>
      <c r="F1530" s="72"/>
    </row>
    <row r="1531" spans="1:7" x14ac:dyDescent="0.25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4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4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25">
      <c r="A1534" s="72" t="s">
        <v>310</v>
      </c>
      <c r="B1534" s="72"/>
      <c r="C1534" s="72"/>
      <c r="D1534" s="72"/>
      <c r="E1534" s="72"/>
      <c r="F1534" s="50"/>
    </row>
    <row r="1535" spans="1:7" x14ac:dyDescent="0.25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4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4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25">
      <c r="A1543" s="6"/>
      <c r="B1543" s="6"/>
      <c r="C1543" s="6"/>
      <c r="D1543" s="6"/>
      <c r="E1543" s="6"/>
      <c r="F1543" s="6"/>
    </row>
    <row r="1544" spans="1:6" x14ac:dyDescent="0.25">
      <c r="A1544" s="72" t="s">
        <v>311</v>
      </c>
      <c r="B1544" s="72"/>
      <c r="C1544" s="72"/>
      <c r="D1544" s="72"/>
      <c r="E1544" s="72"/>
      <c r="F1544" s="72"/>
    </row>
    <row r="1545" spans="1:6" x14ac:dyDescent="0.25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4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4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25">
      <c r="A1548" s="72" t="s">
        <v>314</v>
      </c>
      <c r="B1548" s="72"/>
      <c r="C1548" s="72"/>
      <c r="D1548" s="72"/>
      <c r="E1548" s="72"/>
      <c r="F1548" s="50"/>
    </row>
    <row r="1549" spans="1:6" x14ac:dyDescent="0.25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4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4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25">
      <c r="A1555" s="6"/>
      <c r="B1555" s="6"/>
      <c r="C1555" s="6"/>
      <c r="D1555" s="6"/>
      <c r="E1555" s="6"/>
      <c r="F1555" s="6"/>
    </row>
    <row r="1556" spans="1:6" x14ac:dyDescent="0.25">
      <c r="A1556" s="72" t="s">
        <v>312</v>
      </c>
      <c r="B1556" s="72"/>
      <c r="C1556" s="72"/>
      <c r="D1556" s="72"/>
      <c r="E1556" s="72"/>
      <c r="F1556" s="72"/>
    </row>
    <row r="1557" spans="1:6" x14ac:dyDescent="0.25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4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4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25">
      <c r="A1560" s="72" t="s">
        <v>313</v>
      </c>
      <c r="B1560" s="72"/>
      <c r="C1560" s="72"/>
      <c r="D1560" s="72"/>
      <c r="E1560" s="72"/>
      <c r="F1560" s="50"/>
    </row>
    <row r="1561" spans="1:6" x14ac:dyDescent="0.25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4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4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25">
      <c r="A1567" s="6"/>
      <c r="B1567" s="6"/>
      <c r="C1567" s="6"/>
      <c r="D1567" s="6"/>
      <c r="E1567" s="6"/>
      <c r="F1567" s="6"/>
    </row>
    <row r="1568" spans="1:6" x14ac:dyDescent="0.25">
      <c r="A1568" s="72" t="s">
        <v>315</v>
      </c>
      <c r="B1568" s="72"/>
      <c r="C1568" s="72"/>
      <c r="D1568" s="72"/>
      <c r="E1568" s="72"/>
      <c r="F1568" s="72"/>
    </row>
    <row r="1569" spans="1:6" x14ac:dyDescent="0.25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4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4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25">
      <c r="A1572" s="72" t="s">
        <v>316</v>
      </c>
      <c r="B1572" s="72"/>
      <c r="C1572" s="72"/>
      <c r="D1572" s="72"/>
      <c r="E1572" s="72"/>
      <c r="F1572" s="50"/>
    </row>
    <row r="1573" spans="1:6" x14ac:dyDescent="0.25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4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4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25">
      <c r="F1576">
        <f>E1571-E1559</f>
        <v>-57</v>
      </c>
    </row>
    <row r="1580" spans="1:6" x14ac:dyDescent="0.25">
      <c r="A1580" s="6"/>
      <c r="B1580" s="6"/>
      <c r="C1580" s="6"/>
      <c r="D1580" s="6"/>
      <c r="E1580" s="6"/>
      <c r="F1580" s="6"/>
    </row>
    <row r="1581" spans="1:6" x14ac:dyDescent="0.25">
      <c r="A1581" s="72" t="s">
        <v>317</v>
      </c>
      <c r="B1581" s="72"/>
      <c r="C1581" s="72"/>
      <c r="D1581" s="72"/>
      <c r="E1581" s="72"/>
      <c r="F1581" s="72"/>
    </row>
    <row r="1582" spans="1:6" x14ac:dyDescent="0.25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4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4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25">
      <c r="A1585" s="72" t="s">
        <v>318</v>
      </c>
      <c r="B1585" s="72"/>
      <c r="C1585" s="72"/>
      <c r="D1585" s="72"/>
      <c r="E1585" s="72"/>
      <c r="F1585" s="50"/>
    </row>
    <row r="1586" spans="1:6" x14ac:dyDescent="0.25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4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4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25">
      <c r="A1592" s="6"/>
      <c r="B1592" s="6"/>
      <c r="C1592" s="6"/>
      <c r="D1592" s="6"/>
      <c r="E1592" s="6"/>
      <c r="F1592" s="6"/>
    </row>
    <row r="1593" spans="1:6" x14ac:dyDescent="0.25">
      <c r="A1593" s="72" t="s">
        <v>319</v>
      </c>
      <c r="B1593" s="72"/>
      <c r="C1593" s="72"/>
      <c r="D1593" s="72"/>
      <c r="E1593" s="72"/>
      <c r="F1593" s="72"/>
    </row>
    <row r="1594" spans="1:6" x14ac:dyDescent="0.25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4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4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25">
      <c r="A1597" s="72" t="s">
        <v>320</v>
      </c>
      <c r="B1597" s="72"/>
      <c r="C1597" s="72"/>
      <c r="D1597" s="72"/>
      <c r="E1597" s="72"/>
      <c r="F1597" s="50"/>
    </row>
    <row r="1598" spans="1:6" x14ac:dyDescent="0.25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4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4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25">
      <c r="G1602">
        <f>E1596-E1584</f>
        <v>37</v>
      </c>
    </row>
    <row r="1604" spans="1:7" x14ac:dyDescent="0.25">
      <c r="A1604" s="6"/>
      <c r="B1604" s="6"/>
      <c r="C1604" s="6"/>
      <c r="D1604" s="6"/>
      <c r="E1604" s="6"/>
      <c r="F1604" s="6"/>
    </row>
    <row r="1605" spans="1:7" x14ac:dyDescent="0.25">
      <c r="A1605" s="72" t="s">
        <v>321</v>
      </c>
      <c r="B1605" s="72"/>
      <c r="C1605" s="72"/>
      <c r="D1605" s="72"/>
      <c r="E1605" s="72"/>
      <c r="F1605" s="72"/>
    </row>
    <row r="1606" spans="1:7" x14ac:dyDescent="0.25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4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4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25">
      <c r="A1609" s="72" t="s">
        <v>322</v>
      </c>
      <c r="B1609" s="72"/>
      <c r="C1609" s="72"/>
      <c r="D1609" s="72"/>
      <c r="E1609" s="72"/>
      <c r="F1609" s="50"/>
    </row>
    <row r="1610" spans="1:7" x14ac:dyDescent="0.25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4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4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25">
      <c r="A1617" s="6"/>
      <c r="B1617" s="6"/>
      <c r="C1617" s="6"/>
      <c r="D1617" s="6"/>
      <c r="E1617" s="6"/>
      <c r="F1617" s="6"/>
    </row>
    <row r="1618" spans="1:6" x14ac:dyDescent="0.25">
      <c r="A1618" s="72" t="s">
        <v>323</v>
      </c>
      <c r="B1618" s="72"/>
      <c r="C1618" s="72"/>
      <c r="D1618" s="72"/>
      <c r="E1618" s="72"/>
      <c r="F1618" s="72"/>
    </row>
    <row r="1619" spans="1:6" x14ac:dyDescent="0.25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4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4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25">
      <c r="A1622" s="72" t="s">
        <v>324</v>
      </c>
      <c r="B1622" s="72"/>
      <c r="C1622" s="72"/>
      <c r="D1622" s="72"/>
      <c r="E1622" s="72"/>
      <c r="F1622" s="50"/>
    </row>
    <row r="1623" spans="1:6" x14ac:dyDescent="0.25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4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4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25">
      <c r="A1629" s="6"/>
      <c r="B1629" s="6"/>
      <c r="C1629" s="6"/>
      <c r="D1629" s="6"/>
      <c r="E1629" s="6"/>
      <c r="F1629" s="6"/>
    </row>
    <row r="1630" spans="1:6" x14ac:dyDescent="0.25">
      <c r="A1630" s="72" t="s">
        <v>325</v>
      </c>
      <c r="B1630" s="72"/>
      <c r="C1630" s="72"/>
      <c r="D1630" s="72"/>
      <c r="E1630" s="72"/>
      <c r="F1630" s="72"/>
    </row>
    <row r="1631" spans="1:6" x14ac:dyDescent="0.25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4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4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25">
      <c r="A1634" s="72" t="s">
        <v>326</v>
      </c>
      <c r="B1634" s="72"/>
      <c r="C1634" s="72"/>
      <c r="D1634" s="72"/>
      <c r="E1634" s="72"/>
      <c r="F1634" s="50"/>
    </row>
    <row r="1635" spans="1:6" x14ac:dyDescent="0.25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4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4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25">
      <c r="A1641" s="6"/>
      <c r="B1641" s="6"/>
      <c r="C1641" s="6"/>
      <c r="D1641" s="6"/>
      <c r="E1641" s="6"/>
      <c r="F1641" s="6"/>
    </row>
    <row r="1642" spans="1:6" x14ac:dyDescent="0.25">
      <c r="A1642" s="72" t="s">
        <v>327</v>
      </c>
      <c r="B1642" s="72"/>
      <c r="C1642" s="72"/>
      <c r="D1642" s="72"/>
      <c r="E1642" s="72"/>
      <c r="F1642" s="72"/>
    </row>
    <row r="1643" spans="1:6" x14ac:dyDescent="0.25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4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4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25">
      <c r="A1646" s="72" t="s">
        <v>328</v>
      </c>
      <c r="B1646" s="72"/>
      <c r="C1646" s="72"/>
      <c r="D1646" s="72"/>
      <c r="E1646" s="72"/>
      <c r="F1646" s="50"/>
    </row>
    <row r="1647" spans="1:6" x14ac:dyDescent="0.25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4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4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25">
      <c r="A1653" s="6"/>
      <c r="B1653" s="6"/>
      <c r="C1653" s="6"/>
      <c r="D1653" s="6"/>
      <c r="E1653" s="6"/>
      <c r="F1653" s="6"/>
    </row>
    <row r="1654" spans="1:6" x14ac:dyDescent="0.25">
      <c r="A1654" s="72" t="s">
        <v>329</v>
      </c>
      <c r="B1654" s="72"/>
      <c r="C1654" s="72"/>
      <c r="D1654" s="72"/>
      <c r="E1654" s="72"/>
      <c r="F1654" s="72"/>
    </row>
    <row r="1655" spans="1:6" x14ac:dyDescent="0.25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4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4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25">
      <c r="A1658" s="72" t="s">
        <v>330</v>
      </c>
      <c r="B1658" s="72"/>
      <c r="C1658" s="72"/>
      <c r="D1658" s="72"/>
      <c r="E1658" s="72"/>
      <c r="F1658" s="50"/>
    </row>
    <row r="1659" spans="1:6" x14ac:dyDescent="0.25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4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4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25">
      <c r="A1665" s="6"/>
      <c r="B1665" s="6"/>
      <c r="C1665" s="6"/>
      <c r="D1665" s="6"/>
      <c r="E1665" s="6"/>
      <c r="F1665" s="6"/>
    </row>
    <row r="1666" spans="1:6" x14ac:dyDescent="0.25">
      <c r="A1666" s="72" t="s">
        <v>331</v>
      </c>
      <c r="B1666" s="72"/>
      <c r="C1666" s="72"/>
      <c r="D1666" s="72"/>
      <c r="E1666" s="72"/>
      <c r="F1666" s="72"/>
    </row>
    <row r="1667" spans="1:6" x14ac:dyDescent="0.25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4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4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25">
      <c r="A1670" s="72" t="s">
        <v>332</v>
      </c>
      <c r="B1670" s="72"/>
      <c r="C1670" s="72"/>
      <c r="D1670" s="72"/>
      <c r="E1670" s="72"/>
      <c r="F1670" s="50"/>
    </row>
    <row r="1671" spans="1:6" x14ac:dyDescent="0.25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4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4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  <row r="1677" spans="1:6" x14ac:dyDescent="0.25">
      <c r="A1677" s="6"/>
      <c r="B1677" s="6"/>
      <c r="C1677" s="6"/>
      <c r="D1677" s="6"/>
      <c r="E1677" s="6"/>
      <c r="F1677" s="6"/>
    </row>
    <row r="1678" spans="1:6" x14ac:dyDescent="0.25">
      <c r="A1678" s="72" t="s">
        <v>333</v>
      </c>
      <c r="B1678" s="72"/>
      <c r="C1678" s="72"/>
      <c r="D1678" s="72"/>
      <c r="E1678" s="72"/>
      <c r="F1678" s="72"/>
    </row>
    <row r="1679" spans="1:6" x14ac:dyDescent="0.25">
      <c r="A1679" s="1"/>
      <c r="B1679" s="2" t="s">
        <v>14</v>
      </c>
      <c r="C1679" s="2" t="s">
        <v>15</v>
      </c>
      <c r="D1679" s="2" t="s">
        <v>20</v>
      </c>
      <c r="E1679" s="8" t="s">
        <v>21</v>
      </c>
      <c r="F1679" s="8" t="s">
        <v>27</v>
      </c>
    </row>
    <row r="1680" spans="1:6" ht="18" x14ac:dyDescent="0.4">
      <c r="A1680" s="1" t="s">
        <v>1</v>
      </c>
      <c r="B1680" s="56">
        <v>27585</v>
      </c>
      <c r="C1680" s="57">
        <v>27860</v>
      </c>
      <c r="D1680">
        <v>-136</v>
      </c>
      <c r="E1680" s="57">
        <v>28720</v>
      </c>
      <c r="F1680" s="9">
        <v>860</v>
      </c>
    </row>
    <row r="1681" spans="1:6" ht="18" x14ac:dyDescent="0.4">
      <c r="A1681" s="1" t="s">
        <v>2</v>
      </c>
      <c r="B1681" s="56">
        <v>31743</v>
      </c>
      <c r="C1681" s="57">
        <v>32061</v>
      </c>
      <c r="D1681">
        <v>164</v>
      </c>
      <c r="E1681" s="57">
        <v>32655</v>
      </c>
      <c r="F1681" s="9">
        <v>594</v>
      </c>
    </row>
    <row r="1682" spans="1:6" x14ac:dyDescent="0.25">
      <c r="A1682" s="72" t="s">
        <v>334</v>
      </c>
      <c r="B1682" s="72"/>
      <c r="C1682" s="72"/>
      <c r="D1682" s="72"/>
      <c r="E1682" s="72"/>
      <c r="F1682" s="50"/>
    </row>
    <row r="1683" spans="1:6" x14ac:dyDescent="0.25">
      <c r="A1683" s="1"/>
      <c r="B1683" s="2" t="s">
        <v>16</v>
      </c>
      <c r="C1683" s="2" t="s">
        <v>19</v>
      </c>
      <c r="D1683" s="2" t="s">
        <v>17</v>
      </c>
      <c r="E1683" s="2" t="s">
        <v>18</v>
      </c>
    </row>
    <row r="1684" spans="1:6" ht="18" x14ac:dyDescent="0.4">
      <c r="A1684" s="1" t="s">
        <v>1</v>
      </c>
      <c r="B1684" s="56">
        <v>27691</v>
      </c>
      <c r="C1684" s="4">
        <v>127</v>
      </c>
      <c r="D1684" s="56">
        <v>13052500</v>
      </c>
      <c r="E1684" s="5">
        <v>0.85</v>
      </c>
    </row>
    <row r="1685" spans="1:6" ht="18" x14ac:dyDescent="0.4">
      <c r="A1685" s="1" t="s">
        <v>2</v>
      </c>
      <c r="B1685" s="57">
        <v>31748</v>
      </c>
      <c r="C1685" s="4">
        <v>206</v>
      </c>
      <c r="D1685" s="56">
        <v>1317900</v>
      </c>
      <c r="E1685" s="5">
        <v>0.15</v>
      </c>
    </row>
    <row r="1689" spans="1:6" x14ac:dyDescent="0.25">
      <c r="A1689" s="6"/>
      <c r="B1689" s="6"/>
      <c r="C1689" s="6"/>
      <c r="D1689" s="6"/>
      <c r="E1689" s="6"/>
      <c r="F1689" s="6"/>
    </row>
    <row r="1690" spans="1:6" x14ac:dyDescent="0.25">
      <c r="A1690" s="72" t="s">
        <v>335</v>
      </c>
      <c r="B1690" s="72"/>
      <c r="C1690" s="72"/>
      <c r="D1690" s="72"/>
      <c r="E1690" s="72"/>
      <c r="F1690" s="72"/>
    </row>
    <row r="1691" spans="1:6" x14ac:dyDescent="0.25">
      <c r="A1691" s="1"/>
      <c r="B1691" s="2" t="s">
        <v>14</v>
      </c>
      <c r="C1691" s="2" t="s">
        <v>15</v>
      </c>
      <c r="D1691" s="2" t="s">
        <v>20</v>
      </c>
      <c r="E1691" s="8" t="s">
        <v>21</v>
      </c>
      <c r="F1691" s="8" t="s">
        <v>27</v>
      </c>
    </row>
    <row r="1692" spans="1:6" ht="18" x14ac:dyDescent="0.4">
      <c r="A1692" s="1" t="s">
        <v>1</v>
      </c>
      <c r="B1692" s="56">
        <v>26882</v>
      </c>
      <c r="C1692" s="57">
        <v>27150</v>
      </c>
      <c r="D1692">
        <v>-710</v>
      </c>
      <c r="E1692" s="57">
        <v>28580</v>
      </c>
      <c r="F1692" s="9">
        <v>1430</v>
      </c>
    </row>
    <row r="1693" spans="1:6" ht="18" x14ac:dyDescent="0.4">
      <c r="A1693" s="1" t="s">
        <v>2</v>
      </c>
      <c r="B1693" s="56">
        <v>31595</v>
      </c>
      <c r="C1693" s="57">
        <v>31911</v>
      </c>
      <c r="D1693">
        <v>-150</v>
      </c>
      <c r="E1693" s="57">
        <v>32804</v>
      </c>
      <c r="F1693" s="9">
        <v>893</v>
      </c>
    </row>
    <row r="1694" spans="1:6" x14ac:dyDescent="0.25">
      <c r="A1694" s="72" t="s">
        <v>336</v>
      </c>
      <c r="B1694" s="72"/>
      <c r="C1694" s="72"/>
      <c r="D1694" s="72"/>
      <c r="E1694" s="72"/>
      <c r="F1694" s="50"/>
    </row>
    <row r="1695" spans="1:6" x14ac:dyDescent="0.25">
      <c r="A1695" s="1"/>
      <c r="B1695" s="2" t="s">
        <v>16</v>
      </c>
      <c r="C1695" s="2" t="s">
        <v>19</v>
      </c>
      <c r="D1695" s="2" t="s">
        <v>17</v>
      </c>
      <c r="E1695" s="2" t="s">
        <v>18</v>
      </c>
    </row>
    <row r="1696" spans="1:6" ht="18" x14ac:dyDescent="0.4">
      <c r="A1696" s="1" t="s">
        <v>1</v>
      </c>
      <c r="B1696" s="56">
        <v>27339</v>
      </c>
      <c r="C1696" s="4">
        <v>-352</v>
      </c>
      <c r="D1696" s="56">
        <v>11746800</v>
      </c>
      <c r="E1696" s="5">
        <v>-0.1</v>
      </c>
    </row>
    <row r="1697" spans="1:6" ht="18" x14ac:dyDescent="0.4">
      <c r="A1697" s="1" t="s">
        <v>2</v>
      </c>
      <c r="B1697" s="57">
        <v>31558</v>
      </c>
      <c r="C1697" s="4">
        <v>-190</v>
      </c>
      <c r="D1697" s="56">
        <v>915600</v>
      </c>
      <c r="E1697" s="5">
        <v>-0.31</v>
      </c>
    </row>
    <row r="1701" spans="1:6" x14ac:dyDescent="0.25">
      <c r="A1701" s="6"/>
      <c r="B1701" s="6"/>
      <c r="C1701" s="6"/>
      <c r="D1701" s="6"/>
      <c r="E1701" s="6"/>
      <c r="F1701" s="6"/>
    </row>
    <row r="1702" spans="1:6" x14ac:dyDescent="0.25">
      <c r="A1702" s="72" t="s">
        <v>337</v>
      </c>
      <c r="B1702" s="72"/>
      <c r="C1702" s="72"/>
      <c r="D1702" s="72"/>
      <c r="E1702" s="72"/>
      <c r="F1702" s="72"/>
    </row>
    <row r="1703" spans="1:6" x14ac:dyDescent="0.25">
      <c r="A1703" s="1"/>
      <c r="B1703" s="2" t="s">
        <v>14</v>
      </c>
      <c r="C1703" s="2" t="s">
        <v>15</v>
      </c>
      <c r="D1703" s="2" t="s">
        <v>20</v>
      </c>
      <c r="E1703" s="8" t="s">
        <v>21</v>
      </c>
      <c r="F1703" s="8" t="s">
        <v>27</v>
      </c>
    </row>
    <row r="1704" spans="1:6" ht="18" x14ac:dyDescent="0.4">
      <c r="A1704" s="1" t="s">
        <v>1</v>
      </c>
      <c r="B1704" s="56">
        <v>26874</v>
      </c>
      <c r="C1704" s="57">
        <v>27143</v>
      </c>
      <c r="D1704">
        <v>-7</v>
      </c>
      <c r="E1704" s="57">
        <v>28190</v>
      </c>
      <c r="F1704" s="9">
        <v>1047</v>
      </c>
    </row>
    <row r="1705" spans="1:6" ht="18" x14ac:dyDescent="0.4">
      <c r="A1705" s="1" t="s">
        <v>2</v>
      </c>
      <c r="B1705" s="56">
        <v>31256</v>
      </c>
      <c r="C1705" s="57">
        <v>31569</v>
      </c>
      <c r="D1705">
        <v>-342</v>
      </c>
      <c r="E1705" s="57">
        <v>32283</v>
      </c>
      <c r="F1705" s="9">
        <v>714</v>
      </c>
    </row>
    <row r="1706" spans="1:6" x14ac:dyDescent="0.25">
      <c r="A1706" s="72" t="s">
        <v>338</v>
      </c>
      <c r="B1706" s="72"/>
      <c r="C1706" s="72"/>
      <c r="D1706" s="72"/>
      <c r="E1706" s="72"/>
      <c r="F1706" s="50"/>
    </row>
    <row r="1707" spans="1:6" x14ac:dyDescent="0.25">
      <c r="A1707" s="1"/>
      <c r="B1707" s="2" t="s">
        <v>16</v>
      </c>
      <c r="C1707" s="2" t="s">
        <v>19</v>
      </c>
      <c r="D1707" s="2" t="s">
        <v>17</v>
      </c>
      <c r="E1707" s="2" t="s">
        <v>18</v>
      </c>
    </row>
    <row r="1708" spans="1:6" ht="18" x14ac:dyDescent="0.4">
      <c r="A1708" s="1" t="s">
        <v>1</v>
      </c>
      <c r="B1708" s="56">
        <v>26871</v>
      </c>
      <c r="C1708" s="4">
        <v>-468</v>
      </c>
      <c r="D1708" s="56">
        <v>11601300</v>
      </c>
      <c r="E1708" s="5">
        <v>-0.01</v>
      </c>
    </row>
    <row r="1709" spans="1:6" ht="18" x14ac:dyDescent="0.4">
      <c r="A1709" s="1" t="s">
        <v>2</v>
      </c>
      <c r="B1709" s="57">
        <v>31234</v>
      </c>
      <c r="C1709" s="4">
        <v>-324</v>
      </c>
      <c r="D1709" s="56">
        <v>1080600</v>
      </c>
      <c r="E1709" s="5">
        <v>0.18</v>
      </c>
    </row>
    <row r="1713" spans="1:6" x14ac:dyDescent="0.25">
      <c r="A1713" s="6"/>
      <c r="B1713" s="6"/>
      <c r="C1713" s="6"/>
      <c r="D1713" s="6"/>
      <c r="E1713" s="6"/>
      <c r="F1713" s="6"/>
    </row>
    <row r="1714" spans="1:6" x14ac:dyDescent="0.25">
      <c r="A1714" s="72" t="s">
        <v>339</v>
      </c>
      <c r="B1714" s="72"/>
      <c r="C1714" s="72"/>
      <c r="D1714" s="72"/>
      <c r="E1714" s="72"/>
      <c r="F1714" s="72"/>
    </row>
    <row r="1715" spans="1:6" x14ac:dyDescent="0.25">
      <c r="A1715" s="1"/>
      <c r="B1715" s="2" t="s">
        <v>14</v>
      </c>
      <c r="C1715" s="2" t="s">
        <v>15</v>
      </c>
      <c r="D1715" s="2" t="s">
        <v>20</v>
      </c>
      <c r="E1715" s="8" t="s">
        <v>21</v>
      </c>
      <c r="F1715" s="8" t="s">
        <v>27</v>
      </c>
    </row>
    <row r="1716" spans="1:6" ht="18" x14ac:dyDescent="0.4">
      <c r="A1716" s="1" t="s">
        <v>1</v>
      </c>
      <c r="B1716" s="56">
        <v>26635</v>
      </c>
      <c r="C1716" s="57">
        <v>26901</v>
      </c>
      <c r="D1716">
        <v>-242</v>
      </c>
      <c r="E1716" s="57">
        <v>28180</v>
      </c>
      <c r="F1716" s="9">
        <v>1279</v>
      </c>
    </row>
    <row r="1717" spans="1:6" ht="18" x14ac:dyDescent="0.4">
      <c r="A1717" s="1" t="s">
        <v>2</v>
      </c>
      <c r="B1717" s="56">
        <v>30757</v>
      </c>
      <c r="C1717" s="57">
        <v>31064</v>
      </c>
      <c r="D1717">
        <v>-505</v>
      </c>
      <c r="E1717" s="57">
        <v>32023</v>
      </c>
      <c r="F1717" s="9">
        <v>959</v>
      </c>
    </row>
    <row r="1718" spans="1:6" x14ac:dyDescent="0.25">
      <c r="A1718" s="72" t="s">
        <v>340</v>
      </c>
      <c r="B1718" s="72"/>
      <c r="C1718" s="72"/>
      <c r="D1718" s="72"/>
      <c r="E1718" s="72"/>
      <c r="F1718" s="50"/>
    </row>
    <row r="1719" spans="1:6" x14ac:dyDescent="0.25">
      <c r="A1719" s="1"/>
      <c r="B1719" s="2" t="s">
        <v>16</v>
      </c>
      <c r="C1719" s="2" t="s">
        <v>19</v>
      </c>
      <c r="D1719" s="2" t="s">
        <v>17</v>
      </c>
      <c r="E1719" s="2" t="s">
        <v>18</v>
      </c>
    </row>
    <row r="1720" spans="1:6" ht="18" x14ac:dyDescent="0.4">
      <c r="A1720" s="1" t="s">
        <v>1</v>
      </c>
      <c r="B1720" s="56">
        <v>26690</v>
      </c>
      <c r="C1720" s="4">
        <v>-181</v>
      </c>
      <c r="D1720" s="56">
        <v>12754500</v>
      </c>
      <c r="E1720" s="5">
        <v>0.1</v>
      </c>
    </row>
    <row r="1721" spans="1:6" ht="18" x14ac:dyDescent="0.4">
      <c r="A1721" s="1" t="s">
        <v>2</v>
      </c>
      <c r="B1721" s="57">
        <v>31087</v>
      </c>
      <c r="C1721" s="4">
        <v>-147</v>
      </c>
      <c r="D1721" s="56">
        <v>902900</v>
      </c>
      <c r="E1721" s="5">
        <v>-0.16</v>
      </c>
    </row>
    <row r="1725" spans="1:6" x14ac:dyDescent="0.25">
      <c r="A1725" s="6"/>
      <c r="B1725" s="6"/>
      <c r="C1725" s="6"/>
      <c r="D1725" s="6"/>
      <c r="E1725" s="6"/>
      <c r="F1725" s="6"/>
    </row>
    <row r="1726" spans="1:6" x14ac:dyDescent="0.25">
      <c r="A1726" s="72" t="s">
        <v>341</v>
      </c>
      <c r="B1726" s="72"/>
      <c r="C1726" s="72"/>
      <c r="D1726" s="72"/>
      <c r="E1726" s="72"/>
      <c r="F1726" s="72"/>
    </row>
    <row r="1727" spans="1:6" x14ac:dyDescent="0.25">
      <c r="A1727" s="1"/>
      <c r="B1727" s="2" t="s">
        <v>14</v>
      </c>
      <c r="C1727" s="2" t="s">
        <v>15</v>
      </c>
      <c r="D1727" s="2" t="s">
        <v>20</v>
      </c>
      <c r="E1727" s="8" t="s">
        <v>21</v>
      </c>
      <c r="F1727" s="8" t="s">
        <v>27</v>
      </c>
    </row>
    <row r="1728" spans="1:6" ht="18" x14ac:dyDescent="0.4">
      <c r="A1728" s="1" t="s">
        <v>1</v>
      </c>
      <c r="B1728" s="56">
        <v>26635</v>
      </c>
      <c r="C1728" s="57">
        <v>26901</v>
      </c>
      <c r="D1728">
        <v>0</v>
      </c>
      <c r="E1728" s="57">
        <v>28190</v>
      </c>
      <c r="F1728" s="9">
        <v>1289</v>
      </c>
    </row>
    <row r="1729" spans="1:7" ht="18" x14ac:dyDescent="0.4">
      <c r="A1729" s="1" t="s">
        <v>2</v>
      </c>
      <c r="B1729" s="56">
        <v>30205</v>
      </c>
      <c r="C1729" s="57">
        <v>30507</v>
      </c>
      <c r="D1729">
        <v>-557</v>
      </c>
      <c r="E1729" s="57">
        <v>32007</v>
      </c>
      <c r="F1729" s="9">
        <v>1500</v>
      </c>
    </row>
    <row r="1730" spans="1:7" x14ac:dyDescent="0.25">
      <c r="A1730" s="72" t="s">
        <v>342</v>
      </c>
      <c r="B1730" s="72"/>
      <c r="C1730" s="72"/>
      <c r="D1730" s="72"/>
      <c r="E1730" s="72"/>
      <c r="F1730" s="50"/>
      <c r="G1730">
        <f>E1729-E1717</f>
        <v>-16</v>
      </c>
    </row>
    <row r="1731" spans="1:7" x14ac:dyDescent="0.25">
      <c r="A1731" s="1"/>
      <c r="B1731" s="2" t="s">
        <v>16</v>
      </c>
      <c r="C1731" s="2" t="s">
        <v>19</v>
      </c>
      <c r="D1731" s="2" t="s">
        <v>17</v>
      </c>
      <c r="E1731" s="2" t="s">
        <v>18</v>
      </c>
    </row>
    <row r="1732" spans="1:7" ht="18" x14ac:dyDescent="0.4">
      <c r="A1732" s="1" t="s">
        <v>1</v>
      </c>
      <c r="B1732" s="56">
        <v>26626</v>
      </c>
      <c r="C1732" s="4">
        <v>-64</v>
      </c>
      <c r="D1732" s="56">
        <v>9748900</v>
      </c>
      <c r="E1732" s="5">
        <v>-0.24</v>
      </c>
    </row>
    <row r="1733" spans="1:7" ht="18" x14ac:dyDescent="0.4">
      <c r="A1733" s="1" t="s">
        <v>2</v>
      </c>
      <c r="B1733" s="57">
        <v>30213</v>
      </c>
      <c r="C1733" s="4">
        <v>-874</v>
      </c>
      <c r="D1733" s="56">
        <v>1327100</v>
      </c>
      <c r="E1733" s="5">
        <v>0.47</v>
      </c>
    </row>
    <row r="1737" spans="1:7" x14ac:dyDescent="0.25">
      <c r="A1737" s="6"/>
      <c r="B1737" s="6"/>
      <c r="C1737" s="6"/>
      <c r="D1737" s="6"/>
      <c r="E1737" s="6"/>
      <c r="F1737" s="6"/>
    </row>
    <row r="1738" spans="1:7" x14ac:dyDescent="0.25">
      <c r="A1738" s="72" t="s">
        <v>343</v>
      </c>
      <c r="B1738" s="72"/>
      <c r="C1738" s="72"/>
      <c r="D1738" s="72"/>
      <c r="E1738" s="72"/>
      <c r="F1738" s="72"/>
    </row>
    <row r="1739" spans="1:7" x14ac:dyDescent="0.25">
      <c r="A1739" s="1"/>
      <c r="B1739" s="2" t="s">
        <v>14</v>
      </c>
      <c r="C1739" s="2" t="s">
        <v>15</v>
      </c>
      <c r="D1739" s="2" t="s">
        <v>20</v>
      </c>
      <c r="E1739" s="8" t="s">
        <v>21</v>
      </c>
      <c r="F1739" s="8" t="s">
        <v>27</v>
      </c>
    </row>
    <row r="1740" spans="1:7" ht="18" x14ac:dyDescent="0.4">
      <c r="A1740" s="1" t="s">
        <v>1</v>
      </c>
      <c r="B1740" s="56">
        <v>26632</v>
      </c>
      <c r="C1740" s="57">
        <v>26899</v>
      </c>
      <c r="D1740">
        <v>-2</v>
      </c>
      <c r="E1740" s="57">
        <v>28150</v>
      </c>
      <c r="F1740" s="9">
        <v>1251</v>
      </c>
    </row>
    <row r="1741" spans="1:7" ht="18" x14ac:dyDescent="0.4">
      <c r="A1741" s="1" t="s">
        <v>2</v>
      </c>
      <c r="B1741" s="56">
        <v>30590</v>
      </c>
      <c r="C1741" s="57">
        <v>30896</v>
      </c>
      <c r="D1741">
        <v>389</v>
      </c>
      <c r="E1741" s="57">
        <v>31964</v>
      </c>
      <c r="F1741" s="9">
        <v>1068</v>
      </c>
    </row>
    <row r="1742" spans="1:7" x14ac:dyDescent="0.25">
      <c r="A1742" s="72" t="s">
        <v>344</v>
      </c>
      <c r="B1742" s="72"/>
      <c r="C1742" s="72"/>
      <c r="D1742" s="72"/>
      <c r="E1742" s="72"/>
      <c r="F1742" s="50"/>
    </row>
    <row r="1743" spans="1:7" x14ac:dyDescent="0.25">
      <c r="A1743" s="1"/>
      <c r="B1743" s="2" t="s">
        <v>16</v>
      </c>
      <c r="C1743" s="2" t="s">
        <v>19</v>
      </c>
      <c r="D1743" s="2" t="s">
        <v>17</v>
      </c>
      <c r="E1743" s="2" t="s">
        <v>18</v>
      </c>
    </row>
    <row r="1744" spans="1:7" ht="18" x14ac:dyDescent="0.4">
      <c r="A1744" s="1" t="s">
        <v>1</v>
      </c>
      <c r="B1744" s="56">
        <v>26620</v>
      </c>
      <c r="C1744" s="4">
        <v>-6</v>
      </c>
      <c r="D1744" s="56">
        <v>8735600</v>
      </c>
      <c r="E1744" s="5">
        <v>-0.1</v>
      </c>
    </row>
    <row r="1745" spans="1:7" ht="18" x14ac:dyDescent="0.4">
      <c r="A1745" s="1" t="s">
        <v>2</v>
      </c>
      <c r="B1745" s="57">
        <v>30480</v>
      </c>
      <c r="C1745" s="4">
        <v>267</v>
      </c>
      <c r="D1745" s="56">
        <v>493800</v>
      </c>
      <c r="E1745" s="5">
        <v>-0.63</v>
      </c>
    </row>
    <row r="1749" spans="1:7" x14ac:dyDescent="0.25">
      <c r="A1749" s="6"/>
      <c r="B1749" s="6"/>
      <c r="C1749" s="6"/>
      <c r="D1749" s="6"/>
      <c r="E1749" s="6"/>
      <c r="F1749" s="6"/>
    </row>
    <row r="1750" spans="1:7" x14ac:dyDescent="0.25">
      <c r="A1750" s="72" t="s">
        <v>345</v>
      </c>
      <c r="B1750" s="72"/>
      <c r="C1750" s="72"/>
      <c r="D1750" s="72"/>
      <c r="E1750" s="72"/>
      <c r="F1750" s="72"/>
    </row>
    <row r="1751" spans="1:7" x14ac:dyDescent="0.25">
      <c r="A1751" s="1"/>
      <c r="B1751" s="2" t="s">
        <v>14</v>
      </c>
      <c r="C1751" s="2" t="s">
        <v>15</v>
      </c>
      <c r="D1751" s="2" t="s">
        <v>20</v>
      </c>
      <c r="E1751" s="8" t="s">
        <v>21</v>
      </c>
      <c r="F1751" s="8" t="s">
        <v>27</v>
      </c>
    </row>
    <row r="1752" spans="1:7" ht="18" x14ac:dyDescent="0.4">
      <c r="A1752" s="1" t="s">
        <v>1</v>
      </c>
      <c r="B1752" s="56">
        <v>26609</v>
      </c>
      <c r="C1752" s="57">
        <v>26875</v>
      </c>
      <c r="D1752">
        <v>-24</v>
      </c>
      <c r="E1752" s="57">
        <v>28180</v>
      </c>
      <c r="F1752" s="9">
        <v>1305</v>
      </c>
    </row>
    <row r="1753" spans="1:7" ht="18" x14ac:dyDescent="0.4">
      <c r="A1753" s="1" t="s">
        <v>2</v>
      </c>
      <c r="B1753" s="56">
        <v>30350</v>
      </c>
      <c r="C1753" s="57">
        <v>30654</v>
      </c>
      <c r="D1753">
        <v>-242</v>
      </c>
      <c r="E1753" s="57">
        <v>31753</v>
      </c>
      <c r="F1753" s="9">
        <v>1099</v>
      </c>
    </row>
    <row r="1754" spans="1:7" x14ac:dyDescent="0.25">
      <c r="A1754" s="72" t="s">
        <v>346</v>
      </c>
      <c r="B1754" s="72"/>
      <c r="C1754" s="72"/>
      <c r="D1754" s="72"/>
      <c r="E1754" s="72"/>
      <c r="F1754" s="50"/>
      <c r="G1754">
        <f>E1753-E1741</f>
        <v>-211</v>
      </c>
    </row>
    <row r="1755" spans="1:7" x14ac:dyDescent="0.25">
      <c r="A1755" s="1"/>
      <c r="B1755" s="2" t="s">
        <v>16</v>
      </c>
      <c r="C1755" s="2" t="s">
        <v>19</v>
      </c>
      <c r="D1755" s="2" t="s">
        <v>17</v>
      </c>
      <c r="E1755" s="2" t="s">
        <v>18</v>
      </c>
    </row>
    <row r="1756" spans="1:7" ht="18" x14ac:dyDescent="0.4">
      <c r="A1756" s="1" t="s">
        <v>1</v>
      </c>
      <c r="B1756" s="56">
        <v>26601</v>
      </c>
      <c r="C1756" s="4">
        <v>-19</v>
      </c>
      <c r="D1756" s="56">
        <v>11737000</v>
      </c>
      <c r="E1756" s="5">
        <v>0.34</v>
      </c>
    </row>
    <row r="1757" spans="1:7" ht="18" x14ac:dyDescent="0.4">
      <c r="A1757" s="1" t="s">
        <v>2</v>
      </c>
      <c r="B1757" s="57">
        <v>30413</v>
      </c>
      <c r="C1757" s="4">
        <v>-67</v>
      </c>
      <c r="D1757" s="56">
        <v>675800</v>
      </c>
      <c r="E1757" s="5">
        <v>0.37</v>
      </c>
    </row>
    <row r="1761" spans="1:6" x14ac:dyDescent="0.25">
      <c r="A1761" s="6"/>
      <c r="B1761" s="6"/>
      <c r="C1761" s="6"/>
      <c r="D1761" s="6"/>
      <c r="E1761" s="6"/>
      <c r="F1761" s="6"/>
    </row>
    <row r="1762" spans="1:6" x14ac:dyDescent="0.25">
      <c r="A1762" s="72" t="s">
        <v>347</v>
      </c>
      <c r="B1762" s="72"/>
      <c r="C1762" s="72"/>
      <c r="D1762" s="72"/>
      <c r="E1762" s="72"/>
      <c r="F1762" s="72"/>
    </row>
    <row r="1763" spans="1:6" x14ac:dyDescent="0.25">
      <c r="A1763" s="1"/>
      <c r="B1763" s="2" t="s">
        <v>14</v>
      </c>
      <c r="C1763" s="2" t="s">
        <v>15</v>
      </c>
      <c r="D1763" s="2" t="s">
        <v>20</v>
      </c>
      <c r="E1763" s="8" t="s">
        <v>21</v>
      </c>
      <c r="F1763" s="8" t="s">
        <v>27</v>
      </c>
    </row>
    <row r="1764" spans="1:6" ht="18" x14ac:dyDescent="0.4">
      <c r="A1764" s="1" t="s">
        <v>1</v>
      </c>
      <c r="B1764" s="56">
        <v>26600</v>
      </c>
      <c r="C1764" s="57">
        <v>26865</v>
      </c>
      <c r="D1764">
        <v>-10</v>
      </c>
      <c r="E1764" s="57">
        <v>28290</v>
      </c>
      <c r="F1764" s="9">
        <v>1425</v>
      </c>
    </row>
    <row r="1765" spans="1:6" ht="18" x14ac:dyDescent="0.4">
      <c r="A1765" s="1" t="s">
        <v>2</v>
      </c>
      <c r="B1765" s="56">
        <v>30399</v>
      </c>
      <c r="C1765" s="57">
        <v>30703</v>
      </c>
      <c r="D1765">
        <v>49</v>
      </c>
      <c r="E1765" s="57">
        <v>31741</v>
      </c>
      <c r="F1765" s="9">
        <v>1038</v>
      </c>
    </row>
    <row r="1766" spans="1:6" x14ac:dyDescent="0.25">
      <c r="A1766" s="72" t="s">
        <v>348</v>
      </c>
      <c r="B1766" s="72"/>
      <c r="C1766" s="72"/>
      <c r="D1766" s="72"/>
      <c r="E1766" s="72"/>
      <c r="F1766" s="50"/>
    </row>
    <row r="1767" spans="1:6" x14ac:dyDescent="0.25">
      <c r="A1767" s="1"/>
      <c r="B1767" s="2" t="s">
        <v>16</v>
      </c>
      <c r="C1767" s="2" t="s">
        <v>19</v>
      </c>
      <c r="D1767" s="2" t="s">
        <v>17</v>
      </c>
      <c r="E1767" s="2" t="s">
        <v>18</v>
      </c>
    </row>
    <row r="1768" spans="1:6" ht="18" x14ac:dyDescent="0.4">
      <c r="A1768" s="1" t="s">
        <v>1</v>
      </c>
      <c r="B1768" s="56">
        <v>26565</v>
      </c>
      <c r="C1768" s="4">
        <v>-36</v>
      </c>
      <c r="D1768" s="56">
        <v>11408500</v>
      </c>
      <c r="E1768" s="5">
        <v>-0.03</v>
      </c>
    </row>
    <row r="1769" spans="1:6" ht="18" x14ac:dyDescent="0.4">
      <c r="A1769" s="1" t="s">
        <v>2</v>
      </c>
      <c r="B1769" s="57">
        <v>30341</v>
      </c>
      <c r="C1769" s="4">
        <v>-72</v>
      </c>
      <c r="D1769" s="56">
        <v>908000</v>
      </c>
      <c r="E1769" s="5">
        <v>0.34</v>
      </c>
    </row>
    <row r="1774" spans="1:6" x14ac:dyDescent="0.25">
      <c r="A1774" s="6"/>
      <c r="B1774" s="6"/>
      <c r="C1774" s="6"/>
      <c r="D1774" s="6"/>
      <c r="E1774" s="6"/>
      <c r="F1774" s="6"/>
    </row>
    <row r="1775" spans="1:6" x14ac:dyDescent="0.25">
      <c r="A1775" s="72" t="s">
        <v>349</v>
      </c>
      <c r="B1775" s="72"/>
      <c r="C1775" s="72"/>
      <c r="D1775" s="72"/>
      <c r="E1775" s="72"/>
      <c r="F1775" s="72"/>
    </row>
    <row r="1776" spans="1:6" x14ac:dyDescent="0.25">
      <c r="A1776" s="1"/>
      <c r="B1776" s="2" t="s">
        <v>14</v>
      </c>
      <c r="C1776" s="2" t="s">
        <v>15</v>
      </c>
      <c r="D1776" s="2" t="s">
        <v>20</v>
      </c>
      <c r="E1776" s="8" t="s">
        <v>21</v>
      </c>
      <c r="F1776" s="8" t="s">
        <v>27</v>
      </c>
    </row>
    <row r="1777" spans="1:6" ht="18" x14ac:dyDescent="0.4">
      <c r="A1777" s="1" t="s">
        <v>1</v>
      </c>
      <c r="B1777" s="56">
        <v>26580</v>
      </c>
      <c r="C1777" s="57">
        <v>26846</v>
      </c>
      <c r="D1777">
        <v>-19</v>
      </c>
      <c r="E1777" s="57">
        <v>28400</v>
      </c>
      <c r="F1777" s="9">
        <v>1554</v>
      </c>
    </row>
    <row r="1778" spans="1:6" ht="18" x14ac:dyDescent="0.4">
      <c r="A1778" s="1" t="s">
        <v>2</v>
      </c>
      <c r="B1778" s="56">
        <v>30399</v>
      </c>
      <c r="C1778" s="57">
        <v>30703</v>
      </c>
      <c r="D1778">
        <v>0</v>
      </c>
      <c r="E1778" s="57">
        <v>31874</v>
      </c>
      <c r="F1778" s="9">
        <v>1171</v>
      </c>
    </row>
    <row r="1779" spans="1:6" x14ac:dyDescent="0.25">
      <c r="A1779" s="72" t="s">
        <v>350</v>
      </c>
      <c r="B1779" s="72"/>
      <c r="C1779" s="72"/>
      <c r="D1779" s="72"/>
      <c r="E1779" s="72"/>
      <c r="F1779" s="50"/>
    </row>
    <row r="1780" spans="1:6" x14ac:dyDescent="0.25">
      <c r="A1780" s="1"/>
      <c r="B1780" s="2" t="s">
        <v>16</v>
      </c>
      <c r="C1780" s="2" t="s">
        <v>19</v>
      </c>
      <c r="D1780" s="2" t="s">
        <v>17</v>
      </c>
      <c r="E1780" s="2" t="s">
        <v>18</v>
      </c>
    </row>
    <row r="1781" spans="1:6" ht="18" x14ac:dyDescent="0.4">
      <c r="A1781" s="1" t="s">
        <v>1</v>
      </c>
      <c r="B1781" s="56">
        <v>26574</v>
      </c>
      <c r="C1781" s="4"/>
      <c r="D1781" s="56">
        <v>12381500</v>
      </c>
      <c r="E1781" s="5">
        <v>0.09</v>
      </c>
    </row>
    <row r="1782" spans="1:6" ht="18" x14ac:dyDescent="0.4">
      <c r="A1782" s="1" t="s">
        <v>2</v>
      </c>
      <c r="B1782" s="56">
        <v>30309</v>
      </c>
      <c r="C1782" s="4"/>
      <c r="D1782" s="56">
        <v>953300</v>
      </c>
      <c r="E1782" s="5">
        <v>0.05</v>
      </c>
    </row>
    <row r="1788" spans="1:6" x14ac:dyDescent="0.25">
      <c r="A1788" s="6"/>
      <c r="B1788" s="6"/>
      <c r="C1788" s="6"/>
      <c r="D1788" s="6"/>
      <c r="E1788" s="6"/>
      <c r="F1788" s="6"/>
    </row>
    <row r="1789" spans="1:6" x14ac:dyDescent="0.25">
      <c r="A1789" s="72" t="s">
        <v>351</v>
      </c>
      <c r="B1789" s="72"/>
      <c r="C1789" s="72"/>
      <c r="D1789" s="72"/>
      <c r="E1789" s="72"/>
      <c r="F1789" s="72"/>
    </row>
    <row r="1790" spans="1:6" x14ac:dyDescent="0.25">
      <c r="A1790" s="1"/>
      <c r="B1790" s="2" t="s">
        <v>14</v>
      </c>
      <c r="C1790" s="2" t="s">
        <v>15</v>
      </c>
      <c r="D1790" s="2" t="s">
        <v>20</v>
      </c>
      <c r="E1790" s="8" t="s">
        <v>21</v>
      </c>
      <c r="F1790" s="8" t="s">
        <v>27</v>
      </c>
    </row>
    <row r="1791" spans="1:6" ht="18" x14ac:dyDescent="0.4">
      <c r="A1791" s="1" t="s">
        <v>1</v>
      </c>
      <c r="B1791" s="56">
        <v>26579</v>
      </c>
      <c r="C1791" s="57">
        <v>26845</v>
      </c>
      <c r="D1791">
        <v>-1</v>
      </c>
      <c r="E1791" s="57">
        <v>28570</v>
      </c>
      <c r="F1791" s="9">
        <v>1725</v>
      </c>
    </row>
    <row r="1792" spans="1:6" ht="18" x14ac:dyDescent="0.4">
      <c r="A1792" s="1" t="s">
        <v>2</v>
      </c>
      <c r="B1792" s="56">
        <v>30399</v>
      </c>
      <c r="C1792" s="57">
        <v>30703</v>
      </c>
      <c r="D1792">
        <v>0</v>
      </c>
      <c r="E1792" s="57">
        <v>32223</v>
      </c>
      <c r="F1792" s="9">
        <v>1520</v>
      </c>
    </row>
    <row r="1793" spans="1:6" x14ac:dyDescent="0.25">
      <c r="A1793" s="72" t="s">
        <v>352</v>
      </c>
      <c r="B1793" s="72"/>
      <c r="C1793" s="72"/>
      <c r="D1793" s="72"/>
      <c r="E1793" s="72"/>
      <c r="F1793" s="50"/>
    </row>
    <row r="1794" spans="1:6" x14ac:dyDescent="0.25">
      <c r="A1794" s="1"/>
      <c r="B1794" s="2" t="s">
        <v>16</v>
      </c>
      <c r="C1794" s="68" t="s">
        <v>353</v>
      </c>
      <c r="D1794" s="2" t="s">
        <v>17</v>
      </c>
      <c r="E1794" s="2" t="s">
        <v>18</v>
      </c>
    </row>
    <row r="1795" spans="1:6" ht="18" x14ac:dyDescent="0.4">
      <c r="A1795" s="1" t="s">
        <v>1</v>
      </c>
      <c r="B1795" s="66">
        <v>26576</v>
      </c>
      <c r="C1795" s="65">
        <v>2</v>
      </c>
      <c r="D1795" s="56">
        <v>15697800</v>
      </c>
      <c r="E1795" s="5">
        <v>0.27</v>
      </c>
    </row>
    <row r="1796" spans="1:6" ht="18" x14ac:dyDescent="0.4">
      <c r="A1796" s="1" t="s">
        <v>2</v>
      </c>
      <c r="B1796" s="67">
        <v>30386</v>
      </c>
      <c r="C1796" s="65">
        <v>77</v>
      </c>
      <c r="D1796" s="56">
        <v>1164500</v>
      </c>
      <c r="E1796" s="5">
        <v>0.22</v>
      </c>
    </row>
    <row r="1801" spans="1:6" x14ac:dyDescent="0.25">
      <c r="A1801" s="6"/>
      <c r="B1801" s="6"/>
      <c r="C1801" s="6"/>
      <c r="D1801" s="6"/>
      <c r="E1801" s="6"/>
      <c r="F1801" s="6"/>
    </row>
    <row r="1802" spans="1:6" x14ac:dyDescent="0.25">
      <c r="A1802" s="72" t="s">
        <v>354</v>
      </c>
      <c r="B1802" s="72"/>
      <c r="C1802" s="72"/>
      <c r="D1802" s="72"/>
      <c r="E1802" s="72"/>
      <c r="F1802" s="72"/>
    </row>
    <row r="1803" spans="1:6" x14ac:dyDescent="0.25">
      <c r="A1803" s="1"/>
      <c r="B1803" s="2" t="s">
        <v>14</v>
      </c>
      <c r="C1803" s="2" t="s">
        <v>15</v>
      </c>
      <c r="D1803" s="2" t="s">
        <v>20</v>
      </c>
      <c r="E1803" s="8" t="s">
        <v>21</v>
      </c>
      <c r="F1803" s="8" t="s">
        <v>27</v>
      </c>
    </row>
    <row r="1804" spans="1:6" ht="18" x14ac:dyDescent="0.4">
      <c r="A1804" s="1" t="s">
        <v>1</v>
      </c>
      <c r="B1804" s="56">
        <v>27750</v>
      </c>
      <c r="C1804" s="57">
        <v>28028</v>
      </c>
      <c r="D1804">
        <v>1183</v>
      </c>
      <c r="E1804" s="57">
        <v>29050</v>
      </c>
      <c r="F1804" s="9">
        <v>1022</v>
      </c>
    </row>
    <row r="1805" spans="1:6" ht="18" x14ac:dyDescent="0.4">
      <c r="A1805" s="1" t="s">
        <v>2</v>
      </c>
      <c r="B1805" s="56">
        <v>31492</v>
      </c>
      <c r="C1805" s="57">
        <v>31807</v>
      </c>
      <c r="D1805">
        <v>1104</v>
      </c>
      <c r="E1805" s="57">
        <v>32426</v>
      </c>
      <c r="F1805" s="9">
        <v>619</v>
      </c>
    </row>
    <row r="1806" spans="1:6" x14ac:dyDescent="0.25">
      <c r="A1806" s="72" t="s">
        <v>355</v>
      </c>
      <c r="B1806" s="72"/>
      <c r="C1806" s="72"/>
      <c r="D1806" s="72"/>
      <c r="E1806" s="72"/>
      <c r="F1806" s="50"/>
    </row>
    <row r="1807" spans="1:6" x14ac:dyDescent="0.25">
      <c r="A1807" s="1"/>
      <c r="B1807" s="2" t="s">
        <v>16</v>
      </c>
      <c r="C1807" s="68" t="s">
        <v>353</v>
      </c>
      <c r="D1807" s="2" t="s">
        <v>17</v>
      </c>
      <c r="E1807" s="2" t="s">
        <v>18</v>
      </c>
    </row>
    <row r="1808" spans="1:6" ht="18" x14ac:dyDescent="0.4">
      <c r="A1808" s="1" t="s">
        <v>1</v>
      </c>
      <c r="B1808" s="56">
        <v>27384</v>
      </c>
      <c r="C1808" s="65">
        <v>808</v>
      </c>
      <c r="D1808" s="56">
        <v>12359200</v>
      </c>
      <c r="E1808" s="5">
        <v>-0.21</v>
      </c>
    </row>
    <row r="1809" spans="1:6" ht="18" x14ac:dyDescent="0.4">
      <c r="A1809" s="1" t="s">
        <v>2</v>
      </c>
      <c r="B1809" s="57">
        <v>31335</v>
      </c>
      <c r="C1809" s="65">
        <v>949</v>
      </c>
      <c r="D1809" s="56">
        <v>1055500</v>
      </c>
      <c r="E1809" s="5">
        <v>-0.09</v>
      </c>
    </row>
    <row r="1814" spans="1:6" x14ac:dyDescent="0.25">
      <c r="A1814" s="6"/>
      <c r="B1814" s="6"/>
      <c r="C1814" s="6"/>
      <c r="D1814" s="6"/>
      <c r="E1814" s="6"/>
      <c r="F1814" s="6"/>
    </row>
    <row r="1815" spans="1:6" x14ac:dyDescent="0.25">
      <c r="A1815" s="72" t="s">
        <v>356</v>
      </c>
      <c r="B1815" s="72"/>
      <c r="C1815" s="72"/>
      <c r="D1815" s="72"/>
      <c r="E1815" s="72"/>
      <c r="F1815" s="72"/>
    </row>
    <row r="1816" spans="1:6" x14ac:dyDescent="0.25">
      <c r="A1816" s="1"/>
      <c r="B1816" s="2" t="s">
        <v>14</v>
      </c>
      <c r="C1816" s="2" t="s">
        <v>15</v>
      </c>
      <c r="D1816" s="2" t="s">
        <v>20</v>
      </c>
      <c r="E1816" s="8" t="s">
        <v>21</v>
      </c>
      <c r="F1816" s="8" t="s">
        <v>27</v>
      </c>
    </row>
    <row r="1817" spans="1:6" ht="18" x14ac:dyDescent="0.4">
      <c r="A1817" s="1" t="s">
        <v>1</v>
      </c>
      <c r="B1817" s="56">
        <v>27723</v>
      </c>
      <c r="C1817" s="57">
        <v>28001</v>
      </c>
      <c r="D1817">
        <v>-27</v>
      </c>
      <c r="E1817" s="57">
        <v>29050</v>
      </c>
      <c r="F1817" s="9">
        <v>1049</v>
      </c>
    </row>
    <row r="1818" spans="1:6" ht="18" x14ac:dyDescent="0.4">
      <c r="A1818" s="1" t="s">
        <v>2</v>
      </c>
      <c r="B1818" s="56">
        <v>31756</v>
      </c>
      <c r="C1818" s="57">
        <v>32083</v>
      </c>
      <c r="D1818">
        <v>267</v>
      </c>
      <c r="E1818" s="57">
        <v>32534</v>
      </c>
      <c r="F1818" s="9">
        <v>451</v>
      </c>
    </row>
    <row r="1819" spans="1:6" x14ac:dyDescent="0.25">
      <c r="A1819" s="72" t="s">
        <v>357</v>
      </c>
      <c r="B1819" s="72"/>
      <c r="C1819" s="72"/>
      <c r="D1819" s="72"/>
      <c r="E1819" s="72"/>
      <c r="F1819" s="50"/>
    </row>
    <row r="1820" spans="1:6" x14ac:dyDescent="0.25">
      <c r="A1820" s="1"/>
      <c r="B1820" s="2" t="s">
        <v>16</v>
      </c>
      <c r="C1820" s="68" t="s">
        <v>353</v>
      </c>
      <c r="D1820" s="2" t="s">
        <v>17</v>
      </c>
      <c r="E1820" s="2" t="s">
        <v>18</v>
      </c>
    </row>
    <row r="1821" spans="1:6" ht="18" x14ac:dyDescent="0.4">
      <c r="A1821" s="1" t="s">
        <v>1</v>
      </c>
      <c r="B1821" s="56">
        <v>27768</v>
      </c>
      <c r="C1821" s="65">
        <v>384</v>
      </c>
      <c r="D1821" s="56">
        <v>7533200</v>
      </c>
      <c r="E1821" s="5">
        <v>-0.39</v>
      </c>
    </row>
    <row r="1822" spans="1:6" ht="18" x14ac:dyDescent="0.4">
      <c r="A1822" s="1" t="s">
        <v>2</v>
      </c>
      <c r="B1822" s="57">
        <v>31703</v>
      </c>
      <c r="C1822" s="65">
        <v>368</v>
      </c>
      <c r="D1822" s="56">
        <v>442900</v>
      </c>
      <c r="E1822" s="5">
        <v>-0.57999999999999996</v>
      </c>
    </row>
    <row r="1826" spans="1:6" x14ac:dyDescent="0.25">
      <c r="A1826" s="6"/>
      <c r="B1826" s="6"/>
      <c r="C1826" s="6"/>
      <c r="D1826" s="6"/>
      <c r="E1826" s="6"/>
      <c r="F1826" s="6"/>
    </row>
    <row r="1827" spans="1:6" x14ac:dyDescent="0.25">
      <c r="A1827" s="72" t="s">
        <v>358</v>
      </c>
      <c r="B1827" s="72"/>
      <c r="C1827" s="72"/>
      <c r="D1827" s="72"/>
      <c r="E1827" s="72"/>
      <c r="F1827" s="72"/>
    </row>
    <row r="1828" spans="1:6" x14ac:dyDescent="0.25">
      <c r="A1828" s="1"/>
      <c r="B1828" s="2" t="s">
        <v>14</v>
      </c>
      <c r="C1828" s="2" t="s">
        <v>15</v>
      </c>
      <c r="D1828" s="2" t="s">
        <v>20</v>
      </c>
      <c r="E1828" s="8" t="s">
        <v>21</v>
      </c>
      <c r="F1828" s="8" t="s">
        <v>27</v>
      </c>
    </row>
    <row r="1829" spans="1:6" ht="18" x14ac:dyDescent="0.4">
      <c r="A1829" s="1" t="s">
        <v>1</v>
      </c>
      <c r="B1829" s="56">
        <v>26482</v>
      </c>
      <c r="C1829" s="57">
        <v>26746</v>
      </c>
      <c r="D1829">
        <v>-1255</v>
      </c>
      <c r="E1829" s="57">
        <v>29150</v>
      </c>
      <c r="F1829" s="9">
        <v>2404</v>
      </c>
    </row>
    <row r="1830" spans="1:6" ht="18" x14ac:dyDescent="0.4">
      <c r="A1830" s="1" t="s">
        <v>2</v>
      </c>
      <c r="B1830" s="56">
        <v>30300</v>
      </c>
      <c r="C1830" s="57">
        <v>30603</v>
      </c>
      <c r="D1830">
        <v>-1480</v>
      </c>
      <c r="E1830" s="57">
        <v>33100</v>
      </c>
      <c r="F1830" s="9">
        <v>2497</v>
      </c>
    </row>
    <row r="1831" spans="1:6" x14ac:dyDescent="0.25">
      <c r="A1831" s="72" t="s">
        <v>359</v>
      </c>
      <c r="B1831" s="72"/>
      <c r="C1831" s="72"/>
      <c r="D1831" s="72"/>
      <c r="E1831" s="72"/>
      <c r="F1831" s="50"/>
    </row>
    <row r="1832" spans="1:6" x14ac:dyDescent="0.25">
      <c r="A1832" s="1"/>
      <c r="B1832" s="2" t="s">
        <v>16</v>
      </c>
      <c r="C1832" s="68" t="s">
        <v>19</v>
      </c>
      <c r="D1832" s="2" t="s">
        <v>17</v>
      </c>
      <c r="E1832" s="2" t="s">
        <v>18</v>
      </c>
    </row>
    <row r="1833" spans="1:6" ht="18" x14ac:dyDescent="0.4">
      <c r="A1833" s="1" t="s">
        <v>1</v>
      </c>
      <c r="B1833">
        <v>27139</v>
      </c>
      <c r="C1833" s="65">
        <v>-629</v>
      </c>
      <c r="D1833" s="56">
        <v>3812700</v>
      </c>
      <c r="E1833" s="5">
        <v>-0.49</v>
      </c>
    </row>
    <row r="1834" spans="1:6" ht="18" x14ac:dyDescent="0.4">
      <c r="A1834" s="1" t="s">
        <v>2</v>
      </c>
      <c r="B1834" s="57">
        <v>30744</v>
      </c>
      <c r="C1834" s="65">
        <v>-959</v>
      </c>
      <c r="D1834" s="56">
        <v>280400</v>
      </c>
      <c r="E1834" s="5">
        <v>-0.37</v>
      </c>
    </row>
    <row r="1839" spans="1:6" x14ac:dyDescent="0.25">
      <c r="A1839" s="6"/>
      <c r="B1839" s="6"/>
      <c r="C1839" s="6"/>
      <c r="D1839" s="6"/>
      <c r="E1839" s="6"/>
      <c r="F1839" s="6"/>
    </row>
    <row r="1840" spans="1:6" x14ac:dyDescent="0.25">
      <c r="A1840" s="72" t="s">
        <v>360</v>
      </c>
      <c r="B1840" s="72"/>
      <c r="C1840" s="72"/>
      <c r="D1840" s="72"/>
      <c r="E1840" s="72"/>
      <c r="F1840" s="72"/>
    </row>
    <row r="1841" spans="1:6" x14ac:dyDescent="0.25">
      <c r="A1841" s="1"/>
      <c r="B1841" s="2" t="s">
        <v>14</v>
      </c>
      <c r="C1841" s="2" t="s">
        <v>15</v>
      </c>
      <c r="D1841" s="2" t="s">
        <v>20</v>
      </c>
      <c r="E1841" s="8" t="s">
        <v>21</v>
      </c>
      <c r="F1841" s="8" t="s">
        <v>27</v>
      </c>
    </row>
    <row r="1842" spans="1:6" ht="18" x14ac:dyDescent="0.4">
      <c r="A1842" s="1" t="s">
        <v>1</v>
      </c>
      <c r="B1842" s="56">
        <v>26063</v>
      </c>
      <c r="C1842" s="57">
        <v>26323</v>
      </c>
      <c r="D1842">
        <v>-423</v>
      </c>
      <c r="E1842" s="57">
        <v>29250</v>
      </c>
      <c r="F1842" s="9">
        <v>2927</v>
      </c>
    </row>
    <row r="1843" spans="1:6" ht="18" x14ac:dyDescent="0.4">
      <c r="A1843" s="1" t="s">
        <v>2</v>
      </c>
      <c r="B1843" s="56">
        <v>30555</v>
      </c>
      <c r="C1843" s="57">
        <v>30860</v>
      </c>
      <c r="D1843">
        <v>257</v>
      </c>
      <c r="E1843" s="57">
        <v>32986</v>
      </c>
      <c r="F1843" s="9">
        <v>2126</v>
      </c>
    </row>
    <row r="1844" spans="1:6" x14ac:dyDescent="0.25">
      <c r="A1844" s="72" t="s">
        <v>361</v>
      </c>
      <c r="B1844" s="72"/>
      <c r="C1844" s="72"/>
      <c r="D1844" s="72"/>
      <c r="E1844" s="72"/>
      <c r="F1844" s="50"/>
    </row>
    <row r="1845" spans="1:6" x14ac:dyDescent="0.25">
      <c r="A1845" s="1"/>
      <c r="B1845" s="2" t="s">
        <v>16</v>
      </c>
      <c r="C1845" s="68" t="s">
        <v>19</v>
      </c>
      <c r="D1845" s="2" t="s">
        <v>17</v>
      </c>
      <c r="E1845" s="2" t="s">
        <v>18</v>
      </c>
    </row>
    <row r="1846" spans="1:6" ht="18" x14ac:dyDescent="0.4">
      <c r="A1846" s="1" t="s">
        <v>1</v>
      </c>
      <c r="B1846">
        <v>26151</v>
      </c>
      <c r="C1846" s="65">
        <v>-988</v>
      </c>
      <c r="D1846" s="56">
        <v>3931600</v>
      </c>
      <c r="E1846" s="5">
        <v>0.03</v>
      </c>
    </row>
    <row r="1847" spans="1:6" ht="18" x14ac:dyDescent="0.4">
      <c r="A1847" s="1" t="s">
        <v>2</v>
      </c>
      <c r="B1847" s="57">
        <v>30360</v>
      </c>
      <c r="C1847" s="65">
        <v>-384</v>
      </c>
      <c r="D1847" s="56">
        <v>292500</v>
      </c>
      <c r="E1847" s="5">
        <v>0.04</v>
      </c>
    </row>
    <row r="1852" spans="1:6" x14ac:dyDescent="0.25">
      <c r="A1852" s="6"/>
      <c r="B1852" s="6"/>
      <c r="C1852" s="6"/>
      <c r="D1852" s="6"/>
      <c r="E1852" s="6"/>
      <c r="F1852" s="6"/>
    </row>
    <row r="1853" spans="1:6" x14ac:dyDescent="0.25">
      <c r="A1853" s="72" t="s">
        <v>362</v>
      </c>
      <c r="B1853" s="72"/>
      <c r="C1853" s="72"/>
      <c r="D1853" s="72"/>
      <c r="E1853" s="72"/>
      <c r="F1853" s="72"/>
    </row>
    <row r="1854" spans="1:6" x14ac:dyDescent="0.25">
      <c r="A1854" s="1"/>
      <c r="B1854" s="2" t="s">
        <v>14</v>
      </c>
      <c r="C1854" s="2" t="s">
        <v>15</v>
      </c>
      <c r="D1854" s="2" t="s">
        <v>20</v>
      </c>
      <c r="E1854" s="8" t="s">
        <v>21</v>
      </c>
      <c r="F1854" s="8" t="s">
        <v>27</v>
      </c>
    </row>
    <row r="1855" spans="1:6" ht="18" x14ac:dyDescent="0.4">
      <c r="A1855" s="1" t="s">
        <v>1</v>
      </c>
      <c r="B1855" s="56">
        <v>26196</v>
      </c>
      <c r="C1855" s="57">
        <v>26458</v>
      </c>
      <c r="D1855">
        <v>135</v>
      </c>
      <c r="E1855" s="57">
        <v>29500</v>
      </c>
      <c r="F1855" s="9">
        <v>3042</v>
      </c>
    </row>
    <row r="1856" spans="1:6" ht="18" x14ac:dyDescent="0.4">
      <c r="A1856" s="1" t="s">
        <v>2</v>
      </c>
      <c r="B1856" s="56">
        <v>30649</v>
      </c>
      <c r="C1856" s="57">
        <v>30955</v>
      </c>
      <c r="D1856">
        <v>95</v>
      </c>
      <c r="E1856" s="69">
        <v>33180</v>
      </c>
      <c r="F1856" s="9">
        <v>2225</v>
      </c>
    </row>
    <row r="1857" spans="1:7" x14ac:dyDescent="0.25">
      <c r="A1857" s="72" t="s">
        <v>363</v>
      </c>
      <c r="B1857" s="72"/>
      <c r="C1857" s="72"/>
      <c r="D1857" s="72"/>
      <c r="E1857" s="72"/>
      <c r="F1857" s="50"/>
    </row>
    <row r="1858" spans="1:7" x14ac:dyDescent="0.25">
      <c r="A1858" s="1"/>
      <c r="B1858" s="2" t="s">
        <v>16</v>
      </c>
      <c r="C1858" s="68" t="s">
        <v>19</v>
      </c>
      <c r="D1858" s="2" t="s">
        <v>17</v>
      </c>
      <c r="E1858" s="2" t="s">
        <v>18</v>
      </c>
    </row>
    <row r="1859" spans="1:7" ht="18" x14ac:dyDescent="0.4">
      <c r="A1859" s="1" t="s">
        <v>1</v>
      </c>
      <c r="B1859" s="56">
        <v>26428</v>
      </c>
      <c r="C1859" s="65">
        <v>277</v>
      </c>
      <c r="D1859" s="56">
        <v>6785800</v>
      </c>
      <c r="E1859" s="5">
        <v>0.73</v>
      </c>
      <c r="G1859">
        <f>(E1855-B1859)/B1859</f>
        <v>0.1162403511427274</v>
      </c>
    </row>
    <row r="1860" spans="1:7" ht="18" x14ac:dyDescent="0.4">
      <c r="A1860" s="1" t="s">
        <v>2</v>
      </c>
      <c r="B1860" s="57">
        <v>30420</v>
      </c>
      <c r="C1860" s="65">
        <v>60</v>
      </c>
      <c r="D1860" s="56">
        <v>469600</v>
      </c>
      <c r="E1860" s="5">
        <v>0.61</v>
      </c>
    </row>
    <row r="1864" spans="1:7" x14ac:dyDescent="0.25">
      <c r="A1864" s="6"/>
      <c r="B1864" s="6"/>
      <c r="C1864" s="6"/>
      <c r="D1864" s="6"/>
      <c r="E1864" s="6"/>
      <c r="F1864" s="6"/>
    </row>
    <row r="1865" spans="1:7" x14ac:dyDescent="0.25">
      <c r="A1865" s="72" t="s">
        <v>364</v>
      </c>
      <c r="B1865" s="72"/>
      <c r="C1865" s="72"/>
      <c r="D1865" s="72"/>
      <c r="E1865" s="72"/>
      <c r="F1865" s="72"/>
    </row>
    <row r="1866" spans="1:7" x14ac:dyDescent="0.25">
      <c r="A1866" s="1"/>
      <c r="B1866" s="2" t="s">
        <v>14</v>
      </c>
      <c r="C1866" s="2" t="s">
        <v>15</v>
      </c>
      <c r="D1866" s="2" t="s">
        <v>20</v>
      </c>
      <c r="E1866" s="8" t="s">
        <v>21</v>
      </c>
      <c r="F1866" s="8" t="s">
        <v>27</v>
      </c>
    </row>
    <row r="1867" spans="1:7" ht="18" x14ac:dyDescent="0.4">
      <c r="A1867" s="1" t="s">
        <v>1</v>
      </c>
      <c r="B1867" s="56">
        <v>26218</v>
      </c>
      <c r="C1867" s="57">
        <v>26480</v>
      </c>
      <c r="D1867">
        <v>22</v>
      </c>
      <c r="E1867" s="57">
        <v>29110</v>
      </c>
      <c r="F1867" s="9">
        <v>2630</v>
      </c>
    </row>
    <row r="1868" spans="1:7" ht="18" x14ac:dyDescent="0.4">
      <c r="A1868" s="1" t="s">
        <v>2</v>
      </c>
      <c r="B1868" s="56">
        <v>30582</v>
      </c>
      <c r="C1868" s="57">
        <v>30888</v>
      </c>
      <c r="D1868">
        <v>-67</v>
      </c>
      <c r="E1868" s="69">
        <v>33057</v>
      </c>
      <c r="F1868" s="9">
        <v>2169</v>
      </c>
    </row>
    <row r="1869" spans="1:7" x14ac:dyDescent="0.25">
      <c r="A1869" s="72" t="s">
        <v>365</v>
      </c>
      <c r="B1869" s="72"/>
      <c r="C1869" s="72"/>
      <c r="D1869" s="72"/>
      <c r="E1869" s="72"/>
      <c r="F1869" s="50"/>
    </row>
    <row r="1870" spans="1:7" x14ac:dyDescent="0.25">
      <c r="A1870" s="1"/>
      <c r="B1870" s="2" t="s">
        <v>16</v>
      </c>
      <c r="C1870" s="68" t="s">
        <v>19</v>
      </c>
      <c r="D1870" s="2" t="s">
        <v>17</v>
      </c>
      <c r="E1870" s="2" t="s">
        <v>18</v>
      </c>
    </row>
    <row r="1871" spans="1:7" ht="18" x14ac:dyDescent="0.4">
      <c r="A1871" s="1" t="s">
        <v>1</v>
      </c>
      <c r="B1871" s="56">
        <v>26243</v>
      </c>
      <c r="C1871" s="65">
        <v>-185</v>
      </c>
      <c r="D1871" s="56">
        <v>6483300</v>
      </c>
      <c r="E1871" s="5">
        <v>-0.04</v>
      </c>
    </row>
    <row r="1872" spans="1:7" ht="18" x14ac:dyDescent="0.4">
      <c r="A1872" s="1" t="s">
        <v>2</v>
      </c>
      <c r="B1872" s="57">
        <v>30477</v>
      </c>
      <c r="C1872" s="65">
        <v>57</v>
      </c>
      <c r="D1872" s="56">
        <v>324600</v>
      </c>
      <c r="E1872" s="5">
        <v>-0.31</v>
      </c>
    </row>
    <row r="1877" spans="1:6" x14ac:dyDescent="0.25">
      <c r="A1877" s="6"/>
      <c r="B1877" s="6"/>
      <c r="C1877" s="6"/>
      <c r="D1877" s="6"/>
      <c r="E1877" s="6"/>
      <c r="F1877" s="6"/>
    </row>
    <row r="1878" spans="1:6" x14ac:dyDescent="0.25">
      <c r="A1878" s="72" t="s">
        <v>366</v>
      </c>
      <c r="B1878" s="72"/>
      <c r="C1878" s="72"/>
      <c r="D1878" s="72"/>
      <c r="E1878" s="72"/>
      <c r="F1878" s="72"/>
    </row>
    <row r="1879" spans="1:6" x14ac:dyDescent="0.25">
      <c r="A1879" s="1"/>
      <c r="B1879" s="2" t="s">
        <v>14</v>
      </c>
      <c r="C1879" s="2" t="s">
        <v>15</v>
      </c>
      <c r="D1879" s="2" t="s">
        <v>20</v>
      </c>
      <c r="E1879" s="8" t="s">
        <v>21</v>
      </c>
      <c r="F1879" s="8" t="s">
        <v>27</v>
      </c>
    </row>
    <row r="1880" spans="1:6" ht="18" x14ac:dyDescent="0.4">
      <c r="A1880" s="1" t="s">
        <v>1</v>
      </c>
      <c r="B1880" s="56">
        <v>26361</v>
      </c>
      <c r="C1880" s="57">
        <v>26624</v>
      </c>
      <c r="D1880">
        <v>144</v>
      </c>
      <c r="E1880" s="57">
        <v>29270</v>
      </c>
      <c r="F1880" s="9">
        <v>2646</v>
      </c>
    </row>
    <row r="1881" spans="1:6" ht="18" x14ac:dyDescent="0.4">
      <c r="A1881" s="1" t="s">
        <v>2</v>
      </c>
      <c r="B1881" s="56">
        <v>30349</v>
      </c>
      <c r="C1881" s="57">
        <v>30652</v>
      </c>
      <c r="D1881">
        <v>-236</v>
      </c>
      <c r="E1881" s="69">
        <v>33055</v>
      </c>
      <c r="F1881" s="9">
        <v>2403</v>
      </c>
    </row>
    <row r="1882" spans="1:6" x14ac:dyDescent="0.25">
      <c r="A1882" s="72" t="s">
        <v>367</v>
      </c>
      <c r="B1882" s="72"/>
      <c r="C1882" s="72"/>
      <c r="D1882" s="72"/>
      <c r="E1882" s="72"/>
      <c r="F1882" s="50"/>
    </row>
    <row r="1883" spans="1:6" x14ac:dyDescent="0.25">
      <c r="A1883" s="1"/>
      <c r="B1883" s="2" t="s">
        <v>16</v>
      </c>
      <c r="C1883" s="68" t="s">
        <v>19</v>
      </c>
      <c r="D1883" s="2" t="s">
        <v>17</v>
      </c>
      <c r="E1883" s="2" t="s">
        <v>18</v>
      </c>
    </row>
    <row r="1884" spans="1:6" ht="18" x14ac:dyDescent="0.4">
      <c r="A1884" s="1" t="s">
        <v>1</v>
      </c>
      <c r="B1884" s="56">
        <v>26418</v>
      </c>
      <c r="C1884" s="65">
        <v>175</v>
      </c>
      <c r="D1884" s="56">
        <v>8065200</v>
      </c>
      <c r="E1884" s="5">
        <v>0.24</v>
      </c>
    </row>
    <row r="1885" spans="1:6" ht="18" x14ac:dyDescent="0.4">
      <c r="A1885" s="1" t="s">
        <v>2</v>
      </c>
      <c r="B1885" s="57">
        <v>30400</v>
      </c>
      <c r="C1885" s="65">
        <v>-77</v>
      </c>
      <c r="D1885" s="56">
        <v>384900</v>
      </c>
      <c r="E1885" s="5">
        <v>0.19</v>
      </c>
    </row>
    <row r="1889" spans="1:6" x14ac:dyDescent="0.25">
      <c r="A1889" s="6"/>
      <c r="B1889" s="6"/>
      <c r="C1889" s="6"/>
      <c r="D1889" s="6"/>
      <c r="E1889" s="6"/>
      <c r="F1889" s="6"/>
    </row>
    <row r="1890" spans="1:6" x14ac:dyDescent="0.25">
      <c r="A1890" s="72" t="s">
        <v>368</v>
      </c>
      <c r="B1890" s="72"/>
      <c r="C1890" s="72"/>
      <c r="D1890" s="72"/>
      <c r="E1890" s="72"/>
      <c r="F1890" s="72"/>
    </row>
    <row r="1891" spans="1:6" x14ac:dyDescent="0.25">
      <c r="A1891" s="1"/>
      <c r="B1891" s="2" t="s">
        <v>14</v>
      </c>
      <c r="C1891" s="2" t="s">
        <v>15</v>
      </c>
      <c r="D1891" s="2" t="s">
        <v>20</v>
      </c>
      <c r="E1891" s="8" t="s">
        <v>21</v>
      </c>
      <c r="F1891" s="8" t="s">
        <v>27</v>
      </c>
    </row>
    <row r="1892" spans="1:6" ht="18" x14ac:dyDescent="0.4">
      <c r="A1892" s="1" t="s">
        <v>1</v>
      </c>
      <c r="B1892" s="56">
        <v>27059</v>
      </c>
      <c r="C1892" s="57">
        <v>27329</v>
      </c>
      <c r="D1892">
        <v>705</v>
      </c>
      <c r="E1892" s="57">
        <v>29360</v>
      </c>
      <c r="F1892" s="9">
        <v>2031</v>
      </c>
    </row>
    <row r="1893" spans="1:6" ht="18" x14ac:dyDescent="0.4">
      <c r="A1893" s="1" t="s">
        <v>2</v>
      </c>
      <c r="B1893" s="56">
        <v>31287</v>
      </c>
      <c r="C1893" s="57">
        <v>31599</v>
      </c>
      <c r="D1893">
        <v>947</v>
      </c>
      <c r="E1893" s="57">
        <v>33098</v>
      </c>
      <c r="F1893" s="9">
        <v>1499</v>
      </c>
    </row>
    <row r="1894" spans="1:6" x14ac:dyDescent="0.25">
      <c r="A1894" s="72" t="s">
        <v>369</v>
      </c>
      <c r="B1894" s="72"/>
      <c r="C1894" s="72"/>
      <c r="D1894" s="72"/>
      <c r="E1894" s="72"/>
      <c r="F1894" s="50"/>
    </row>
    <row r="1895" spans="1:6" x14ac:dyDescent="0.25">
      <c r="A1895" s="1"/>
      <c r="B1895" s="2" t="s">
        <v>16</v>
      </c>
      <c r="C1895" s="68" t="s">
        <v>19</v>
      </c>
      <c r="D1895" s="2" t="s">
        <v>17</v>
      </c>
      <c r="E1895" s="2" t="s">
        <v>18</v>
      </c>
    </row>
    <row r="1896" spans="1:6" ht="18" x14ac:dyDescent="0.4">
      <c r="A1896" s="1" t="s">
        <v>1</v>
      </c>
      <c r="B1896" s="56">
        <v>26673</v>
      </c>
      <c r="C1896" s="65">
        <v>255</v>
      </c>
      <c r="D1896" s="56">
        <v>5925100</v>
      </c>
      <c r="E1896" s="5">
        <v>-0.27</v>
      </c>
    </row>
    <row r="1897" spans="1:6" ht="18" x14ac:dyDescent="0.4">
      <c r="A1897" s="1" t="s">
        <v>2</v>
      </c>
      <c r="B1897" s="57">
        <v>31272</v>
      </c>
      <c r="C1897" s="65">
        <v>872</v>
      </c>
      <c r="D1897" s="56">
        <v>177600</v>
      </c>
      <c r="E1897" s="5">
        <v>-0.54</v>
      </c>
    </row>
    <row r="1902" spans="1:6" x14ac:dyDescent="0.25">
      <c r="A1902" s="6"/>
      <c r="B1902" s="6"/>
      <c r="C1902" s="6"/>
      <c r="D1902" s="6"/>
      <c r="E1902" s="6"/>
      <c r="F1902" s="6"/>
    </row>
    <row r="1903" spans="1:6" x14ac:dyDescent="0.25">
      <c r="A1903" s="72" t="s">
        <v>370</v>
      </c>
      <c r="B1903" s="72"/>
      <c r="C1903" s="72"/>
      <c r="D1903" s="72"/>
      <c r="E1903" s="72"/>
      <c r="F1903" s="72"/>
    </row>
    <row r="1904" spans="1:6" x14ac:dyDescent="0.25">
      <c r="A1904" s="1"/>
      <c r="B1904" s="2" t="s">
        <v>14</v>
      </c>
      <c r="C1904" s="2" t="s">
        <v>15</v>
      </c>
      <c r="D1904" s="2" t="s">
        <v>20</v>
      </c>
      <c r="E1904" s="8" t="s">
        <v>21</v>
      </c>
      <c r="F1904" s="8" t="s">
        <v>27</v>
      </c>
    </row>
    <row r="1905" spans="1:6" ht="18" x14ac:dyDescent="0.4">
      <c r="A1905" s="1" t="s">
        <v>1</v>
      </c>
      <c r="B1905" s="56">
        <v>27699</v>
      </c>
      <c r="C1905" s="57">
        <v>27976</v>
      </c>
      <c r="D1905">
        <v>647</v>
      </c>
      <c r="E1905" s="57">
        <v>30180</v>
      </c>
      <c r="F1905" s="9">
        <v>2204</v>
      </c>
    </row>
    <row r="1906" spans="1:6" ht="18" x14ac:dyDescent="0.4">
      <c r="A1906" s="1" t="s">
        <v>2</v>
      </c>
      <c r="B1906" s="56">
        <v>32270</v>
      </c>
      <c r="C1906" s="57">
        <v>32593</v>
      </c>
      <c r="D1906">
        <v>994</v>
      </c>
      <c r="E1906" s="57">
        <v>33906</v>
      </c>
      <c r="F1906" s="9">
        <v>1313</v>
      </c>
    </row>
    <row r="1907" spans="1:6" x14ac:dyDescent="0.25">
      <c r="A1907" s="72" t="s">
        <v>371</v>
      </c>
      <c r="B1907" s="72"/>
      <c r="C1907" s="72"/>
      <c r="D1907" s="72"/>
      <c r="E1907" s="72"/>
      <c r="F1907" s="50"/>
    </row>
    <row r="1908" spans="1:6" x14ac:dyDescent="0.25">
      <c r="A1908" s="1"/>
      <c r="B1908" s="2" t="s">
        <v>16</v>
      </c>
      <c r="C1908" s="68" t="s">
        <v>19</v>
      </c>
      <c r="D1908" s="2" t="s">
        <v>17</v>
      </c>
      <c r="E1908" s="2" t="s">
        <v>18</v>
      </c>
    </row>
    <row r="1909" spans="1:6" ht="18" x14ac:dyDescent="0.4">
      <c r="A1909" s="1" t="s">
        <v>1</v>
      </c>
      <c r="B1909" s="56">
        <v>27715</v>
      </c>
      <c r="C1909" s="65">
        <v>1042</v>
      </c>
      <c r="D1909" s="56">
        <v>10546800</v>
      </c>
      <c r="E1909" s="5">
        <v>0.78</v>
      </c>
    </row>
    <row r="1910" spans="1:6" ht="18" x14ac:dyDescent="0.4">
      <c r="A1910" s="1" t="s">
        <v>2</v>
      </c>
      <c r="B1910" s="57">
        <v>31905</v>
      </c>
      <c r="C1910" s="65">
        <v>633</v>
      </c>
      <c r="D1910" s="56">
        <v>581800</v>
      </c>
      <c r="E1910" s="5">
        <v>2.2799999999999998</v>
      </c>
    </row>
    <row r="1915" spans="1:6" x14ac:dyDescent="0.25">
      <c r="A1915" s="6"/>
      <c r="B1915" s="6"/>
      <c r="C1915" s="6"/>
      <c r="D1915" s="6"/>
      <c r="E1915" s="6"/>
      <c r="F1915" s="6"/>
    </row>
    <row r="1916" spans="1:6" x14ac:dyDescent="0.25">
      <c r="A1916" s="72" t="s">
        <v>372</v>
      </c>
      <c r="B1916" s="72"/>
      <c r="C1916" s="72"/>
      <c r="D1916" s="72"/>
      <c r="E1916" s="72"/>
      <c r="F1916" s="72"/>
    </row>
    <row r="1917" spans="1:6" x14ac:dyDescent="0.25">
      <c r="A1917" s="1"/>
      <c r="B1917" s="2" t="s">
        <v>14</v>
      </c>
      <c r="C1917" s="2" t="s">
        <v>15</v>
      </c>
      <c r="D1917" s="2" t="s">
        <v>20</v>
      </c>
      <c r="E1917" s="8" t="s">
        <v>21</v>
      </c>
      <c r="F1917" s="8" t="s">
        <v>27</v>
      </c>
    </row>
    <row r="1918" spans="1:6" ht="18" x14ac:dyDescent="0.4">
      <c r="A1918" s="1" t="s">
        <v>1</v>
      </c>
      <c r="B1918" s="56">
        <v>27521</v>
      </c>
      <c r="C1918" s="57">
        <v>27796</v>
      </c>
      <c r="D1918">
        <v>-180</v>
      </c>
      <c r="E1918" s="57">
        <v>30320</v>
      </c>
      <c r="F1918" s="9">
        <v>2524</v>
      </c>
    </row>
    <row r="1919" spans="1:6" ht="18" x14ac:dyDescent="0.4">
      <c r="A1919" s="1" t="s">
        <v>2</v>
      </c>
      <c r="B1919" s="56">
        <v>31849</v>
      </c>
      <c r="C1919" s="57">
        <v>32167</v>
      </c>
      <c r="D1919">
        <v>-426</v>
      </c>
      <c r="E1919" s="57">
        <v>34030</v>
      </c>
      <c r="F1919" s="9">
        <v>1863</v>
      </c>
    </row>
    <row r="1920" spans="1:6" x14ac:dyDescent="0.25">
      <c r="A1920" s="72" t="s">
        <v>373</v>
      </c>
      <c r="B1920" s="72"/>
      <c r="C1920" s="72"/>
      <c r="D1920" s="72"/>
      <c r="E1920" s="72"/>
      <c r="F1920" s="50"/>
    </row>
    <row r="1921" spans="1:6" x14ac:dyDescent="0.25">
      <c r="A1921" s="1"/>
      <c r="B1921" s="2" t="s">
        <v>16</v>
      </c>
      <c r="C1921" s="68" t="s">
        <v>19</v>
      </c>
      <c r="D1921" s="2" t="s">
        <v>17</v>
      </c>
      <c r="E1921" s="2" t="s">
        <v>18</v>
      </c>
    </row>
    <row r="1922" spans="1:6" ht="18" x14ac:dyDescent="0.4">
      <c r="A1922" s="1" t="s">
        <v>1</v>
      </c>
      <c r="B1922" s="56">
        <v>27600</v>
      </c>
      <c r="C1922" s="65">
        <v>-115</v>
      </c>
      <c r="D1922" s="56">
        <v>8650200</v>
      </c>
      <c r="E1922" s="5">
        <v>-0.18</v>
      </c>
    </row>
    <row r="1923" spans="1:6" ht="18" x14ac:dyDescent="0.4">
      <c r="A1923" s="1" t="s">
        <v>2</v>
      </c>
      <c r="B1923" s="57">
        <v>31779</v>
      </c>
      <c r="C1923" s="65">
        <v>-126</v>
      </c>
      <c r="D1923" s="56">
        <v>735800</v>
      </c>
      <c r="E1923" s="5">
        <v>0.26</v>
      </c>
    </row>
    <row r="1927" spans="1:6" x14ac:dyDescent="0.25">
      <c r="A1927" s="6"/>
      <c r="B1927" s="6"/>
      <c r="C1927" s="6"/>
      <c r="D1927" s="6"/>
      <c r="E1927" s="6"/>
      <c r="F1927" s="6"/>
    </row>
    <row r="1928" spans="1:6" x14ac:dyDescent="0.25">
      <c r="A1928" s="72" t="s">
        <v>374</v>
      </c>
      <c r="B1928" s="72"/>
      <c r="C1928" s="72"/>
      <c r="D1928" s="72"/>
      <c r="E1928" s="72"/>
      <c r="F1928" s="72"/>
    </row>
    <row r="1929" spans="1:6" x14ac:dyDescent="0.25">
      <c r="A1929" s="1"/>
      <c r="B1929" s="2" t="s">
        <v>14</v>
      </c>
      <c r="C1929" s="2" t="s">
        <v>15</v>
      </c>
      <c r="D1929" s="2" t="s">
        <v>20</v>
      </c>
      <c r="E1929" s="8" t="s">
        <v>21</v>
      </c>
      <c r="F1929" s="8" t="s">
        <v>27</v>
      </c>
    </row>
    <row r="1930" spans="1:6" ht="18" x14ac:dyDescent="0.4">
      <c r="A1930" s="1" t="s">
        <v>1</v>
      </c>
      <c r="B1930" s="70">
        <v>27580</v>
      </c>
      <c r="C1930" s="57">
        <v>27855</v>
      </c>
      <c r="D1930">
        <v>59</v>
      </c>
      <c r="E1930" s="57">
        <v>30550</v>
      </c>
      <c r="F1930" s="9">
        <v>2695</v>
      </c>
    </row>
    <row r="1931" spans="1:6" ht="18" x14ac:dyDescent="0.4">
      <c r="A1931" s="1" t="s">
        <v>2</v>
      </c>
      <c r="B1931" s="70">
        <v>31749</v>
      </c>
      <c r="C1931" s="57">
        <v>32066</v>
      </c>
      <c r="D1931">
        <v>-101</v>
      </c>
      <c r="E1931" s="57">
        <v>34239</v>
      </c>
      <c r="F1931" s="9">
        <v>2173</v>
      </c>
    </row>
    <row r="1932" spans="1:6" x14ac:dyDescent="0.25">
      <c r="A1932" s="72" t="s">
        <v>375</v>
      </c>
      <c r="B1932" s="72"/>
      <c r="C1932" s="72"/>
      <c r="D1932" s="72"/>
      <c r="E1932" s="72"/>
      <c r="F1932" s="50"/>
    </row>
    <row r="1933" spans="1:6" x14ac:dyDescent="0.25">
      <c r="A1933" s="1"/>
      <c r="B1933" s="2" t="s">
        <v>16</v>
      </c>
      <c r="C1933" s="68" t="s">
        <v>19</v>
      </c>
      <c r="D1933" s="2" t="s">
        <v>17</v>
      </c>
      <c r="E1933" s="2" t="s">
        <v>18</v>
      </c>
    </row>
    <row r="1934" spans="1:6" ht="18" x14ac:dyDescent="0.4">
      <c r="A1934" s="1" t="s">
        <v>1</v>
      </c>
      <c r="B1934" s="70">
        <v>27569</v>
      </c>
      <c r="C1934" s="65">
        <v>-31</v>
      </c>
      <c r="D1934" s="70">
        <v>9482800</v>
      </c>
      <c r="E1934" s="5">
        <v>0.1</v>
      </c>
    </row>
    <row r="1935" spans="1:6" ht="18" x14ac:dyDescent="0.4">
      <c r="A1935" s="1" t="s">
        <v>2</v>
      </c>
      <c r="B1935" s="57">
        <v>31730</v>
      </c>
      <c r="C1935" s="65">
        <v>-49</v>
      </c>
      <c r="D1935" s="70">
        <v>1007900</v>
      </c>
      <c r="E1935" s="5">
        <v>0.37</v>
      </c>
    </row>
    <row r="1939" spans="1:6" x14ac:dyDescent="0.25">
      <c r="A1939" s="6"/>
      <c r="B1939" s="6"/>
      <c r="C1939" s="6"/>
      <c r="D1939" s="6"/>
      <c r="E1939" s="6"/>
      <c r="F1939" s="6"/>
    </row>
    <row r="1940" spans="1:6" x14ac:dyDescent="0.25">
      <c r="A1940" s="72" t="s">
        <v>376</v>
      </c>
      <c r="B1940" s="72"/>
      <c r="C1940" s="72"/>
      <c r="D1940" s="72"/>
      <c r="E1940" s="72"/>
      <c r="F1940" s="72"/>
    </row>
    <row r="1941" spans="1:6" x14ac:dyDescent="0.25">
      <c r="A1941" s="1"/>
      <c r="B1941" s="2" t="s">
        <v>14</v>
      </c>
      <c r="C1941" s="2" t="s">
        <v>15</v>
      </c>
      <c r="D1941" s="2" t="s">
        <v>20</v>
      </c>
      <c r="E1941" s="8" t="s">
        <v>377</v>
      </c>
      <c r="F1941" s="8" t="s">
        <v>378</v>
      </c>
    </row>
    <row r="1942" spans="1:6" ht="18" x14ac:dyDescent="0.4">
      <c r="A1942" s="1" t="s">
        <v>1</v>
      </c>
      <c r="B1942" s="70">
        <v>27563</v>
      </c>
      <c r="C1942" s="57">
        <v>27839</v>
      </c>
      <c r="D1942">
        <v>-16</v>
      </c>
      <c r="E1942" s="57">
        <v>30920</v>
      </c>
      <c r="F1942" s="9">
        <v>3081</v>
      </c>
    </row>
    <row r="1943" spans="1:6" ht="18" x14ac:dyDescent="0.4">
      <c r="A1943" s="1" t="s">
        <v>2</v>
      </c>
      <c r="B1943" s="70">
        <v>31738</v>
      </c>
      <c r="C1943" s="57">
        <v>32056</v>
      </c>
      <c r="D1943">
        <v>-10</v>
      </c>
      <c r="E1943" s="57">
        <v>34492</v>
      </c>
      <c r="F1943" s="9">
        <v>2436</v>
      </c>
    </row>
    <row r="1944" spans="1:6" x14ac:dyDescent="0.25">
      <c r="A1944" s="7"/>
      <c r="B1944" s="7"/>
      <c r="C1944" s="7"/>
      <c r="D1944" s="71" t="s">
        <v>379</v>
      </c>
      <c r="E1944" s="71"/>
      <c r="F1944" s="50"/>
    </row>
    <row r="1945" spans="1:6" x14ac:dyDescent="0.25">
      <c r="A1945" s="1"/>
      <c r="B1945" s="2" t="s">
        <v>16</v>
      </c>
      <c r="C1945" s="68" t="s">
        <v>19</v>
      </c>
      <c r="D1945" s="2" t="s">
        <v>17</v>
      </c>
      <c r="E1945" s="2" t="s">
        <v>18</v>
      </c>
    </row>
    <row r="1946" spans="1:6" ht="18" x14ac:dyDescent="0.4">
      <c r="A1946" s="1" t="s">
        <v>1</v>
      </c>
      <c r="B1946" s="70">
        <v>27567</v>
      </c>
      <c r="C1946" s="65">
        <v>-2</v>
      </c>
      <c r="D1946" s="70">
        <v>8914500</v>
      </c>
      <c r="E1946" s="5">
        <v>-0.06</v>
      </c>
    </row>
    <row r="1947" spans="1:6" ht="18" x14ac:dyDescent="0.4">
      <c r="A1947" s="1" t="s">
        <v>2</v>
      </c>
      <c r="B1947" s="57">
        <v>31733</v>
      </c>
      <c r="C1947" s="65">
        <v>3</v>
      </c>
      <c r="D1947" s="70">
        <v>779400</v>
      </c>
      <c r="E1947" s="5">
        <v>-0.23</v>
      </c>
    </row>
    <row r="1952" spans="1:6" x14ac:dyDescent="0.25">
      <c r="A1952" s="6"/>
      <c r="B1952" s="6"/>
      <c r="C1952" s="6"/>
      <c r="D1952" s="6"/>
      <c r="E1952" s="6"/>
    </row>
    <row r="1953" spans="1:5" x14ac:dyDescent="0.25">
      <c r="A1953" s="72" t="s">
        <v>380</v>
      </c>
      <c r="B1953" s="72"/>
      <c r="C1953" s="72"/>
      <c r="D1953" s="72"/>
      <c r="E1953" s="72"/>
    </row>
    <row r="1954" spans="1:5" x14ac:dyDescent="0.25">
      <c r="A1954" s="1"/>
      <c r="B1954" s="2" t="s">
        <v>14</v>
      </c>
      <c r="C1954" s="2" t="s">
        <v>15</v>
      </c>
      <c r="D1954" s="2" t="s">
        <v>20</v>
      </c>
      <c r="E1954" s="8" t="s">
        <v>381</v>
      </c>
    </row>
    <row r="1955" spans="1:5" ht="18" x14ac:dyDescent="0.4">
      <c r="A1955" s="1" t="s">
        <v>1</v>
      </c>
      <c r="B1955" s="70">
        <v>27400</v>
      </c>
      <c r="C1955" s="57">
        <v>27674</v>
      </c>
      <c r="D1955">
        <v>-165</v>
      </c>
      <c r="E1955" s="57">
        <v>-163</v>
      </c>
    </row>
    <row r="1956" spans="1:5" ht="18" x14ac:dyDescent="0.4">
      <c r="A1956" s="1" t="s">
        <v>2</v>
      </c>
      <c r="B1956" s="70">
        <v>31734</v>
      </c>
      <c r="C1956" s="57">
        <v>32051</v>
      </c>
      <c r="D1956">
        <v>-5</v>
      </c>
      <c r="E1956" s="57">
        <v>-4</v>
      </c>
    </row>
    <row r="1957" spans="1:5" x14ac:dyDescent="0.25">
      <c r="B1957" s="73" t="s">
        <v>382</v>
      </c>
      <c r="C1957" s="73"/>
    </row>
    <row r="1958" spans="1:5" x14ac:dyDescent="0.25">
      <c r="B1958" s="2" t="s">
        <v>17</v>
      </c>
      <c r="C1958" s="2" t="s">
        <v>18</v>
      </c>
    </row>
    <row r="1959" spans="1:5" ht="18" x14ac:dyDescent="0.4">
      <c r="A1959" s="1" t="s">
        <v>1</v>
      </c>
      <c r="B1959" s="70">
        <v>9655800</v>
      </c>
      <c r="C1959" s="5">
        <v>0.08</v>
      </c>
    </row>
    <row r="1960" spans="1:5" ht="18" x14ac:dyDescent="0.4">
      <c r="A1960" s="1" t="s">
        <v>2</v>
      </c>
      <c r="B1960" s="70">
        <v>468000</v>
      </c>
      <c r="C1960" s="5">
        <v>-0.4</v>
      </c>
    </row>
    <row r="1965" spans="1:5" x14ac:dyDescent="0.25">
      <c r="A1965" s="6"/>
      <c r="B1965" s="6"/>
      <c r="C1965" s="6"/>
      <c r="D1965" s="6"/>
      <c r="E1965" s="6"/>
    </row>
    <row r="1966" spans="1:5" x14ac:dyDescent="0.25">
      <c r="A1966" s="72" t="s">
        <v>383</v>
      </c>
      <c r="B1966" s="72"/>
      <c r="C1966" s="72"/>
      <c r="D1966" s="72"/>
      <c r="E1966" s="72"/>
    </row>
    <row r="1967" spans="1:5" x14ac:dyDescent="0.25">
      <c r="A1967" s="1"/>
      <c r="B1967" s="2" t="s">
        <v>14</v>
      </c>
      <c r="C1967" s="2" t="s">
        <v>15</v>
      </c>
      <c r="D1967" s="2" t="s">
        <v>381</v>
      </c>
      <c r="E1967" s="8" t="s">
        <v>20</v>
      </c>
    </row>
    <row r="1968" spans="1:5" ht="18" x14ac:dyDescent="0.4">
      <c r="A1968" s="1" t="s">
        <v>1</v>
      </c>
      <c r="B1968" s="70">
        <v>27450</v>
      </c>
      <c r="C1968" s="57">
        <v>27724</v>
      </c>
      <c r="D1968">
        <v>50</v>
      </c>
      <c r="E1968" s="57">
        <v>50</v>
      </c>
    </row>
    <row r="1969" spans="1:5" ht="18" x14ac:dyDescent="0.4">
      <c r="A1969" s="1" t="s">
        <v>2</v>
      </c>
      <c r="B1969" s="70">
        <v>31678</v>
      </c>
      <c r="C1969" s="57">
        <v>31995</v>
      </c>
      <c r="D1969">
        <v>-56</v>
      </c>
      <c r="E1969" s="57">
        <v>-56</v>
      </c>
    </row>
    <row r="1970" spans="1:5" x14ac:dyDescent="0.25">
      <c r="B1970" s="73" t="s">
        <v>384</v>
      </c>
      <c r="C1970" s="73"/>
    </row>
    <row r="1971" spans="1:5" x14ac:dyDescent="0.25">
      <c r="B1971" s="2" t="s">
        <v>17</v>
      </c>
      <c r="C1971" s="2" t="s">
        <v>18</v>
      </c>
    </row>
    <row r="1972" spans="1:5" ht="18" x14ac:dyDescent="0.4">
      <c r="A1972" s="1" t="s">
        <v>1</v>
      </c>
      <c r="B1972" s="70">
        <v>7115400</v>
      </c>
      <c r="C1972" s="5">
        <v>-0.26</v>
      </c>
    </row>
    <row r="1973" spans="1:5" ht="18" x14ac:dyDescent="0.4">
      <c r="A1973" s="1" t="s">
        <v>2</v>
      </c>
      <c r="B1973" s="70">
        <v>317500</v>
      </c>
      <c r="C1973" s="5">
        <v>-0.32</v>
      </c>
    </row>
    <row r="1978" spans="1:5" x14ac:dyDescent="0.25">
      <c r="A1978" s="6"/>
      <c r="B1978" s="6"/>
      <c r="C1978" s="6"/>
      <c r="D1978" s="6"/>
      <c r="E1978" s="6"/>
    </row>
    <row r="1979" spans="1:5" x14ac:dyDescent="0.25">
      <c r="A1979" s="72" t="s">
        <v>385</v>
      </c>
      <c r="B1979" s="72"/>
      <c r="C1979" s="72"/>
      <c r="D1979" s="72"/>
      <c r="E1979" s="72"/>
    </row>
    <row r="1980" spans="1:5" x14ac:dyDescent="0.25">
      <c r="A1980" s="1"/>
      <c r="B1980" s="2" t="s">
        <v>14</v>
      </c>
      <c r="C1980" s="2" t="s">
        <v>15</v>
      </c>
      <c r="D1980" s="2" t="s">
        <v>381</v>
      </c>
      <c r="E1980" s="8" t="s">
        <v>20</v>
      </c>
    </row>
    <row r="1981" spans="1:5" ht="18" x14ac:dyDescent="0.4">
      <c r="A1981" s="1" t="s">
        <v>1</v>
      </c>
      <c r="B1981" s="70">
        <v>27435</v>
      </c>
      <c r="C1981" s="57">
        <v>27709</v>
      </c>
      <c r="D1981">
        <v>-15</v>
      </c>
      <c r="E1981" s="57">
        <v>-15</v>
      </c>
    </row>
    <row r="1982" spans="1:5" ht="18" x14ac:dyDescent="0.4">
      <c r="A1982" s="1" t="s">
        <v>2</v>
      </c>
      <c r="B1982" s="70">
        <v>31634</v>
      </c>
      <c r="C1982" s="57">
        <v>31950</v>
      </c>
      <c r="D1982">
        <v>-44</v>
      </c>
      <c r="E1982" s="57">
        <v>-45</v>
      </c>
    </row>
    <row r="1983" spans="1:5" x14ac:dyDescent="0.25">
      <c r="B1983" s="73" t="s">
        <v>386</v>
      </c>
      <c r="C1983" s="73"/>
    </row>
    <row r="1984" spans="1:5" x14ac:dyDescent="0.25">
      <c r="B1984" s="2" t="s">
        <v>17</v>
      </c>
      <c r="C1984" s="2" t="s">
        <v>18</v>
      </c>
    </row>
    <row r="1985" spans="1:5" ht="18" x14ac:dyDescent="0.4">
      <c r="A1985" s="1" t="s">
        <v>1</v>
      </c>
      <c r="B1985" s="70">
        <v>7427800</v>
      </c>
      <c r="C1985" s="5">
        <v>0.04</v>
      </c>
    </row>
    <row r="1986" spans="1:5" ht="18" x14ac:dyDescent="0.4">
      <c r="A1986" s="1" t="s">
        <v>2</v>
      </c>
      <c r="B1986" s="70">
        <v>513700</v>
      </c>
      <c r="C1986" s="5">
        <v>0.62</v>
      </c>
    </row>
    <row r="1991" spans="1:5" x14ac:dyDescent="0.25">
      <c r="A1991" s="6"/>
      <c r="B1991" s="6"/>
      <c r="C1991" s="6"/>
      <c r="D1991" s="6"/>
      <c r="E1991" s="6"/>
    </row>
    <row r="1992" spans="1:5" x14ac:dyDescent="0.25">
      <c r="A1992" s="72" t="s">
        <v>387</v>
      </c>
      <c r="B1992" s="72"/>
      <c r="C1992" s="72"/>
      <c r="D1992" s="72"/>
      <c r="E1992" s="72"/>
    </row>
    <row r="1993" spans="1:5" x14ac:dyDescent="0.25">
      <c r="A1993" s="1"/>
      <c r="B1993" s="2" t="s">
        <v>14</v>
      </c>
      <c r="C1993" s="2" t="s">
        <v>15</v>
      </c>
      <c r="D1993" s="2" t="s">
        <v>381</v>
      </c>
      <c r="E1993" s="8" t="s">
        <v>20</v>
      </c>
    </row>
    <row r="1994" spans="1:5" ht="18" x14ac:dyDescent="0.4">
      <c r="A1994" s="1" t="s">
        <v>1</v>
      </c>
      <c r="B1994" s="70">
        <v>27423</v>
      </c>
      <c r="C1994" s="57">
        <v>27697</v>
      </c>
      <c r="D1994">
        <v>-12</v>
      </c>
      <c r="E1994" s="57">
        <v>-12</v>
      </c>
    </row>
    <row r="1995" spans="1:5" ht="18" x14ac:dyDescent="0.4">
      <c r="A1995" s="1" t="s">
        <v>2</v>
      </c>
      <c r="B1995" s="70">
        <v>31276</v>
      </c>
      <c r="C1995" s="57">
        <v>31588</v>
      </c>
      <c r="D1995">
        <v>-358</v>
      </c>
      <c r="E1995" s="57">
        <v>-362</v>
      </c>
    </row>
    <row r="1996" spans="1:5" x14ac:dyDescent="0.25">
      <c r="B1996" s="73" t="s">
        <v>388</v>
      </c>
      <c r="C1996" s="73"/>
    </row>
    <row r="1997" spans="1:5" x14ac:dyDescent="0.25">
      <c r="B1997" s="2" t="s">
        <v>17</v>
      </c>
      <c r="C1997" s="2" t="s">
        <v>18</v>
      </c>
    </row>
    <row r="1998" spans="1:5" ht="18" x14ac:dyDescent="0.4">
      <c r="A1998" s="1" t="s">
        <v>1</v>
      </c>
      <c r="B1998" s="70">
        <v>8061700</v>
      </c>
      <c r="C1998" s="5">
        <v>0.09</v>
      </c>
    </row>
    <row r="1999" spans="1:5" ht="18" x14ac:dyDescent="0.4">
      <c r="A1999" s="1" t="s">
        <v>2</v>
      </c>
      <c r="B1999" s="70">
        <v>811100</v>
      </c>
      <c r="C1999" s="5">
        <v>0.57999999999999996</v>
      </c>
    </row>
    <row r="2004" spans="1:5" x14ac:dyDescent="0.25">
      <c r="A2004" s="6"/>
      <c r="B2004" s="6"/>
      <c r="C2004" s="6"/>
      <c r="D2004" s="6"/>
      <c r="E2004" s="6"/>
    </row>
    <row r="2005" spans="1:5" x14ac:dyDescent="0.25">
      <c r="A2005" s="72" t="s">
        <v>389</v>
      </c>
      <c r="B2005" s="72"/>
      <c r="C2005" s="72"/>
      <c r="D2005" s="72"/>
      <c r="E2005" s="72"/>
    </row>
    <row r="2006" spans="1:5" x14ac:dyDescent="0.25">
      <c r="A2006" s="1"/>
      <c r="B2006" s="2" t="s">
        <v>14</v>
      </c>
      <c r="C2006" s="2" t="s">
        <v>15</v>
      </c>
      <c r="D2006" s="2" t="s">
        <v>381</v>
      </c>
      <c r="E2006" s="8" t="s">
        <v>20</v>
      </c>
    </row>
    <row r="2007" spans="1:5" x14ac:dyDescent="0.25">
      <c r="A2007" s="1" t="s">
        <v>1</v>
      </c>
      <c r="B2007" s="31">
        <v>27287</v>
      </c>
      <c r="C2007" s="31">
        <v>27560</v>
      </c>
      <c r="D2007">
        <v>-136</v>
      </c>
      <c r="E2007" s="57">
        <v>-137</v>
      </c>
    </row>
    <row r="2008" spans="1:5" x14ac:dyDescent="0.25">
      <c r="A2008" s="1" t="s">
        <v>2</v>
      </c>
      <c r="B2008" s="31">
        <v>31054</v>
      </c>
      <c r="C2008" s="31">
        <v>31365</v>
      </c>
      <c r="D2008">
        <v>-222</v>
      </c>
      <c r="E2008" s="57">
        <v>-223</v>
      </c>
    </row>
    <row r="2009" spans="1:5" x14ac:dyDescent="0.25">
      <c r="B2009" s="73" t="s">
        <v>390</v>
      </c>
      <c r="C2009" s="73"/>
    </row>
    <row r="2010" spans="1:5" x14ac:dyDescent="0.25">
      <c r="B2010" s="2" t="s">
        <v>17</v>
      </c>
      <c r="C2010" s="2" t="s">
        <v>18</v>
      </c>
    </row>
    <row r="2011" spans="1:5" x14ac:dyDescent="0.25">
      <c r="A2011" s="1" t="s">
        <v>1</v>
      </c>
      <c r="B2011" s="31">
        <v>6759700</v>
      </c>
      <c r="C2011" s="5">
        <v>-0.16</v>
      </c>
    </row>
    <row r="2012" spans="1:5" x14ac:dyDescent="0.25">
      <c r="A2012" s="1" t="s">
        <v>2</v>
      </c>
      <c r="B2012" s="31">
        <v>495900</v>
      </c>
      <c r="C2012" s="5">
        <v>-0.39</v>
      </c>
    </row>
    <row r="2017" spans="1:5" x14ac:dyDescent="0.25">
      <c r="A2017" s="6"/>
      <c r="B2017" s="6"/>
      <c r="C2017" s="6"/>
      <c r="D2017" s="6"/>
      <c r="E2017" s="6"/>
    </row>
    <row r="2018" spans="1:5" x14ac:dyDescent="0.25">
      <c r="A2018" s="72" t="s">
        <v>391</v>
      </c>
      <c r="B2018" s="72"/>
      <c r="C2018" s="72"/>
      <c r="D2018" s="72"/>
      <c r="E2018" s="72"/>
    </row>
    <row r="2019" spans="1:5" x14ac:dyDescent="0.25">
      <c r="A2019" s="1"/>
      <c r="B2019" s="2" t="s">
        <v>14</v>
      </c>
      <c r="C2019" s="2" t="s">
        <v>15</v>
      </c>
      <c r="D2019" s="2" t="s">
        <v>381</v>
      </c>
      <c r="E2019" s="8" t="s">
        <v>20</v>
      </c>
    </row>
    <row r="2020" spans="1:5" x14ac:dyDescent="0.25">
      <c r="A2020" s="1" t="s">
        <v>1</v>
      </c>
      <c r="B2020" s="31">
        <v>27150</v>
      </c>
      <c r="C2020" s="31">
        <v>27422</v>
      </c>
      <c r="D2020">
        <v>-137</v>
      </c>
      <c r="E2020" s="57">
        <v>-138</v>
      </c>
    </row>
    <row r="2021" spans="1:5" x14ac:dyDescent="0.25">
      <c r="A2021" s="1" t="s">
        <v>2</v>
      </c>
      <c r="B2021" s="31">
        <v>30453</v>
      </c>
      <c r="C2021" s="31">
        <v>30758</v>
      </c>
      <c r="D2021">
        <v>-601</v>
      </c>
      <c r="E2021" s="57">
        <v>-607</v>
      </c>
    </row>
    <row r="2022" spans="1:5" x14ac:dyDescent="0.25">
      <c r="B2022" s="73" t="s">
        <v>392</v>
      </c>
      <c r="C2022" s="73"/>
    </row>
    <row r="2023" spans="1:5" x14ac:dyDescent="0.25">
      <c r="B2023" s="2" t="s">
        <v>17</v>
      </c>
      <c r="C2023" s="2" t="s">
        <v>18</v>
      </c>
    </row>
    <row r="2024" spans="1:5" x14ac:dyDescent="0.25">
      <c r="A2024" s="1" t="s">
        <v>1</v>
      </c>
      <c r="B2024" s="31">
        <v>8314700</v>
      </c>
      <c r="C2024" s="5">
        <v>0.23</v>
      </c>
    </row>
    <row r="2025" spans="1:5" x14ac:dyDescent="0.25">
      <c r="A2025" s="1" t="s">
        <v>2</v>
      </c>
      <c r="B2025" s="31">
        <v>523600</v>
      </c>
      <c r="C2025" s="5">
        <v>0.06</v>
      </c>
    </row>
    <row r="2030" spans="1:5" x14ac:dyDescent="0.25">
      <c r="A2030" s="6"/>
      <c r="B2030" s="6"/>
      <c r="C2030" s="6"/>
      <c r="D2030" s="6"/>
      <c r="E2030" s="6"/>
    </row>
    <row r="2031" spans="1:5" x14ac:dyDescent="0.25">
      <c r="A2031" s="72" t="s">
        <v>393</v>
      </c>
      <c r="B2031" s="72"/>
      <c r="C2031" s="72"/>
      <c r="D2031" s="72"/>
      <c r="E2031" s="72"/>
    </row>
    <row r="2032" spans="1:5" x14ac:dyDescent="0.25">
      <c r="A2032" s="1"/>
      <c r="B2032" s="2" t="s">
        <v>14</v>
      </c>
      <c r="C2032" s="2" t="s">
        <v>15</v>
      </c>
      <c r="D2032" s="2" t="s">
        <v>381</v>
      </c>
      <c r="E2032" s="8" t="s">
        <v>20</v>
      </c>
    </row>
    <row r="2033" spans="1:5" x14ac:dyDescent="0.25">
      <c r="A2033" s="1" t="s">
        <v>1</v>
      </c>
      <c r="B2033" s="31">
        <v>27108</v>
      </c>
      <c r="C2033" s="31">
        <v>27379</v>
      </c>
      <c r="D2033">
        <v>-42</v>
      </c>
      <c r="E2033" s="57">
        <v>-43</v>
      </c>
    </row>
    <row r="2034" spans="1:5" x14ac:dyDescent="0.25">
      <c r="A2034" s="1" t="s">
        <v>2</v>
      </c>
      <c r="B2034" s="31">
        <v>30679</v>
      </c>
      <c r="C2034" s="31">
        <v>30986</v>
      </c>
      <c r="D2034">
        <v>226</v>
      </c>
      <c r="E2034" s="57">
        <v>228</v>
      </c>
    </row>
    <row r="2035" spans="1:5" x14ac:dyDescent="0.25">
      <c r="B2035" s="73" t="s">
        <v>394</v>
      </c>
      <c r="C2035" s="73"/>
    </row>
    <row r="2036" spans="1:5" x14ac:dyDescent="0.25">
      <c r="B2036" s="2" t="s">
        <v>17</v>
      </c>
      <c r="C2036" s="2" t="s">
        <v>18</v>
      </c>
    </row>
    <row r="2037" spans="1:5" x14ac:dyDescent="0.25">
      <c r="A2037" s="1" t="s">
        <v>1</v>
      </c>
      <c r="B2037" s="31">
        <v>8556900</v>
      </c>
      <c r="C2037" s="5">
        <v>0.03</v>
      </c>
    </row>
    <row r="2038" spans="1:5" x14ac:dyDescent="0.25">
      <c r="A2038" s="1" t="s">
        <v>2</v>
      </c>
      <c r="B2038" s="31">
        <v>465600</v>
      </c>
      <c r="C2038" s="5">
        <v>-0.11</v>
      </c>
    </row>
    <row r="2043" spans="1:5" x14ac:dyDescent="0.25">
      <c r="A2043" s="6"/>
      <c r="B2043" s="6"/>
      <c r="C2043" s="6"/>
      <c r="D2043" s="6"/>
      <c r="E2043" s="6"/>
    </row>
    <row r="2044" spans="1:5" x14ac:dyDescent="0.25">
      <c r="A2044" s="72" t="s">
        <v>395</v>
      </c>
      <c r="B2044" s="72"/>
      <c r="C2044" s="72"/>
      <c r="D2044" s="72"/>
      <c r="E2044" s="72"/>
    </row>
    <row r="2045" spans="1:5" x14ac:dyDescent="0.25">
      <c r="A2045" s="1"/>
      <c r="B2045" s="2" t="s">
        <v>14</v>
      </c>
      <c r="C2045" s="2" t="s">
        <v>15</v>
      </c>
      <c r="D2045" s="2" t="s">
        <v>381</v>
      </c>
      <c r="E2045" s="8" t="s">
        <v>20</v>
      </c>
    </row>
    <row r="2046" spans="1:5" x14ac:dyDescent="0.25">
      <c r="A2046" s="1" t="s">
        <v>1</v>
      </c>
      <c r="B2046" s="31">
        <v>27217</v>
      </c>
      <c r="C2046" s="31">
        <v>27489</v>
      </c>
      <c r="D2046">
        <v>109</v>
      </c>
      <c r="E2046" s="57">
        <v>110</v>
      </c>
    </row>
    <row r="2047" spans="1:5" x14ac:dyDescent="0.25">
      <c r="A2047" s="1" t="s">
        <v>2</v>
      </c>
      <c r="B2047" s="31">
        <v>30782</v>
      </c>
      <c r="C2047" s="31">
        <v>31090</v>
      </c>
      <c r="D2047">
        <v>103</v>
      </c>
      <c r="E2047" s="57">
        <v>104</v>
      </c>
    </row>
    <row r="2048" spans="1:5" x14ac:dyDescent="0.25">
      <c r="B2048" s="73" t="s">
        <v>396</v>
      </c>
      <c r="C2048" s="73"/>
    </row>
    <row r="2049" spans="1:5" x14ac:dyDescent="0.25">
      <c r="B2049" s="2" t="s">
        <v>17</v>
      </c>
      <c r="C2049" s="2" t="s">
        <v>18</v>
      </c>
    </row>
    <row r="2050" spans="1:5" x14ac:dyDescent="0.25">
      <c r="A2050" s="1" t="s">
        <v>1</v>
      </c>
      <c r="B2050" s="31">
        <v>5656700</v>
      </c>
      <c r="C2050" s="5">
        <v>-0.34</v>
      </c>
    </row>
    <row r="2051" spans="1:5" x14ac:dyDescent="0.25">
      <c r="A2051" s="1" t="s">
        <v>2</v>
      </c>
      <c r="B2051" s="31">
        <v>629600</v>
      </c>
      <c r="C2051" s="5">
        <v>0.35</v>
      </c>
    </row>
    <row r="2056" spans="1:5" x14ac:dyDescent="0.25">
      <c r="A2056" s="6"/>
      <c r="B2056" s="6"/>
      <c r="C2056" s="6"/>
      <c r="D2056" s="6"/>
      <c r="E2056" s="6"/>
    </row>
    <row r="2057" spans="1:5" x14ac:dyDescent="0.25">
      <c r="A2057" s="72" t="s">
        <v>397</v>
      </c>
      <c r="B2057" s="72"/>
      <c r="C2057" s="72"/>
      <c r="D2057" s="72"/>
      <c r="E2057" s="72"/>
    </row>
    <row r="2058" spans="1:5" x14ac:dyDescent="0.25">
      <c r="A2058" s="1"/>
      <c r="B2058" s="2" t="s">
        <v>14</v>
      </c>
      <c r="C2058" s="2" t="s">
        <v>15</v>
      </c>
      <c r="D2058" s="2" t="s">
        <v>381</v>
      </c>
      <c r="E2058" s="8" t="s">
        <v>20</v>
      </c>
    </row>
    <row r="2059" spans="1:5" x14ac:dyDescent="0.25">
      <c r="A2059" s="1" t="s">
        <v>1</v>
      </c>
      <c r="B2059" s="31">
        <v>27038</v>
      </c>
      <c r="C2059" s="31">
        <v>27309</v>
      </c>
      <c r="D2059">
        <v>-179</v>
      </c>
      <c r="E2059" s="57">
        <v>-180</v>
      </c>
    </row>
    <row r="2060" spans="1:5" x14ac:dyDescent="0.25">
      <c r="A2060" s="1" t="s">
        <v>2</v>
      </c>
      <c r="B2060" s="31">
        <v>30807</v>
      </c>
      <c r="C2060" s="31">
        <v>31115</v>
      </c>
      <c r="D2060">
        <v>25</v>
      </c>
      <c r="E2060" s="57">
        <v>25</v>
      </c>
    </row>
    <row r="2061" spans="1:5" x14ac:dyDescent="0.25">
      <c r="B2061" s="73" t="s">
        <v>398</v>
      </c>
      <c r="C2061" s="73"/>
    </row>
    <row r="2062" spans="1:5" x14ac:dyDescent="0.25">
      <c r="B2062" s="2" t="s">
        <v>17</v>
      </c>
      <c r="C2062" s="2" t="s">
        <v>18</v>
      </c>
    </row>
    <row r="2063" spans="1:5" x14ac:dyDescent="0.25">
      <c r="A2063" s="1" t="s">
        <v>1</v>
      </c>
      <c r="B2063" s="31">
        <v>7557900</v>
      </c>
      <c r="C2063" s="5">
        <v>0.34</v>
      </c>
    </row>
    <row r="2064" spans="1:5" x14ac:dyDescent="0.25">
      <c r="A2064" s="1" t="s">
        <v>2</v>
      </c>
      <c r="B2064" s="31">
        <v>628800</v>
      </c>
      <c r="C2064" s="5">
        <v>0</v>
      </c>
    </row>
  </sheetData>
  <mergeCells count="379">
    <mergeCell ref="A2057:E2057"/>
    <mergeCell ref="B2061:C2061"/>
    <mergeCell ref="A2031:E2031"/>
    <mergeCell ref="B2035:C2035"/>
    <mergeCell ref="A1979:E1979"/>
    <mergeCell ref="B1983:C1983"/>
    <mergeCell ref="A1953:E1953"/>
    <mergeCell ref="B1957:C1957"/>
    <mergeCell ref="A1940:F1940"/>
    <mergeCell ref="A1903:F1903"/>
    <mergeCell ref="A1907:E1907"/>
    <mergeCell ref="A1966:E1966"/>
    <mergeCell ref="B1970:C1970"/>
    <mergeCell ref="A1853:F1853"/>
    <mergeCell ref="A1857:E1857"/>
    <mergeCell ref="A1827:F1827"/>
    <mergeCell ref="A1831:E1831"/>
    <mergeCell ref="A1928:F1928"/>
    <mergeCell ref="A1932:E1932"/>
    <mergeCell ref="A1916:F1916"/>
    <mergeCell ref="A1920:E1920"/>
    <mergeCell ref="A1802:F1802"/>
    <mergeCell ref="A1806:E1806"/>
    <mergeCell ref="A1890:F1890"/>
    <mergeCell ref="A1894:E1894"/>
    <mergeCell ref="A1865:F1865"/>
    <mergeCell ref="A1869:E1869"/>
    <mergeCell ref="A1840:F1840"/>
    <mergeCell ref="A1844:E1844"/>
    <mergeCell ref="A1815:F1815"/>
    <mergeCell ref="A1819:E1819"/>
    <mergeCell ref="A1878:F1878"/>
    <mergeCell ref="A1882:E1882"/>
    <mergeCell ref="A1581:F1581"/>
    <mergeCell ref="A1585:E1585"/>
    <mergeCell ref="A1690:F1690"/>
    <mergeCell ref="A1694:E1694"/>
    <mergeCell ref="A1775:F1775"/>
    <mergeCell ref="A1779:E1779"/>
    <mergeCell ref="A1738:F1738"/>
    <mergeCell ref="A1742:E1742"/>
    <mergeCell ref="A1726:F1726"/>
    <mergeCell ref="A1730:E1730"/>
    <mergeCell ref="A1702:F1702"/>
    <mergeCell ref="A1706:E1706"/>
    <mergeCell ref="A1678:F1678"/>
    <mergeCell ref="A1682:E1682"/>
    <mergeCell ref="A1762:F1762"/>
    <mergeCell ref="A1766:E1766"/>
    <mergeCell ref="A1750:F1750"/>
    <mergeCell ref="A1754:E1754"/>
    <mergeCell ref="A1622:E1622"/>
    <mergeCell ref="A1605:F1605"/>
    <mergeCell ref="A1609:E1609"/>
    <mergeCell ref="A1714:F1714"/>
    <mergeCell ref="A1718:E1718"/>
    <mergeCell ref="A1666:F1666"/>
    <mergeCell ref="A1670:E1670"/>
    <mergeCell ref="A1654:F1654"/>
    <mergeCell ref="A1658:E1658"/>
    <mergeCell ref="A1593:F1593"/>
    <mergeCell ref="A1597:E1597"/>
    <mergeCell ref="A1646:E1646"/>
    <mergeCell ref="A1630:F1630"/>
    <mergeCell ref="A1634:E1634"/>
    <mergeCell ref="A1618:F1618"/>
    <mergeCell ref="A1642:F1642"/>
    <mergeCell ref="A1504:F1504"/>
    <mergeCell ref="A1508:E1508"/>
    <mergeCell ref="A1492:F1492"/>
    <mergeCell ref="A1496:E1496"/>
    <mergeCell ref="A1568:F1568"/>
    <mergeCell ref="A1572:E1572"/>
    <mergeCell ref="A1556:F1556"/>
    <mergeCell ref="A1560:E1560"/>
    <mergeCell ref="A1530:F1530"/>
    <mergeCell ref="A1534:E1534"/>
    <mergeCell ref="A1517:F1517"/>
    <mergeCell ref="A1521:E1521"/>
    <mergeCell ref="A1544:F1544"/>
    <mergeCell ref="A1548:E1548"/>
    <mergeCell ref="A1407:F1407"/>
    <mergeCell ref="A1419:F1419"/>
    <mergeCell ref="A1423:E1423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  <mergeCell ref="A1447:E1447"/>
    <mergeCell ref="A1310:F1310"/>
    <mergeCell ref="A1314:E1314"/>
    <mergeCell ref="A1395:F1395"/>
    <mergeCell ref="A1399:E1399"/>
    <mergeCell ref="A1370:F1370"/>
    <mergeCell ref="A1374:E1374"/>
    <mergeCell ref="A1346:F1346"/>
    <mergeCell ref="A1350:E1350"/>
    <mergeCell ref="A1322:F1322"/>
    <mergeCell ref="A1326:E1326"/>
    <mergeCell ref="A1358:F1358"/>
    <mergeCell ref="A1362:E1362"/>
    <mergeCell ref="A1334:F1334"/>
    <mergeCell ref="A1338:E1338"/>
    <mergeCell ref="A1382:F1382"/>
    <mergeCell ref="A1386:E1386"/>
    <mergeCell ref="A1298:F1298"/>
    <mergeCell ref="A1302:E1302"/>
    <mergeCell ref="A1290:E1290"/>
    <mergeCell ref="A1196:E1196"/>
    <mergeCell ref="A1274:F1274"/>
    <mergeCell ref="A1278:E1278"/>
    <mergeCell ref="A1250:F1250"/>
    <mergeCell ref="A1254:E1254"/>
    <mergeCell ref="A1227:F1227"/>
    <mergeCell ref="A1231:E1231"/>
    <mergeCell ref="A1266:E1266"/>
    <mergeCell ref="A1286:F1286"/>
    <mergeCell ref="A1238:F1238"/>
    <mergeCell ref="A1242:E1242"/>
    <mergeCell ref="A1203:F1203"/>
    <mergeCell ref="A1207:E1207"/>
    <mergeCell ref="A1168:F1168"/>
    <mergeCell ref="A1172:E1172"/>
    <mergeCell ref="A1099:F1099"/>
    <mergeCell ref="A1103:E1103"/>
    <mergeCell ref="A1180:F1180"/>
    <mergeCell ref="A1156:F1156"/>
    <mergeCell ref="A1160:E1160"/>
    <mergeCell ref="A1262:F1262"/>
    <mergeCell ref="A1215:F1215"/>
    <mergeCell ref="A1219:E1219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650:E650"/>
    <mergeCell ref="A626:F626"/>
    <mergeCell ref="A630:E630"/>
    <mergeCell ref="A491:E491"/>
    <mergeCell ref="A460:F460"/>
    <mergeCell ref="A464:E464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109:F109"/>
    <mergeCell ref="A113:E113"/>
    <mergeCell ref="A271:F271"/>
    <mergeCell ref="A275:E275"/>
    <mergeCell ref="A266:E266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262:F262"/>
    <mergeCell ref="A158:E158"/>
    <mergeCell ref="A127:F127"/>
    <mergeCell ref="A167:E167"/>
    <mergeCell ref="A136:F136"/>
    <mergeCell ref="A140:E140"/>
    <mergeCell ref="A239:E239"/>
    <mergeCell ref="A244:F244"/>
    <mergeCell ref="A190:F190"/>
    <mergeCell ref="A163:F163"/>
    <mergeCell ref="A172:F172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329:E329"/>
    <mergeCell ref="A280:F280"/>
    <mergeCell ref="A284:E284"/>
    <mergeCell ref="A248:E248"/>
    <mergeCell ref="A199:F199"/>
    <mergeCell ref="A203:E203"/>
    <mergeCell ref="A217:F217"/>
    <mergeCell ref="A221:E221"/>
    <mergeCell ref="A208:F208"/>
    <mergeCell ref="A212:E212"/>
    <mergeCell ref="A181:F181"/>
    <mergeCell ref="A185:E185"/>
    <mergeCell ref="A235:F235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352:F352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545:F545"/>
    <mergeCell ref="A514:F514"/>
    <mergeCell ref="A518:E518"/>
    <mergeCell ref="A534:F534"/>
    <mergeCell ref="A580:E580"/>
    <mergeCell ref="A556:F556"/>
    <mergeCell ref="A560:E560"/>
    <mergeCell ref="A600:E600"/>
    <mergeCell ref="A646:F646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660:E660"/>
    <mergeCell ref="A666:F666"/>
    <mergeCell ref="A670:E670"/>
    <mergeCell ref="A1017:F1017"/>
    <mergeCell ref="A1021:E1021"/>
    <mergeCell ref="A974:E974"/>
    <mergeCell ref="A936:F936"/>
    <mergeCell ref="A947:F947"/>
    <mergeCell ref="A951:E951"/>
    <mergeCell ref="A891:F891"/>
    <mergeCell ref="A895:E895"/>
    <mergeCell ref="A880:F880"/>
    <mergeCell ref="A884:E884"/>
    <mergeCell ref="A1063:F1063"/>
    <mergeCell ref="A1067:E1067"/>
    <mergeCell ref="A1010:E1010"/>
    <mergeCell ref="A1040:F1040"/>
    <mergeCell ref="A1006:F1006"/>
    <mergeCell ref="A925:F925"/>
    <mergeCell ref="A994:F994"/>
    <mergeCell ref="A913:F913"/>
    <mergeCell ref="A902:F902"/>
    <mergeCell ref="A906:E906"/>
    <mergeCell ref="A998:E998"/>
    <mergeCell ref="A917:E917"/>
    <mergeCell ref="A1056:E1056"/>
    <mergeCell ref="A929:E929"/>
    <mergeCell ref="A970:F970"/>
    <mergeCell ref="A1044:E1044"/>
    <mergeCell ref="A959:F959"/>
    <mergeCell ref="A963:E963"/>
    <mergeCell ref="A940:E940"/>
    <mergeCell ref="A1052:F1052"/>
    <mergeCell ref="A1028:F1028"/>
    <mergeCell ref="A982:F982"/>
    <mergeCell ref="A986:E986"/>
    <mergeCell ref="A1032:E1032"/>
    <mergeCell ref="A690:E690"/>
    <mergeCell ref="A676:F676"/>
    <mergeCell ref="A869:F869"/>
    <mergeCell ref="A873:E873"/>
    <mergeCell ref="A847:F847"/>
    <mergeCell ref="A851:E851"/>
    <mergeCell ref="A696:F696"/>
    <mergeCell ref="A716:F716"/>
    <mergeCell ref="A720:E720"/>
    <mergeCell ref="A803:F803"/>
    <mergeCell ref="A807:E807"/>
    <mergeCell ref="A858:F858"/>
    <mergeCell ref="A862:E862"/>
    <mergeCell ref="A836:F836"/>
    <mergeCell ref="A840:E840"/>
    <mergeCell ref="A814:F814"/>
    <mergeCell ref="A818:E818"/>
    <mergeCell ref="A825:F825"/>
    <mergeCell ref="A829:E829"/>
    <mergeCell ref="A2044:E2044"/>
    <mergeCell ref="B2048:C2048"/>
    <mergeCell ref="A1075:F1075"/>
    <mergeCell ref="A2018:E2018"/>
    <mergeCell ref="B2022:C2022"/>
    <mergeCell ref="A2005:E2005"/>
    <mergeCell ref="B2009:C2009"/>
    <mergeCell ref="A1992:E1992"/>
    <mergeCell ref="B1996:C1996"/>
    <mergeCell ref="A1789:F1789"/>
    <mergeCell ref="A1793:E1793"/>
    <mergeCell ref="A1133:F1133"/>
    <mergeCell ref="A1137:E1137"/>
    <mergeCell ref="A1110:F1110"/>
    <mergeCell ref="A1114:E1114"/>
    <mergeCell ref="A1184:E1184"/>
    <mergeCell ref="A1192:F1192"/>
    <mergeCell ref="A1145:F1145"/>
    <mergeCell ref="A1087:F1087"/>
    <mergeCell ref="A1091:E1091"/>
    <mergeCell ref="A1079:E1079"/>
    <mergeCell ref="A1149:E1149"/>
    <mergeCell ref="A1121:F1121"/>
    <mergeCell ref="A1125:E112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2021-12-18T13:42:43Z</dcterms:modified>
</cp:coreProperties>
</file>